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297915e9a08dcf/Master of Energy Research/Github/ArchEnSys/data_source/"/>
    </mc:Choice>
  </mc:AlternateContent>
  <xr:revisionPtr revIDLastSave="300" documentId="8_{C634C04F-FCC2-4346-9912-9B7D2744CEC3}" xr6:coauthVersionLast="47" xr6:coauthVersionMax="47" xr10:uidLastSave="{126D0E23-5653-4F3D-9219-583D8FF6A432}"/>
  <bookViews>
    <workbookView xWindow="-120" yWindow="-120" windowWidth="29040" windowHeight="15840" activeTab="6" xr2:uid="{9642CE0A-DA7E-4771-AA86-6A0DE8120FE7}"/>
  </bookViews>
  <sheets>
    <sheet name="sets_indices" sheetId="9" r:id="rId1"/>
    <sheet name="variables" sheetId="21" r:id="rId2"/>
    <sheet name="tech_data" sheetId="27" r:id="rId3"/>
    <sheet name="potential" sheetId="28" r:id="rId4"/>
    <sheet name="existing_capacity" sheetId="26" r:id="rId5"/>
    <sheet name="proj_rukn" sheetId="31" r:id="rId6"/>
    <sheet name="indonesia" sheetId="43" r:id="rId7"/>
    <sheet name="sumatera" sheetId="44" r:id="rId8"/>
    <sheet name="Jawa" sheetId="46" r:id="rId9"/>
    <sheet name="bali_nt" sheetId="47" r:id="rId10"/>
    <sheet name="kalimantan" sheetId="48" r:id="rId11"/>
    <sheet name="sulawesi" sheetId="49" r:id="rId12"/>
    <sheet name="maluku_papua" sheetId="50" r:id="rId13"/>
    <sheet name="cap_mw" sheetId="51" r:id="rId14"/>
    <sheet name="remain_pot" sheetId="52" r:id="rId15"/>
    <sheet name="sup_gwh" sheetId="53" r:id="rId16"/>
    <sheet name="co2_ton" sheetId="54" r:id="rId17"/>
    <sheet name="cost_musd" sheetId="55" r:id="rId18"/>
    <sheet name="prim_pj" sheetId="56" r:id="rId19"/>
    <sheet name="sup_pj" sheetId="57" r:id="rId20"/>
    <sheet name="los_pj" sheetId="58" r:id="rId21"/>
  </sheets>
  <externalReferences>
    <externalReference r:id="rId22"/>
  </externalReferences>
  <definedNames>
    <definedName name="solver_adj" localSheetId="9" hidden="1">bali_nt!$W$23:$AH$23</definedName>
    <definedName name="solver_adj" localSheetId="6" hidden="1">indonesia!$W$23:$AH$23</definedName>
    <definedName name="solver_adj" localSheetId="8" hidden="1">Jawa!$W$23:$AH$23</definedName>
    <definedName name="solver_adj" localSheetId="10" hidden="1">kalimantan!$W$23:$AH$23</definedName>
    <definedName name="solver_adj" localSheetId="12" hidden="1">maluku_papua!$W$23:$AH$23</definedName>
    <definedName name="solver_adj" localSheetId="11" hidden="1">sulawesi!$W$23:$AH$23</definedName>
    <definedName name="solver_adj" localSheetId="7" hidden="1">sumatera!$W$5:$AH$5</definedName>
    <definedName name="solver_cvg" localSheetId="9" hidden="1">0.000001</definedName>
    <definedName name="solver_cvg" localSheetId="6" hidden="1">0.000001</definedName>
    <definedName name="solver_cvg" localSheetId="8" hidden="1">0.000001</definedName>
    <definedName name="solver_cvg" localSheetId="10" hidden="1">0.000001</definedName>
    <definedName name="solver_cvg" localSheetId="12" hidden="1">0.000001</definedName>
    <definedName name="solver_cvg" localSheetId="11" hidden="1">0.000001</definedName>
    <definedName name="solver_cvg" localSheetId="7" hidden="1">0.000001</definedName>
    <definedName name="solver_drv" localSheetId="9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1" hidden="1">1</definedName>
    <definedName name="solver_drv" localSheetId="7" hidden="1">1</definedName>
    <definedName name="solver_eng" localSheetId="9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1" hidden="1">1</definedName>
    <definedName name="solver_eng" localSheetId="7" hidden="1">1</definedName>
    <definedName name="solver_est" localSheetId="9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1" hidden="1">1</definedName>
    <definedName name="solver_est" localSheetId="7" hidden="1">1</definedName>
    <definedName name="solver_itr" localSheetId="9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1" hidden="1">2147483647</definedName>
    <definedName name="solver_itr" localSheetId="7" hidden="1">2147483647</definedName>
    <definedName name="solver_lhs1" localSheetId="9" hidden="1">bali_nt!$Q$47</definedName>
    <definedName name="solver_lhs1" localSheetId="6" hidden="1">indonesia!$Q$47</definedName>
    <definedName name="solver_lhs1" localSheetId="8" hidden="1">Jawa!$Q$47</definedName>
    <definedName name="solver_lhs1" localSheetId="10" hidden="1">kalimantan!$Q$47</definedName>
    <definedName name="solver_lhs1" localSheetId="12" hidden="1">maluku_papua!$Q$47</definedName>
    <definedName name="solver_lhs1" localSheetId="11" hidden="1">sulawesi!$Q$47</definedName>
    <definedName name="solver_lhs1" localSheetId="7" hidden="1">sumatera!$Q$29</definedName>
    <definedName name="solver_lhs10" localSheetId="9" hidden="1">bali_nt!$BR$47</definedName>
    <definedName name="solver_lhs10" localSheetId="6" hidden="1">indonesia!$BR$47</definedName>
    <definedName name="solver_lhs10" localSheetId="8" hidden="1">Jawa!$BR$47</definedName>
    <definedName name="solver_lhs10" localSheetId="10" hidden="1">kalimantan!$BR$47</definedName>
    <definedName name="solver_lhs10" localSheetId="12" hidden="1">maluku_papua!$BR$47</definedName>
    <definedName name="solver_lhs10" localSheetId="11" hidden="1">sulawesi!$BR$47</definedName>
    <definedName name="solver_lhs10" localSheetId="7" hidden="1">sumatera!$BR$29</definedName>
    <definedName name="solver_lhs11" localSheetId="9" hidden="1">bali_nt!$BU$47</definedName>
    <definedName name="solver_lhs11" localSheetId="6" hidden="1">indonesia!$BU$47</definedName>
    <definedName name="solver_lhs11" localSheetId="8" hidden="1">Jawa!$BU$47</definedName>
    <definedName name="solver_lhs11" localSheetId="10" hidden="1">kalimantan!$BU$47</definedName>
    <definedName name="solver_lhs11" localSheetId="12" hidden="1">maluku_papua!$BU$47</definedName>
    <definedName name="solver_lhs11" localSheetId="11" hidden="1">sulawesi!$BU$47</definedName>
    <definedName name="solver_lhs11" localSheetId="7" hidden="1">sumatera!$BU$29</definedName>
    <definedName name="solver_lhs12" localSheetId="9" hidden="1">bali_nt!$BX$47</definedName>
    <definedName name="solver_lhs12" localSheetId="6" hidden="1">indonesia!$BX$47</definedName>
    <definedName name="solver_lhs12" localSheetId="8" hidden="1">Jawa!$BX$47</definedName>
    <definedName name="solver_lhs12" localSheetId="10" hidden="1">kalimantan!$BX$47</definedName>
    <definedName name="solver_lhs12" localSheetId="12" hidden="1">maluku_papua!$BX$47</definedName>
    <definedName name="solver_lhs12" localSheetId="11" hidden="1">sulawesi!$BX$47</definedName>
    <definedName name="solver_lhs12" localSheetId="7" hidden="1">sumatera!$BX$29</definedName>
    <definedName name="solver_lhs13" localSheetId="9" hidden="1">bali_nt!$AK$71</definedName>
    <definedName name="solver_lhs13" localSheetId="6" hidden="1">indonesia!$AK$71</definedName>
    <definedName name="solver_lhs13" localSheetId="8" hidden="1">Jawa!$AK$71</definedName>
    <definedName name="solver_lhs13" localSheetId="10" hidden="1">kalimantan!$AK$71</definedName>
    <definedName name="solver_lhs13" localSheetId="12" hidden="1">maluku_papua!$AK$71</definedName>
    <definedName name="solver_lhs13" localSheetId="11" hidden="1">sulawesi!$AK$71</definedName>
    <definedName name="solver_lhs13" localSheetId="7" hidden="1">sumatera!$AK$53</definedName>
    <definedName name="solver_lhs14" localSheetId="9" hidden="1">bali_nt!$CA$47</definedName>
    <definedName name="solver_lhs14" localSheetId="6" hidden="1">indonesia!$CA$47</definedName>
    <definedName name="solver_lhs14" localSheetId="8" hidden="1">Jawa!$CA$47</definedName>
    <definedName name="solver_lhs14" localSheetId="10" hidden="1">kalimantan!$CA$47</definedName>
    <definedName name="solver_lhs14" localSheetId="12" hidden="1">maluku_papua!$CA$47</definedName>
    <definedName name="solver_lhs14" localSheetId="11" hidden="1">sulawesi!$CA$47</definedName>
    <definedName name="solver_lhs14" localSheetId="7" hidden="1">sumatera!$CA$29</definedName>
    <definedName name="solver_lhs15" localSheetId="9" hidden="1">bali_nt!#REF!</definedName>
    <definedName name="solver_lhs15" localSheetId="6" hidden="1">indonesia!#REF!</definedName>
    <definedName name="solver_lhs15" localSheetId="8" hidden="1">Jawa!#REF!</definedName>
    <definedName name="solver_lhs15" localSheetId="10" hidden="1">kalimantan!#REF!</definedName>
    <definedName name="solver_lhs15" localSheetId="12" hidden="1">maluku_papua!#REF!</definedName>
    <definedName name="solver_lhs15" localSheetId="11" hidden="1">sulawesi!#REF!</definedName>
    <definedName name="solver_lhs15" localSheetId="7" hidden="1">sumatera!#REF!</definedName>
    <definedName name="solver_lhs16" localSheetId="9" hidden="1">bali_nt!#REF!</definedName>
    <definedName name="solver_lhs16" localSheetId="6" hidden="1">indonesia!#REF!</definedName>
    <definedName name="solver_lhs16" localSheetId="8" hidden="1">Jawa!#REF!</definedName>
    <definedName name="solver_lhs16" localSheetId="10" hidden="1">kalimantan!#REF!</definedName>
    <definedName name="solver_lhs16" localSheetId="12" hidden="1">maluku_papua!#REF!</definedName>
    <definedName name="solver_lhs16" localSheetId="11" hidden="1">sulawesi!#REF!</definedName>
    <definedName name="solver_lhs16" localSheetId="7" hidden="1">sumatera!#REF!</definedName>
    <definedName name="solver_lhs17" localSheetId="9" hidden="1">bali_nt!#REF!</definedName>
    <definedName name="solver_lhs17" localSheetId="6" hidden="1">indonesia!#REF!</definedName>
    <definedName name="solver_lhs17" localSheetId="8" hidden="1">Jawa!#REF!</definedName>
    <definedName name="solver_lhs17" localSheetId="10" hidden="1">kalimantan!#REF!</definedName>
    <definedName name="solver_lhs17" localSheetId="12" hidden="1">maluku_papua!#REF!</definedName>
    <definedName name="solver_lhs17" localSheetId="11" hidden="1">sulawesi!#REF!</definedName>
    <definedName name="solver_lhs17" localSheetId="7" hidden="1">sumatera!#REF!</definedName>
    <definedName name="solver_lhs18" localSheetId="9" hidden="1">bali_nt!#REF!</definedName>
    <definedName name="solver_lhs18" localSheetId="6" hidden="1">indonesia!#REF!</definedName>
    <definedName name="solver_lhs18" localSheetId="8" hidden="1">Jawa!#REF!</definedName>
    <definedName name="solver_lhs18" localSheetId="10" hidden="1">kalimantan!#REF!</definedName>
    <definedName name="solver_lhs18" localSheetId="12" hidden="1">maluku_papua!#REF!</definedName>
    <definedName name="solver_lhs18" localSheetId="11" hidden="1">sulawesi!#REF!</definedName>
    <definedName name="solver_lhs18" localSheetId="7" hidden="1">sumatera!#REF!</definedName>
    <definedName name="solver_lhs19" localSheetId="9" hidden="1">bali_nt!#REF!</definedName>
    <definedName name="solver_lhs19" localSheetId="6" hidden="1">indonesia!#REF!</definedName>
    <definedName name="solver_lhs19" localSheetId="8" hidden="1">Jawa!#REF!</definedName>
    <definedName name="solver_lhs19" localSheetId="10" hidden="1">kalimantan!#REF!</definedName>
    <definedName name="solver_lhs19" localSheetId="12" hidden="1">maluku_papua!#REF!</definedName>
    <definedName name="solver_lhs19" localSheetId="11" hidden="1">sulawesi!#REF!</definedName>
    <definedName name="solver_lhs19" localSheetId="7" hidden="1">sumatera!#REF!</definedName>
    <definedName name="solver_lhs2" localSheetId="9" hidden="1">bali_nt!$D$47:$O$47</definedName>
    <definedName name="solver_lhs2" localSheetId="6" hidden="1">indonesia!$D$47:$O$47</definedName>
    <definedName name="solver_lhs2" localSheetId="8" hidden="1">Jawa!$D$47:$O$47</definedName>
    <definedName name="solver_lhs2" localSheetId="10" hidden="1">kalimantan!$D$47:$O$47</definedName>
    <definedName name="solver_lhs2" localSheetId="12" hidden="1">maluku_papua!$D$47:$O$47</definedName>
    <definedName name="solver_lhs2" localSheetId="11" hidden="1">sulawesi!$D$47:$O$47</definedName>
    <definedName name="solver_lhs2" localSheetId="7" hidden="1">sumatera!$D$29:$O$29</definedName>
    <definedName name="solver_lhs3" localSheetId="9" hidden="1">bali_nt!$BD$71</definedName>
    <definedName name="solver_lhs3" localSheetId="6" hidden="1">indonesia!$BD$71</definedName>
    <definedName name="solver_lhs3" localSheetId="8" hidden="1">Jawa!$BD$71</definedName>
    <definedName name="solver_lhs3" localSheetId="10" hidden="1">kalimantan!$BD$71</definedName>
    <definedName name="solver_lhs3" localSheetId="12" hidden="1">maluku_papua!$BD$71</definedName>
    <definedName name="solver_lhs3" localSheetId="11" hidden="1">sulawesi!$BD$71</definedName>
    <definedName name="solver_lhs3" localSheetId="7" hidden="1">sumatera!$BD$53</definedName>
    <definedName name="solver_lhs4" localSheetId="9" hidden="1">bali_nt!$AA$23:$AG$23</definedName>
    <definedName name="solver_lhs4" localSheetId="6" hidden="1">indonesia!$AA$23:$AG$23</definedName>
    <definedName name="solver_lhs4" localSheetId="8" hidden="1">Jawa!$AA$23:$AG$23</definedName>
    <definedName name="solver_lhs4" localSheetId="10" hidden="1">kalimantan!$AA$23:$AG$23</definedName>
    <definedName name="solver_lhs4" localSheetId="12" hidden="1">maluku_papua!$AA$23:$AG$23</definedName>
    <definedName name="solver_lhs4" localSheetId="11" hidden="1">sulawesi!$AA$23:$AG$23</definedName>
    <definedName name="solver_lhs4" localSheetId="7" hidden="1">sumatera!$AA$5:$AG$5</definedName>
    <definedName name="solver_lhs5" localSheetId="9" hidden="1">bali_nt!$BO$47</definedName>
    <definedName name="solver_lhs5" localSheetId="6" hidden="1">indonesia!$BO$47</definedName>
    <definedName name="solver_lhs5" localSheetId="8" hidden="1">Jawa!$BO$47</definedName>
    <definedName name="solver_lhs5" localSheetId="10" hidden="1">kalimantan!$BO$47</definedName>
    <definedName name="solver_lhs5" localSheetId="12" hidden="1">maluku_papua!$BO$47</definedName>
    <definedName name="solver_lhs5" localSheetId="11" hidden="1">sulawesi!$BO$47</definedName>
    <definedName name="solver_lhs5" localSheetId="7" hidden="1">sumatera!$BO$29</definedName>
    <definedName name="solver_lhs6" localSheetId="9" hidden="1">bali_nt!$AQ$47</definedName>
    <definedName name="solver_lhs6" localSheetId="6" hidden="1">indonesia!$AQ$47</definedName>
    <definedName name="solver_lhs6" localSheetId="8" hidden="1">Jawa!$AQ$47</definedName>
    <definedName name="solver_lhs6" localSheetId="10" hidden="1">kalimantan!$AQ$47</definedName>
    <definedName name="solver_lhs6" localSheetId="12" hidden="1">maluku_papua!$AQ$47</definedName>
    <definedName name="solver_lhs6" localSheetId="11" hidden="1">sulawesi!$AQ$47</definedName>
    <definedName name="solver_lhs6" localSheetId="7" hidden="1">sumatera!$AQ$29</definedName>
    <definedName name="solver_lhs7" localSheetId="9" hidden="1">bali_nt!$AR$47</definedName>
    <definedName name="solver_lhs7" localSheetId="6" hidden="1">indonesia!$AR$47</definedName>
    <definedName name="solver_lhs7" localSheetId="8" hidden="1">Jawa!$AR$47</definedName>
    <definedName name="solver_lhs7" localSheetId="10" hidden="1">kalimantan!$AR$47</definedName>
    <definedName name="solver_lhs7" localSheetId="12" hidden="1">maluku_papua!$AR$47</definedName>
    <definedName name="solver_lhs7" localSheetId="11" hidden="1">sulawesi!$AR$47</definedName>
    <definedName name="solver_lhs7" localSheetId="7" hidden="1">sumatera!$AR$29</definedName>
    <definedName name="solver_lhs8" localSheetId="9" hidden="1">bali_nt!$AS$47</definedName>
    <definedName name="solver_lhs8" localSheetId="6" hidden="1">indonesia!$AS$47</definedName>
    <definedName name="solver_lhs8" localSheetId="8" hidden="1">Jawa!$AS$47</definedName>
    <definedName name="solver_lhs8" localSheetId="10" hidden="1">kalimantan!$AS$47</definedName>
    <definedName name="solver_lhs8" localSheetId="12" hidden="1">maluku_papua!$AS$47</definedName>
    <definedName name="solver_lhs8" localSheetId="11" hidden="1">sulawesi!$AS$47</definedName>
    <definedName name="solver_lhs8" localSheetId="7" hidden="1">sumatera!$AS$29</definedName>
    <definedName name="solver_lhs9" localSheetId="9" hidden="1">bali_nt!$AT$47</definedName>
    <definedName name="solver_lhs9" localSheetId="6" hidden="1">indonesia!$AT$47</definedName>
    <definedName name="solver_lhs9" localSheetId="8" hidden="1">Jawa!$AT$47</definedName>
    <definedName name="solver_lhs9" localSheetId="10" hidden="1">kalimantan!$AT$47</definedName>
    <definedName name="solver_lhs9" localSheetId="12" hidden="1">maluku_papua!$AT$47</definedName>
    <definedName name="solver_lhs9" localSheetId="11" hidden="1">sulawesi!$AT$47</definedName>
    <definedName name="solver_lhs9" localSheetId="7" hidden="1">sumatera!$AT$29</definedName>
    <definedName name="solver_lin" localSheetId="9" hidden="1">2</definedName>
    <definedName name="solver_lin" localSheetId="6" hidden="1">2</definedName>
    <definedName name="solver_lin" localSheetId="8" hidden="1">2</definedName>
    <definedName name="solver_lin" localSheetId="10" hidden="1">2</definedName>
    <definedName name="solver_lin" localSheetId="12" hidden="1">2</definedName>
    <definedName name="solver_lin" localSheetId="11" hidden="1">2</definedName>
    <definedName name="solver_lin" localSheetId="7" hidden="1">2</definedName>
    <definedName name="solver_mip" localSheetId="9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1" hidden="1">2147483647</definedName>
    <definedName name="solver_mip" localSheetId="7" hidden="1">2147483647</definedName>
    <definedName name="solver_mni" localSheetId="9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1" hidden="1">30</definedName>
    <definedName name="solver_mni" localSheetId="7" hidden="1">30</definedName>
    <definedName name="solver_mrt" localSheetId="9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1" hidden="1">0.075</definedName>
    <definedName name="solver_mrt" localSheetId="7" hidden="1">0.075</definedName>
    <definedName name="solver_msl" localSheetId="9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1" hidden="1">2</definedName>
    <definedName name="solver_msl" localSheetId="7" hidden="1">2</definedName>
    <definedName name="solver_neg" localSheetId="9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2" hidden="1">1</definedName>
    <definedName name="solver_neg" localSheetId="11" hidden="1">1</definedName>
    <definedName name="solver_neg" localSheetId="7" hidden="1">1</definedName>
    <definedName name="solver_nod" localSheetId="9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1" hidden="1">2147483647</definedName>
    <definedName name="solver_nod" localSheetId="7" hidden="1">2147483647</definedName>
    <definedName name="solver_num" localSheetId="9" hidden="1">14</definedName>
    <definedName name="solver_num" localSheetId="6" hidden="1">14</definedName>
    <definedName name="solver_num" localSheetId="8" hidden="1">14</definedName>
    <definedName name="solver_num" localSheetId="10" hidden="1">14</definedName>
    <definedName name="solver_num" localSheetId="12" hidden="1">14</definedName>
    <definedName name="solver_num" localSheetId="11" hidden="1">14</definedName>
    <definedName name="solver_num" localSheetId="7" hidden="1">14</definedName>
    <definedName name="solver_nwt" localSheetId="9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1" hidden="1">1</definedName>
    <definedName name="solver_nwt" localSheetId="7" hidden="1">1</definedName>
    <definedName name="solver_opt" localSheetId="9" hidden="1">bali_nt!$BD$71</definedName>
    <definedName name="solver_opt" localSheetId="6" hidden="1">indonesia!$BD$71</definedName>
    <definedName name="solver_opt" localSheetId="8" hidden="1">Jawa!$BD$71</definedName>
    <definedName name="solver_opt" localSheetId="10" hidden="1">kalimantan!$BD$71</definedName>
    <definedName name="solver_opt" localSheetId="12" hidden="1">maluku_papua!$BD$71</definedName>
    <definedName name="solver_opt" localSheetId="11" hidden="1">sulawesi!$BD$71</definedName>
    <definedName name="solver_opt" localSheetId="7" hidden="1">sumatera!$BD$53</definedName>
    <definedName name="solver_pre" localSheetId="9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1" hidden="1">0.000001</definedName>
    <definedName name="solver_pre" localSheetId="7" hidden="1">0.000001</definedName>
    <definedName name="solver_rbv" localSheetId="9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1" hidden="1">1</definedName>
    <definedName name="solver_rbv" localSheetId="7" hidden="1">1</definedName>
    <definedName name="solver_rel1" localSheetId="9" hidden="1">2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2" hidden="1">2</definedName>
    <definedName name="solver_rel1" localSheetId="11" hidden="1">2</definedName>
    <definedName name="solver_rel1" localSheetId="7" hidden="1">2</definedName>
    <definedName name="solver_rel10" localSheetId="9" hidden="1">3</definedName>
    <definedName name="solver_rel10" localSheetId="6" hidden="1">3</definedName>
    <definedName name="solver_rel10" localSheetId="8" hidden="1">3</definedName>
    <definedName name="solver_rel10" localSheetId="10" hidden="1">3</definedName>
    <definedName name="solver_rel10" localSheetId="12" hidden="1">3</definedName>
    <definedName name="solver_rel10" localSheetId="11" hidden="1">3</definedName>
    <definedName name="solver_rel10" localSheetId="7" hidden="1">3</definedName>
    <definedName name="solver_rel11" localSheetId="9" hidden="1">3</definedName>
    <definedName name="solver_rel11" localSheetId="6" hidden="1">3</definedName>
    <definedName name="solver_rel11" localSheetId="8" hidden="1">3</definedName>
    <definedName name="solver_rel11" localSheetId="10" hidden="1">3</definedName>
    <definedName name="solver_rel11" localSheetId="12" hidden="1">3</definedName>
    <definedName name="solver_rel11" localSheetId="11" hidden="1">3</definedName>
    <definedName name="solver_rel11" localSheetId="7" hidden="1">3</definedName>
    <definedName name="solver_rel12" localSheetId="9" hidden="1">1</definedName>
    <definedName name="solver_rel12" localSheetId="6" hidden="1">1</definedName>
    <definedName name="solver_rel12" localSheetId="8" hidden="1">1</definedName>
    <definedName name="solver_rel12" localSheetId="10" hidden="1">1</definedName>
    <definedName name="solver_rel12" localSheetId="12" hidden="1">1</definedName>
    <definedName name="solver_rel12" localSheetId="11" hidden="1">1</definedName>
    <definedName name="solver_rel12" localSheetId="7" hidden="1">1</definedName>
    <definedName name="solver_rel13" localSheetId="9" hidden="1">1</definedName>
    <definedName name="solver_rel13" localSheetId="6" hidden="1">1</definedName>
    <definedName name="solver_rel13" localSheetId="8" hidden="1">1</definedName>
    <definedName name="solver_rel13" localSheetId="10" hidden="1">1</definedName>
    <definedName name="solver_rel13" localSheetId="12" hidden="1">1</definedName>
    <definedName name="solver_rel13" localSheetId="11" hidden="1">1</definedName>
    <definedName name="solver_rel13" localSheetId="7" hidden="1">1</definedName>
    <definedName name="solver_rel14" localSheetId="9" hidden="1">3</definedName>
    <definedName name="solver_rel14" localSheetId="6" hidden="1">3</definedName>
    <definedName name="solver_rel14" localSheetId="8" hidden="1">3</definedName>
    <definedName name="solver_rel14" localSheetId="10" hidden="1">3</definedName>
    <definedName name="solver_rel14" localSheetId="12" hidden="1">3</definedName>
    <definedName name="solver_rel14" localSheetId="11" hidden="1">3</definedName>
    <definedName name="solver_rel14" localSheetId="7" hidden="1">3</definedName>
    <definedName name="solver_rel15" localSheetId="9" hidden="1">2</definedName>
    <definedName name="solver_rel15" localSheetId="6" hidden="1">2</definedName>
    <definedName name="solver_rel15" localSheetId="8" hidden="1">2</definedName>
    <definedName name="solver_rel15" localSheetId="10" hidden="1">2</definedName>
    <definedName name="solver_rel15" localSheetId="12" hidden="1">2</definedName>
    <definedName name="solver_rel15" localSheetId="11" hidden="1">2</definedName>
    <definedName name="solver_rel15" localSheetId="7" hidden="1">2</definedName>
    <definedName name="solver_rel16" localSheetId="9" hidden="1">2</definedName>
    <definedName name="solver_rel16" localSheetId="6" hidden="1">2</definedName>
    <definedName name="solver_rel16" localSheetId="8" hidden="1">2</definedName>
    <definedName name="solver_rel16" localSheetId="10" hidden="1">2</definedName>
    <definedName name="solver_rel16" localSheetId="12" hidden="1">2</definedName>
    <definedName name="solver_rel16" localSheetId="11" hidden="1">2</definedName>
    <definedName name="solver_rel16" localSheetId="7" hidden="1">2</definedName>
    <definedName name="solver_rel17" localSheetId="9" hidden="1">2</definedName>
    <definedName name="solver_rel17" localSheetId="6" hidden="1">2</definedName>
    <definedName name="solver_rel17" localSheetId="8" hidden="1">2</definedName>
    <definedName name="solver_rel17" localSheetId="10" hidden="1">2</definedName>
    <definedName name="solver_rel17" localSheetId="12" hidden="1">2</definedName>
    <definedName name="solver_rel17" localSheetId="11" hidden="1">2</definedName>
    <definedName name="solver_rel17" localSheetId="7" hidden="1">2</definedName>
    <definedName name="solver_rel18" localSheetId="9" hidden="1">2</definedName>
    <definedName name="solver_rel18" localSheetId="6" hidden="1">2</definedName>
    <definedName name="solver_rel18" localSheetId="8" hidden="1">2</definedName>
    <definedName name="solver_rel18" localSheetId="10" hidden="1">2</definedName>
    <definedName name="solver_rel18" localSheetId="12" hidden="1">2</definedName>
    <definedName name="solver_rel18" localSheetId="11" hidden="1">2</definedName>
    <definedName name="solver_rel18" localSheetId="7" hidden="1">2</definedName>
    <definedName name="solver_rel19" localSheetId="9" hidden="1">2</definedName>
    <definedName name="solver_rel19" localSheetId="6" hidden="1">2</definedName>
    <definedName name="solver_rel19" localSheetId="8" hidden="1">2</definedName>
    <definedName name="solver_rel19" localSheetId="10" hidden="1">2</definedName>
    <definedName name="solver_rel19" localSheetId="12" hidden="1">2</definedName>
    <definedName name="solver_rel19" localSheetId="11" hidden="1">2</definedName>
    <definedName name="solver_rel19" localSheetId="7" hidden="1">2</definedName>
    <definedName name="solver_rel2" localSheetId="9" hidden="1">3</definedName>
    <definedName name="solver_rel2" localSheetId="6" hidden="1">3</definedName>
    <definedName name="solver_rel2" localSheetId="8" hidden="1">3</definedName>
    <definedName name="solver_rel2" localSheetId="10" hidden="1">3</definedName>
    <definedName name="solver_rel2" localSheetId="12" hidden="1">3</definedName>
    <definedName name="solver_rel2" localSheetId="11" hidden="1">3</definedName>
    <definedName name="solver_rel2" localSheetId="7" hidden="1">3</definedName>
    <definedName name="solver_rel3" localSheetId="9" hidden="1">3</definedName>
    <definedName name="solver_rel3" localSheetId="6" hidden="1">3</definedName>
    <definedName name="solver_rel3" localSheetId="8" hidden="1">3</definedName>
    <definedName name="solver_rel3" localSheetId="10" hidden="1">3</definedName>
    <definedName name="solver_rel3" localSheetId="12" hidden="1">3</definedName>
    <definedName name="solver_rel3" localSheetId="11" hidden="1">3</definedName>
    <definedName name="solver_rel3" localSheetId="7" hidden="1">3</definedName>
    <definedName name="solver_rel4" localSheetId="9" hidden="1">1</definedName>
    <definedName name="solver_rel4" localSheetId="6" hidden="1">1</definedName>
    <definedName name="solver_rel4" localSheetId="8" hidden="1">1</definedName>
    <definedName name="solver_rel4" localSheetId="10" hidden="1">1</definedName>
    <definedName name="solver_rel4" localSheetId="12" hidden="1">1</definedName>
    <definedName name="solver_rel4" localSheetId="11" hidden="1">1</definedName>
    <definedName name="solver_rel4" localSheetId="7" hidden="1">1</definedName>
    <definedName name="solver_rel5" localSheetId="9" hidden="1">3</definedName>
    <definedName name="solver_rel5" localSheetId="6" hidden="1">3</definedName>
    <definedName name="solver_rel5" localSheetId="8" hidden="1">3</definedName>
    <definedName name="solver_rel5" localSheetId="10" hidden="1">3</definedName>
    <definedName name="solver_rel5" localSheetId="12" hidden="1">3</definedName>
    <definedName name="solver_rel5" localSheetId="11" hidden="1">3</definedName>
    <definedName name="solver_rel5" localSheetId="7" hidden="1">3</definedName>
    <definedName name="solver_rel6" localSheetId="9" hidden="1">3</definedName>
    <definedName name="solver_rel6" localSheetId="6" hidden="1">3</definedName>
    <definedName name="solver_rel6" localSheetId="8" hidden="1">3</definedName>
    <definedName name="solver_rel6" localSheetId="10" hidden="1">3</definedName>
    <definedName name="solver_rel6" localSheetId="12" hidden="1">3</definedName>
    <definedName name="solver_rel6" localSheetId="11" hidden="1">3</definedName>
    <definedName name="solver_rel6" localSheetId="7" hidden="1">3</definedName>
    <definedName name="solver_rel7" localSheetId="9" hidden="1">3</definedName>
    <definedName name="solver_rel7" localSheetId="6" hidden="1">3</definedName>
    <definedName name="solver_rel7" localSheetId="8" hidden="1">3</definedName>
    <definedName name="solver_rel7" localSheetId="10" hidden="1">3</definedName>
    <definedName name="solver_rel7" localSheetId="12" hidden="1">3</definedName>
    <definedName name="solver_rel7" localSheetId="11" hidden="1">3</definedName>
    <definedName name="solver_rel7" localSheetId="7" hidden="1">3</definedName>
    <definedName name="solver_rel8" localSheetId="9" hidden="1">1</definedName>
    <definedName name="solver_rel8" localSheetId="6" hidden="1">1</definedName>
    <definedName name="solver_rel8" localSheetId="8" hidden="1">1</definedName>
    <definedName name="solver_rel8" localSheetId="10" hidden="1">1</definedName>
    <definedName name="solver_rel8" localSheetId="12" hidden="1">1</definedName>
    <definedName name="solver_rel8" localSheetId="11" hidden="1">1</definedName>
    <definedName name="solver_rel8" localSheetId="7" hidden="1">1</definedName>
    <definedName name="solver_rel9" localSheetId="9" hidden="1">3</definedName>
    <definedName name="solver_rel9" localSheetId="6" hidden="1">3</definedName>
    <definedName name="solver_rel9" localSheetId="8" hidden="1">3</definedName>
    <definedName name="solver_rel9" localSheetId="10" hidden="1">3</definedName>
    <definedName name="solver_rel9" localSheetId="12" hidden="1">3</definedName>
    <definedName name="solver_rel9" localSheetId="11" hidden="1">3</definedName>
    <definedName name="solver_rel9" localSheetId="7" hidden="1">3</definedName>
    <definedName name="solver_rhs1" localSheetId="9" hidden="1">bali_nt!$R$47</definedName>
    <definedName name="solver_rhs1" localSheetId="6" hidden="1">indonesia!$R$47</definedName>
    <definedName name="solver_rhs1" localSheetId="8" hidden="1">Jawa!$R$47</definedName>
    <definedName name="solver_rhs1" localSheetId="10" hidden="1">kalimantan!$R$47</definedName>
    <definedName name="solver_rhs1" localSheetId="12" hidden="1">maluku_papua!$R$47</definedName>
    <definedName name="solver_rhs1" localSheetId="11" hidden="1">sulawesi!$R$47</definedName>
    <definedName name="solver_rhs1" localSheetId="7" hidden="1">sumatera!$R$29</definedName>
    <definedName name="solver_rhs10" localSheetId="9" hidden="1">bali_nt!$BQ$47</definedName>
    <definedName name="solver_rhs10" localSheetId="6" hidden="1">indonesia!$BQ$47</definedName>
    <definedName name="solver_rhs10" localSheetId="8" hidden="1">Jawa!$BQ$47</definedName>
    <definedName name="solver_rhs10" localSheetId="10" hidden="1">kalimantan!$BQ$47</definedName>
    <definedName name="solver_rhs10" localSheetId="12" hidden="1">maluku_papua!$BQ$47</definedName>
    <definedName name="solver_rhs10" localSheetId="11" hidden="1">sulawesi!$BQ$47</definedName>
    <definedName name="solver_rhs10" localSheetId="7" hidden="1">sumatera!$BQ$29</definedName>
    <definedName name="solver_rhs11" localSheetId="9" hidden="1">bali_nt!$BT$47</definedName>
    <definedName name="solver_rhs11" localSheetId="6" hidden="1">indonesia!$BT$47</definedName>
    <definedName name="solver_rhs11" localSheetId="8" hidden="1">Jawa!$BT$47</definedName>
    <definedName name="solver_rhs11" localSheetId="10" hidden="1">kalimantan!$BT$47</definedName>
    <definedName name="solver_rhs11" localSheetId="12" hidden="1">maluku_papua!$BT$47</definedName>
    <definedName name="solver_rhs11" localSheetId="11" hidden="1">sulawesi!$BT$47</definedName>
    <definedName name="solver_rhs11" localSheetId="7" hidden="1">sumatera!$BT$29</definedName>
    <definedName name="solver_rhs12" localSheetId="9" hidden="1">bali_nt!$BW$47</definedName>
    <definedName name="solver_rhs12" localSheetId="6" hidden="1">indonesia!$BW$47</definedName>
    <definedName name="solver_rhs12" localSheetId="8" hidden="1">Jawa!$BW$47</definedName>
    <definedName name="solver_rhs12" localSheetId="10" hidden="1">kalimantan!$BW$47</definedName>
    <definedName name="solver_rhs12" localSheetId="12" hidden="1">maluku_papua!$BW$47</definedName>
    <definedName name="solver_rhs12" localSheetId="11" hidden="1">sulawesi!$BW$47</definedName>
    <definedName name="solver_rhs12" localSheetId="7" hidden="1">sumatera!$BW$29</definedName>
    <definedName name="solver_rhs13" localSheetId="9" hidden="1">bali_nt!$AL$71</definedName>
    <definedName name="solver_rhs13" localSheetId="6" hidden="1">indonesia!$AL$71</definedName>
    <definedName name="solver_rhs13" localSheetId="8" hidden="1">Jawa!$AL$71</definedName>
    <definedName name="solver_rhs13" localSheetId="10" hidden="1">kalimantan!$AL$71</definedName>
    <definedName name="solver_rhs13" localSheetId="12" hidden="1">maluku_papua!$AL$71</definedName>
    <definedName name="solver_rhs13" localSheetId="11" hidden="1">sulawesi!$AL$71</definedName>
    <definedName name="solver_rhs13" localSheetId="7" hidden="1">sumatera!$AL$53</definedName>
    <definedName name="solver_rhs14" localSheetId="9" hidden="1">bali_nt!$BZ$47</definedName>
    <definedName name="solver_rhs14" localSheetId="6" hidden="1">indonesia!$BZ$47</definedName>
    <definedName name="solver_rhs14" localSheetId="8" hidden="1">Jawa!$BZ$47</definedName>
    <definedName name="solver_rhs14" localSheetId="10" hidden="1">kalimantan!$BZ$47</definedName>
    <definedName name="solver_rhs14" localSheetId="12" hidden="1">maluku_papua!$BZ$47</definedName>
    <definedName name="solver_rhs14" localSheetId="11" hidden="1">sulawesi!$BZ$47</definedName>
    <definedName name="solver_rhs14" localSheetId="7" hidden="1">sumatera!$BZ$29</definedName>
    <definedName name="solver_rhs15" localSheetId="9" hidden="1">bali_nt!#REF!</definedName>
    <definedName name="solver_rhs15" localSheetId="6" hidden="1">indonesia!#REF!</definedName>
    <definedName name="solver_rhs15" localSheetId="8" hidden="1">Jawa!#REF!</definedName>
    <definedName name="solver_rhs15" localSheetId="10" hidden="1">kalimantan!#REF!</definedName>
    <definedName name="solver_rhs15" localSheetId="12" hidden="1">maluku_papua!#REF!</definedName>
    <definedName name="solver_rhs15" localSheetId="11" hidden="1">sulawesi!#REF!</definedName>
    <definedName name="solver_rhs15" localSheetId="7" hidden="1">sumatera!#REF!</definedName>
    <definedName name="solver_rhs16" localSheetId="9" hidden="1">bali_nt!#REF!</definedName>
    <definedName name="solver_rhs16" localSheetId="6" hidden="1">indonesia!#REF!</definedName>
    <definedName name="solver_rhs16" localSheetId="8" hidden="1">Jawa!#REF!</definedName>
    <definedName name="solver_rhs16" localSheetId="10" hidden="1">kalimantan!#REF!</definedName>
    <definedName name="solver_rhs16" localSheetId="12" hidden="1">maluku_papua!#REF!</definedName>
    <definedName name="solver_rhs16" localSheetId="11" hidden="1">sulawesi!#REF!</definedName>
    <definedName name="solver_rhs16" localSheetId="7" hidden="1">sumatera!#REF!</definedName>
    <definedName name="solver_rhs17" localSheetId="9" hidden="1">bali_nt!#REF!</definedName>
    <definedName name="solver_rhs17" localSheetId="6" hidden="1">indonesia!#REF!</definedName>
    <definedName name="solver_rhs17" localSheetId="8" hidden="1">Jawa!#REF!</definedName>
    <definedName name="solver_rhs17" localSheetId="10" hidden="1">kalimantan!#REF!</definedName>
    <definedName name="solver_rhs17" localSheetId="12" hidden="1">maluku_papua!#REF!</definedName>
    <definedName name="solver_rhs17" localSheetId="11" hidden="1">sulawesi!#REF!</definedName>
    <definedName name="solver_rhs17" localSheetId="7" hidden="1">sumatera!#REF!</definedName>
    <definedName name="solver_rhs18" localSheetId="9" hidden="1">bali_nt!#REF!</definedName>
    <definedName name="solver_rhs18" localSheetId="6" hidden="1">indonesia!#REF!</definedName>
    <definedName name="solver_rhs18" localSheetId="8" hidden="1">Jawa!#REF!</definedName>
    <definedName name="solver_rhs18" localSheetId="10" hidden="1">kalimantan!#REF!</definedName>
    <definedName name="solver_rhs18" localSheetId="12" hidden="1">maluku_papua!#REF!</definedName>
    <definedName name="solver_rhs18" localSheetId="11" hidden="1">sulawesi!#REF!</definedName>
    <definedName name="solver_rhs18" localSheetId="7" hidden="1">sumatera!#REF!</definedName>
    <definedName name="solver_rhs19" localSheetId="9" hidden="1">bali_nt!#REF!</definedName>
    <definedName name="solver_rhs19" localSheetId="6" hidden="1">indonesia!#REF!</definedName>
    <definedName name="solver_rhs19" localSheetId="8" hidden="1">Jawa!#REF!</definedName>
    <definedName name="solver_rhs19" localSheetId="10" hidden="1">kalimantan!#REF!</definedName>
    <definedName name="solver_rhs19" localSheetId="12" hidden="1">maluku_papua!#REF!</definedName>
    <definedName name="solver_rhs19" localSheetId="11" hidden="1">sulawesi!#REF!</definedName>
    <definedName name="solver_rhs19" localSheetId="7" hidden="1">sumatera!#REF!</definedName>
    <definedName name="solver_rhs2" localSheetId="9" hidden="1">0</definedName>
    <definedName name="solver_rhs2" localSheetId="6" hidden="1">0</definedName>
    <definedName name="solver_rhs2" localSheetId="8" hidden="1">0</definedName>
    <definedName name="solver_rhs2" localSheetId="10" hidden="1">0</definedName>
    <definedName name="solver_rhs2" localSheetId="12" hidden="1">0</definedName>
    <definedName name="solver_rhs2" localSheetId="11" hidden="1">0</definedName>
    <definedName name="solver_rhs2" localSheetId="7" hidden="1">0</definedName>
    <definedName name="solver_rhs3" localSheetId="9" hidden="1">0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2" hidden="1">0</definedName>
    <definedName name="solver_rhs3" localSheetId="11" hidden="1">0</definedName>
    <definedName name="solver_rhs3" localSheetId="7" hidden="1">0</definedName>
    <definedName name="solver_rhs4" localSheetId="9" hidden="1">bali_nt!$AU$23:$BA$23</definedName>
    <definedName name="solver_rhs4" localSheetId="6" hidden="1">indonesia!$AU$23:$BA$23</definedName>
    <definedName name="solver_rhs4" localSheetId="8" hidden="1">Jawa!$AU$23:$BA$23</definedName>
    <definedName name="solver_rhs4" localSheetId="10" hidden="1">kalimantan!$AU$23:$BA$23</definedName>
    <definedName name="solver_rhs4" localSheetId="12" hidden="1">maluku_papua!$AU$23:$BA$23</definedName>
    <definedName name="solver_rhs4" localSheetId="11" hidden="1">sulawesi!$AU$23:$BA$23</definedName>
    <definedName name="solver_rhs4" localSheetId="7" hidden="1">sumatera!$AU$5:$BA$5</definedName>
    <definedName name="solver_rhs5" localSheetId="9" hidden="1">bali_nt!$BN$47</definedName>
    <definedName name="solver_rhs5" localSheetId="6" hidden="1">indonesia!$BN$47</definedName>
    <definedName name="solver_rhs5" localSheetId="8" hidden="1">Jawa!$BN$47</definedName>
    <definedName name="solver_rhs5" localSheetId="10" hidden="1">kalimantan!$BN$47</definedName>
    <definedName name="solver_rhs5" localSheetId="12" hidden="1">maluku_papua!$BN$47</definedName>
    <definedName name="solver_rhs5" localSheetId="11" hidden="1">sulawesi!$BN$47</definedName>
    <definedName name="solver_rhs5" localSheetId="7" hidden="1">sumatera!$BN$29</definedName>
    <definedName name="solver_rhs6" localSheetId="9" hidden="1">bali_nt!$AW$47</definedName>
    <definedName name="solver_rhs6" localSheetId="6" hidden="1">indonesia!$AW$47</definedName>
    <definedName name="solver_rhs6" localSheetId="8" hidden="1">Jawa!$AW$47</definedName>
    <definedName name="solver_rhs6" localSheetId="10" hidden="1">kalimantan!$AW$47</definedName>
    <definedName name="solver_rhs6" localSheetId="12" hidden="1">maluku_papua!$AW$47</definedName>
    <definedName name="solver_rhs6" localSheetId="11" hidden="1">sulawesi!$AW$47</definedName>
    <definedName name="solver_rhs6" localSheetId="7" hidden="1">sumatera!$AW$29</definedName>
    <definedName name="solver_rhs7" localSheetId="9" hidden="1">bali_nt!$AX$47</definedName>
    <definedName name="solver_rhs7" localSheetId="6" hidden="1">indonesia!$AX$47</definedName>
    <definedName name="solver_rhs7" localSheetId="8" hidden="1">Jawa!$AX$47</definedName>
    <definedName name="solver_rhs7" localSheetId="10" hidden="1">kalimantan!$AX$47</definedName>
    <definedName name="solver_rhs7" localSheetId="12" hidden="1">maluku_papua!$AX$47</definedName>
    <definedName name="solver_rhs7" localSheetId="11" hidden="1">sulawesi!$AX$47</definedName>
    <definedName name="solver_rhs7" localSheetId="7" hidden="1">sumatera!$AX$29</definedName>
    <definedName name="solver_rhs8" localSheetId="9" hidden="1">bali_nt!$AY$47</definedName>
    <definedName name="solver_rhs8" localSheetId="6" hidden="1">indonesia!$AY$47</definedName>
    <definedName name="solver_rhs8" localSheetId="8" hidden="1">Jawa!$AY$47</definedName>
    <definedName name="solver_rhs8" localSheetId="10" hidden="1">kalimantan!$AY$47</definedName>
    <definedName name="solver_rhs8" localSheetId="12" hidden="1">maluku_papua!$AY$47</definedName>
    <definedName name="solver_rhs8" localSheetId="11" hidden="1">sulawesi!$AY$47</definedName>
    <definedName name="solver_rhs8" localSheetId="7" hidden="1">sumatera!$AY$29</definedName>
    <definedName name="solver_rhs9" localSheetId="9" hidden="1">bali_nt!$AZ$47</definedName>
    <definedName name="solver_rhs9" localSheetId="6" hidden="1">indonesia!$AZ$47</definedName>
    <definedName name="solver_rhs9" localSheetId="8" hidden="1">Jawa!$AZ$47</definedName>
    <definedName name="solver_rhs9" localSheetId="10" hidden="1">kalimantan!$AZ$47</definedName>
    <definedName name="solver_rhs9" localSheetId="12" hidden="1">maluku_papua!$AZ$47</definedName>
    <definedName name="solver_rhs9" localSheetId="11" hidden="1">sulawesi!$AZ$47</definedName>
    <definedName name="solver_rhs9" localSheetId="7" hidden="1">sumatera!$AZ$29</definedName>
    <definedName name="solver_rlx" localSheetId="9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1" hidden="1">2</definedName>
    <definedName name="solver_rlx" localSheetId="7" hidden="1">2</definedName>
    <definedName name="solver_rsd" localSheetId="9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1" hidden="1">0</definedName>
    <definedName name="solver_rsd" localSheetId="7" hidden="1">0</definedName>
    <definedName name="solver_scl" localSheetId="9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1" hidden="1">1</definedName>
    <definedName name="solver_scl" localSheetId="7" hidden="1">1</definedName>
    <definedName name="solver_sho" localSheetId="9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1" hidden="1">2</definedName>
    <definedName name="solver_sho" localSheetId="7" hidden="1">2</definedName>
    <definedName name="solver_ssz" localSheetId="9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1" hidden="1">100</definedName>
    <definedName name="solver_ssz" localSheetId="7" hidden="1">100</definedName>
    <definedName name="solver_tim" localSheetId="9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1" hidden="1">2147483647</definedName>
    <definedName name="solver_tim" localSheetId="7" hidden="1">2147483647</definedName>
    <definedName name="solver_tol" localSheetId="9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1" hidden="1">0.01</definedName>
    <definedName name="solver_tol" localSheetId="7" hidden="1">0.01</definedName>
    <definedName name="solver_typ" localSheetId="9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1" hidden="1">2</definedName>
    <definedName name="solver_typ" localSheetId="7" hidden="1">2</definedName>
    <definedName name="solver_val" localSheetId="9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1" hidden="1">0</definedName>
    <definedName name="solver_val" localSheetId="7" hidden="1">0</definedName>
    <definedName name="solver_ver" localSheetId="9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1" hidden="1">3</definedName>
    <definedName name="solver_ver" localSheetId="7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7" l="1"/>
  <c r="B4" i="27"/>
  <c r="B5" i="27"/>
  <c r="B6" i="27"/>
  <c r="B7" i="27"/>
  <c r="B8" i="27"/>
  <c r="B9" i="27"/>
  <c r="B10" i="27"/>
  <c r="B11" i="27"/>
  <c r="B12" i="27"/>
  <c r="B13" i="27"/>
  <c r="B14" i="27"/>
  <c r="B15" i="27"/>
  <c r="B2" i="27"/>
  <c r="B19" i="21"/>
  <c r="B20" i="21"/>
  <c r="B21" i="21"/>
  <c r="B22" i="21"/>
  <c r="B23" i="21"/>
  <c r="B24" i="21"/>
  <c r="D27" i="50" s="1" a="1"/>
  <c r="B25" i="21"/>
  <c r="B26" i="21"/>
  <c r="B27" i="21"/>
  <c r="B28" i="21"/>
  <c r="B29" i="21"/>
  <c r="B30" i="21"/>
  <c r="B31" i="21"/>
  <c r="B32" i="21"/>
  <c r="W27" i="50" s="1" a="1"/>
  <c r="B33" i="21"/>
  <c r="W27" i="49" s="1" a="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D3" i="50" s="1" a="1"/>
  <c r="B49" i="21"/>
  <c r="D3" i="49" s="1" a="1"/>
  <c r="Q3" i="49" s="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W3" i="49" s="1" a="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AQ3" i="50" s="1" a="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D75" i="50" s="1" a="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W75" i="50" s="1" a="1"/>
  <c r="AB75" i="50" s="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AQ51" i="49" s="1" a="1"/>
  <c r="B137" i="21"/>
  <c r="B138" i="21"/>
  <c r="B139" i="21"/>
  <c r="B140" i="21"/>
  <c r="B141" i="21"/>
  <c r="B142" i="21"/>
  <c r="B143" i="21"/>
  <c r="B144" i="21"/>
  <c r="W51" i="50" s="1" a="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8" i="21"/>
  <c r="R3" i="53"/>
  <c r="R4" i="53"/>
  <c r="R5" i="53"/>
  <c r="R6" i="53"/>
  <c r="R7" i="53"/>
  <c r="R8" i="53"/>
  <c r="R9" i="53"/>
  <c r="R10" i="53"/>
  <c r="R11" i="53"/>
  <c r="R12" i="53"/>
  <c r="R13" i="53"/>
  <c r="R14" i="53"/>
  <c r="R15" i="53"/>
  <c r="R16" i="53"/>
  <c r="R17" i="53"/>
  <c r="R18" i="53"/>
  <c r="R19" i="53"/>
  <c r="R20" i="53"/>
  <c r="R21" i="53"/>
  <c r="R22" i="53"/>
  <c r="R23" i="53"/>
  <c r="R24" i="53"/>
  <c r="R25" i="53"/>
  <c r="R26" i="53"/>
  <c r="R27" i="53"/>
  <c r="R28" i="53"/>
  <c r="R29" i="53"/>
  <c r="R30" i="53"/>
  <c r="R31" i="53"/>
  <c r="R32" i="53"/>
  <c r="R33" i="53"/>
  <c r="R34" i="53"/>
  <c r="R35" i="53"/>
  <c r="R36" i="53"/>
  <c r="R37" i="53"/>
  <c r="R38" i="53"/>
  <c r="R39" i="53"/>
  <c r="R40" i="53"/>
  <c r="R41" i="53"/>
  <c r="R42" i="53"/>
  <c r="R43" i="53"/>
  <c r="R44" i="53"/>
  <c r="R45" i="53"/>
  <c r="R46" i="53"/>
  <c r="R47" i="53"/>
  <c r="R48" i="53"/>
  <c r="R49" i="53"/>
  <c r="R50" i="53"/>
  <c r="R51" i="53"/>
  <c r="R52" i="53"/>
  <c r="R53" i="53"/>
  <c r="R54" i="53"/>
  <c r="R55" i="53"/>
  <c r="R56" i="53"/>
  <c r="R57" i="53"/>
  <c r="R58" i="53"/>
  <c r="R59" i="53"/>
  <c r="R60" i="53"/>
  <c r="R61" i="53"/>
  <c r="R62" i="53"/>
  <c r="R63" i="53"/>
  <c r="R64" i="53"/>
  <c r="R65" i="53"/>
  <c r="R66" i="53"/>
  <c r="R67" i="53"/>
  <c r="R68" i="53"/>
  <c r="R69" i="53"/>
  <c r="R70" i="53"/>
  <c r="R71" i="53"/>
  <c r="R72" i="53"/>
  <c r="R73" i="53"/>
  <c r="R74" i="53"/>
  <c r="R75" i="53"/>
  <c r="R76" i="53"/>
  <c r="R77" i="53"/>
  <c r="R78" i="53"/>
  <c r="R79" i="53"/>
  <c r="R80" i="53"/>
  <c r="R81" i="53"/>
  <c r="R82" i="53"/>
  <c r="R83" i="53"/>
  <c r="R84" i="53"/>
  <c r="R85" i="53"/>
  <c r="R86" i="53"/>
  <c r="R87" i="53"/>
  <c r="R88" i="53"/>
  <c r="R89" i="53"/>
  <c r="R90" i="53"/>
  <c r="R91" i="53"/>
  <c r="R92" i="53"/>
  <c r="R93" i="53"/>
  <c r="R94" i="53"/>
  <c r="R95" i="53"/>
  <c r="R96" i="53"/>
  <c r="R97" i="53"/>
  <c r="R98" i="53"/>
  <c r="R99" i="53"/>
  <c r="R100" i="53"/>
  <c r="R101" i="53"/>
  <c r="R102" i="53"/>
  <c r="R103" i="53"/>
  <c r="R104" i="53"/>
  <c r="R105" i="53"/>
  <c r="R106" i="53"/>
  <c r="R107" i="53"/>
  <c r="R108" i="53"/>
  <c r="R109" i="53"/>
  <c r="R110" i="53"/>
  <c r="R111" i="53"/>
  <c r="R112" i="53"/>
  <c r="R113" i="53"/>
  <c r="R114" i="53"/>
  <c r="R115" i="53"/>
  <c r="R116" i="53"/>
  <c r="R117" i="53"/>
  <c r="R118" i="53"/>
  <c r="R119" i="53"/>
  <c r="R120" i="53"/>
  <c r="R121" i="53"/>
  <c r="R122" i="53"/>
  <c r="R123" i="53"/>
  <c r="R124" i="53"/>
  <c r="R125" i="53"/>
  <c r="R126" i="53"/>
  <c r="R127" i="53"/>
  <c r="R128" i="53"/>
  <c r="R129" i="53"/>
  <c r="R130" i="53"/>
  <c r="R131" i="53"/>
  <c r="R132" i="53"/>
  <c r="R133" i="53"/>
  <c r="R134" i="53"/>
  <c r="R135" i="53"/>
  <c r="R136" i="53"/>
  <c r="R137" i="53"/>
  <c r="R138" i="53"/>
  <c r="R139" i="53"/>
  <c r="R140" i="53"/>
  <c r="R141" i="53"/>
  <c r="R2" i="53"/>
  <c r="B141" i="58"/>
  <c r="A141" i="58"/>
  <c r="B140" i="58"/>
  <c r="A140" i="58"/>
  <c r="B139" i="58"/>
  <c r="A139" i="58"/>
  <c r="B138" i="58"/>
  <c r="A138" i="58"/>
  <c r="B137" i="58"/>
  <c r="A137" i="58"/>
  <c r="B136" i="58"/>
  <c r="A136" i="58"/>
  <c r="B135" i="58"/>
  <c r="A135" i="58"/>
  <c r="B134" i="58"/>
  <c r="A134" i="58"/>
  <c r="B133" i="58"/>
  <c r="A133" i="58"/>
  <c r="B132" i="58"/>
  <c r="A132" i="58"/>
  <c r="B131" i="58"/>
  <c r="A131" i="58"/>
  <c r="B130" i="58"/>
  <c r="A130" i="58"/>
  <c r="B129" i="58"/>
  <c r="A129" i="58"/>
  <c r="B128" i="58"/>
  <c r="A128" i="58"/>
  <c r="B127" i="58"/>
  <c r="A127" i="58"/>
  <c r="B126" i="58"/>
  <c r="A126" i="58"/>
  <c r="B125" i="58"/>
  <c r="A125" i="58"/>
  <c r="B124" i="58"/>
  <c r="A124" i="58"/>
  <c r="B123" i="58"/>
  <c r="A123" i="58"/>
  <c r="B122" i="58"/>
  <c r="A122" i="58"/>
  <c r="B121" i="58"/>
  <c r="A121" i="58"/>
  <c r="B120" i="58"/>
  <c r="A120" i="58"/>
  <c r="B119" i="58"/>
  <c r="A119" i="58"/>
  <c r="B118" i="58"/>
  <c r="A118" i="58"/>
  <c r="B117" i="58"/>
  <c r="A117" i="58"/>
  <c r="B116" i="58"/>
  <c r="A116" i="58"/>
  <c r="B115" i="58"/>
  <c r="A115" i="58"/>
  <c r="B114" i="58"/>
  <c r="A114" i="58"/>
  <c r="B113" i="58"/>
  <c r="A113" i="58"/>
  <c r="B112" i="58"/>
  <c r="A112" i="58"/>
  <c r="B111" i="58"/>
  <c r="A111" i="58"/>
  <c r="B110" i="58"/>
  <c r="A110" i="58"/>
  <c r="B109" i="58"/>
  <c r="A109" i="58"/>
  <c r="B108" i="58"/>
  <c r="A108" i="58"/>
  <c r="B107" i="58"/>
  <c r="A107" i="58"/>
  <c r="B106" i="58"/>
  <c r="A106" i="58"/>
  <c r="B105" i="58"/>
  <c r="A105" i="58"/>
  <c r="B104" i="58"/>
  <c r="A104" i="58"/>
  <c r="B103" i="58"/>
  <c r="A103" i="58"/>
  <c r="B102" i="58"/>
  <c r="A102" i="58"/>
  <c r="B101" i="58"/>
  <c r="A101" i="58"/>
  <c r="B100" i="58"/>
  <c r="A100" i="58"/>
  <c r="B99" i="58"/>
  <c r="A99" i="58"/>
  <c r="B98" i="58"/>
  <c r="A98" i="58"/>
  <c r="B97" i="58"/>
  <c r="A97" i="58"/>
  <c r="B96" i="58"/>
  <c r="A96" i="58"/>
  <c r="B95" i="58"/>
  <c r="A95" i="58"/>
  <c r="B94" i="58"/>
  <c r="A94" i="58"/>
  <c r="B93" i="58"/>
  <c r="A93" i="58"/>
  <c r="B92" i="58"/>
  <c r="A92" i="58"/>
  <c r="B91" i="58"/>
  <c r="A91" i="58"/>
  <c r="B90" i="58"/>
  <c r="A90" i="58"/>
  <c r="B89" i="58"/>
  <c r="A89" i="58"/>
  <c r="B88" i="58"/>
  <c r="A88" i="58"/>
  <c r="B87" i="58"/>
  <c r="A87" i="58"/>
  <c r="B86" i="58"/>
  <c r="A86" i="58"/>
  <c r="B85" i="58"/>
  <c r="A85" i="58"/>
  <c r="B84" i="58"/>
  <c r="A84" i="58"/>
  <c r="B83" i="58"/>
  <c r="A83" i="58"/>
  <c r="B82" i="58"/>
  <c r="A82" i="58"/>
  <c r="B81" i="58"/>
  <c r="A81" i="58"/>
  <c r="B80" i="58"/>
  <c r="A80" i="58"/>
  <c r="B79" i="58"/>
  <c r="A79" i="58"/>
  <c r="B78" i="58"/>
  <c r="A78" i="58"/>
  <c r="B77" i="58"/>
  <c r="A77" i="58"/>
  <c r="B76" i="58"/>
  <c r="A76" i="58"/>
  <c r="B75" i="58"/>
  <c r="A75" i="58"/>
  <c r="B74" i="58"/>
  <c r="A74" i="58"/>
  <c r="B73" i="58"/>
  <c r="A73" i="58"/>
  <c r="B72" i="58"/>
  <c r="A72" i="58"/>
  <c r="B71" i="58"/>
  <c r="A71" i="58"/>
  <c r="B70" i="58"/>
  <c r="A70" i="58"/>
  <c r="B69" i="58"/>
  <c r="A69" i="58"/>
  <c r="B68" i="58"/>
  <c r="A68" i="58"/>
  <c r="B67" i="58"/>
  <c r="A67" i="58"/>
  <c r="B66" i="58"/>
  <c r="A66" i="58"/>
  <c r="B65" i="58"/>
  <c r="A65" i="58"/>
  <c r="B64" i="58"/>
  <c r="A64" i="58"/>
  <c r="B63" i="58"/>
  <c r="A63" i="58"/>
  <c r="B62" i="58"/>
  <c r="A62" i="58"/>
  <c r="B61" i="58"/>
  <c r="A61" i="58"/>
  <c r="B60" i="58"/>
  <c r="A60" i="58"/>
  <c r="B59" i="58"/>
  <c r="A59" i="58"/>
  <c r="B58" i="58"/>
  <c r="A58" i="58"/>
  <c r="B57" i="58"/>
  <c r="A57" i="58"/>
  <c r="B56" i="58"/>
  <c r="A56" i="58"/>
  <c r="B55" i="58"/>
  <c r="A55" i="58"/>
  <c r="B54" i="58"/>
  <c r="A54" i="58"/>
  <c r="B53" i="58"/>
  <c r="A53" i="58"/>
  <c r="B52" i="58"/>
  <c r="A52" i="58"/>
  <c r="B51" i="58"/>
  <c r="A51" i="58"/>
  <c r="B50" i="58"/>
  <c r="A50" i="58"/>
  <c r="B49" i="58"/>
  <c r="A49" i="58"/>
  <c r="B48" i="58"/>
  <c r="A48" i="58"/>
  <c r="B47" i="58"/>
  <c r="A47" i="58"/>
  <c r="B46" i="58"/>
  <c r="A46" i="58"/>
  <c r="B45" i="58"/>
  <c r="A45" i="58"/>
  <c r="B44" i="58"/>
  <c r="A44" i="58"/>
  <c r="B43" i="58"/>
  <c r="A43" i="58"/>
  <c r="B42" i="58"/>
  <c r="A42" i="58"/>
  <c r="B41" i="58"/>
  <c r="A41" i="58"/>
  <c r="B40" i="58"/>
  <c r="A40" i="58"/>
  <c r="B39" i="58"/>
  <c r="A39" i="58"/>
  <c r="B38" i="58"/>
  <c r="A38" i="58"/>
  <c r="B37" i="58"/>
  <c r="A37" i="58"/>
  <c r="B36" i="58"/>
  <c r="A36" i="58"/>
  <c r="B35" i="58"/>
  <c r="A35" i="58"/>
  <c r="B34" i="58"/>
  <c r="A34" i="58"/>
  <c r="B33" i="58"/>
  <c r="A33" i="58"/>
  <c r="B32" i="58"/>
  <c r="A32" i="58"/>
  <c r="B31" i="58"/>
  <c r="A31" i="58"/>
  <c r="B30" i="58"/>
  <c r="A30" i="58"/>
  <c r="B29" i="58"/>
  <c r="A29" i="58"/>
  <c r="B28" i="58"/>
  <c r="A28" i="58"/>
  <c r="B27" i="58"/>
  <c r="A27" i="58"/>
  <c r="B26" i="58"/>
  <c r="A26" i="58"/>
  <c r="B25" i="58"/>
  <c r="A25" i="58"/>
  <c r="B24" i="58"/>
  <c r="A24" i="58"/>
  <c r="B23" i="58"/>
  <c r="A23" i="58"/>
  <c r="B22" i="58"/>
  <c r="A22" i="58"/>
  <c r="B21" i="58"/>
  <c r="A21" i="58"/>
  <c r="B20" i="58"/>
  <c r="A20" i="58"/>
  <c r="B19" i="58"/>
  <c r="A19" i="58"/>
  <c r="B18" i="58"/>
  <c r="A18" i="58"/>
  <c r="B17" i="58"/>
  <c r="A17" i="58"/>
  <c r="B16" i="58"/>
  <c r="A16" i="58"/>
  <c r="B15" i="58"/>
  <c r="A15" i="58"/>
  <c r="B14" i="58"/>
  <c r="A14" i="58"/>
  <c r="B13" i="58"/>
  <c r="A13" i="58"/>
  <c r="B12" i="58"/>
  <c r="A12" i="58"/>
  <c r="B11" i="58"/>
  <c r="A11" i="58"/>
  <c r="B10" i="58"/>
  <c r="A10" i="58"/>
  <c r="B9" i="58"/>
  <c r="A9" i="58"/>
  <c r="B8" i="58"/>
  <c r="A8" i="58"/>
  <c r="B7" i="58"/>
  <c r="A7" i="58"/>
  <c r="B6" i="58"/>
  <c r="A6" i="58"/>
  <c r="B5" i="58"/>
  <c r="A5" i="58"/>
  <c r="B4" i="58"/>
  <c r="A4" i="58"/>
  <c r="B3" i="58"/>
  <c r="A3" i="58"/>
  <c r="B2" i="58"/>
  <c r="A2" i="58"/>
  <c r="B1" i="58"/>
  <c r="A1" i="58"/>
  <c r="B141" i="57"/>
  <c r="A141" i="57"/>
  <c r="B140" i="57"/>
  <c r="A140" i="57"/>
  <c r="B139" i="57"/>
  <c r="A139" i="57"/>
  <c r="B138" i="57"/>
  <c r="A138" i="57"/>
  <c r="B137" i="57"/>
  <c r="A137" i="57"/>
  <c r="B136" i="57"/>
  <c r="A136" i="57"/>
  <c r="B135" i="57"/>
  <c r="A135" i="57"/>
  <c r="B134" i="57"/>
  <c r="A134" i="57"/>
  <c r="B133" i="57"/>
  <c r="A133" i="57"/>
  <c r="B132" i="57"/>
  <c r="A132" i="57"/>
  <c r="B131" i="57"/>
  <c r="A131" i="57"/>
  <c r="B130" i="57"/>
  <c r="A130" i="57"/>
  <c r="B129" i="57"/>
  <c r="A129" i="57"/>
  <c r="B128" i="57"/>
  <c r="A128" i="57"/>
  <c r="B127" i="57"/>
  <c r="A127" i="57"/>
  <c r="B126" i="57"/>
  <c r="A126" i="57"/>
  <c r="B125" i="57"/>
  <c r="A125" i="57"/>
  <c r="B124" i="57"/>
  <c r="A124" i="57"/>
  <c r="B123" i="57"/>
  <c r="A123" i="57"/>
  <c r="B122" i="57"/>
  <c r="A122" i="57"/>
  <c r="B121" i="57"/>
  <c r="A121" i="57"/>
  <c r="B120" i="57"/>
  <c r="A120" i="57"/>
  <c r="B119" i="57"/>
  <c r="A119" i="57"/>
  <c r="B118" i="57"/>
  <c r="A118" i="57"/>
  <c r="B117" i="57"/>
  <c r="A117" i="57"/>
  <c r="B116" i="57"/>
  <c r="A116" i="57"/>
  <c r="B115" i="57"/>
  <c r="A115" i="57"/>
  <c r="B114" i="57"/>
  <c r="A114" i="57"/>
  <c r="B113" i="57"/>
  <c r="A113" i="57"/>
  <c r="B112" i="57"/>
  <c r="A112" i="57"/>
  <c r="B111" i="57"/>
  <c r="A111" i="57"/>
  <c r="B110" i="57"/>
  <c r="A110" i="57"/>
  <c r="B109" i="57"/>
  <c r="A109" i="57"/>
  <c r="B108" i="57"/>
  <c r="A108" i="57"/>
  <c r="B107" i="57"/>
  <c r="A107" i="57"/>
  <c r="B106" i="57"/>
  <c r="A106" i="57"/>
  <c r="B105" i="57"/>
  <c r="A105" i="57"/>
  <c r="B104" i="57"/>
  <c r="A104" i="57"/>
  <c r="B103" i="57"/>
  <c r="A103" i="57"/>
  <c r="B102" i="57"/>
  <c r="A102" i="57"/>
  <c r="B101" i="57"/>
  <c r="A101" i="57"/>
  <c r="B100" i="57"/>
  <c r="A100" i="57"/>
  <c r="B99" i="57"/>
  <c r="A99" i="57"/>
  <c r="B98" i="57"/>
  <c r="A98" i="57"/>
  <c r="B97" i="57"/>
  <c r="A97" i="57"/>
  <c r="B96" i="57"/>
  <c r="A96" i="57"/>
  <c r="B95" i="57"/>
  <c r="A95" i="57"/>
  <c r="B94" i="57"/>
  <c r="A94" i="57"/>
  <c r="B93" i="57"/>
  <c r="A93" i="57"/>
  <c r="B92" i="57"/>
  <c r="A92" i="57"/>
  <c r="B91" i="57"/>
  <c r="A91" i="57"/>
  <c r="B90" i="57"/>
  <c r="A90" i="57"/>
  <c r="B89" i="57"/>
  <c r="A89" i="57"/>
  <c r="B88" i="57"/>
  <c r="A88" i="57"/>
  <c r="B87" i="57"/>
  <c r="A87" i="57"/>
  <c r="B86" i="57"/>
  <c r="A86" i="57"/>
  <c r="B85" i="57"/>
  <c r="A85" i="57"/>
  <c r="B84" i="57"/>
  <c r="A84" i="57"/>
  <c r="B83" i="57"/>
  <c r="A83" i="57"/>
  <c r="B82" i="57"/>
  <c r="A82" i="57"/>
  <c r="B81" i="57"/>
  <c r="A81" i="57"/>
  <c r="B80" i="57"/>
  <c r="A80" i="57"/>
  <c r="B79" i="57"/>
  <c r="A79" i="57"/>
  <c r="B78" i="57"/>
  <c r="A78" i="57"/>
  <c r="B77" i="57"/>
  <c r="A77" i="57"/>
  <c r="B76" i="57"/>
  <c r="A76" i="57"/>
  <c r="B75" i="57"/>
  <c r="A75" i="57"/>
  <c r="B74" i="57"/>
  <c r="A74" i="57"/>
  <c r="B73" i="57"/>
  <c r="A73" i="57"/>
  <c r="B72" i="57"/>
  <c r="A72" i="57"/>
  <c r="B71" i="57"/>
  <c r="A71" i="57"/>
  <c r="B70" i="57"/>
  <c r="A70" i="57"/>
  <c r="B69" i="57"/>
  <c r="A69" i="57"/>
  <c r="B68" i="57"/>
  <c r="A68" i="57"/>
  <c r="B67" i="57"/>
  <c r="A67" i="57"/>
  <c r="B66" i="57"/>
  <c r="A66" i="57"/>
  <c r="B65" i="57"/>
  <c r="A65" i="57"/>
  <c r="B64" i="57"/>
  <c r="A64" i="57"/>
  <c r="B63" i="57"/>
  <c r="A63" i="57"/>
  <c r="B62" i="57"/>
  <c r="A62" i="57"/>
  <c r="B61" i="57"/>
  <c r="A61" i="57"/>
  <c r="B60" i="57"/>
  <c r="A60" i="57"/>
  <c r="B59" i="57"/>
  <c r="A59" i="57"/>
  <c r="B58" i="57"/>
  <c r="A58" i="57"/>
  <c r="B57" i="57"/>
  <c r="A57" i="57"/>
  <c r="B56" i="57"/>
  <c r="A56" i="57"/>
  <c r="B55" i="57"/>
  <c r="A55" i="57"/>
  <c r="B54" i="57"/>
  <c r="A54" i="57"/>
  <c r="B53" i="57"/>
  <c r="A53" i="57"/>
  <c r="B52" i="57"/>
  <c r="A52" i="57"/>
  <c r="B51" i="57"/>
  <c r="A51" i="57"/>
  <c r="B50" i="57"/>
  <c r="A50" i="57"/>
  <c r="B49" i="57"/>
  <c r="A49" i="57"/>
  <c r="B48" i="57"/>
  <c r="A48" i="57"/>
  <c r="B47" i="57"/>
  <c r="A47" i="57"/>
  <c r="B46" i="57"/>
  <c r="A46" i="57"/>
  <c r="B45" i="57"/>
  <c r="A45" i="57"/>
  <c r="B44" i="57"/>
  <c r="A44" i="57"/>
  <c r="B43" i="57"/>
  <c r="A43" i="57"/>
  <c r="B42" i="57"/>
  <c r="A42" i="57"/>
  <c r="B41" i="57"/>
  <c r="A41" i="57"/>
  <c r="B40" i="57"/>
  <c r="A40" i="57"/>
  <c r="B39" i="57"/>
  <c r="A39" i="57"/>
  <c r="B38" i="57"/>
  <c r="A38" i="57"/>
  <c r="B37" i="57"/>
  <c r="A37" i="57"/>
  <c r="B36" i="57"/>
  <c r="A36" i="57"/>
  <c r="B35" i="57"/>
  <c r="A35" i="57"/>
  <c r="B34" i="57"/>
  <c r="A34" i="57"/>
  <c r="B33" i="57"/>
  <c r="A33" i="57"/>
  <c r="B32" i="57"/>
  <c r="A32" i="57"/>
  <c r="B31" i="57"/>
  <c r="A31" i="57"/>
  <c r="B30" i="57"/>
  <c r="A30" i="57"/>
  <c r="B29" i="57"/>
  <c r="A29" i="57"/>
  <c r="B28" i="57"/>
  <c r="A28" i="57"/>
  <c r="B27" i="57"/>
  <c r="A27" i="57"/>
  <c r="B26" i="57"/>
  <c r="A26" i="57"/>
  <c r="B25" i="57"/>
  <c r="A25" i="57"/>
  <c r="B24" i="57"/>
  <c r="A24" i="57"/>
  <c r="B23" i="57"/>
  <c r="A23" i="57"/>
  <c r="B22" i="57"/>
  <c r="A22" i="57"/>
  <c r="B21" i="57"/>
  <c r="A21" i="57"/>
  <c r="B20" i="57"/>
  <c r="A20" i="57"/>
  <c r="B19" i="57"/>
  <c r="A19" i="57"/>
  <c r="B18" i="57"/>
  <c r="A18" i="57"/>
  <c r="B17" i="57"/>
  <c r="A17" i="57"/>
  <c r="B16" i="57"/>
  <c r="A16" i="57"/>
  <c r="B15" i="57"/>
  <c r="A15" i="57"/>
  <c r="B14" i="57"/>
  <c r="A14" i="57"/>
  <c r="B13" i="57"/>
  <c r="A13" i="57"/>
  <c r="B12" i="57"/>
  <c r="A12" i="57"/>
  <c r="B11" i="57"/>
  <c r="A11" i="57"/>
  <c r="B10" i="57"/>
  <c r="A10" i="57"/>
  <c r="B9" i="57"/>
  <c r="A9" i="57"/>
  <c r="B8" i="57"/>
  <c r="A8" i="57"/>
  <c r="B7" i="57"/>
  <c r="A7" i="57"/>
  <c r="B6" i="57"/>
  <c r="A6" i="57"/>
  <c r="B5" i="57"/>
  <c r="A5" i="57"/>
  <c r="B4" i="57"/>
  <c r="A4" i="57"/>
  <c r="B3" i="57"/>
  <c r="A3" i="57"/>
  <c r="B2" i="57"/>
  <c r="A2" i="57"/>
  <c r="B1" i="57"/>
  <c r="A1" i="57"/>
  <c r="O141" i="56"/>
  <c r="B141" i="56"/>
  <c r="A141" i="56"/>
  <c r="O140" i="56"/>
  <c r="B140" i="56"/>
  <c r="A140" i="56"/>
  <c r="O139" i="56"/>
  <c r="B139" i="56"/>
  <c r="A139" i="56"/>
  <c r="O138" i="56"/>
  <c r="B138" i="56"/>
  <c r="A138" i="56"/>
  <c r="O137" i="56"/>
  <c r="B137" i="56"/>
  <c r="A137" i="56"/>
  <c r="O136" i="56"/>
  <c r="B136" i="56"/>
  <c r="A136" i="56"/>
  <c r="O135" i="56"/>
  <c r="B135" i="56"/>
  <c r="A135" i="56"/>
  <c r="O134" i="56"/>
  <c r="B134" i="56"/>
  <c r="A134" i="56"/>
  <c r="O133" i="56"/>
  <c r="B133" i="56"/>
  <c r="A133" i="56"/>
  <c r="O132" i="56"/>
  <c r="B132" i="56"/>
  <c r="A132" i="56"/>
  <c r="O131" i="56"/>
  <c r="B131" i="56"/>
  <c r="A131" i="56"/>
  <c r="O130" i="56"/>
  <c r="B130" i="56"/>
  <c r="A130" i="56"/>
  <c r="O129" i="56"/>
  <c r="B129" i="56"/>
  <c r="A129" i="56"/>
  <c r="O128" i="56"/>
  <c r="B128" i="56"/>
  <c r="A128" i="56"/>
  <c r="O127" i="56"/>
  <c r="B127" i="56"/>
  <c r="A127" i="56"/>
  <c r="O126" i="56"/>
  <c r="B126" i="56"/>
  <c r="A126" i="56"/>
  <c r="O125" i="56"/>
  <c r="B125" i="56"/>
  <c r="A125" i="56"/>
  <c r="O124" i="56"/>
  <c r="B124" i="56"/>
  <c r="A124" i="56"/>
  <c r="O123" i="56"/>
  <c r="B123" i="56"/>
  <c r="A123" i="56"/>
  <c r="O122" i="56"/>
  <c r="B122" i="56"/>
  <c r="A122" i="56"/>
  <c r="O121" i="56"/>
  <c r="B121" i="56"/>
  <c r="A121" i="56"/>
  <c r="O120" i="56"/>
  <c r="B120" i="56"/>
  <c r="A120" i="56"/>
  <c r="O119" i="56"/>
  <c r="B119" i="56"/>
  <c r="A119" i="56"/>
  <c r="O118" i="56"/>
  <c r="B118" i="56"/>
  <c r="A118" i="56"/>
  <c r="O117" i="56"/>
  <c r="B117" i="56"/>
  <c r="A117" i="56"/>
  <c r="O116" i="56"/>
  <c r="B116" i="56"/>
  <c r="A116" i="56"/>
  <c r="O115" i="56"/>
  <c r="B115" i="56"/>
  <c r="A115" i="56"/>
  <c r="O114" i="56"/>
  <c r="B114" i="56"/>
  <c r="A114" i="56"/>
  <c r="O113" i="56"/>
  <c r="B113" i="56"/>
  <c r="A113" i="56"/>
  <c r="O112" i="56"/>
  <c r="B112" i="56"/>
  <c r="A112" i="56"/>
  <c r="O111" i="56"/>
  <c r="B111" i="56"/>
  <c r="A111" i="56"/>
  <c r="O110" i="56"/>
  <c r="B110" i="56"/>
  <c r="A110" i="56"/>
  <c r="O109" i="56"/>
  <c r="B109" i="56"/>
  <c r="A109" i="56"/>
  <c r="O108" i="56"/>
  <c r="B108" i="56"/>
  <c r="A108" i="56"/>
  <c r="O107" i="56"/>
  <c r="B107" i="56"/>
  <c r="A107" i="56"/>
  <c r="O106" i="56"/>
  <c r="B106" i="56"/>
  <c r="A106" i="56"/>
  <c r="O105" i="56"/>
  <c r="B105" i="56"/>
  <c r="A105" i="56"/>
  <c r="O104" i="56"/>
  <c r="B104" i="56"/>
  <c r="A104" i="56"/>
  <c r="O103" i="56"/>
  <c r="B103" i="56"/>
  <c r="A103" i="56"/>
  <c r="O102" i="56"/>
  <c r="B102" i="56"/>
  <c r="A102" i="56"/>
  <c r="O101" i="56"/>
  <c r="B101" i="56"/>
  <c r="A101" i="56"/>
  <c r="O100" i="56"/>
  <c r="B100" i="56"/>
  <c r="A100" i="56"/>
  <c r="O99" i="56"/>
  <c r="B99" i="56"/>
  <c r="A99" i="56"/>
  <c r="O98" i="56"/>
  <c r="B98" i="56"/>
  <c r="A98" i="56"/>
  <c r="O97" i="56"/>
  <c r="B97" i="56"/>
  <c r="A97" i="56"/>
  <c r="O96" i="56"/>
  <c r="B96" i="56"/>
  <c r="A96" i="56"/>
  <c r="O95" i="56"/>
  <c r="B95" i="56"/>
  <c r="A95" i="56"/>
  <c r="O94" i="56"/>
  <c r="B94" i="56"/>
  <c r="A94" i="56"/>
  <c r="O93" i="56"/>
  <c r="B93" i="56"/>
  <c r="A93" i="56"/>
  <c r="O92" i="56"/>
  <c r="B92" i="56"/>
  <c r="A92" i="56"/>
  <c r="O91" i="56"/>
  <c r="B91" i="56"/>
  <c r="A91" i="56"/>
  <c r="O90" i="56"/>
  <c r="B90" i="56"/>
  <c r="A90" i="56"/>
  <c r="O89" i="56"/>
  <c r="B89" i="56"/>
  <c r="A89" i="56"/>
  <c r="O88" i="56"/>
  <c r="B88" i="56"/>
  <c r="A88" i="56"/>
  <c r="O87" i="56"/>
  <c r="B87" i="56"/>
  <c r="A87" i="56"/>
  <c r="O86" i="56"/>
  <c r="B86" i="56"/>
  <c r="A86" i="56"/>
  <c r="O85" i="56"/>
  <c r="B85" i="56"/>
  <c r="A85" i="56"/>
  <c r="O84" i="56"/>
  <c r="B84" i="56"/>
  <c r="A84" i="56"/>
  <c r="O83" i="56"/>
  <c r="B83" i="56"/>
  <c r="A83" i="56"/>
  <c r="O82" i="56"/>
  <c r="B82" i="56"/>
  <c r="A82" i="56"/>
  <c r="B81" i="56"/>
  <c r="A81" i="56"/>
  <c r="B80" i="56"/>
  <c r="A80" i="56"/>
  <c r="B79" i="56"/>
  <c r="A79" i="56"/>
  <c r="B78" i="56"/>
  <c r="A78" i="56"/>
  <c r="B77" i="56"/>
  <c r="A77" i="56"/>
  <c r="B76" i="56"/>
  <c r="A76" i="56"/>
  <c r="B75" i="56"/>
  <c r="A75" i="56"/>
  <c r="B74" i="56"/>
  <c r="A74" i="56"/>
  <c r="B73" i="56"/>
  <c r="A73" i="56"/>
  <c r="B72" i="56"/>
  <c r="A72" i="56"/>
  <c r="B71" i="56"/>
  <c r="A71" i="56"/>
  <c r="B70" i="56"/>
  <c r="A70" i="56"/>
  <c r="B69" i="56"/>
  <c r="A69" i="56"/>
  <c r="B68" i="56"/>
  <c r="A68" i="56"/>
  <c r="B67" i="56"/>
  <c r="A67" i="56"/>
  <c r="B66" i="56"/>
  <c r="A66" i="56"/>
  <c r="B65" i="56"/>
  <c r="A65" i="56"/>
  <c r="B64" i="56"/>
  <c r="A64" i="56"/>
  <c r="B63" i="56"/>
  <c r="A63" i="56"/>
  <c r="B62" i="56"/>
  <c r="A62" i="56"/>
  <c r="O61" i="56"/>
  <c r="B61" i="56"/>
  <c r="A61" i="56"/>
  <c r="O60" i="56"/>
  <c r="B60" i="56"/>
  <c r="A60" i="56"/>
  <c r="O59" i="56"/>
  <c r="B59" i="56"/>
  <c r="A59" i="56"/>
  <c r="O58" i="56"/>
  <c r="B58" i="56"/>
  <c r="A58" i="56"/>
  <c r="O57" i="56"/>
  <c r="B57" i="56"/>
  <c r="A57" i="56"/>
  <c r="O56" i="56"/>
  <c r="B56" i="56"/>
  <c r="A56" i="56"/>
  <c r="O55" i="56"/>
  <c r="B55" i="56"/>
  <c r="A55" i="56"/>
  <c r="O54" i="56"/>
  <c r="B54" i="56"/>
  <c r="A54" i="56"/>
  <c r="O53" i="56"/>
  <c r="B53" i="56"/>
  <c r="A53" i="56"/>
  <c r="O52" i="56"/>
  <c r="B52" i="56"/>
  <c r="A52" i="56"/>
  <c r="O51" i="56"/>
  <c r="B51" i="56"/>
  <c r="A51" i="56"/>
  <c r="O50" i="56"/>
  <c r="B50" i="56"/>
  <c r="A50" i="56"/>
  <c r="O49" i="56"/>
  <c r="B49" i="56"/>
  <c r="A49" i="56"/>
  <c r="O48" i="56"/>
  <c r="B48" i="56"/>
  <c r="A48" i="56"/>
  <c r="O47" i="56"/>
  <c r="B47" i="56"/>
  <c r="A47" i="56"/>
  <c r="O46" i="56"/>
  <c r="B46" i="56"/>
  <c r="A46" i="56"/>
  <c r="O45" i="56"/>
  <c r="B45" i="56"/>
  <c r="A45" i="56"/>
  <c r="O44" i="56"/>
  <c r="B44" i="56"/>
  <c r="A44" i="56"/>
  <c r="O43" i="56"/>
  <c r="B43" i="56"/>
  <c r="A43" i="56"/>
  <c r="O42" i="56"/>
  <c r="B42" i="56"/>
  <c r="A42" i="56"/>
  <c r="O41" i="56"/>
  <c r="B41" i="56"/>
  <c r="A41" i="56"/>
  <c r="O40" i="56"/>
  <c r="B40" i="56"/>
  <c r="A40" i="56"/>
  <c r="O39" i="56"/>
  <c r="B39" i="56"/>
  <c r="A39" i="56"/>
  <c r="O38" i="56"/>
  <c r="B38" i="56"/>
  <c r="A38" i="56"/>
  <c r="O37" i="56"/>
  <c r="B37" i="56"/>
  <c r="A37" i="56"/>
  <c r="O36" i="56"/>
  <c r="B36" i="56"/>
  <c r="A36" i="56"/>
  <c r="O35" i="56"/>
  <c r="B35" i="56"/>
  <c r="A35" i="56"/>
  <c r="O34" i="56"/>
  <c r="B34" i="56"/>
  <c r="A34" i="56"/>
  <c r="O33" i="56"/>
  <c r="B33" i="56"/>
  <c r="A33" i="56"/>
  <c r="O32" i="56"/>
  <c r="B32" i="56"/>
  <c r="A32" i="56"/>
  <c r="O31" i="56"/>
  <c r="B31" i="56"/>
  <c r="A31" i="56"/>
  <c r="O30" i="56"/>
  <c r="B30" i="56"/>
  <c r="A30" i="56"/>
  <c r="O29" i="56"/>
  <c r="B29" i="56"/>
  <c r="A29" i="56"/>
  <c r="O28" i="56"/>
  <c r="B28" i="56"/>
  <c r="A28" i="56"/>
  <c r="O27" i="56"/>
  <c r="B27" i="56"/>
  <c r="A27" i="56"/>
  <c r="O26" i="56"/>
  <c r="B26" i="56"/>
  <c r="A26" i="56"/>
  <c r="O25" i="56"/>
  <c r="B25" i="56"/>
  <c r="A25" i="56"/>
  <c r="O24" i="56"/>
  <c r="B24" i="56"/>
  <c r="A24" i="56"/>
  <c r="O23" i="56"/>
  <c r="B23" i="56"/>
  <c r="A23" i="56"/>
  <c r="O22" i="56"/>
  <c r="B22" i="56"/>
  <c r="A22" i="56"/>
  <c r="B21" i="56"/>
  <c r="A21" i="56"/>
  <c r="B20" i="56"/>
  <c r="A20" i="56"/>
  <c r="B19" i="56"/>
  <c r="A19" i="56"/>
  <c r="B18" i="56"/>
  <c r="A18" i="56"/>
  <c r="B17" i="56"/>
  <c r="A17" i="56"/>
  <c r="B16" i="56"/>
  <c r="A16" i="56"/>
  <c r="B15" i="56"/>
  <c r="A15" i="56"/>
  <c r="B14" i="56"/>
  <c r="A14" i="56"/>
  <c r="B13" i="56"/>
  <c r="A13" i="56"/>
  <c r="B12" i="56"/>
  <c r="A12" i="56"/>
  <c r="B11" i="56"/>
  <c r="A11" i="56"/>
  <c r="B10" i="56"/>
  <c r="A10" i="56"/>
  <c r="B9" i="56"/>
  <c r="A9" i="56"/>
  <c r="B8" i="56"/>
  <c r="A8" i="56"/>
  <c r="B7" i="56"/>
  <c r="A7" i="56"/>
  <c r="B6" i="56"/>
  <c r="A6" i="56"/>
  <c r="B5" i="56"/>
  <c r="A5" i="56"/>
  <c r="B4" i="56"/>
  <c r="A4" i="56"/>
  <c r="B3" i="56"/>
  <c r="A3" i="56"/>
  <c r="B2" i="56"/>
  <c r="A2" i="56"/>
  <c r="B1" i="56"/>
  <c r="A1" i="56"/>
  <c r="B141" i="55"/>
  <c r="A141" i="55"/>
  <c r="B140" i="55"/>
  <c r="A140" i="55"/>
  <c r="B139" i="55"/>
  <c r="A139" i="55"/>
  <c r="B138" i="55"/>
  <c r="A138" i="55"/>
  <c r="B137" i="55"/>
  <c r="A137" i="55"/>
  <c r="B136" i="55"/>
  <c r="A136" i="55"/>
  <c r="B135" i="55"/>
  <c r="A135" i="55"/>
  <c r="B134" i="55"/>
  <c r="A134" i="55"/>
  <c r="B133" i="55"/>
  <c r="A133" i="55"/>
  <c r="B132" i="55"/>
  <c r="A132" i="55"/>
  <c r="B131" i="55"/>
  <c r="A131" i="55"/>
  <c r="B130" i="55"/>
  <c r="A130" i="55"/>
  <c r="B129" i="55"/>
  <c r="A129" i="55"/>
  <c r="B128" i="55"/>
  <c r="A128" i="55"/>
  <c r="B127" i="55"/>
  <c r="A127" i="55"/>
  <c r="B126" i="55"/>
  <c r="A126" i="55"/>
  <c r="B125" i="55"/>
  <c r="A125" i="55"/>
  <c r="B124" i="55"/>
  <c r="A124" i="55"/>
  <c r="B123" i="55"/>
  <c r="A123" i="55"/>
  <c r="B122" i="55"/>
  <c r="A122" i="55"/>
  <c r="B121" i="55"/>
  <c r="A121" i="55"/>
  <c r="B120" i="55"/>
  <c r="A120" i="55"/>
  <c r="B119" i="55"/>
  <c r="A119" i="55"/>
  <c r="B118" i="55"/>
  <c r="A118" i="55"/>
  <c r="B117" i="55"/>
  <c r="A117" i="55"/>
  <c r="B116" i="55"/>
  <c r="A116" i="55"/>
  <c r="B115" i="55"/>
  <c r="A115" i="55"/>
  <c r="B114" i="55"/>
  <c r="A114" i="55"/>
  <c r="B113" i="55"/>
  <c r="A113" i="55"/>
  <c r="B112" i="55"/>
  <c r="A112" i="55"/>
  <c r="B111" i="55"/>
  <c r="A111" i="55"/>
  <c r="B110" i="55"/>
  <c r="A110" i="55"/>
  <c r="B109" i="55"/>
  <c r="A109" i="55"/>
  <c r="B108" i="55"/>
  <c r="A108" i="55"/>
  <c r="B107" i="55"/>
  <c r="A107" i="55"/>
  <c r="B106" i="55"/>
  <c r="A106" i="55"/>
  <c r="B105" i="55"/>
  <c r="A105" i="55"/>
  <c r="B104" i="55"/>
  <c r="A104" i="55"/>
  <c r="B103" i="55"/>
  <c r="A103" i="55"/>
  <c r="B102" i="55"/>
  <c r="A102" i="55"/>
  <c r="B101" i="55"/>
  <c r="A101" i="55"/>
  <c r="B100" i="55"/>
  <c r="A100" i="55"/>
  <c r="B99" i="55"/>
  <c r="A99" i="55"/>
  <c r="B98" i="55"/>
  <c r="A98" i="55"/>
  <c r="B97" i="55"/>
  <c r="A97" i="55"/>
  <c r="B96" i="55"/>
  <c r="A96" i="55"/>
  <c r="B95" i="55"/>
  <c r="A95" i="55"/>
  <c r="B94" i="55"/>
  <c r="A94" i="55"/>
  <c r="B93" i="55"/>
  <c r="A93" i="55"/>
  <c r="B92" i="55"/>
  <c r="A92" i="55"/>
  <c r="B91" i="55"/>
  <c r="A91" i="55"/>
  <c r="B90" i="55"/>
  <c r="A90" i="55"/>
  <c r="B89" i="55"/>
  <c r="A89" i="55"/>
  <c r="B88" i="55"/>
  <c r="A88" i="55"/>
  <c r="B87" i="55"/>
  <c r="A87" i="55"/>
  <c r="B86" i="55"/>
  <c r="A86" i="55"/>
  <c r="B85" i="55"/>
  <c r="A85" i="55"/>
  <c r="B84" i="55"/>
  <c r="A84" i="55"/>
  <c r="B83" i="55"/>
  <c r="A83" i="55"/>
  <c r="B82" i="55"/>
  <c r="A82" i="55"/>
  <c r="B81" i="55"/>
  <c r="A81" i="55"/>
  <c r="B80" i="55"/>
  <c r="A80" i="55"/>
  <c r="B79" i="55"/>
  <c r="A79" i="55"/>
  <c r="B78" i="55"/>
  <c r="A78" i="55"/>
  <c r="B77" i="55"/>
  <c r="A77" i="55"/>
  <c r="B76" i="55"/>
  <c r="A76" i="55"/>
  <c r="B75" i="55"/>
  <c r="A75" i="55"/>
  <c r="B74" i="55"/>
  <c r="A74" i="55"/>
  <c r="B73" i="55"/>
  <c r="A73" i="55"/>
  <c r="B72" i="55"/>
  <c r="A72" i="55"/>
  <c r="B71" i="55"/>
  <c r="A71" i="55"/>
  <c r="B70" i="55"/>
  <c r="A70" i="55"/>
  <c r="B69" i="55"/>
  <c r="A69" i="55"/>
  <c r="B68" i="55"/>
  <c r="A68" i="55"/>
  <c r="B67" i="55"/>
  <c r="A67" i="55"/>
  <c r="B66" i="55"/>
  <c r="A66" i="55"/>
  <c r="B65" i="55"/>
  <c r="A65" i="55"/>
  <c r="B64" i="55"/>
  <c r="A64" i="55"/>
  <c r="B63" i="55"/>
  <c r="A63" i="55"/>
  <c r="B62" i="55"/>
  <c r="A62" i="55"/>
  <c r="B61" i="55"/>
  <c r="A61" i="55"/>
  <c r="B60" i="55"/>
  <c r="A60" i="55"/>
  <c r="B59" i="55"/>
  <c r="A59" i="55"/>
  <c r="B58" i="55"/>
  <c r="A58" i="55"/>
  <c r="B57" i="55"/>
  <c r="A57" i="55"/>
  <c r="B56" i="55"/>
  <c r="A56" i="55"/>
  <c r="B55" i="55"/>
  <c r="A55" i="55"/>
  <c r="B54" i="55"/>
  <c r="A54" i="55"/>
  <c r="B53" i="55"/>
  <c r="A53" i="55"/>
  <c r="B52" i="55"/>
  <c r="A52" i="55"/>
  <c r="B51" i="55"/>
  <c r="A51" i="55"/>
  <c r="B50" i="55"/>
  <c r="A50" i="55"/>
  <c r="B49" i="55"/>
  <c r="A49" i="55"/>
  <c r="B48" i="55"/>
  <c r="A48" i="55"/>
  <c r="B47" i="55"/>
  <c r="A47" i="55"/>
  <c r="B46" i="55"/>
  <c r="A46" i="55"/>
  <c r="B45" i="55"/>
  <c r="A45" i="55"/>
  <c r="B44" i="55"/>
  <c r="A44" i="55"/>
  <c r="B43" i="55"/>
  <c r="A43" i="55"/>
  <c r="B42" i="55"/>
  <c r="A42" i="55"/>
  <c r="B41" i="55"/>
  <c r="A41" i="55"/>
  <c r="B40" i="55"/>
  <c r="A40" i="55"/>
  <c r="B39" i="55"/>
  <c r="A39" i="55"/>
  <c r="B38" i="55"/>
  <c r="A38" i="55"/>
  <c r="B37" i="55"/>
  <c r="A37" i="55"/>
  <c r="B36" i="55"/>
  <c r="A36" i="55"/>
  <c r="B35" i="55"/>
  <c r="A35" i="55"/>
  <c r="B34" i="55"/>
  <c r="A34" i="55"/>
  <c r="B33" i="55"/>
  <c r="A33" i="55"/>
  <c r="B32" i="55"/>
  <c r="A32" i="55"/>
  <c r="B31" i="55"/>
  <c r="A31" i="55"/>
  <c r="B30" i="55"/>
  <c r="A30" i="55"/>
  <c r="B29" i="55"/>
  <c r="A29" i="55"/>
  <c r="B28" i="55"/>
  <c r="A28" i="55"/>
  <c r="B27" i="55"/>
  <c r="A27" i="55"/>
  <c r="B26" i="55"/>
  <c r="A26" i="55"/>
  <c r="B25" i="55"/>
  <c r="A25" i="55"/>
  <c r="B24" i="55"/>
  <c r="A24" i="55"/>
  <c r="B23" i="55"/>
  <c r="A23" i="55"/>
  <c r="B22" i="55"/>
  <c r="A22" i="55"/>
  <c r="B21" i="55"/>
  <c r="A21" i="55"/>
  <c r="B20" i="55"/>
  <c r="A20" i="55"/>
  <c r="B19" i="55"/>
  <c r="A19" i="55"/>
  <c r="B18" i="55"/>
  <c r="A18" i="55"/>
  <c r="B17" i="55"/>
  <c r="A17" i="55"/>
  <c r="B16" i="55"/>
  <c r="A16" i="55"/>
  <c r="B15" i="55"/>
  <c r="A15" i="55"/>
  <c r="B14" i="55"/>
  <c r="A14" i="55"/>
  <c r="B13" i="55"/>
  <c r="A13" i="55"/>
  <c r="B12" i="55"/>
  <c r="A12" i="55"/>
  <c r="B11" i="55"/>
  <c r="A11" i="55"/>
  <c r="B10" i="55"/>
  <c r="A10" i="55"/>
  <c r="B9" i="55"/>
  <c r="A9" i="55"/>
  <c r="B8" i="55"/>
  <c r="A8" i="55"/>
  <c r="B7" i="55"/>
  <c r="A7" i="55"/>
  <c r="B6" i="55"/>
  <c r="A6" i="55"/>
  <c r="B5" i="55"/>
  <c r="A5" i="55"/>
  <c r="B4" i="55"/>
  <c r="A4" i="55"/>
  <c r="B3" i="55"/>
  <c r="A3" i="55"/>
  <c r="B2" i="55"/>
  <c r="A2" i="55"/>
  <c r="B1" i="55"/>
  <c r="A1" i="55"/>
  <c r="O141" i="54"/>
  <c r="B141" i="54"/>
  <c r="A141" i="54"/>
  <c r="O140" i="54"/>
  <c r="B140" i="54"/>
  <c r="A140" i="54"/>
  <c r="O139" i="54"/>
  <c r="B139" i="54"/>
  <c r="A139" i="54"/>
  <c r="O138" i="54"/>
  <c r="B138" i="54"/>
  <c r="A138" i="54"/>
  <c r="O137" i="54"/>
  <c r="B137" i="54"/>
  <c r="A137" i="54"/>
  <c r="O136" i="54"/>
  <c r="B136" i="54"/>
  <c r="A136" i="54"/>
  <c r="O135" i="54"/>
  <c r="B135" i="54"/>
  <c r="A135" i="54"/>
  <c r="O134" i="54"/>
  <c r="B134" i="54"/>
  <c r="A134" i="54"/>
  <c r="O133" i="54"/>
  <c r="B133" i="54"/>
  <c r="A133" i="54"/>
  <c r="O132" i="54"/>
  <c r="B132" i="54"/>
  <c r="A132" i="54"/>
  <c r="O131" i="54"/>
  <c r="B131" i="54"/>
  <c r="A131" i="54"/>
  <c r="O130" i="54"/>
  <c r="B130" i="54"/>
  <c r="A130" i="54"/>
  <c r="O129" i="54"/>
  <c r="B129" i="54"/>
  <c r="A129" i="54"/>
  <c r="O128" i="54"/>
  <c r="B128" i="54"/>
  <c r="A128" i="54"/>
  <c r="O127" i="54"/>
  <c r="B127" i="54"/>
  <c r="A127" i="54"/>
  <c r="O126" i="54"/>
  <c r="B126" i="54"/>
  <c r="A126" i="54"/>
  <c r="O125" i="54"/>
  <c r="B125" i="54"/>
  <c r="A125" i="54"/>
  <c r="O124" i="54"/>
  <c r="B124" i="54"/>
  <c r="A124" i="54"/>
  <c r="O123" i="54"/>
  <c r="B123" i="54"/>
  <c r="A123" i="54"/>
  <c r="O122" i="54"/>
  <c r="B122" i="54"/>
  <c r="A122" i="54"/>
  <c r="O121" i="54"/>
  <c r="B121" i="54"/>
  <c r="A121" i="54"/>
  <c r="O120" i="54"/>
  <c r="B120" i="54"/>
  <c r="A120" i="54"/>
  <c r="O119" i="54"/>
  <c r="B119" i="54"/>
  <c r="A119" i="54"/>
  <c r="O118" i="54"/>
  <c r="B118" i="54"/>
  <c r="A118" i="54"/>
  <c r="O117" i="54"/>
  <c r="B117" i="54"/>
  <c r="A117" i="54"/>
  <c r="O116" i="54"/>
  <c r="B116" i="54"/>
  <c r="A116" i="54"/>
  <c r="O115" i="54"/>
  <c r="B115" i="54"/>
  <c r="A115" i="54"/>
  <c r="O114" i="54"/>
  <c r="B114" i="54"/>
  <c r="A114" i="54"/>
  <c r="O113" i="54"/>
  <c r="B113" i="54"/>
  <c r="A113" i="54"/>
  <c r="O112" i="54"/>
  <c r="B112" i="54"/>
  <c r="A112" i="54"/>
  <c r="O111" i="54"/>
  <c r="B111" i="54"/>
  <c r="A111" i="54"/>
  <c r="O110" i="54"/>
  <c r="B110" i="54"/>
  <c r="A110" i="54"/>
  <c r="O109" i="54"/>
  <c r="B109" i="54"/>
  <c r="A109" i="54"/>
  <c r="O108" i="54"/>
  <c r="B108" i="54"/>
  <c r="A108" i="54"/>
  <c r="O107" i="54"/>
  <c r="B107" i="54"/>
  <c r="A107" i="54"/>
  <c r="O106" i="54"/>
  <c r="B106" i="54"/>
  <c r="A106" i="54"/>
  <c r="O105" i="54"/>
  <c r="B105" i="54"/>
  <c r="A105" i="54"/>
  <c r="O104" i="54"/>
  <c r="B104" i="54"/>
  <c r="A104" i="54"/>
  <c r="O103" i="54"/>
  <c r="B103" i="54"/>
  <c r="A103" i="54"/>
  <c r="O102" i="54"/>
  <c r="B102" i="54"/>
  <c r="A102" i="54"/>
  <c r="O101" i="54"/>
  <c r="B101" i="54"/>
  <c r="A101" i="54"/>
  <c r="O100" i="54"/>
  <c r="B100" i="54"/>
  <c r="A100" i="54"/>
  <c r="O99" i="54"/>
  <c r="B99" i="54"/>
  <c r="A99" i="54"/>
  <c r="O98" i="54"/>
  <c r="B98" i="54"/>
  <c r="A98" i="54"/>
  <c r="O97" i="54"/>
  <c r="B97" i="54"/>
  <c r="A97" i="54"/>
  <c r="O96" i="54"/>
  <c r="B96" i="54"/>
  <c r="A96" i="54"/>
  <c r="O95" i="54"/>
  <c r="B95" i="54"/>
  <c r="A95" i="54"/>
  <c r="O94" i="54"/>
  <c r="B94" i="54"/>
  <c r="A94" i="54"/>
  <c r="O93" i="54"/>
  <c r="B93" i="54"/>
  <c r="A93" i="54"/>
  <c r="O92" i="54"/>
  <c r="B92" i="54"/>
  <c r="A92" i="54"/>
  <c r="O91" i="54"/>
  <c r="B91" i="54"/>
  <c r="A91" i="54"/>
  <c r="O90" i="54"/>
  <c r="B90" i="54"/>
  <c r="A90" i="54"/>
  <c r="O89" i="54"/>
  <c r="B89" i="54"/>
  <c r="A89" i="54"/>
  <c r="O88" i="54"/>
  <c r="B88" i="54"/>
  <c r="A88" i="54"/>
  <c r="O87" i="54"/>
  <c r="B87" i="54"/>
  <c r="A87" i="54"/>
  <c r="O86" i="54"/>
  <c r="B86" i="54"/>
  <c r="A86" i="54"/>
  <c r="O85" i="54"/>
  <c r="B85" i="54"/>
  <c r="A85" i="54"/>
  <c r="O84" i="54"/>
  <c r="B84" i="54"/>
  <c r="A84" i="54"/>
  <c r="O83" i="54"/>
  <c r="B83" i="54"/>
  <c r="A83" i="54"/>
  <c r="O82" i="54"/>
  <c r="B82" i="54"/>
  <c r="A82" i="54"/>
  <c r="O81" i="54"/>
  <c r="B81" i="54"/>
  <c r="A81" i="54"/>
  <c r="O80" i="54"/>
  <c r="B80" i="54"/>
  <c r="A80" i="54"/>
  <c r="O79" i="54"/>
  <c r="B79" i="54"/>
  <c r="A79" i="54"/>
  <c r="O78" i="54"/>
  <c r="B78" i="54"/>
  <c r="A78" i="54"/>
  <c r="O77" i="54"/>
  <c r="B77" i="54"/>
  <c r="A77" i="54"/>
  <c r="O76" i="54"/>
  <c r="B76" i="54"/>
  <c r="A76" i="54"/>
  <c r="O75" i="54"/>
  <c r="B75" i="54"/>
  <c r="A75" i="54"/>
  <c r="O74" i="54"/>
  <c r="B74" i="54"/>
  <c r="A74" i="54"/>
  <c r="O73" i="54"/>
  <c r="B73" i="54"/>
  <c r="A73" i="54"/>
  <c r="O72" i="54"/>
  <c r="B72" i="54"/>
  <c r="A72" i="54"/>
  <c r="O71" i="54"/>
  <c r="B71" i="54"/>
  <c r="A71" i="54"/>
  <c r="O70" i="54"/>
  <c r="B70" i="54"/>
  <c r="A70" i="54"/>
  <c r="O69" i="54"/>
  <c r="B69" i="54"/>
  <c r="A69" i="54"/>
  <c r="O68" i="54"/>
  <c r="B68" i="54"/>
  <c r="A68" i="54"/>
  <c r="O67" i="54"/>
  <c r="B67" i="54"/>
  <c r="A67" i="54"/>
  <c r="O66" i="54"/>
  <c r="B66" i="54"/>
  <c r="A66" i="54"/>
  <c r="O65" i="54"/>
  <c r="B65" i="54"/>
  <c r="A65" i="54"/>
  <c r="O64" i="54"/>
  <c r="B64" i="54"/>
  <c r="A64" i="54"/>
  <c r="O63" i="54"/>
  <c r="B63" i="54"/>
  <c r="A63" i="54"/>
  <c r="O62" i="54"/>
  <c r="B62" i="54"/>
  <c r="A62" i="54"/>
  <c r="B61" i="54"/>
  <c r="A61" i="54"/>
  <c r="B60" i="54"/>
  <c r="A60" i="54"/>
  <c r="B59" i="54"/>
  <c r="A59" i="54"/>
  <c r="B58" i="54"/>
  <c r="A58" i="54"/>
  <c r="B57" i="54"/>
  <c r="A57" i="54"/>
  <c r="B56" i="54"/>
  <c r="A56" i="54"/>
  <c r="B55" i="54"/>
  <c r="A55" i="54"/>
  <c r="B54" i="54"/>
  <c r="A54" i="54"/>
  <c r="B53" i="54"/>
  <c r="A53" i="54"/>
  <c r="B52" i="54"/>
  <c r="A52" i="54"/>
  <c r="B51" i="54"/>
  <c r="A51" i="54"/>
  <c r="B50" i="54"/>
  <c r="A50" i="54"/>
  <c r="B49" i="54"/>
  <c r="A49" i="54"/>
  <c r="B48" i="54"/>
  <c r="A48" i="54"/>
  <c r="B47" i="54"/>
  <c r="A47" i="54"/>
  <c r="B46" i="54"/>
  <c r="A46" i="54"/>
  <c r="B45" i="54"/>
  <c r="A45" i="54"/>
  <c r="B44" i="54"/>
  <c r="A44" i="54"/>
  <c r="B43" i="54"/>
  <c r="A43" i="54"/>
  <c r="B42" i="54"/>
  <c r="A42" i="54"/>
  <c r="O41" i="54"/>
  <c r="B41" i="54"/>
  <c r="A41" i="54"/>
  <c r="O40" i="54"/>
  <c r="B40" i="54"/>
  <c r="A40" i="54"/>
  <c r="O39" i="54"/>
  <c r="B39" i="54"/>
  <c r="A39" i="54"/>
  <c r="O38" i="54"/>
  <c r="B38" i="54"/>
  <c r="A38" i="54"/>
  <c r="O37" i="54"/>
  <c r="B37" i="54"/>
  <c r="A37" i="54"/>
  <c r="O36" i="54"/>
  <c r="B36" i="54"/>
  <c r="A36" i="54"/>
  <c r="O35" i="54"/>
  <c r="B35" i="54"/>
  <c r="A35" i="54"/>
  <c r="O34" i="54"/>
  <c r="B34" i="54"/>
  <c r="A34" i="54"/>
  <c r="O33" i="54"/>
  <c r="B33" i="54"/>
  <c r="A33" i="54"/>
  <c r="O32" i="54"/>
  <c r="B32" i="54"/>
  <c r="A32" i="54"/>
  <c r="O31" i="54"/>
  <c r="B31" i="54"/>
  <c r="A31" i="54"/>
  <c r="O30" i="54"/>
  <c r="B30" i="54"/>
  <c r="A30" i="54"/>
  <c r="O29" i="54"/>
  <c r="B29" i="54"/>
  <c r="A29" i="54"/>
  <c r="O28" i="54"/>
  <c r="B28" i="54"/>
  <c r="A28" i="54"/>
  <c r="O27" i="54"/>
  <c r="B27" i="54"/>
  <c r="A27" i="54"/>
  <c r="O26" i="54"/>
  <c r="B26" i="54"/>
  <c r="A26" i="54"/>
  <c r="O25" i="54"/>
  <c r="B25" i="54"/>
  <c r="A25" i="54"/>
  <c r="O24" i="54"/>
  <c r="B24" i="54"/>
  <c r="A24" i="54"/>
  <c r="O23" i="54"/>
  <c r="B23" i="54"/>
  <c r="A23" i="54"/>
  <c r="O22" i="54"/>
  <c r="B22" i="54"/>
  <c r="A22" i="54"/>
  <c r="B21" i="54"/>
  <c r="A21" i="54"/>
  <c r="B20" i="54"/>
  <c r="A20" i="54"/>
  <c r="B19" i="54"/>
  <c r="A19" i="54"/>
  <c r="B18" i="54"/>
  <c r="A18" i="54"/>
  <c r="B17" i="54"/>
  <c r="A17" i="54"/>
  <c r="B16" i="54"/>
  <c r="A16" i="54"/>
  <c r="B15" i="54"/>
  <c r="A15" i="54"/>
  <c r="B14" i="54"/>
  <c r="A14" i="54"/>
  <c r="B13" i="54"/>
  <c r="A13" i="54"/>
  <c r="B12" i="54"/>
  <c r="A12" i="54"/>
  <c r="B11" i="54"/>
  <c r="A11" i="54"/>
  <c r="B10" i="54"/>
  <c r="A10" i="54"/>
  <c r="B9" i="54"/>
  <c r="A9" i="54"/>
  <c r="B8" i="54"/>
  <c r="A8" i="54"/>
  <c r="B7" i="54"/>
  <c r="A7" i="54"/>
  <c r="B6" i="54"/>
  <c r="A6" i="54"/>
  <c r="B5" i="54"/>
  <c r="A5" i="54"/>
  <c r="B4" i="54"/>
  <c r="A4" i="54"/>
  <c r="B3" i="54"/>
  <c r="A3" i="54"/>
  <c r="B2" i="54"/>
  <c r="A2" i="54"/>
  <c r="B1" i="54"/>
  <c r="A1" i="54"/>
  <c r="Q141" i="53"/>
  <c r="B141" i="53"/>
  <c r="A141" i="53"/>
  <c r="Q140" i="53"/>
  <c r="B140" i="53"/>
  <c r="A140" i="53"/>
  <c r="Q139" i="53"/>
  <c r="B139" i="53"/>
  <c r="A139" i="53"/>
  <c r="Q138" i="53"/>
  <c r="B138" i="53"/>
  <c r="A138" i="53"/>
  <c r="Q137" i="53"/>
  <c r="B137" i="53"/>
  <c r="A137" i="53"/>
  <c r="Q136" i="53"/>
  <c r="B136" i="53"/>
  <c r="A136" i="53"/>
  <c r="Q135" i="53"/>
  <c r="B135" i="53"/>
  <c r="A135" i="53"/>
  <c r="Q134" i="53"/>
  <c r="B134" i="53"/>
  <c r="A134" i="53"/>
  <c r="Q133" i="53"/>
  <c r="B133" i="53"/>
  <c r="A133" i="53"/>
  <c r="Q132" i="53"/>
  <c r="B132" i="53"/>
  <c r="A132" i="53"/>
  <c r="Q131" i="53"/>
  <c r="B131" i="53"/>
  <c r="A131" i="53"/>
  <c r="Q130" i="53"/>
  <c r="B130" i="53"/>
  <c r="A130" i="53"/>
  <c r="Q129" i="53"/>
  <c r="B129" i="53"/>
  <c r="A129" i="53"/>
  <c r="Q128" i="53"/>
  <c r="B128" i="53"/>
  <c r="A128" i="53"/>
  <c r="Q127" i="53"/>
  <c r="B127" i="53"/>
  <c r="A127" i="53"/>
  <c r="Q126" i="53"/>
  <c r="B126" i="53"/>
  <c r="A126" i="53"/>
  <c r="Q125" i="53"/>
  <c r="B125" i="53"/>
  <c r="A125" i="53"/>
  <c r="Q124" i="53"/>
  <c r="B124" i="53"/>
  <c r="A124" i="53"/>
  <c r="Q123" i="53"/>
  <c r="B123" i="53"/>
  <c r="A123" i="53"/>
  <c r="Q122" i="53"/>
  <c r="B122" i="53"/>
  <c r="A122" i="53"/>
  <c r="Q121" i="53"/>
  <c r="B121" i="53"/>
  <c r="A121" i="53"/>
  <c r="Q120" i="53"/>
  <c r="B120" i="53"/>
  <c r="A120" i="53"/>
  <c r="Q119" i="53"/>
  <c r="B119" i="53"/>
  <c r="A119" i="53"/>
  <c r="Q118" i="53"/>
  <c r="B118" i="53"/>
  <c r="A118" i="53"/>
  <c r="Q117" i="53"/>
  <c r="B117" i="53"/>
  <c r="A117" i="53"/>
  <c r="Q116" i="53"/>
  <c r="B116" i="53"/>
  <c r="A116" i="53"/>
  <c r="Q115" i="53"/>
  <c r="B115" i="53"/>
  <c r="A115" i="53"/>
  <c r="Q114" i="53"/>
  <c r="B114" i="53"/>
  <c r="A114" i="53"/>
  <c r="Q113" i="53"/>
  <c r="B113" i="53"/>
  <c r="A113" i="53"/>
  <c r="Q112" i="53"/>
  <c r="B112" i="53"/>
  <c r="A112" i="53"/>
  <c r="Q111" i="53"/>
  <c r="B111" i="53"/>
  <c r="A111" i="53"/>
  <c r="Q110" i="53"/>
  <c r="B110" i="53"/>
  <c r="A110" i="53"/>
  <c r="Q109" i="53"/>
  <c r="B109" i="53"/>
  <c r="A109" i="53"/>
  <c r="Q108" i="53"/>
  <c r="B108" i="53"/>
  <c r="A108" i="53"/>
  <c r="Q107" i="53"/>
  <c r="B107" i="53"/>
  <c r="A107" i="53"/>
  <c r="Q106" i="53"/>
  <c r="B106" i="53"/>
  <c r="A106" i="53"/>
  <c r="Q105" i="53"/>
  <c r="B105" i="53"/>
  <c r="A105" i="53"/>
  <c r="Q104" i="53"/>
  <c r="B104" i="53"/>
  <c r="A104" i="53"/>
  <c r="Q103" i="53"/>
  <c r="B103" i="53"/>
  <c r="A103" i="53"/>
  <c r="Q102" i="53"/>
  <c r="B102" i="53"/>
  <c r="A102" i="53"/>
  <c r="Q101" i="53"/>
  <c r="B101" i="53"/>
  <c r="A101" i="53"/>
  <c r="Q100" i="53"/>
  <c r="B100" i="53"/>
  <c r="A100" i="53"/>
  <c r="Q99" i="53"/>
  <c r="B99" i="53"/>
  <c r="A99" i="53"/>
  <c r="Q98" i="53"/>
  <c r="B98" i="53"/>
  <c r="A98" i="53"/>
  <c r="Q97" i="53"/>
  <c r="B97" i="53"/>
  <c r="A97" i="53"/>
  <c r="Q96" i="53"/>
  <c r="B96" i="53"/>
  <c r="A96" i="53"/>
  <c r="Q95" i="53"/>
  <c r="B95" i="53"/>
  <c r="A95" i="53"/>
  <c r="Q94" i="53"/>
  <c r="B94" i="53"/>
  <c r="A94" i="53"/>
  <c r="Q93" i="53"/>
  <c r="B93" i="53"/>
  <c r="A93" i="53"/>
  <c r="Q92" i="53"/>
  <c r="B92" i="53"/>
  <c r="A92" i="53"/>
  <c r="Q91" i="53"/>
  <c r="B91" i="53"/>
  <c r="A91" i="53"/>
  <c r="Q90" i="53"/>
  <c r="B90" i="53"/>
  <c r="A90" i="53"/>
  <c r="Q89" i="53"/>
  <c r="B89" i="53"/>
  <c r="A89" i="53"/>
  <c r="Q88" i="53"/>
  <c r="B88" i="53"/>
  <c r="A88" i="53"/>
  <c r="Q87" i="53"/>
  <c r="B87" i="53"/>
  <c r="A87" i="53"/>
  <c r="Q86" i="53"/>
  <c r="B86" i="53"/>
  <c r="A86" i="53"/>
  <c r="Q85" i="53"/>
  <c r="B85" i="53"/>
  <c r="A85" i="53"/>
  <c r="Q84" i="53"/>
  <c r="B84" i="53"/>
  <c r="A84" i="53"/>
  <c r="Q83" i="53"/>
  <c r="B83" i="53"/>
  <c r="A83" i="53"/>
  <c r="Q82" i="53"/>
  <c r="B82" i="53"/>
  <c r="A82" i="53"/>
  <c r="Q81" i="53"/>
  <c r="B81" i="53"/>
  <c r="A81" i="53"/>
  <c r="Q80" i="53"/>
  <c r="B80" i="53"/>
  <c r="A80" i="53"/>
  <c r="Q79" i="53"/>
  <c r="B79" i="53"/>
  <c r="A79" i="53"/>
  <c r="Q78" i="53"/>
  <c r="B78" i="53"/>
  <c r="A78" i="53"/>
  <c r="Q77" i="53"/>
  <c r="B77" i="53"/>
  <c r="A77" i="53"/>
  <c r="Q76" i="53"/>
  <c r="B76" i="53"/>
  <c r="A76" i="53"/>
  <c r="Q75" i="53"/>
  <c r="B75" i="53"/>
  <c r="A75" i="53"/>
  <c r="Q74" i="53"/>
  <c r="B74" i="53"/>
  <c r="A74" i="53"/>
  <c r="Q73" i="53"/>
  <c r="B73" i="53"/>
  <c r="A73" i="53"/>
  <c r="Q72" i="53"/>
  <c r="B72" i="53"/>
  <c r="A72" i="53"/>
  <c r="Q71" i="53"/>
  <c r="B71" i="53"/>
  <c r="A71" i="53"/>
  <c r="Q70" i="53"/>
  <c r="B70" i="53"/>
  <c r="A70" i="53"/>
  <c r="Q69" i="53"/>
  <c r="B69" i="53"/>
  <c r="A69" i="53"/>
  <c r="Q68" i="53"/>
  <c r="B68" i="53"/>
  <c r="A68" i="53"/>
  <c r="Q67" i="53"/>
  <c r="B67" i="53"/>
  <c r="A67" i="53"/>
  <c r="Q66" i="53"/>
  <c r="B66" i="53"/>
  <c r="A66" i="53"/>
  <c r="Q65" i="53"/>
  <c r="B65" i="53"/>
  <c r="A65" i="53"/>
  <c r="Q64" i="53"/>
  <c r="B64" i="53"/>
  <c r="A64" i="53"/>
  <c r="Q63" i="53"/>
  <c r="B63" i="53"/>
  <c r="A63" i="53"/>
  <c r="Q62" i="53"/>
  <c r="B62" i="53"/>
  <c r="A62" i="53"/>
  <c r="Q61" i="53"/>
  <c r="B61" i="53"/>
  <c r="A61" i="53"/>
  <c r="Q60" i="53"/>
  <c r="B60" i="53"/>
  <c r="A60" i="53"/>
  <c r="Q59" i="53"/>
  <c r="B59" i="53"/>
  <c r="A59" i="53"/>
  <c r="Q58" i="53"/>
  <c r="B58" i="53"/>
  <c r="A58" i="53"/>
  <c r="Q57" i="53"/>
  <c r="B57" i="53"/>
  <c r="A57" i="53"/>
  <c r="Q56" i="53"/>
  <c r="B56" i="53"/>
  <c r="A56" i="53"/>
  <c r="Q55" i="53"/>
  <c r="B55" i="53"/>
  <c r="A55" i="53"/>
  <c r="Q54" i="53"/>
  <c r="B54" i="53"/>
  <c r="A54" i="53"/>
  <c r="Q53" i="53"/>
  <c r="B53" i="53"/>
  <c r="A53" i="53"/>
  <c r="Q52" i="53"/>
  <c r="B52" i="53"/>
  <c r="A52" i="53"/>
  <c r="Q51" i="53"/>
  <c r="B51" i="53"/>
  <c r="A51" i="53"/>
  <c r="Q50" i="53"/>
  <c r="B50" i="53"/>
  <c r="A50" i="53"/>
  <c r="Q49" i="53"/>
  <c r="B49" i="53"/>
  <c r="A49" i="53"/>
  <c r="Q48" i="53"/>
  <c r="B48" i="53"/>
  <c r="A48" i="53"/>
  <c r="Q47" i="53"/>
  <c r="B47" i="53"/>
  <c r="A47" i="53"/>
  <c r="Q46" i="53"/>
  <c r="B46" i="53"/>
  <c r="A46" i="53"/>
  <c r="Q45" i="53"/>
  <c r="B45" i="53"/>
  <c r="A45" i="53"/>
  <c r="Q44" i="53"/>
  <c r="B44" i="53"/>
  <c r="A44" i="53"/>
  <c r="Q43" i="53"/>
  <c r="B43" i="53"/>
  <c r="A43" i="53"/>
  <c r="Q42" i="53"/>
  <c r="B42" i="53"/>
  <c r="A42" i="53"/>
  <c r="Q41" i="53"/>
  <c r="B41" i="53"/>
  <c r="A41" i="53"/>
  <c r="Q40" i="53"/>
  <c r="B40" i="53"/>
  <c r="A40" i="53"/>
  <c r="Q39" i="53"/>
  <c r="B39" i="53"/>
  <c r="A39" i="53"/>
  <c r="Q38" i="53"/>
  <c r="B38" i="53"/>
  <c r="A38" i="53"/>
  <c r="Q37" i="53"/>
  <c r="B37" i="53"/>
  <c r="A37" i="53"/>
  <c r="Q36" i="53"/>
  <c r="B36" i="53"/>
  <c r="A36" i="53"/>
  <c r="Q35" i="53"/>
  <c r="B35" i="53"/>
  <c r="A35" i="53"/>
  <c r="Q34" i="53"/>
  <c r="B34" i="53"/>
  <c r="A34" i="53"/>
  <c r="Q33" i="53"/>
  <c r="B33" i="53"/>
  <c r="A33" i="53"/>
  <c r="Q32" i="53"/>
  <c r="B32" i="53"/>
  <c r="A32" i="53"/>
  <c r="Q31" i="53"/>
  <c r="B31" i="53"/>
  <c r="A31" i="53"/>
  <c r="Q30" i="53"/>
  <c r="B30" i="53"/>
  <c r="A30" i="53"/>
  <c r="Q29" i="53"/>
  <c r="B29" i="53"/>
  <c r="A29" i="53"/>
  <c r="Q28" i="53"/>
  <c r="B28" i="53"/>
  <c r="A28" i="53"/>
  <c r="Q27" i="53"/>
  <c r="B27" i="53"/>
  <c r="A27" i="53"/>
  <c r="Q26" i="53"/>
  <c r="B26" i="53"/>
  <c r="A26" i="53"/>
  <c r="Q25" i="53"/>
  <c r="B25" i="53"/>
  <c r="A25" i="53"/>
  <c r="Q24" i="53"/>
  <c r="B24" i="53"/>
  <c r="A24" i="53"/>
  <c r="Q23" i="53"/>
  <c r="B23" i="53"/>
  <c r="A23" i="53"/>
  <c r="Q22" i="53"/>
  <c r="B22" i="53"/>
  <c r="A22" i="53"/>
  <c r="Q21" i="53"/>
  <c r="B21" i="53"/>
  <c r="A21" i="53"/>
  <c r="Q20" i="53"/>
  <c r="B20" i="53"/>
  <c r="A20" i="53"/>
  <c r="Q19" i="53"/>
  <c r="B19" i="53"/>
  <c r="A19" i="53"/>
  <c r="Q18" i="53"/>
  <c r="B18" i="53"/>
  <c r="A18" i="53"/>
  <c r="Q17" i="53"/>
  <c r="B17" i="53"/>
  <c r="A17" i="53"/>
  <c r="Q16" i="53"/>
  <c r="B16" i="53"/>
  <c r="A16" i="53"/>
  <c r="Q15" i="53"/>
  <c r="B15" i="53"/>
  <c r="A15" i="53"/>
  <c r="Q14" i="53"/>
  <c r="B14" i="53"/>
  <c r="A14" i="53"/>
  <c r="Q13" i="53"/>
  <c r="B13" i="53"/>
  <c r="A13" i="53"/>
  <c r="Q12" i="53"/>
  <c r="B12" i="53"/>
  <c r="A12" i="53"/>
  <c r="Q11" i="53"/>
  <c r="B11" i="53"/>
  <c r="A11" i="53"/>
  <c r="Q10" i="53"/>
  <c r="B10" i="53"/>
  <c r="A10" i="53"/>
  <c r="Q9" i="53"/>
  <c r="B9" i="53"/>
  <c r="A9" i="53"/>
  <c r="Q8" i="53"/>
  <c r="B8" i="53"/>
  <c r="A8" i="53"/>
  <c r="Q7" i="53"/>
  <c r="B7" i="53"/>
  <c r="A7" i="53"/>
  <c r="Q6" i="53"/>
  <c r="B6" i="53"/>
  <c r="A6" i="53"/>
  <c r="Q5" i="53"/>
  <c r="B5" i="53"/>
  <c r="A5" i="53"/>
  <c r="Q4" i="53"/>
  <c r="B4" i="53"/>
  <c r="A4" i="53"/>
  <c r="Q3" i="53"/>
  <c r="B3" i="53"/>
  <c r="A3" i="53"/>
  <c r="Q2" i="53"/>
  <c r="B2" i="53"/>
  <c r="A2" i="53"/>
  <c r="B1" i="53"/>
  <c r="A1" i="53"/>
  <c r="J141" i="52"/>
  <c r="I141" i="52"/>
  <c r="H141" i="52"/>
  <c r="G141" i="52"/>
  <c r="F141" i="52"/>
  <c r="E141" i="52"/>
  <c r="D141" i="52"/>
  <c r="C141" i="52"/>
  <c r="B141" i="52"/>
  <c r="A141" i="52"/>
  <c r="J140" i="52"/>
  <c r="I140" i="52"/>
  <c r="H140" i="52"/>
  <c r="G140" i="52"/>
  <c r="F140" i="52"/>
  <c r="E140" i="52"/>
  <c r="D140" i="52"/>
  <c r="C140" i="52"/>
  <c r="B140" i="52"/>
  <c r="A140" i="52"/>
  <c r="J139" i="52"/>
  <c r="I139" i="52"/>
  <c r="H139" i="52"/>
  <c r="G139" i="52"/>
  <c r="F139" i="52"/>
  <c r="E139" i="52"/>
  <c r="D139" i="52"/>
  <c r="C139" i="52"/>
  <c r="B139" i="52"/>
  <c r="A139" i="52"/>
  <c r="J138" i="52"/>
  <c r="I138" i="52"/>
  <c r="H138" i="52"/>
  <c r="G138" i="52"/>
  <c r="F138" i="52"/>
  <c r="E138" i="52"/>
  <c r="D138" i="52"/>
  <c r="C138" i="52"/>
  <c r="B138" i="52"/>
  <c r="A138" i="52"/>
  <c r="J137" i="52"/>
  <c r="I137" i="52"/>
  <c r="H137" i="52"/>
  <c r="G137" i="52"/>
  <c r="F137" i="52"/>
  <c r="E137" i="52"/>
  <c r="D137" i="52"/>
  <c r="C137" i="52"/>
  <c r="B137" i="52"/>
  <c r="A137" i="52"/>
  <c r="J136" i="52"/>
  <c r="I136" i="52"/>
  <c r="H136" i="52"/>
  <c r="G136" i="52"/>
  <c r="F136" i="52"/>
  <c r="E136" i="52"/>
  <c r="D136" i="52"/>
  <c r="C136" i="52"/>
  <c r="B136" i="52"/>
  <c r="A136" i="52"/>
  <c r="J135" i="52"/>
  <c r="I135" i="52"/>
  <c r="H135" i="52"/>
  <c r="G135" i="52"/>
  <c r="F135" i="52"/>
  <c r="E135" i="52"/>
  <c r="D135" i="52"/>
  <c r="C135" i="52"/>
  <c r="B135" i="52"/>
  <c r="A135" i="52"/>
  <c r="J134" i="52"/>
  <c r="I134" i="52"/>
  <c r="H134" i="52"/>
  <c r="G134" i="52"/>
  <c r="F134" i="52"/>
  <c r="E134" i="52"/>
  <c r="D134" i="52"/>
  <c r="C134" i="52"/>
  <c r="B134" i="52"/>
  <c r="A134" i="52"/>
  <c r="J133" i="52"/>
  <c r="I133" i="52"/>
  <c r="H133" i="52"/>
  <c r="G133" i="52"/>
  <c r="F133" i="52"/>
  <c r="E133" i="52"/>
  <c r="D133" i="52"/>
  <c r="C133" i="52"/>
  <c r="B133" i="52"/>
  <c r="A133" i="52"/>
  <c r="J132" i="52"/>
  <c r="I132" i="52"/>
  <c r="H132" i="52"/>
  <c r="G132" i="52"/>
  <c r="F132" i="52"/>
  <c r="E132" i="52"/>
  <c r="D132" i="52"/>
  <c r="C132" i="52"/>
  <c r="B132" i="52"/>
  <c r="A132" i="52"/>
  <c r="J131" i="52"/>
  <c r="I131" i="52"/>
  <c r="H131" i="52"/>
  <c r="G131" i="52"/>
  <c r="F131" i="52"/>
  <c r="E131" i="52"/>
  <c r="D131" i="52"/>
  <c r="C131" i="52"/>
  <c r="B131" i="52"/>
  <c r="A131" i="52"/>
  <c r="J130" i="52"/>
  <c r="I130" i="52"/>
  <c r="H130" i="52"/>
  <c r="G130" i="52"/>
  <c r="F130" i="52"/>
  <c r="E130" i="52"/>
  <c r="D130" i="52"/>
  <c r="C130" i="52"/>
  <c r="B130" i="52"/>
  <c r="A130" i="52"/>
  <c r="J129" i="52"/>
  <c r="I129" i="52"/>
  <c r="H129" i="52"/>
  <c r="G129" i="52"/>
  <c r="F129" i="52"/>
  <c r="E129" i="52"/>
  <c r="D129" i="52"/>
  <c r="C129" i="52"/>
  <c r="B129" i="52"/>
  <c r="A129" i="52"/>
  <c r="J128" i="52"/>
  <c r="I128" i="52"/>
  <c r="H128" i="52"/>
  <c r="G128" i="52"/>
  <c r="F128" i="52"/>
  <c r="E128" i="52"/>
  <c r="D128" i="52"/>
  <c r="C128" i="52"/>
  <c r="B128" i="52"/>
  <c r="A128" i="52"/>
  <c r="J127" i="52"/>
  <c r="I127" i="52"/>
  <c r="H127" i="52"/>
  <c r="G127" i="52"/>
  <c r="F127" i="52"/>
  <c r="E127" i="52"/>
  <c r="D127" i="52"/>
  <c r="C127" i="52"/>
  <c r="B127" i="52"/>
  <c r="A127" i="52"/>
  <c r="J126" i="52"/>
  <c r="I126" i="52"/>
  <c r="H126" i="52"/>
  <c r="G126" i="52"/>
  <c r="F126" i="52"/>
  <c r="E126" i="52"/>
  <c r="D126" i="52"/>
  <c r="C126" i="52"/>
  <c r="B126" i="52"/>
  <c r="A126" i="52"/>
  <c r="J125" i="52"/>
  <c r="I125" i="52"/>
  <c r="H125" i="52"/>
  <c r="G125" i="52"/>
  <c r="F125" i="52"/>
  <c r="E125" i="52"/>
  <c r="D125" i="52"/>
  <c r="C125" i="52"/>
  <c r="B125" i="52"/>
  <c r="A125" i="52"/>
  <c r="J124" i="52"/>
  <c r="I124" i="52"/>
  <c r="H124" i="52"/>
  <c r="G124" i="52"/>
  <c r="F124" i="52"/>
  <c r="E124" i="52"/>
  <c r="D124" i="52"/>
  <c r="C124" i="52"/>
  <c r="B124" i="52"/>
  <c r="A124" i="52"/>
  <c r="J123" i="52"/>
  <c r="I123" i="52"/>
  <c r="H123" i="52"/>
  <c r="G123" i="52"/>
  <c r="F123" i="52"/>
  <c r="E123" i="52"/>
  <c r="D123" i="52"/>
  <c r="C123" i="52"/>
  <c r="B123" i="52"/>
  <c r="A123" i="52"/>
  <c r="J122" i="52"/>
  <c r="I122" i="52"/>
  <c r="H122" i="52"/>
  <c r="G122" i="52"/>
  <c r="F122" i="52"/>
  <c r="E122" i="52"/>
  <c r="D122" i="52"/>
  <c r="C122" i="52"/>
  <c r="B122" i="52"/>
  <c r="A122" i="52"/>
  <c r="J121" i="52"/>
  <c r="I121" i="52"/>
  <c r="H121" i="52"/>
  <c r="G121" i="52"/>
  <c r="F121" i="52"/>
  <c r="E121" i="52"/>
  <c r="D121" i="52"/>
  <c r="C121" i="52"/>
  <c r="B121" i="52"/>
  <c r="A121" i="52"/>
  <c r="J120" i="52"/>
  <c r="I120" i="52"/>
  <c r="H120" i="52"/>
  <c r="G120" i="52"/>
  <c r="F120" i="52"/>
  <c r="E120" i="52"/>
  <c r="D120" i="52"/>
  <c r="C120" i="52"/>
  <c r="B120" i="52"/>
  <c r="A120" i="52"/>
  <c r="J119" i="52"/>
  <c r="I119" i="52"/>
  <c r="H119" i="52"/>
  <c r="G119" i="52"/>
  <c r="F119" i="52"/>
  <c r="E119" i="52"/>
  <c r="D119" i="52"/>
  <c r="C119" i="52"/>
  <c r="B119" i="52"/>
  <c r="A119" i="52"/>
  <c r="J118" i="52"/>
  <c r="I118" i="52"/>
  <c r="H118" i="52"/>
  <c r="G118" i="52"/>
  <c r="F118" i="52"/>
  <c r="E118" i="52"/>
  <c r="D118" i="52"/>
  <c r="C118" i="52"/>
  <c r="B118" i="52"/>
  <c r="A118" i="52"/>
  <c r="J117" i="52"/>
  <c r="I117" i="52"/>
  <c r="H117" i="52"/>
  <c r="G117" i="52"/>
  <c r="F117" i="52"/>
  <c r="E117" i="52"/>
  <c r="D117" i="52"/>
  <c r="C117" i="52"/>
  <c r="B117" i="52"/>
  <c r="A117" i="52"/>
  <c r="J116" i="52"/>
  <c r="I116" i="52"/>
  <c r="H116" i="52"/>
  <c r="G116" i="52"/>
  <c r="F116" i="52"/>
  <c r="E116" i="52"/>
  <c r="D116" i="52"/>
  <c r="C116" i="52"/>
  <c r="B116" i="52"/>
  <c r="A116" i="52"/>
  <c r="J115" i="52"/>
  <c r="I115" i="52"/>
  <c r="H115" i="52"/>
  <c r="G115" i="52"/>
  <c r="F115" i="52"/>
  <c r="E115" i="52"/>
  <c r="D115" i="52"/>
  <c r="C115" i="52"/>
  <c r="B115" i="52"/>
  <c r="A115" i="52"/>
  <c r="J114" i="52"/>
  <c r="I114" i="52"/>
  <c r="H114" i="52"/>
  <c r="G114" i="52"/>
  <c r="F114" i="52"/>
  <c r="E114" i="52"/>
  <c r="D114" i="52"/>
  <c r="C114" i="52"/>
  <c r="B114" i="52"/>
  <c r="A114" i="52"/>
  <c r="J113" i="52"/>
  <c r="I113" i="52"/>
  <c r="H113" i="52"/>
  <c r="G113" i="52"/>
  <c r="F113" i="52"/>
  <c r="E113" i="52"/>
  <c r="D113" i="52"/>
  <c r="C113" i="52"/>
  <c r="B113" i="52"/>
  <c r="A113" i="52"/>
  <c r="J112" i="52"/>
  <c r="I112" i="52"/>
  <c r="H112" i="52"/>
  <c r="G112" i="52"/>
  <c r="F112" i="52"/>
  <c r="E112" i="52"/>
  <c r="D112" i="52"/>
  <c r="C112" i="52"/>
  <c r="B112" i="52"/>
  <c r="A112" i="52"/>
  <c r="J111" i="52"/>
  <c r="I111" i="52"/>
  <c r="H111" i="52"/>
  <c r="G111" i="52"/>
  <c r="F111" i="52"/>
  <c r="E111" i="52"/>
  <c r="D111" i="52"/>
  <c r="C111" i="52"/>
  <c r="B111" i="52"/>
  <c r="A111" i="52"/>
  <c r="J110" i="52"/>
  <c r="I110" i="52"/>
  <c r="H110" i="52"/>
  <c r="G110" i="52"/>
  <c r="F110" i="52"/>
  <c r="E110" i="52"/>
  <c r="D110" i="52"/>
  <c r="C110" i="52"/>
  <c r="B110" i="52"/>
  <c r="A110" i="52"/>
  <c r="J109" i="52"/>
  <c r="I109" i="52"/>
  <c r="H109" i="52"/>
  <c r="G109" i="52"/>
  <c r="F109" i="52"/>
  <c r="E109" i="52"/>
  <c r="D109" i="52"/>
  <c r="C109" i="52"/>
  <c r="B109" i="52"/>
  <c r="A109" i="52"/>
  <c r="J108" i="52"/>
  <c r="I108" i="52"/>
  <c r="H108" i="52"/>
  <c r="G108" i="52"/>
  <c r="F108" i="52"/>
  <c r="E108" i="52"/>
  <c r="D108" i="52"/>
  <c r="C108" i="52"/>
  <c r="B108" i="52"/>
  <c r="A108" i="52"/>
  <c r="J107" i="52"/>
  <c r="I107" i="52"/>
  <c r="H107" i="52"/>
  <c r="G107" i="52"/>
  <c r="F107" i="52"/>
  <c r="E107" i="52"/>
  <c r="D107" i="52"/>
  <c r="C107" i="52"/>
  <c r="B107" i="52"/>
  <c r="A107" i="52"/>
  <c r="J106" i="52"/>
  <c r="I106" i="52"/>
  <c r="H106" i="52"/>
  <c r="G106" i="52"/>
  <c r="F106" i="52"/>
  <c r="E106" i="52"/>
  <c r="D106" i="52"/>
  <c r="C106" i="52"/>
  <c r="B106" i="52"/>
  <c r="A106" i="52"/>
  <c r="J105" i="52"/>
  <c r="I105" i="52"/>
  <c r="H105" i="52"/>
  <c r="G105" i="52"/>
  <c r="F105" i="52"/>
  <c r="E105" i="52"/>
  <c r="D105" i="52"/>
  <c r="C105" i="52"/>
  <c r="B105" i="52"/>
  <c r="A105" i="52"/>
  <c r="J104" i="52"/>
  <c r="I104" i="52"/>
  <c r="H104" i="52"/>
  <c r="G104" i="52"/>
  <c r="F104" i="52"/>
  <c r="E104" i="52"/>
  <c r="D104" i="52"/>
  <c r="C104" i="52"/>
  <c r="B104" i="52"/>
  <c r="A104" i="52"/>
  <c r="J103" i="52"/>
  <c r="I103" i="52"/>
  <c r="H103" i="52"/>
  <c r="G103" i="52"/>
  <c r="F103" i="52"/>
  <c r="E103" i="52"/>
  <c r="D103" i="52"/>
  <c r="C103" i="52"/>
  <c r="B103" i="52"/>
  <c r="A103" i="52"/>
  <c r="J102" i="52"/>
  <c r="I102" i="52"/>
  <c r="H102" i="52"/>
  <c r="G102" i="52"/>
  <c r="F102" i="52"/>
  <c r="E102" i="52"/>
  <c r="D102" i="52"/>
  <c r="C102" i="52"/>
  <c r="B102" i="52"/>
  <c r="A102" i="52"/>
  <c r="J101" i="52"/>
  <c r="I101" i="52"/>
  <c r="H101" i="52"/>
  <c r="G101" i="52"/>
  <c r="F101" i="52"/>
  <c r="E101" i="52"/>
  <c r="D101" i="52"/>
  <c r="C101" i="52"/>
  <c r="B101" i="52"/>
  <c r="A101" i="52"/>
  <c r="J100" i="52"/>
  <c r="I100" i="52"/>
  <c r="H100" i="52"/>
  <c r="G100" i="52"/>
  <c r="F100" i="52"/>
  <c r="E100" i="52"/>
  <c r="D100" i="52"/>
  <c r="C100" i="52"/>
  <c r="B100" i="52"/>
  <c r="A100" i="52"/>
  <c r="J99" i="52"/>
  <c r="I99" i="52"/>
  <c r="H99" i="52"/>
  <c r="G99" i="52"/>
  <c r="F99" i="52"/>
  <c r="E99" i="52"/>
  <c r="D99" i="52"/>
  <c r="C99" i="52"/>
  <c r="B99" i="52"/>
  <c r="A99" i="52"/>
  <c r="J98" i="52"/>
  <c r="I98" i="52"/>
  <c r="H98" i="52"/>
  <c r="G98" i="52"/>
  <c r="F98" i="52"/>
  <c r="E98" i="52"/>
  <c r="D98" i="52"/>
  <c r="C98" i="52"/>
  <c r="B98" i="52"/>
  <c r="A98" i="52"/>
  <c r="J97" i="52"/>
  <c r="I97" i="52"/>
  <c r="H97" i="52"/>
  <c r="G97" i="52"/>
  <c r="F97" i="52"/>
  <c r="E97" i="52"/>
  <c r="D97" i="52"/>
  <c r="C97" i="52"/>
  <c r="B97" i="52"/>
  <c r="A97" i="52"/>
  <c r="J96" i="52"/>
  <c r="I96" i="52"/>
  <c r="H96" i="52"/>
  <c r="G96" i="52"/>
  <c r="F96" i="52"/>
  <c r="E96" i="52"/>
  <c r="D96" i="52"/>
  <c r="C96" i="52"/>
  <c r="B96" i="52"/>
  <c r="A96" i="52"/>
  <c r="J95" i="52"/>
  <c r="I95" i="52"/>
  <c r="H95" i="52"/>
  <c r="G95" i="52"/>
  <c r="F95" i="52"/>
  <c r="E95" i="52"/>
  <c r="D95" i="52"/>
  <c r="C95" i="52"/>
  <c r="B95" i="52"/>
  <c r="A95" i="52"/>
  <c r="J94" i="52"/>
  <c r="I94" i="52"/>
  <c r="H94" i="52"/>
  <c r="G94" i="52"/>
  <c r="F94" i="52"/>
  <c r="E94" i="52"/>
  <c r="D94" i="52"/>
  <c r="C94" i="52"/>
  <c r="B94" i="52"/>
  <c r="A94" i="52"/>
  <c r="J93" i="52"/>
  <c r="I93" i="52"/>
  <c r="H93" i="52"/>
  <c r="G93" i="52"/>
  <c r="F93" i="52"/>
  <c r="E93" i="52"/>
  <c r="D93" i="52"/>
  <c r="C93" i="52"/>
  <c r="B93" i="52"/>
  <c r="A93" i="52"/>
  <c r="J92" i="52"/>
  <c r="I92" i="52"/>
  <c r="H92" i="52"/>
  <c r="G92" i="52"/>
  <c r="F92" i="52"/>
  <c r="E92" i="52"/>
  <c r="D92" i="52"/>
  <c r="C92" i="52"/>
  <c r="B92" i="52"/>
  <c r="A92" i="52"/>
  <c r="J91" i="52"/>
  <c r="I91" i="52"/>
  <c r="H91" i="52"/>
  <c r="G91" i="52"/>
  <c r="F91" i="52"/>
  <c r="E91" i="52"/>
  <c r="D91" i="52"/>
  <c r="C91" i="52"/>
  <c r="B91" i="52"/>
  <c r="A91" i="52"/>
  <c r="J90" i="52"/>
  <c r="I90" i="52"/>
  <c r="H90" i="52"/>
  <c r="G90" i="52"/>
  <c r="F90" i="52"/>
  <c r="E90" i="52"/>
  <c r="D90" i="52"/>
  <c r="C90" i="52"/>
  <c r="B90" i="52"/>
  <c r="A90" i="52"/>
  <c r="J89" i="52"/>
  <c r="I89" i="52"/>
  <c r="H89" i="52"/>
  <c r="G89" i="52"/>
  <c r="F89" i="52"/>
  <c r="E89" i="52"/>
  <c r="D89" i="52"/>
  <c r="C89" i="52"/>
  <c r="B89" i="52"/>
  <c r="A89" i="52"/>
  <c r="J88" i="52"/>
  <c r="I88" i="52"/>
  <c r="H88" i="52"/>
  <c r="G88" i="52"/>
  <c r="F88" i="52"/>
  <c r="E88" i="52"/>
  <c r="D88" i="52"/>
  <c r="C88" i="52"/>
  <c r="B88" i="52"/>
  <c r="A88" i="52"/>
  <c r="J87" i="52"/>
  <c r="I87" i="52"/>
  <c r="H87" i="52"/>
  <c r="G87" i="52"/>
  <c r="F87" i="52"/>
  <c r="E87" i="52"/>
  <c r="D87" i="52"/>
  <c r="C87" i="52"/>
  <c r="B87" i="52"/>
  <c r="A87" i="52"/>
  <c r="J86" i="52"/>
  <c r="I86" i="52"/>
  <c r="H86" i="52"/>
  <c r="G86" i="52"/>
  <c r="F86" i="52"/>
  <c r="E86" i="52"/>
  <c r="D86" i="52"/>
  <c r="C86" i="52"/>
  <c r="B86" i="52"/>
  <c r="A86" i="52"/>
  <c r="J85" i="52"/>
  <c r="I85" i="52"/>
  <c r="H85" i="52"/>
  <c r="G85" i="52"/>
  <c r="F85" i="52"/>
  <c r="E85" i="52"/>
  <c r="D85" i="52"/>
  <c r="C85" i="52"/>
  <c r="B85" i="52"/>
  <c r="A85" i="52"/>
  <c r="J84" i="52"/>
  <c r="I84" i="52"/>
  <c r="H84" i="52"/>
  <c r="G84" i="52"/>
  <c r="F84" i="52"/>
  <c r="E84" i="52"/>
  <c r="D84" i="52"/>
  <c r="C84" i="52"/>
  <c r="B84" i="52"/>
  <c r="A84" i="52"/>
  <c r="J83" i="52"/>
  <c r="I83" i="52"/>
  <c r="H83" i="52"/>
  <c r="G83" i="52"/>
  <c r="F83" i="52"/>
  <c r="E83" i="52"/>
  <c r="D83" i="52"/>
  <c r="C83" i="52"/>
  <c r="B83" i="52"/>
  <c r="A83" i="52"/>
  <c r="J82" i="52"/>
  <c r="I82" i="52"/>
  <c r="H82" i="52"/>
  <c r="G82" i="52"/>
  <c r="F82" i="52"/>
  <c r="E82" i="52"/>
  <c r="D82" i="52"/>
  <c r="C82" i="52"/>
  <c r="B82" i="52"/>
  <c r="A82" i="52"/>
  <c r="J81" i="52"/>
  <c r="I81" i="52"/>
  <c r="H81" i="52"/>
  <c r="G81" i="52"/>
  <c r="F81" i="52"/>
  <c r="E81" i="52"/>
  <c r="D81" i="52"/>
  <c r="C81" i="52"/>
  <c r="B81" i="52"/>
  <c r="A81" i="52"/>
  <c r="J80" i="52"/>
  <c r="I80" i="52"/>
  <c r="H80" i="52"/>
  <c r="G80" i="52"/>
  <c r="F80" i="52"/>
  <c r="E80" i="52"/>
  <c r="D80" i="52"/>
  <c r="C80" i="52"/>
  <c r="B80" i="52"/>
  <c r="A80" i="52"/>
  <c r="J79" i="52"/>
  <c r="I79" i="52"/>
  <c r="H79" i="52"/>
  <c r="G79" i="52"/>
  <c r="F79" i="52"/>
  <c r="E79" i="52"/>
  <c r="D79" i="52"/>
  <c r="C79" i="52"/>
  <c r="B79" i="52"/>
  <c r="A79" i="52"/>
  <c r="J78" i="52"/>
  <c r="I78" i="52"/>
  <c r="H78" i="52"/>
  <c r="G78" i="52"/>
  <c r="F78" i="52"/>
  <c r="E78" i="52"/>
  <c r="D78" i="52"/>
  <c r="C78" i="52"/>
  <c r="B78" i="52"/>
  <c r="A78" i="52"/>
  <c r="J77" i="52"/>
  <c r="I77" i="52"/>
  <c r="H77" i="52"/>
  <c r="G77" i="52"/>
  <c r="F77" i="52"/>
  <c r="E77" i="52"/>
  <c r="D77" i="52"/>
  <c r="C77" i="52"/>
  <c r="B77" i="52"/>
  <c r="A77" i="52"/>
  <c r="J76" i="52"/>
  <c r="I76" i="52"/>
  <c r="H76" i="52"/>
  <c r="G76" i="52"/>
  <c r="F76" i="52"/>
  <c r="E76" i="52"/>
  <c r="D76" i="52"/>
  <c r="C76" i="52"/>
  <c r="B76" i="52"/>
  <c r="A76" i="52"/>
  <c r="J75" i="52"/>
  <c r="I75" i="52"/>
  <c r="H75" i="52"/>
  <c r="G75" i="52"/>
  <c r="F75" i="52"/>
  <c r="E75" i="52"/>
  <c r="D75" i="52"/>
  <c r="C75" i="52"/>
  <c r="B75" i="52"/>
  <c r="A75" i="52"/>
  <c r="J74" i="52"/>
  <c r="I74" i="52"/>
  <c r="H74" i="52"/>
  <c r="G74" i="52"/>
  <c r="F74" i="52"/>
  <c r="E74" i="52"/>
  <c r="D74" i="52"/>
  <c r="C74" i="52"/>
  <c r="B74" i="52"/>
  <c r="A74" i="52"/>
  <c r="J73" i="52"/>
  <c r="I73" i="52"/>
  <c r="H73" i="52"/>
  <c r="G73" i="52"/>
  <c r="F73" i="52"/>
  <c r="E73" i="52"/>
  <c r="D73" i="52"/>
  <c r="C73" i="52"/>
  <c r="B73" i="52"/>
  <c r="A73" i="52"/>
  <c r="J72" i="52"/>
  <c r="I72" i="52"/>
  <c r="H72" i="52"/>
  <c r="G72" i="52"/>
  <c r="F72" i="52"/>
  <c r="E72" i="52"/>
  <c r="D72" i="52"/>
  <c r="C72" i="52"/>
  <c r="B72" i="52"/>
  <c r="A72" i="52"/>
  <c r="J71" i="52"/>
  <c r="I71" i="52"/>
  <c r="H71" i="52"/>
  <c r="G71" i="52"/>
  <c r="F71" i="52"/>
  <c r="E71" i="52"/>
  <c r="D71" i="52"/>
  <c r="C71" i="52"/>
  <c r="B71" i="52"/>
  <c r="A71" i="52"/>
  <c r="J70" i="52"/>
  <c r="I70" i="52"/>
  <c r="H70" i="52"/>
  <c r="G70" i="52"/>
  <c r="F70" i="52"/>
  <c r="E70" i="52"/>
  <c r="D70" i="52"/>
  <c r="C70" i="52"/>
  <c r="B70" i="52"/>
  <c r="A70" i="52"/>
  <c r="J69" i="52"/>
  <c r="I69" i="52"/>
  <c r="H69" i="52"/>
  <c r="G69" i="52"/>
  <c r="F69" i="52"/>
  <c r="E69" i="52"/>
  <c r="D69" i="52"/>
  <c r="C69" i="52"/>
  <c r="B69" i="52"/>
  <c r="A69" i="52"/>
  <c r="J68" i="52"/>
  <c r="I68" i="52"/>
  <c r="H68" i="52"/>
  <c r="G68" i="52"/>
  <c r="F68" i="52"/>
  <c r="E68" i="52"/>
  <c r="D68" i="52"/>
  <c r="C68" i="52"/>
  <c r="B68" i="52"/>
  <c r="A68" i="52"/>
  <c r="J67" i="52"/>
  <c r="I67" i="52"/>
  <c r="H67" i="52"/>
  <c r="G67" i="52"/>
  <c r="F67" i="52"/>
  <c r="E67" i="52"/>
  <c r="D67" i="52"/>
  <c r="C67" i="52"/>
  <c r="B67" i="52"/>
  <c r="A67" i="52"/>
  <c r="J66" i="52"/>
  <c r="I66" i="52"/>
  <c r="H66" i="52"/>
  <c r="G66" i="52"/>
  <c r="F66" i="52"/>
  <c r="E66" i="52"/>
  <c r="D66" i="52"/>
  <c r="C66" i="52"/>
  <c r="B66" i="52"/>
  <c r="A66" i="52"/>
  <c r="J65" i="52"/>
  <c r="I65" i="52"/>
  <c r="H65" i="52"/>
  <c r="G65" i="52"/>
  <c r="F65" i="52"/>
  <c r="E65" i="52"/>
  <c r="D65" i="52"/>
  <c r="C65" i="52"/>
  <c r="B65" i="52"/>
  <c r="A65" i="52"/>
  <c r="J64" i="52"/>
  <c r="I64" i="52"/>
  <c r="H64" i="52"/>
  <c r="G64" i="52"/>
  <c r="F64" i="52"/>
  <c r="E64" i="52"/>
  <c r="D64" i="52"/>
  <c r="C64" i="52"/>
  <c r="B64" i="52"/>
  <c r="A64" i="52"/>
  <c r="J63" i="52"/>
  <c r="I63" i="52"/>
  <c r="H63" i="52"/>
  <c r="G63" i="52"/>
  <c r="F63" i="52"/>
  <c r="E63" i="52"/>
  <c r="D63" i="52"/>
  <c r="C63" i="52"/>
  <c r="B63" i="52"/>
  <c r="A63" i="52"/>
  <c r="J62" i="52"/>
  <c r="I62" i="52"/>
  <c r="H62" i="52"/>
  <c r="G62" i="52"/>
  <c r="F62" i="52"/>
  <c r="E62" i="52"/>
  <c r="D62" i="52"/>
  <c r="C62" i="52"/>
  <c r="B62" i="52"/>
  <c r="A62" i="52"/>
  <c r="J61" i="52"/>
  <c r="I61" i="52"/>
  <c r="H61" i="52"/>
  <c r="G61" i="52"/>
  <c r="F61" i="52"/>
  <c r="E61" i="52"/>
  <c r="D61" i="52"/>
  <c r="C61" i="52"/>
  <c r="B61" i="52"/>
  <c r="A61" i="52"/>
  <c r="J60" i="52"/>
  <c r="I60" i="52"/>
  <c r="H60" i="52"/>
  <c r="G60" i="52"/>
  <c r="F60" i="52"/>
  <c r="E60" i="52"/>
  <c r="D60" i="52"/>
  <c r="C60" i="52"/>
  <c r="B60" i="52"/>
  <c r="A60" i="52"/>
  <c r="J59" i="52"/>
  <c r="I59" i="52"/>
  <c r="H59" i="52"/>
  <c r="G59" i="52"/>
  <c r="F59" i="52"/>
  <c r="E59" i="52"/>
  <c r="D59" i="52"/>
  <c r="C59" i="52"/>
  <c r="B59" i="52"/>
  <c r="A59" i="52"/>
  <c r="J58" i="52"/>
  <c r="I58" i="52"/>
  <c r="H58" i="52"/>
  <c r="G58" i="52"/>
  <c r="F58" i="52"/>
  <c r="E58" i="52"/>
  <c r="D58" i="52"/>
  <c r="C58" i="52"/>
  <c r="B58" i="52"/>
  <c r="A58" i="52"/>
  <c r="J57" i="52"/>
  <c r="I57" i="52"/>
  <c r="H57" i="52"/>
  <c r="G57" i="52"/>
  <c r="F57" i="52"/>
  <c r="E57" i="52"/>
  <c r="D57" i="52"/>
  <c r="C57" i="52"/>
  <c r="B57" i="52"/>
  <c r="A57" i="52"/>
  <c r="J56" i="52"/>
  <c r="I56" i="52"/>
  <c r="H56" i="52"/>
  <c r="G56" i="52"/>
  <c r="F56" i="52"/>
  <c r="E56" i="52"/>
  <c r="D56" i="52"/>
  <c r="C56" i="52"/>
  <c r="B56" i="52"/>
  <c r="A56" i="52"/>
  <c r="J55" i="52"/>
  <c r="I55" i="52"/>
  <c r="H55" i="52"/>
  <c r="G55" i="52"/>
  <c r="F55" i="52"/>
  <c r="E55" i="52"/>
  <c r="D55" i="52"/>
  <c r="C55" i="52"/>
  <c r="B55" i="52"/>
  <c r="A55" i="52"/>
  <c r="J54" i="52"/>
  <c r="I54" i="52"/>
  <c r="H54" i="52"/>
  <c r="G54" i="52"/>
  <c r="F54" i="52"/>
  <c r="E54" i="52"/>
  <c r="D54" i="52"/>
  <c r="C54" i="52"/>
  <c r="B54" i="52"/>
  <c r="A54" i="52"/>
  <c r="J53" i="52"/>
  <c r="I53" i="52"/>
  <c r="H53" i="52"/>
  <c r="G53" i="52"/>
  <c r="F53" i="52"/>
  <c r="E53" i="52"/>
  <c r="D53" i="52"/>
  <c r="C53" i="52"/>
  <c r="B53" i="52"/>
  <c r="A53" i="52"/>
  <c r="J52" i="52"/>
  <c r="I52" i="52"/>
  <c r="H52" i="52"/>
  <c r="G52" i="52"/>
  <c r="F52" i="52"/>
  <c r="E52" i="52"/>
  <c r="D52" i="52"/>
  <c r="C52" i="52"/>
  <c r="B52" i="52"/>
  <c r="A52" i="52"/>
  <c r="J51" i="52"/>
  <c r="I51" i="52"/>
  <c r="H51" i="52"/>
  <c r="G51" i="52"/>
  <c r="F51" i="52"/>
  <c r="E51" i="52"/>
  <c r="D51" i="52"/>
  <c r="C51" i="52"/>
  <c r="B51" i="52"/>
  <c r="A51" i="52"/>
  <c r="J50" i="52"/>
  <c r="I50" i="52"/>
  <c r="H50" i="52"/>
  <c r="G50" i="52"/>
  <c r="F50" i="52"/>
  <c r="E50" i="52"/>
  <c r="D50" i="52"/>
  <c r="C50" i="52"/>
  <c r="B50" i="52"/>
  <c r="A50" i="52"/>
  <c r="J49" i="52"/>
  <c r="I49" i="52"/>
  <c r="H49" i="52"/>
  <c r="G49" i="52"/>
  <c r="F49" i="52"/>
  <c r="E49" i="52"/>
  <c r="D49" i="52"/>
  <c r="C49" i="52"/>
  <c r="B49" i="52"/>
  <c r="A49" i="52"/>
  <c r="J48" i="52"/>
  <c r="I48" i="52"/>
  <c r="H48" i="52"/>
  <c r="G48" i="52"/>
  <c r="F48" i="52"/>
  <c r="E48" i="52"/>
  <c r="D48" i="52"/>
  <c r="C48" i="52"/>
  <c r="B48" i="52"/>
  <c r="A48" i="52"/>
  <c r="J47" i="52"/>
  <c r="I47" i="52"/>
  <c r="H47" i="52"/>
  <c r="G47" i="52"/>
  <c r="F47" i="52"/>
  <c r="E47" i="52"/>
  <c r="D47" i="52"/>
  <c r="C47" i="52"/>
  <c r="B47" i="52"/>
  <c r="A47" i="52"/>
  <c r="J46" i="52"/>
  <c r="I46" i="52"/>
  <c r="H46" i="52"/>
  <c r="G46" i="52"/>
  <c r="F46" i="52"/>
  <c r="E46" i="52"/>
  <c r="D46" i="52"/>
  <c r="C46" i="52"/>
  <c r="B46" i="52"/>
  <c r="A46" i="52"/>
  <c r="J45" i="52"/>
  <c r="I45" i="52"/>
  <c r="H45" i="52"/>
  <c r="G45" i="52"/>
  <c r="F45" i="52"/>
  <c r="E45" i="52"/>
  <c r="D45" i="52"/>
  <c r="C45" i="52"/>
  <c r="B45" i="52"/>
  <c r="A45" i="52"/>
  <c r="J44" i="52"/>
  <c r="I44" i="52"/>
  <c r="H44" i="52"/>
  <c r="G44" i="52"/>
  <c r="F44" i="52"/>
  <c r="E44" i="52"/>
  <c r="D44" i="52"/>
  <c r="C44" i="52"/>
  <c r="B44" i="52"/>
  <c r="A44" i="52"/>
  <c r="J43" i="52"/>
  <c r="I43" i="52"/>
  <c r="H43" i="52"/>
  <c r="G43" i="52"/>
  <c r="F43" i="52"/>
  <c r="E43" i="52"/>
  <c r="D43" i="52"/>
  <c r="C43" i="52"/>
  <c r="B43" i="52"/>
  <c r="A43" i="52"/>
  <c r="J42" i="52"/>
  <c r="I42" i="52"/>
  <c r="H42" i="52"/>
  <c r="G42" i="52"/>
  <c r="F42" i="52"/>
  <c r="E42" i="52"/>
  <c r="D42" i="52"/>
  <c r="C42" i="52"/>
  <c r="B42" i="52"/>
  <c r="A42" i="52"/>
  <c r="J41" i="52"/>
  <c r="I41" i="52"/>
  <c r="H41" i="52"/>
  <c r="G41" i="52"/>
  <c r="F41" i="52"/>
  <c r="E41" i="52"/>
  <c r="D41" i="52"/>
  <c r="C41" i="52"/>
  <c r="B41" i="52"/>
  <c r="A41" i="52"/>
  <c r="J40" i="52"/>
  <c r="I40" i="52"/>
  <c r="H40" i="52"/>
  <c r="G40" i="52"/>
  <c r="F40" i="52"/>
  <c r="E40" i="52"/>
  <c r="D40" i="52"/>
  <c r="C40" i="52"/>
  <c r="B40" i="52"/>
  <c r="A40" i="52"/>
  <c r="J39" i="52"/>
  <c r="I39" i="52"/>
  <c r="H39" i="52"/>
  <c r="G39" i="52"/>
  <c r="F39" i="52"/>
  <c r="E39" i="52"/>
  <c r="D39" i="52"/>
  <c r="C39" i="52"/>
  <c r="B39" i="52"/>
  <c r="A39" i="52"/>
  <c r="J38" i="52"/>
  <c r="I38" i="52"/>
  <c r="H38" i="52"/>
  <c r="G38" i="52"/>
  <c r="F38" i="52"/>
  <c r="E38" i="52"/>
  <c r="D38" i="52"/>
  <c r="C38" i="52"/>
  <c r="B38" i="52"/>
  <c r="A38" i="52"/>
  <c r="J37" i="52"/>
  <c r="I37" i="52"/>
  <c r="H37" i="52"/>
  <c r="G37" i="52"/>
  <c r="F37" i="52"/>
  <c r="E37" i="52"/>
  <c r="D37" i="52"/>
  <c r="C37" i="52"/>
  <c r="B37" i="52"/>
  <c r="A37" i="52"/>
  <c r="J36" i="52"/>
  <c r="I36" i="52"/>
  <c r="H36" i="52"/>
  <c r="G36" i="52"/>
  <c r="F36" i="52"/>
  <c r="E36" i="52"/>
  <c r="D36" i="52"/>
  <c r="C36" i="52"/>
  <c r="B36" i="52"/>
  <c r="A36" i="52"/>
  <c r="J35" i="52"/>
  <c r="I35" i="52"/>
  <c r="H35" i="52"/>
  <c r="G35" i="52"/>
  <c r="F35" i="52"/>
  <c r="E35" i="52"/>
  <c r="D35" i="52"/>
  <c r="C35" i="52"/>
  <c r="B35" i="52"/>
  <c r="A35" i="52"/>
  <c r="J34" i="52"/>
  <c r="I34" i="52"/>
  <c r="H34" i="52"/>
  <c r="G34" i="52"/>
  <c r="F34" i="52"/>
  <c r="E34" i="52"/>
  <c r="D34" i="52"/>
  <c r="C34" i="52"/>
  <c r="B34" i="52"/>
  <c r="A34" i="52"/>
  <c r="J33" i="52"/>
  <c r="I33" i="52"/>
  <c r="H33" i="52"/>
  <c r="G33" i="52"/>
  <c r="F33" i="52"/>
  <c r="E33" i="52"/>
  <c r="D33" i="52"/>
  <c r="C33" i="52"/>
  <c r="B33" i="52"/>
  <c r="A33" i="52"/>
  <c r="J32" i="52"/>
  <c r="I32" i="52"/>
  <c r="H32" i="52"/>
  <c r="G32" i="52"/>
  <c r="F32" i="52"/>
  <c r="E32" i="52"/>
  <c r="D32" i="52"/>
  <c r="C32" i="52"/>
  <c r="B32" i="52"/>
  <c r="A32" i="52"/>
  <c r="J31" i="52"/>
  <c r="I31" i="52"/>
  <c r="H31" i="52"/>
  <c r="G31" i="52"/>
  <c r="F31" i="52"/>
  <c r="E31" i="52"/>
  <c r="D31" i="52"/>
  <c r="C31" i="52"/>
  <c r="B31" i="52"/>
  <c r="A31" i="52"/>
  <c r="J30" i="52"/>
  <c r="I30" i="52"/>
  <c r="H30" i="52"/>
  <c r="G30" i="52"/>
  <c r="F30" i="52"/>
  <c r="E30" i="52"/>
  <c r="D30" i="52"/>
  <c r="C30" i="52"/>
  <c r="B30" i="52"/>
  <c r="A30" i="52"/>
  <c r="J29" i="52"/>
  <c r="I29" i="52"/>
  <c r="H29" i="52"/>
  <c r="G29" i="52"/>
  <c r="F29" i="52"/>
  <c r="E29" i="52"/>
  <c r="D29" i="52"/>
  <c r="C29" i="52"/>
  <c r="B29" i="52"/>
  <c r="A29" i="52"/>
  <c r="J28" i="52"/>
  <c r="I28" i="52"/>
  <c r="H28" i="52"/>
  <c r="G28" i="52"/>
  <c r="F28" i="52"/>
  <c r="E28" i="52"/>
  <c r="D28" i="52"/>
  <c r="C28" i="52"/>
  <c r="B28" i="52"/>
  <c r="A28" i="52"/>
  <c r="J27" i="52"/>
  <c r="I27" i="52"/>
  <c r="H27" i="52"/>
  <c r="G27" i="52"/>
  <c r="F27" i="52"/>
  <c r="E27" i="52"/>
  <c r="D27" i="52"/>
  <c r="C27" i="52"/>
  <c r="B27" i="52"/>
  <c r="A27" i="52"/>
  <c r="J26" i="52"/>
  <c r="I26" i="52"/>
  <c r="H26" i="52"/>
  <c r="G26" i="52"/>
  <c r="F26" i="52"/>
  <c r="E26" i="52"/>
  <c r="D26" i="52"/>
  <c r="C26" i="52"/>
  <c r="B26" i="52"/>
  <c r="A26" i="52"/>
  <c r="J25" i="52"/>
  <c r="I25" i="52"/>
  <c r="H25" i="52"/>
  <c r="G25" i="52"/>
  <c r="F25" i="52"/>
  <c r="E25" i="52"/>
  <c r="D25" i="52"/>
  <c r="C25" i="52"/>
  <c r="B25" i="52"/>
  <c r="A25" i="52"/>
  <c r="J24" i="52"/>
  <c r="I24" i="52"/>
  <c r="H24" i="52"/>
  <c r="G24" i="52"/>
  <c r="F24" i="52"/>
  <c r="E24" i="52"/>
  <c r="D24" i="52"/>
  <c r="C24" i="52"/>
  <c r="B24" i="52"/>
  <c r="A24" i="52"/>
  <c r="J23" i="52"/>
  <c r="I23" i="52"/>
  <c r="H23" i="52"/>
  <c r="G23" i="52"/>
  <c r="F23" i="52"/>
  <c r="E23" i="52"/>
  <c r="D23" i="52"/>
  <c r="C23" i="52"/>
  <c r="B23" i="52"/>
  <c r="A23" i="52"/>
  <c r="J22" i="52"/>
  <c r="I22" i="52"/>
  <c r="H22" i="52"/>
  <c r="G22" i="52"/>
  <c r="F22" i="52"/>
  <c r="E22" i="52"/>
  <c r="D22" i="52"/>
  <c r="C22" i="52"/>
  <c r="B22" i="52"/>
  <c r="A22" i="52"/>
  <c r="J21" i="52"/>
  <c r="I21" i="52"/>
  <c r="H21" i="52"/>
  <c r="G21" i="52"/>
  <c r="F21" i="52"/>
  <c r="E21" i="52"/>
  <c r="D21" i="52"/>
  <c r="C21" i="52"/>
  <c r="B21" i="52"/>
  <c r="A21" i="52"/>
  <c r="J20" i="52"/>
  <c r="I20" i="52"/>
  <c r="H20" i="52"/>
  <c r="G20" i="52"/>
  <c r="F20" i="52"/>
  <c r="E20" i="52"/>
  <c r="D20" i="52"/>
  <c r="C20" i="52"/>
  <c r="B20" i="52"/>
  <c r="A20" i="52"/>
  <c r="J19" i="52"/>
  <c r="I19" i="52"/>
  <c r="H19" i="52"/>
  <c r="G19" i="52"/>
  <c r="F19" i="52"/>
  <c r="E19" i="52"/>
  <c r="D19" i="52"/>
  <c r="C19" i="52"/>
  <c r="B19" i="52"/>
  <c r="A19" i="52"/>
  <c r="J18" i="52"/>
  <c r="I18" i="52"/>
  <c r="H18" i="52"/>
  <c r="G18" i="52"/>
  <c r="F18" i="52"/>
  <c r="E18" i="52"/>
  <c r="D18" i="52"/>
  <c r="C18" i="52"/>
  <c r="B18" i="52"/>
  <c r="A18" i="52"/>
  <c r="J17" i="52"/>
  <c r="I17" i="52"/>
  <c r="H17" i="52"/>
  <c r="G17" i="52"/>
  <c r="F17" i="52"/>
  <c r="E17" i="52"/>
  <c r="D17" i="52"/>
  <c r="C17" i="52"/>
  <c r="B17" i="52"/>
  <c r="A17" i="52"/>
  <c r="J16" i="52"/>
  <c r="I16" i="52"/>
  <c r="H16" i="52"/>
  <c r="G16" i="52"/>
  <c r="F16" i="52"/>
  <c r="E16" i="52"/>
  <c r="D16" i="52"/>
  <c r="C16" i="52"/>
  <c r="B16" i="52"/>
  <c r="A16" i="52"/>
  <c r="J15" i="52"/>
  <c r="I15" i="52"/>
  <c r="H15" i="52"/>
  <c r="G15" i="52"/>
  <c r="F15" i="52"/>
  <c r="E15" i="52"/>
  <c r="D15" i="52"/>
  <c r="C15" i="52"/>
  <c r="B15" i="52"/>
  <c r="A15" i="52"/>
  <c r="J14" i="52"/>
  <c r="I14" i="52"/>
  <c r="H14" i="52"/>
  <c r="G14" i="52"/>
  <c r="F14" i="52"/>
  <c r="E14" i="52"/>
  <c r="D14" i="52"/>
  <c r="C14" i="52"/>
  <c r="B14" i="52"/>
  <c r="A14" i="52"/>
  <c r="J13" i="52"/>
  <c r="I13" i="52"/>
  <c r="H13" i="52"/>
  <c r="G13" i="52"/>
  <c r="F13" i="52"/>
  <c r="E13" i="52"/>
  <c r="D13" i="52"/>
  <c r="C13" i="52"/>
  <c r="B13" i="52"/>
  <c r="A13" i="52"/>
  <c r="J12" i="52"/>
  <c r="I12" i="52"/>
  <c r="H12" i="52"/>
  <c r="G12" i="52"/>
  <c r="F12" i="52"/>
  <c r="E12" i="52"/>
  <c r="D12" i="52"/>
  <c r="C12" i="52"/>
  <c r="B12" i="52"/>
  <c r="A12" i="52"/>
  <c r="J11" i="52"/>
  <c r="I11" i="52"/>
  <c r="H11" i="52"/>
  <c r="G11" i="52"/>
  <c r="F11" i="52"/>
  <c r="E11" i="52"/>
  <c r="D11" i="52"/>
  <c r="C11" i="52"/>
  <c r="B11" i="52"/>
  <c r="A11" i="52"/>
  <c r="J10" i="52"/>
  <c r="I10" i="52"/>
  <c r="H10" i="52"/>
  <c r="G10" i="52"/>
  <c r="F10" i="52"/>
  <c r="E10" i="52"/>
  <c r="D10" i="52"/>
  <c r="C10" i="52"/>
  <c r="B10" i="52"/>
  <c r="A10" i="52"/>
  <c r="J9" i="52"/>
  <c r="I9" i="52"/>
  <c r="H9" i="52"/>
  <c r="G9" i="52"/>
  <c r="F9" i="52"/>
  <c r="E9" i="52"/>
  <c r="D9" i="52"/>
  <c r="C9" i="52"/>
  <c r="B9" i="52"/>
  <c r="A9" i="52"/>
  <c r="J8" i="52"/>
  <c r="I8" i="52"/>
  <c r="H8" i="52"/>
  <c r="G8" i="52"/>
  <c r="F8" i="52"/>
  <c r="E8" i="52"/>
  <c r="D8" i="52"/>
  <c r="C8" i="52"/>
  <c r="B8" i="52"/>
  <c r="A8" i="52"/>
  <c r="J7" i="52"/>
  <c r="I7" i="52"/>
  <c r="H7" i="52"/>
  <c r="G7" i="52"/>
  <c r="F7" i="52"/>
  <c r="E7" i="52"/>
  <c r="D7" i="52"/>
  <c r="C7" i="52"/>
  <c r="B7" i="52"/>
  <c r="A7" i="52"/>
  <c r="J6" i="52"/>
  <c r="I6" i="52"/>
  <c r="H6" i="52"/>
  <c r="G6" i="52"/>
  <c r="F6" i="52"/>
  <c r="E6" i="52"/>
  <c r="D6" i="52"/>
  <c r="C6" i="52"/>
  <c r="B6" i="52"/>
  <c r="A6" i="52"/>
  <c r="J5" i="52"/>
  <c r="I5" i="52"/>
  <c r="H5" i="52"/>
  <c r="G5" i="52"/>
  <c r="F5" i="52"/>
  <c r="E5" i="52"/>
  <c r="D5" i="52"/>
  <c r="C5" i="52"/>
  <c r="B5" i="52"/>
  <c r="A5" i="52"/>
  <c r="J4" i="52"/>
  <c r="I4" i="52"/>
  <c r="H4" i="52"/>
  <c r="G4" i="52"/>
  <c r="F4" i="52"/>
  <c r="E4" i="52"/>
  <c r="D4" i="52"/>
  <c r="C4" i="52"/>
  <c r="B4" i="52"/>
  <c r="A4" i="52"/>
  <c r="J3" i="52"/>
  <c r="I3" i="52"/>
  <c r="H3" i="52"/>
  <c r="G3" i="52"/>
  <c r="F3" i="52"/>
  <c r="E3" i="52"/>
  <c r="D3" i="52"/>
  <c r="C3" i="52"/>
  <c r="B3" i="52"/>
  <c r="A3" i="52"/>
  <c r="J2" i="52"/>
  <c r="I2" i="52"/>
  <c r="H2" i="52"/>
  <c r="G2" i="52"/>
  <c r="F2" i="52"/>
  <c r="E2" i="52"/>
  <c r="D2" i="52"/>
  <c r="C2" i="52"/>
  <c r="B2" i="52"/>
  <c r="A2" i="52"/>
  <c r="B1" i="52"/>
  <c r="A1" i="52"/>
  <c r="N141" i="51"/>
  <c r="M141" i="51"/>
  <c r="K141" i="51"/>
  <c r="B141" i="51"/>
  <c r="A141" i="51"/>
  <c r="N140" i="51"/>
  <c r="M140" i="51"/>
  <c r="K140" i="51"/>
  <c r="B140" i="51"/>
  <c r="A140" i="51"/>
  <c r="N139" i="51"/>
  <c r="M139" i="51"/>
  <c r="K139" i="51"/>
  <c r="B139" i="51"/>
  <c r="A139" i="51"/>
  <c r="N138" i="51"/>
  <c r="M138" i="51"/>
  <c r="K138" i="51"/>
  <c r="B138" i="51"/>
  <c r="A138" i="51"/>
  <c r="N137" i="51"/>
  <c r="M137" i="51"/>
  <c r="K137" i="51"/>
  <c r="B137" i="51"/>
  <c r="A137" i="51"/>
  <c r="N136" i="51"/>
  <c r="M136" i="51"/>
  <c r="K136" i="51"/>
  <c r="B136" i="51"/>
  <c r="A136" i="51"/>
  <c r="N135" i="51"/>
  <c r="M135" i="51"/>
  <c r="K135" i="51"/>
  <c r="B135" i="51"/>
  <c r="A135" i="51"/>
  <c r="N134" i="51"/>
  <c r="M134" i="51"/>
  <c r="K134" i="51"/>
  <c r="B134" i="51"/>
  <c r="A134" i="51"/>
  <c r="N133" i="51"/>
  <c r="M133" i="51"/>
  <c r="K133" i="51"/>
  <c r="B133" i="51"/>
  <c r="A133" i="51"/>
  <c r="N132" i="51"/>
  <c r="M132" i="51"/>
  <c r="K132" i="51"/>
  <c r="B132" i="51"/>
  <c r="A132" i="51"/>
  <c r="N131" i="51"/>
  <c r="M131" i="51"/>
  <c r="K131" i="51"/>
  <c r="B131" i="51"/>
  <c r="A131" i="51"/>
  <c r="N130" i="51"/>
  <c r="M130" i="51"/>
  <c r="K130" i="51"/>
  <c r="B130" i="51"/>
  <c r="A130" i="51"/>
  <c r="N129" i="51"/>
  <c r="M129" i="51"/>
  <c r="K129" i="51"/>
  <c r="B129" i="51"/>
  <c r="A129" i="51"/>
  <c r="N128" i="51"/>
  <c r="M128" i="51"/>
  <c r="K128" i="51"/>
  <c r="B128" i="51"/>
  <c r="A128" i="51"/>
  <c r="N127" i="51"/>
  <c r="M127" i="51"/>
  <c r="K127" i="51"/>
  <c r="B127" i="51"/>
  <c r="A127" i="51"/>
  <c r="N126" i="51"/>
  <c r="M126" i="51"/>
  <c r="K126" i="51"/>
  <c r="B126" i="51"/>
  <c r="A126" i="51"/>
  <c r="N125" i="51"/>
  <c r="M125" i="51"/>
  <c r="K125" i="51"/>
  <c r="B125" i="51"/>
  <c r="A125" i="51"/>
  <c r="N124" i="51"/>
  <c r="M124" i="51"/>
  <c r="K124" i="51"/>
  <c r="B124" i="51"/>
  <c r="A124" i="51"/>
  <c r="N123" i="51"/>
  <c r="M123" i="51"/>
  <c r="K123" i="51"/>
  <c r="B123" i="51"/>
  <c r="A123" i="51"/>
  <c r="O122" i="51"/>
  <c r="N122" i="51"/>
  <c r="M122" i="51"/>
  <c r="K122" i="51"/>
  <c r="B122" i="51"/>
  <c r="A122" i="51"/>
  <c r="N121" i="51"/>
  <c r="M121" i="51"/>
  <c r="K121" i="51"/>
  <c r="B121" i="51"/>
  <c r="A121" i="51"/>
  <c r="N120" i="51"/>
  <c r="M120" i="51"/>
  <c r="K120" i="51"/>
  <c r="B120" i="51"/>
  <c r="A120" i="51"/>
  <c r="N119" i="51"/>
  <c r="M119" i="51"/>
  <c r="K119" i="51"/>
  <c r="B119" i="51"/>
  <c r="A119" i="51"/>
  <c r="N118" i="51"/>
  <c r="M118" i="51"/>
  <c r="K118" i="51"/>
  <c r="B118" i="51"/>
  <c r="A118" i="51"/>
  <c r="N117" i="51"/>
  <c r="M117" i="51"/>
  <c r="K117" i="51"/>
  <c r="B117" i="51"/>
  <c r="A117" i="51"/>
  <c r="N116" i="51"/>
  <c r="M116" i="51"/>
  <c r="K116" i="51"/>
  <c r="B116" i="51"/>
  <c r="A116" i="51"/>
  <c r="N115" i="51"/>
  <c r="M115" i="51"/>
  <c r="K115" i="51"/>
  <c r="B115" i="51"/>
  <c r="A115" i="51"/>
  <c r="N114" i="51"/>
  <c r="M114" i="51"/>
  <c r="K114" i="51"/>
  <c r="B114" i="51"/>
  <c r="A114" i="51"/>
  <c r="N113" i="51"/>
  <c r="M113" i="51"/>
  <c r="K113" i="51"/>
  <c r="B113" i="51"/>
  <c r="A113" i="51"/>
  <c r="N112" i="51"/>
  <c r="M112" i="51"/>
  <c r="K112" i="51"/>
  <c r="B112" i="51"/>
  <c r="A112" i="51"/>
  <c r="N111" i="51"/>
  <c r="M111" i="51"/>
  <c r="K111" i="51"/>
  <c r="B111" i="51"/>
  <c r="A111" i="51"/>
  <c r="N110" i="51"/>
  <c r="M110" i="51"/>
  <c r="K110" i="51"/>
  <c r="B110" i="51"/>
  <c r="A110" i="51"/>
  <c r="N109" i="51"/>
  <c r="M109" i="51"/>
  <c r="K109" i="51"/>
  <c r="B109" i="51"/>
  <c r="A109" i="51"/>
  <c r="N108" i="51"/>
  <c r="M108" i="51"/>
  <c r="K108" i="51"/>
  <c r="B108" i="51"/>
  <c r="A108" i="51"/>
  <c r="N107" i="51"/>
  <c r="M107" i="51"/>
  <c r="K107" i="51"/>
  <c r="B107" i="51"/>
  <c r="A107" i="51"/>
  <c r="N106" i="51"/>
  <c r="M106" i="51"/>
  <c r="K106" i="51"/>
  <c r="B106" i="51"/>
  <c r="A106" i="51"/>
  <c r="N105" i="51"/>
  <c r="M105" i="51"/>
  <c r="K105" i="51"/>
  <c r="B105" i="51"/>
  <c r="A105" i="51"/>
  <c r="N104" i="51"/>
  <c r="M104" i="51"/>
  <c r="K104" i="51"/>
  <c r="B104" i="51"/>
  <c r="A104" i="51"/>
  <c r="N103" i="51"/>
  <c r="M103" i="51"/>
  <c r="K103" i="51"/>
  <c r="B103" i="51"/>
  <c r="A103" i="51"/>
  <c r="O102" i="51"/>
  <c r="N102" i="51"/>
  <c r="M102" i="51"/>
  <c r="K102" i="51"/>
  <c r="B102" i="51"/>
  <c r="A102" i="51"/>
  <c r="N101" i="51"/>
  <c r="M101" i="51"/>
  <c r="K101" i="51"/>
  <c r="B101" i="51"/>
  <c r="A101" i="51"/>
  <c r="N100" i="51"/>
  <c r="M100" i="51"/>
  <c r="K100" i="51"/>
  <c r="B100" i="51"/>
  <c r="A100" i="51"/>
  <c r="N99" i="51"/>
  <c r="M99" i="51"/>
  <c r="K99" i="51"/>
  <c r="B99" i="51"/>
  <c r="A99" i="51"/>
  <c r="N98" i="51"/>
  <c r="M98" i="51"/>
  <c r="K98" i="51"/>
  <c r="B98" i="51"/>
  <c r="A98" i="51"/>
  <c r="N97" i="51"/>
  <c r="M97" i="51"/>
  <c r="K97" i="51"/>
  <c r="B97" i="51"/>
  <c r="A97" i="51"/>
  <c r="N96" i="51"/>
  <c r="M96" i="51"/>
  <c r="K96" i="51"/>
  <c r="B96" i="51"/>
  <c r="A96" i="51"/>
  <c r="N95" i="51"/>
  <c r="M95" i="51"/>
  <c r="K95" i="51"/>
  <c r="B95" i="51"/>
  <c r="A95" i="51"/>
  <c r="N94" i="51"/>
  <c r="M94" i="51"/>
  <c r="K94" i="51"/>
  <c r="B94" i="51"/>
  <c r="A94" i="51"/>
  <c r="N93" i="51"/>
  <c r="M93" i="51"/>
  <c r="K93" i="51"/>
  <c r="B93" i="51"/>
  <c r="A93" i="51"/>
  <c r="N92" i="51"/>
  <c r="M92" i="51"/>
  <c r="K92" i="51"/>
  <c r="B92" i="51"/>
  <c r="A92" i="51"/>
  <c r="N91" i="51"/>
  <c r="M91" i="51"/>
  <c r="K91" i="51"/>
  <c r="B91" i="51"/>
  <c r="A91" i="51"/>
  <c r="N90" i="51"/>
  <c r="M90" i="51"/>
  <c r="K90" i="51"/>
  <c r="B90" i="51"/>
  <c r="A90" i="51"/>
  <c r="N89" i="51"/>
  <c r="M89" i="51"/>
  <c r="K89" i="51"/>
  <c r="B89" i="51"/>
  <c r="A89" i="51"/>
  <c r="N88" i="51"/>
  <c r="M88" i="51"/>
  <c r="K88" i="51"/>
  <c r="B88" i="51"/>
  <c r="A88" i="51"/>
  <c r="N87" i="51"/>
  <c r="M87" i="51"/>
  <c r="K87" i="51"/>
  <c r="B87" i="51"/>
  <c r="A87" i="51"/>
  <c r="N86" i="51"/>
  <c r="M86" i="51"/>
  <c r="K86" i="51"/>
  <c r="B86" i="51"/>
  <c r="A86" i="51"/>
  <c r="N85" i="51"/>
  <c r="M85" i="51"/>
  <c r="K85" i="51"/>
  <c r="B85" i="51"/>
  <c r="A85" i="51"/>
  <c r="N84" i="51"/>
  <c r="M84" i="51"/>
  <c r="K84" i="51"/>
  <c r="B84" i="51"/>
  <c r="A84" i="51"/>
  <c r="N83" i="51"/>
  <c r="M83" i="51"/>
  <c r="K83" i="51"/>
  <c r="B83" i="51"/>
  <c r="A83" i="51"/>
  <c r="O82" i="51"/>
  <c r="N82" i="51"/>
  <c r="M82" i="51"/>
  <c r="K82" i="51"/>
  <c r="B82" i="51"/>
  <c r="A82" i="51"/>
  <c r="N81" i="51"/>
  <c r="M81" i="51"/>
  <c r="K81" i="51"/>
  <c r="B81" i="51"/>
  <c r="A81" i="51"/>
  <c r="N80" i="51"/>
  <c r="M80" i="51"/>
  <c r="K80" i="51"/>
  <c r="B80" i="51"/>
  <c r="A80" i="51"/>
  <c r="N79" i="51"/>
  <c r="M79" i="51"/>
  <c r="K79" i="51"/>
  <c r="B79" i="51"/>
  <c r="A79" i="51"/>
  <c r="N78" i="51"/>
  <c r="M78" i="51"/>
  <c r="K78" i="51"/>
  <c r="B78" i="51"/>
  <c r="A78" i="51"/>
  <c r="N77" i="51"/>
  <c r="M77" i="51"/>
  <c r="K77" i="51"/>
  <c r="B77" i="51"/>
  <c r="A77" i="51"/>
  <c r="N76" i="51"/>
  <c r="M76" i="51"/>
  <c r="K76" i="51"/>
  <c r="B76" i="51"/>
  <c r="A76" i="51"/>
  <c r="N75" i="51"/>
  <c r="M75" i="51"/>
  <c r="K75" i="51"/>
  <c r="B75" i="51"/>
  <c r="A75" i="51"/>
  <c r="N74" i="51"/>
  <c r="M74" i="51"/>
  <c r="K74" i="51"/>
  <c r="B74" i="51"/>
  <c r="A74" i="51"/>
  <c r="N73" i="51"/>
  <c r="M73" i="51"/>
  <c r="K73" i="51"/>
  <c r="B73" i="51"/>
  <c r="A73" i="51"/>
  <c r="N72" i="51"/>
  <c r="M72" i="51"/>
  <c r="K72" i="51"/>
  <c r="B72" i="51"/>
  <c r="A72" i="51"/>
  <c r="N71" i="51"/>
  <c r="M71" i="51"/>
  <c r="K71" i="51"/>
  <c r="B71" i="51"/>
  <c r="A71" i="51"/>
  <c r="N70" i="51"/>
  <c r="M70" i="51"/>
  <c r="K70" i="51"/>
  <c r="B70" i="51"/>
  <c r="A70" i="51"/>
  <c r="N69" i="51"/>
  <c r="M69" i="51"/>
  <c r="K69" i="51"/>
  <c r="B69" i="51"/>
  <c r="A69" i="51"/>
  <c r="N68" i="51"/>
  <c r="M68" i="51"/>
  <c r="K68" i="51"/>
  <c r="B68" i="51"/>
  <c r="A68" i="51"/>
  <c r="N67" i="51"/>
  <c r="M67" i="51"/>
  <c r="K67" i="51"/>
  <c r="B67" i="51"/>
  <c r="A67" i="51"/>
  <c r="N66" i="51"/>
  <c r="M66" i="51"/>
  <c r="K66" i="51"/>
  <c r="B66" i="51"/>
  <c r="A66" i="51"/>
  <c r="N65" i="51"/>
  <c r="M65" i="51"/>
  <c r="K65" i="51"/>
  <c r="B65" i="51"/>
  <c r="A65" i="51"/>
  <c r="N64" i="51"/>
  <c r="M64" i="51"/>
  <c r="K64" i="51"/>
  <c r="B64" i="51"/>
  <c r="A64" i="51"/>
  <c r="N63" i="51"/>
  <c r="M63" i="51"/>
  <c r="K63" i="51"/>
  <c r="B63" i="51"/>
  <c r="A63" i="51"/>
  <c r="O62" i="51"/>
  <c r="N62" i="51"/>
  <c r="M62" i="51"/>
  <c r="K62" i="51"/>
  <c r="B62" i="51"/>
  <c r="A62" i="51"/>
  <c r="N61" i="51"/>
  <c r="M61" i="51"/>
  <c r="K61" i="51"/>
  <c r="B61" i="51"/>
  <c r="A61" i="51"/>
  <c r="N60" i="51"/>
  <c r="M60" i="51"/>
  <c r="K60" i="51"/>
  <c r="B60" i="51"/>
  <c r="A60" i="51"/>
  <c r="N59" i="51"/>
  <c r="M59" i="51"/>
  <c r="K59" i="51"/>
  <c r="B59" i="51"/>
  <c r="A59" i="51"/>
  <c r="N58" i="51"/>
  <c r="M58" i="51"/>
  <c r="K58" i="51"/>
  <c r="B58" i="51"/>
  <c r="A58" i="51"/>
  <c r="N57" i="51"/>
  <c r="M57" i="51"/>
  <c r="K57" i="51"/>
  <c r="B57" i="51"/>
  <c r="A57" i="51"/>
  <c r="N56" i="51"/>
  <c r="M56" i="51"/>
  <c r="K56" i="51"/>
  <c r="B56" i="51"/>
  <c r="A56" i="51"/>
  <c r="N55" i="51"/>
  <c r="M55" i="51"/>
  <c r="K55" i="51"/>
  <c r="B55" i="51"/>
  <c r="A55" i="51"/>
  <c r="N54" i="51"/>
  <c r="M54" i="51"/>
  <c r="K54" i="51"/>
  <c r="B54" i="51"/>
  <c r="A54" i="51"/>
  <c r="N53" i="51"/>
  <c r="M53" i="51"/>
  <c r="K53" i="51"/>
  <c r="B53" i="51"/>
  <c r="A53" i="51"/>
  <c r="N52" i="51"/>
  <c r="M52" i="51"/>
  <c r="K52" i="51"/>
  <c r="B52" i="51"/>
  <c r="A52" i="51"/>
  <c r="N51" i="51"/>
  <c r="M51" i="51"/>
  <c r="K51" i="51"/>
  <c r="B51" i="51"/>
  <c r="A51" i="51"/>
  <c r="N50" i="51"/>
  <c r="M50" i="51"/>
  <c r="K50" i="51"/>
  <c r="B50" i="51"/>
  <c r="A50" i="51"/>
  <c r="N49" i="51"/>
  <c r="M49" i="51"/>
  <c r="K49" i="51"/>
  <c r="B49" i="51"/>
  <c r="A49" i="51"/>
  <c r="N48" i="51"/>
  <c r="M48" i="51"/>
  <c r="K48" i="51"/>
  <c r="B48" i="51"/>
  <c r="A48" i="51"/>
  <c r="N47" i="51"/>
  <c r="M47" i="51"/>
  <c r="K47" i="51"/>
  <c r="B47" i="51"/>
  <c r="A47" i="51"/>
  <c r="N46" i="51"/>
  <c r="M46" i="51"/>
  <c r="K46" i="51"/>
  <c r="B46" i="51"/>
  <c r="A46" i="51"/>
  <c r="N45" i="51"/>
  <c r="M45" i="51"/>
  <c r="K45" i="51"/>
  <c r="B45" i="51"/>
  <c r="A45" i="51"/>
  <c r="N44" i="51"/>
  <c r="M44" i="51"/>
  <c r="K44" i="51"/>
  <c r="B44" i="51"/>
  <c r="A44" i="51"/>
  <c r="N43" i="51"/>
  <c r="M43" i="51"/>
  <c r="K43" i="51"/>
  <c r="B43" i="51"/>
  <c r="A43" i="51"/>
  <c r="O42" i="51"/>
  <c r="N42" i="51"/>
  <c r="M42" i="51"/>
  <c r="K42" i="51"/>
  <c r="B42" i="51"/>
  <c r="A42" i="51"/>
  <c r="N41" i="51"/>
  <c r="M41" i="51"/>
  <c r="K41" i="51"/>
  <c r="B41" i="51"/>
  <c r="A41" i="51"/>
  <c r="N40" i="51"/>
  <c r="M40" i="51"/>
  <c r="K40" i="51"/>
  <c r="B40" i="51"/>
  <c r="A40" i="51"/>
  <c r="N39" i="51"/>
  <c r="M39" i="51"/>
  <c r="K39" i="51"/>
  <c r="B39" i="51"/>
  <c r="A39" i="51"/>
  <c r="N38" i="51"/>
  <c r="M38" i="51"/>
  <c r="K38" i="51"/>
  <c r="B38" i="51"/>
  <c r="A38" i="51"/>
  <c r="N37" i="51"/>
  <c r="M37" i="51"/>
  <c r="K37" i="51"/>
  <c r="B37" i="51"/>
  <c r="A37" i="51"/>
  <c r="N36" i="51"/>
  <c r="M36" i="51"/>
  <c r="K36" i="51"/>
  <c r="B36" i="51"/>
  <c r="A36" i="51"/>
  <c r="N35" i="51"/>
  <c r="M35" i="51"/>
  <c r="K35" i="51"/>
  <c r="B35" i="51"/>
  <c r="A35" i="51"/>
  <c r="N34" i="51"/>
  <c r="M34" i="51"/>
  <c r="K34" i="51"/>
  <c r="B34" i="51"/>
  <c r="A34" i="51"/>
  <c r="N33" i="51"/>
  <c r="M33" i="51"/>
  <c r="K33" i="51"/>
  <c r="B33" i="51"/>
  <c r="A33" i="51"/>
  <c r="N32" i="51"/>
  <c r="M32" i="51"/>
  <c r="K32" i="51"/>
  <c r="B32" i="51"/>
  <c r="A32" i="51"/>
  <c r="N31" i="51"/>
  <c r="M31" i="51"/>
  <c r="K31" i="51"/>
  <c r="B31" i="51"/>
  <c r="A31" i="51"/>
  <c r="N30" i="51"/>
  <c r="M30" i="51"/>
  <c r="K30" i="51"/>
  <c r="B30" i="51"/>
  <c r="A30" i="51"/>
  <c r="N29" i="51"/>
  <c r="M29" i="51"/>
  <c r="K29" i="51"/>
  <c r="B29" i="51"/>
  <c r="A29" i="51"/>
  <c r="N28" i="51"/>
  <c r="M28" i="51"/>
  <c r="K28" i="51"/>
  <c r="B28" i="51"/>
  <c r="A28" i="51"/>
  <c r="N27" i="51"/>
  <c r="M27" i="51"/>
  <c r="K27" i="51"/>
  <c r="B27" i="51"/>
  <c r="A27" i="51"/>
  <c r="N26" i="51"/>
  <c r="M26" i="51"/>
  <c r="K26" i="51"/>
  <c r="B26" i="51"/>
  <c r="A26" i="51"/>
  <c r="N25" i="51"/>
  <c r="M25" i="51"/>
  <c r="K25" i="51"/>
  <c r="B25" i="51"/>
  <c r="A25" i="51"/>
  <c r="N24" i="51"/>
  <c r="M24" i="51"/>
  <c r="K24" i="51"/>
  <c r="B24" i="51"/>
  <c r="A24" i="51"/>
  <c r="N23" i="51"/>
  <c r="M23" i="51"/>
  <c r="K23" i="51"/>
  <c r="B23" i="51"/>
  <c r="A23" i="51"/>
  <c r="O22" i="51"/>
  <c r="N22" i="51"/>
  <c r="M22" i="51"/>
  <c r="K22" i="51"/>
  <c r="B22" i="51"/>
  <c r="A22" i="51"/>
  <c r="N21" i="51"/>
  <c r="M21" i="51"/>
  <c r="K21" i="51"/>
  <c r="B21" i="51"/>
  <c r="A21" i="51"/>
  <c r="N20" i="51"/>
  <c r="M20" i="51"/>
  <c r="K20" i="51"/>
  <c r="B20" i="51"/>
  <c r="A20" i="51"/>
  <c r="N19" i="51"/>
  <c r="M19" i="51"/>
  <c r="K19" i="51"/>
  <c r="B19" i="51"/>
  <c r="A19" i="51"/>
  <c r="N18" i="51"/>
  <c r="M18" i="51"/>
  <c r="K18" i="51"/>
  <c r="B18" i="51"/>
  <c r="A18" i="51"/>
  <c r="N17" i="51"/>
  <c r="M17" i="51"/>
  <c r="K17" i="51"/>
  <c r="B17" i="51"/>
  <c r="A17" i="51"/>
  <c r="N16" i="51"/>
  <c r="M16" i="51"/>
  <c r="K16" i="51"/>
  <c r="B16" i="51"/>
  <c r="A16" i="51"/>
  <c r="N15" i="51"/>
  <c r="M15" i="51"/>
  <c r="K15" i="51"/>
  <c r="B15" i="51"/>
  <c r="A15" i="51"/>
  <c r="N14" i="51"/>
  <c r="M14" i="51"/>
  <c r="K14" i="51"/>
  <c r="B14" i="51"/>
  <c r="A14" i="51"/>
  <c r="N13" i="51"/>
  <c r="M13" i="51"/>
  <c r="K13" i="51"/>
  <c r="B13" i="51"/>
  <c r="A13" i="51"/>
  <c r="N12" i="51"/>
  <c r="M12" i="51"/>
  <c r="K12" i="51"/>
  <c r="B12" i="51"/>
  <c r="A12" i="51"/>
  <c r="N11" i="51"/>
  <c r="M11" i="51"/>
  <c r="K11" i="51"/>
  <c r="B11" i="51"/>
  <c r="A11" i="51"/>
  <c r="N10" i="51"/>
  <c r="M10" i="51"/>
  <c r="K10" i="51"/>
  <c r="B10" i="51"/>
  <c r="A10" i="51"/>
  <c r="N9" i="51"/>
  <c r="M9" i="51"/>
  <c r="K9" i="51"/>
  <c r="B9" i="51"/>
  <c r="A9" i="51"/>
  <c r="N8" i="51"/>
  <c r="M8" i="51"/>
  <c r="K8" i="51"/>
  <c r="B8" i="51"/>
  <c r="A8" i="51"/>
  <c r="N7" i="51"/>
  <c r="M7" i="51"/>
  <c r="K7" i="51"/>
  <c r="B7" i="51"/>
  <c r="A7" i="51"/>
  <c r="N6" i="51"/>
  <c r="M6" i="51"/>
  <c r="K6" i="51"/>
  <c r="B6" i="51"/>
  <c r="A6" i="51"/>
  <c r="N5" i="51"/>
  <c r="M5" i="51"/>
  <c r="K5" i="51"/>
  <c r="B5" i="51"/>
  <c r="A5" i="51"/>
  <c r="N4" i="51"/>
  <c r="M4" i="51"/>
  <c r="K4" i="51"/>
  <c r="B4" i="51"/>
  <c r="A4" i="51"/>
  <c r="N3" i="51"/>
  <c r="M3" i="51"/>
  <c r="K3" i="51"/>
  <c r="B3" i="51"/>
  <c r="A3" i="51"/>
  <c r="O2" i="51"/>
  <c r="N2" i="51"/>
  <c r="M2" i="51"/>
  <c r="K2" i="51"/>
  <c r="B2" i="51"/>
  <c r="A2" i="51"/>
  <c r="B1" i="51"/>
  <c r="A1" i="51"/>
  <c r="U52" i="44"/>
  <c r="V52" i="44"/>
  <c r="U53" i="44"/>
  <c r="V53" i="44"/>
  <c r="U54" i="44"/>
  <c r="V54" i="44"/>
  <c r="U55" i="44"/>
  <c r="V55" i="44"/>
  <c r="U56" i="44"/>
  <c r="V56" i="44"/>
  <c r="U57" i="44"/>
  <c r="V57" i="44"/>
  <c r="U58" i="44"/>
  <c r="V58" i="44"/>
  <c r="U59" i="44"/>
  <c r="V59" i="44"/>
  <c r="U60" i="44"/>
  <c r="V60" i="44"/>
  <c r="U61" i="44"/>
  <c r="V61" i="44"/>
  <c r="U62" i="44"/>
  <c r="V62" i="44"/>
  <c r="U63" i="44"/>
  <c r="V63" i="44"/>
  <c r="U64" i="44"/>
  <c r="V64" i="44"/>
  <c r="BM29" i="50"/>
  <c r="BM30" i="50"/>
  <c r="BM31" i="50"/>
  <c r="BM32" i="50"/>
  <c r="BM33" i="50"/>
  <c r="BM34" i="50"/>
  <c r="BM35" i="50"/>
  <c r="BM36" i="50"/>
  <c r="BN36" i="50" s="1"/>
  <c r="BM37" i="50"/>
  <c r="BM38" i="50"/>
  <c r="BM39" i="50"/>
  <c r="BM40" i="50"/>
  <c r="BM41" i="50"/>
  <c r="BM42" i="50"/>
  <c r="BM43" i="50"/>
  <c r="BN43" i="50" s="1"/>
  <c r="BM44" i="50"/>
  <c r="BN44" i="50" s="1"/>
  <c r="BM45" i="50"/>
  <c r="BM46" i="50"/>
  <c r="BM47" i="50"/>
  <c r="BM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28" i="50"/>
  <c r="AV4" i="50"/>
  <c r="AW4" i="50"/>
  <c r="AW5" i="50" s="1"/>
  <c r="AW6" i="50" s="1"/>
  <c r="AW7" i="50" s="1"/>
  <c r="AW8" i="50" s="1"/>
  <c r="AW9" i="50" s="1"/>
  <c r="AW10" i="50" s="1"/>
  <c r="AW11" i="50" s="1"/>
  <c r="AW12" i="50" s="1"/>
  <c r="AW13" i="50" s="1"/>
  <c r="AW14" i="50" s="1"/>
  <c r="AW15" i="50" s="1"/>
  <c r="AW16" i="50" s="1"/>
  <c r="AW17" i="50" s="1"/>
  <c r="AW18" i="50" s="1"/>
  <c r="AW19" i="50" s="1"/>
  <c r="AW20" i="50" s="1"/>
  <c r="AW21" i="50" s="1"/>
  <c r="AW22" i="50" s="1"/>
  <c r="AW23" i="50" s="1"/>
  <c r="AX4" i="50"/>
  <c r="AY4" i="50"/>
  <c r="AY5" i="50" s="1"/>
  <c r="AY6" i="50" s="1"/>
  <c r="AY7" i="50" s="1"/>
  <c r="AY8" i="50" s="1"/>
  <c r="AY9" i="50" s="1"/>
  <c r="AY10" i="50" s="1"/>
  <c r="AY11" i="50" s="1"/>
  <c r="AY12" i="50" s="1"/>
  <c r="AY13" i="50" s="1"/>
  <c r="AY14" i="50" s="1"/>
  <c r="AY15" i="50" s="1"/>
  <c r="AY16" i="50" s="1"/>
  <c r="AY17" i="50" s="1"/>
  <c r="AY18" i="50" s="1"/>
  <c r="AY19" i="50" s="1"/>
  <c r="AY20" i="50" s="1"/>
  <c r="AY21" i="50" s="1"/>
  <c r="AY22" i="50" s="1"/>
  <c r="AY23" i="50" s="1"/>
  <c r="AZ4" i="50"/>
  <c r="BA4" i="50"/>
  <c r="AU4" i="50"/>
  <c r="L4" i="50"/>
  <c r="N4" i="50"/>
  <c r="O4" i="50"/>
  <c r="C4" i="50"/>
  <c r="B4" i="50"/>
  <c r="V75" i="50"/>
  <c r="U75" i="50"/>
  <c r="U75" i="50" a="1"/>
  <c r="E75" i="50"/>
  <c r="C75" i="50"/>
  <c r="B75" i="50" a="1"/>
  <c r="B75" i="50" s="1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K71" i="50"/>
  <c r="BJ71" i="50"/>
  <c r="BI71" i="50"/>
  <c r="CA70" i="50"/>
  <c r="BZ70" i="50"/>
  <c r="BY70" i="50"/>
  <c r="BX70" i="50"/>
  <c r="BW70" i="50"/>
  <c r="BV70" i="50"/>
  <c r="BU70" i="50"/>
  <c r="BT70" i="50"/>
  <c r="BS70" i="50"/>
  <c r="BR70" i="50"/>
  <c r="BQ70" i="50"/>
  <c r="BP70" i="50"/>
  <c r="BO70" i="50"/>
  <c r="BN70" i="50"/>
  <c r="BM70" i="50"/>
  <c r="BL70" i="50"/>
  <c r="BK70" i="50"/>
  <c r="BJ70" i="50"/>
  <c r="BI70" i="50"/>
  <c r="CA57" i="50"/>
  <c r="BZ57" i="50"/>
  <c r="BY57" i="50"/>
  <c r="BX57" i="50"/>
  <c r="BW57" i="50"/>
  <c r="BV57" i="50"/>
  <c r="BU57" i="50"/>
  <c r="BT57" i="50"/>
  <c r="BS57" i="50"/>
  <c r="BR57" i="50"/>
  <c r="BQ57" i="50"/>
  <c r="BP57" i="50"/>
  <c r="BO57" i="50"/>
  <c r="BN57" i="50"/>
  <c r="BM57" i="50"/>
  <c r="BL57" i="50"/>
  <c r="BK57" i="50"/>
  <c r="BJ57" i="50"/>
  <c r="CA56" i="50"/>
  <c r="BZ56" i="50"/>
  <c r="BY56" i="50"/>
  <c r="BX56" i="50"/>
  <c r="BW56" i="50"/>
  <c r="BV56" i="50"/>
  <c r="BU56" i="50"/>
  <c r="BT56" i="50"/>
  <c r="BS56" i="50"/>
  <c r="BR56" i="50"/>
  <c r="BQ56" i="50"/>
  <c r="BP56" i="50"/>
  <c r="BO56" i="50"/>
  <c r="BN56" i="50"/>
  <c r="BM56" i="50"/>
  <c r="BL56" i="50"/>
  <c r="BK56" i="50"/>
  <c r="BJ56" i="50"/>
  <c r="BI56" i="50"/>
  <c r="AL55" i="50"/>
  <c r="AL56" i="50" s="1"/>
  <c r="AL57" i="50" s="1"/>
  <c r="AL58" i="50" s="1"/>
  <c r="AL59" i="50" s="1"/>
  <c r="AL60" i="50" s="1"/>
  <c r="AL61" i="50" s="1"/>
  <c r="AL62" i="50" s="1"/>
  <c r="AL63" i="50" s="1"/>
  <c r="AL64" i="50" s="1"/>
  <c r="AL65" i="50" s="1"/>
  <c r="AL66" i="50" s="1"/>
  <c r="AL67" i="50" s="1"/>
  <c r="AL68" i="50" s="1"/>
  <c r="AL69" i="50" s="1"/>
  <c r="AL70" i="50" s="1"/>
  <c r="AL71" i="50" s="1"/>
  <c r="AL54" i="50"/>
  <c r="AP51" i="50"/>
  <c r="AO51" i="50" a="1"/>
  <c r="AO51" i="50" s="1"/>
  <c r="V51" i="50"/>
  <c r="U51" i="50" a="1"/>
  <c r="U51" i="50" s="1"/>
  <c r="C51" i="50"/>
  <c r="B51" i="50" a="1"/>
  <c r="B51" i="50" s="1"/>
  <c r="BN47" i="50"/>
  <c r="BQ47" i="50" s="1"/>
  <c r="BN46" i="50"/>
  <c r="BQ46" i="50" s="1"/>
  <c r="BN45" i="50"/>
  <c r="BT45" i="50" s="1"/>
  <c r="BN42" i="50"/>
  <c r="BT42" i="50" s="1"/>
  <c r="BN41" i="50"/>
  <c r="BN40" i="50"/>
  <c r="BN39" i="50"/>
  <c r="BQ38" i="50"/>
  <c r="BN38" i="50"/>
  <c r="BT38" i="50" s="1"/>
  <c r="BN37" i="50"/>
  <c r="BQ37" i="50" s="1"/>
  <c r="BH36" i="50"/>
  <c r="BN35" i="50"/>
  <c r="BT35" i="50" s="1"/>
  <c r="BH35" i="50"/>
  <c r="BQ34" i="50"/>
  <c r="BN34" i="50"/>
  <c r="BT34" i="50" s="1"/>
  <c r="BH34" i="50"/>
  <c r="BT33" i="50"/>
  <c r="BN33" i="50"/>
  <c r="BQ33" i="50" s="1"/>
  <c r="BN32" i="50"/>
  <c r="BZ31" i="50"/>
  <c r="BZ32" i="50" s="1"/>
  <c r="BZ33" i="50" s="1"/>
  <c r="BZ34" i="50" s="1"/>
  <c r="BZ35" i="50" s="1"/>
  <c r="BZ36" i="50" s="1"/>
  <c r="BZ37" i="50" s="1"/>
  <c r="BZ38" i="50" s="1"/>
  <c r="BZ39" i="50" s="1"/>
  <c r="BZ40" i="50" s="1"/>
  <c r="BZ41" i="50" s="1"/>
  <c r="BZ42" i="50" s="1"/>
  <c r="BZ43" i="50" s="1"/>
  <c r="BZ44" i="50" s="1"/>
  <c r="BZ45" i="50" s="1"/>
  <c r="BZ46" i="50" s="1"/>
  <c r="BZ47" i="50" s="1"/>
  <c r="BT31" i="50"/>
  <c r="BN31" i="50"/>
  <c r="BQ31" i="50" s="1"/>
  <c r="BH31" i="50"/>
  <c r="BN30" i="50"/>
  <c r="BQ30" i="50" s="1"/>
  <c r="BH30" i="50"/>
  <c r="BZ29" i="50"/>
  <c r="BZ30" i="50" s="1"/>
  <c r="BN29" i="50"/>
  <c r="BT29" i="50" s="1"/>
  <c r="BT28" i="50"/>
  <c r="BN28" i="50"/>
  <c r="BQ28" i="50" s="1"/>
  <c r="BM27" i="50"/>
  <c r="AT27" i="50"/>
  <c r="AS27" i="50"/>
  <c r="AR27" i="50"/>
  <c r="AQ27" i="50" a="1"/>
  <c r="AQ27" i="50" s="1"/>
  <c r="AI27" i="50"/>
  <c r="X27" i="50"/>
  <c r="C27" i="50"/>
  <c r="B27" i="50"/>
  <c r="B27" i="50" a="1"/>
  <c r="BA5" i="50"/>
  <c r="BA6" i="50" s="1"/>
  <c r="BA7" i="50" s="1"/>
  <c r="BA8" i="50" s="1"/>
  <c r="BA9" i="50" s="1"/>
  <c r="BA10" i="50" s="1"/>
  <c r="BA11" i="50" s="1"/>
  <c r="BA12" i="50" s="1"/>
  <c r="BA13" i="50" s="1"/>
  <c r="BA14" i="50" s="1"/>
  <c r="BA15" i="50" s="1"/>
  <c r="BA16" i="50" s="1"/>
  <c r="BA17" i="50" s="1"/>
  <c r="BA18" i="50" s="1"/>
  <c r="BA19" i="50" s="1"/>
  <c r="BA20" i="50" s="1"/>
  <c r="BA21" i="50" s="1"/>
  <c r="BA22" i="50" s="1"/>
  <c r="BA23" i="50" s="1"/>
  <c r="AZ5" i="50"/>
  <c r="AZ6" i="50" s="1"/>
  <c r="AZ7" i="50" s="1"/>
  <c r="AZ8" i="50" s="1"/>
  <c r="AZ9" i="50" s="1"/>
  <c r="AZ10" i="50" s="1"/>
  <c r="AZ11" i="50" s="1"/>
  <c r="AZ12" i="50" s="1"/>
  <c r="AZ13" i="50" s="1"/>
  <c r="AZ14" i="50" s="1"/>
  <c r="AZ15" i="50" s="1"/>
  <c r="AZ16" i="50" s="1"/>
  <c r="AZ17" i="50" s="1"/>
  <c r="AZ18" i="50" s="1"/>
  <c r="AZ19" i="50" s="1"/>
  <c r="AZ20" i="50" s="1"/>
  <c r="AZ21" i="50" s="1"/>
  <c r="AZ22" i="50" s="1"/>
  <c r="AZ23" i="50" s="1"/>
  <c r="N5" i="50"/>
  <c r="L5" i="50"/>
  <c r="L6" i="50" s="1"/>
  <c r="AX5" i="50"/>
  <c r="AX6" i="50" s="1"/>
  <c r="AX7" i="50" s="1"/>
  <c r="AX8" i="50" s="1"/>
  <c r="AX9" i="50" s="1"/>
  <c r="AX10" i="50" s="1"/>
  <c r="AX11" i="50" s="1"/>
  <c r="AX12" i="50" s="1"/>
  <c r="AX13" i="50" s="1"/>
  <c r="AX14" i="50" s="1"/>
  <c r="AX15" i="50" s="1"/>
  <c r="AX16" i="50" s="1"/>
  <c r="AX17" i="50" s="1"/>
  <c r="AX18" i="50" s="1"/>
  <c r="AX19" i="50" s="1"/>
  <c r="AX20" i="50" s="1"/>
  <c r="AX21" i="50" s="1"/>
  <c r="AX22" i="50" s="1"/>
  <c r="AX23" i="50" s="1"/>
  <c r="BD4" i="50"/>
  <c r="AU5" i="50"/>
  <c r="AJ4" i="50"/>
  <c r="V4" i="50"/>
  <c r="AP4" i="50" s="1"/>
  <c r="BI4" i="50" s="1"/>
  <c r="O5" i="50"/>
  <c r="B5" i="50"/>
  <c r="AR3" i="50"/>
  <c r="AP3" i="50"/>
  <c r="AO3" i="50" a="1"/>
  <c r="AO3" i="50" s="1"/>
  <c r="BH3" i="50" s="1" a="1"/>
  <c r="V3" i="50"/>
  <c r="U3" i="50" a="1"/>
  <c r="U3" i="50" s="1"/>
  <c r="I3" i="50"/>
  <c r="B3" i="50"/>
  <c r="B3" i="50" a="1"/>
  <c r="C3" i="50" s="1"/>
  <c r="BM29" i="49"/>
  <c r="BM30" i="49"/>
  <c r="BM31" i="49"/>
  <c r="BM32" i="49"/>
  <c r="BM33" i="49"/>
  <c r="BM34" i="49"/>
  <c r="BM35" i="49"/>
  <c r="BN35" i="49" s="1"/>
  <c r="BT35" i="49" s="1"/>
  <c r="BM36" i="49"/>
  <c r="BN36" i="49" s="1"/>
  <c r="BT36" i="49" s="1"/>
  <c r="BM37" i="49"/>
  <c r="BM38" i="49"/>
  <c r="BM39" i="49"/>
  <c r="BM40" i="49"/>
  <c r="BM41" i="49"/>
  <c r="BN41" i="49" s="1"/>
  <c r="BM42" i="49"/>
  <c r="BN42" i="49" s="1"/>
  <c r="BM43" i="49"/>
  <c r="BM44" i="49"/>
  <c r="BN44" i="49" s="1"/>
  <c r="BM45" i="49"/>
  <c r="BM46" i="49"/>
  <c r="BM47" i="49"/>
  <c r="BM28" i="49"/>
  <c r="R29" i="49"/>
  <c r="R30" i="49"/>
  <c r="R31" i="49"/>
  <c r="R32" i="49"/>
  <c r="R33" i="49"/>
  <c r="R34" i="49"/>
  <c r="R35" i="49"/>
  <c r="R36" i="49"/>
  <c r="R37" i="49"/>
  <c r="R38" i="49"/>
  <c r="R39" i="49"/>
  <c r="R40" i="49"/>
  <c r="R41" i="49"/>
  <c r="R42" i="49"/>
  <c r="R43" i="49"/>
  <c r="R44" i="49"/>
  <c r="R45" i="49"/>
  <c r="R46" i="49"/>
  <c r="R47" i="49"/>
  <c r="R28" i="49"/>
  <c r="AU5" i="49"/>
  <c r="AU6" i="49" s="1"/>
  <c r="AU7" i="49" s="1"/>
  <c r="AU8" i="49" s="1"/>
  <c r="AU9" i="49" s="1"/>
  <c r="AU10" i="49" s="1"/>
  <c r="AU11" i="49" s="1"/>
  <c r="AU12" i="49" s="1"/>
  <c r="AU13" i="49" s="1"/>
  <c r="AU14" i="49" s="1"/>
  <c r="AU15" i="49" s="1"/>
  <c r="AU16" i="49" s="1"/>
  <c r="AU17" i="49" s="1"/>
  <c r="AU18" i="49" s="1"/>
  <c r="AU19" i="49" s="1"/>
  <c r="AU20" i="49" s="1"/>
  <c r="AU21" i="49" s="1"/>
  <c r="AU22" i="49" s="1"/>
  <c r="AU23" i="49" s="1"/>
  <c r="AV5" i="49"/>
  <c r="AV6" i="49" s="1"/>
  <c r="AV7" i="49" s="1"/>
  <c r="AV8" i="49" s="1"/>
  <c r="AV9" i="49" s="1"/>
  <c r="AV10" i="49" s="1"/>
  <c r="AV11" i="49" s="1"/>
  <c r="AV12" i="49" s="1"/>
  <c r="AV13" i="49" s="1"/>
  <c r="AV14" i="49" s="1"/>
  <c r="AV15" i="49" s="1"/>
  <c r="AV16" i="49" s="1"/>
  <c r="AV17" i="49" s="1"/>
  <c r="AV18" i="49" s="1"/>
  <c r="AV19" i="49" s="1"/>
  <c r="AV20" i="49" s="1"/>
  <c r="AV21" i="49" s="1"/>
  <c r="AV22" i="49" s="1"/>
  <c r="AV23" i="49" s="1"/>
  <c r="AW5" i="49"/>
  <c r="AW6" i="49" s="1"/>
  <c r="AW7" i="49" s="1"/>
  <c r="AW8" i="49" s="1"/>
  <c r="AW9" i="49" s="1"/>
  <c r="AW10" i="49" s="1"/>
  <c r="AW11" i="49" s="1"/>
  <c r="AW12" i="49" s="1"/>
  <c r="AW13" i="49" s="1"/>
  <c r="AW14" i="49" s="1"/>
  <c r="AW15" i="49" s="1"/>
  <c r="AW16" i="49" s="1"/>
  <c r="AW17" i="49" s="1"/>
  <c r="AW18" i="49" s="1"/>
  <c r="AW19" i="49" s="1"/>
  <c r="AW20" i="49" s="1"/>
  <c r="AW21" i="49" s="1"/>
  <c r="AW22" i="49" s="1"/>
  <c r="AW23" i="49" s="1"/>
  <c r="AX5" i="49"/>
  <c r="AX6" i="49" s="1"/>
  <c r="AX7" i="49" s="1"/>
  <c r="AX8" i="49" s="1"/>
  <c r="AX9" i="49" s="1"/>
  <c r="AX10" i="49" s="1"/>
  <c r="AX11" i="49" s="1"/>
  <c r="AX12" i="49" s="1"/>
  <c r="AX13" i="49" s="1"/>
  <c r="AX14" i="49" s="1"/>
  <c r="AX15" i="49" s="1"/>
  <c r="AX16" i="49" s="1"/>
  <c r="AX17" i="49" s="1"/>
  <c r="AX18" i="49" s="1"/>
  <c r="AX19" i="49" s="1"/>
  <c r="AX20" i="49" s="1"/>
  <c r="AX21" i="49" s="1"/>
  <c r="AX22" i="49" s="1"/>
  <c r="AX23" i="49" s="1"/>
  <c r="AY5" i="49"/>
  <c r="AY6" i="49" s="1"/>
  <c r="AY7" i="49" s="1"/>
  <c r="AY8" i="49" s="1"/>
  <c r="AY9" i="49" s="1"/>
  <c r="AY10" i="49" s="1"/>
  <c r="AY11" i="49" s="1"/>
  <c r="AY12" i="49" s="1"/>
  <c r="AY13" i="49" s="1"/>
  <c r="AY14" i="49" s="1"/>
  <c r="AY15" i="49" s="1"/>
  <c r="AY16" i="49" s="1"/>
  <c r="AY17" i="49" s="1"/>
  <c r="AY18" i="49" s="1"/>
  <c r="AY19" i="49" s="1"/>
  <c r="AY20" i="49" s="1"/>
  <c r="AY21" i="49" s="1"/>
  <c r="AY22" i="49" s="1"/>
  <c r="AY23" i="49" s="1"/>
  <c r="AZ5" i="49"/>
  <c r="AZ6" i="49" s="1"/>
  <c r="AZ7" i="49" s="1"/>
  <c r="AZ8" i="49" s="1"/>
  <c r="AZ9" i="49" s="1"/>
  <c r="AZ10" i="49" s="1"/>
  <c r="AZ11" i="49" s="1"/>
  <c r="AZ12" i="49" s="1"/>
  <c r="AZ13" i="49" s="1"/>
  <c r="AZ14" i="49" s="1"/>
  <c r="AZ15" i="49" s="1"/>
  <c r="AZ16" i="49" s="1"/>
  <c r="AZ17" i="49" s="1"/>
  <c r="AZ18" i="49" s="1"/>
  <c r="AZ19" i="49" s="1"/>
  <c r="AZ20" i="49" s="1"/>
  <c r="AZ21" i="49" s="1"/>
  <c r="AZ22" i="49" s="1"/>
  <c r="AZ23" i="49" s="1"/>
  <c r="BA5" i="49"/>
  <c r="BA6" i="49" s="1"/>
  <c r="BA7" i="49" s="1"/>
  <c r="BA8" i="49" s="1"/>
  <c r="BA9" i="49" s="1"/>
  <c r="BA10" i="49" s="1"/>
  <c r="BA11" i="49" s="1"/>
  <c r="BA12" i="49" s="1"/>
  <c r="BA13" i="49" s="1"/>
  <c r="BA14" i="49" s="1"/>
  <c r="BA15" i="49" s="1"/>
  <c r="BA16" i="49" s="1"/>
  <c r="BA17" i="49" s="1"/>
  <c r="BA18" i="49" s="1"/>
  <c r="BA19" i="49" s="1"/>
  <c r="BA20" i="49" s="1"/>
  <c r="BA21" i="49" s="1"/>
  <c r="BA22" i="49" s="1"/>
  <c r="BA23" i="49" s="1"/>
  <c r="BA4" i="49"/>
  <c r="AV4" i="49"/>
  <c r="AW4" i="49"/>
  <c r="AX4" i="49"/>
  <c r="AY4" i="49"/>
  <c r="AZ4" i="49"/>
  <c r="AU4" i="49"/>
  <c r="L4" i="49"/>
  <c r="N4" i="49"/>
  <c r="O4" i="49"/>
  <c r="C4" i="49"/>
  <c r="B4" i="49"/>
  <c r="B5" i="49" s="1"/>
  <c r="U75" i="49"/>
  <c r="U75" i="49" a="1"/>
  <c r="V75" i="49" s="1"/>
  <c r="C75" i="49"/>
  <c r="B75" i="49"/>
  <c r="B75" i="49" a="1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AL54" i="49"/>
  <c r="AL55" i="49" s="1"/>
  <c r="AL56" i="49" s="1"/>
  <c r="AL57" i="49" s="1"/>
  <c r="AL58" i="49" s="1"/>
  <c r="AL59" i="49" s="1"/>
  <c r="AL60" i="49" s="1"/>
  <c r="AL61" i="49" s="1"/>
  <c r="AL62" i="49" s="1"/>
  <c r="AL63" i="49" s="1"/>
  <c r="AL64" i="49" s="1"/>
  <c r="AL65" i="49" s="1"/>
  <c r="AL66" i="49" s="1"/>
  <c r="AL67" i="49" s="1"/>
  <c r="AL68" i="49" s="1"/>
  <c r="AL69" i="49" s="1"/>
  <c r="AL70" i="49" s="1"/>
  <c r="AL71" i="49" s="1"/>
  <c r="AP51" i="49"/>
  <c r="AO51" i="49" a="1"/>
  <c r="AO51" i="49" s="1"/>
  <c r="W51" i="49" a="1"/>
  <c r="U51" i="49" a="1"/>
  <c r="V51" i="49" s="1"/>
  <c r="C51" i="49"/>
  <c r="B51" i="49"/>
  <c r="B51" i="49" a="1"/>
  <c r="BN47" i="49"/>
  <c r="BQ47" i="49" s="1"/>
  <c r="BN46" i="49"/>
  <c r="BN45" i="49"/>
  <c r="BN43" i="49"/>
  <c r="BN40" i="49"/>
  <c r="BT40" i="49" s="1"/>
  <c r="BN39" i="49"/>
  <c r="BN38" i="49"/>
  <c r="BZ37" i="49"/>
  <c r="BZ38" i="49" s="1"/>
  <c r="BZ39" i="49" s="1"/>
  <c r="BZ40" i="49" s="1"/>
  <c r="BZ41" i="49" s="1"/>
  <c r="BZ42" i="49" s="1"/>
  <c r="BZ43" i="49" s="1"/>
  <c r="BZ44" i="49" s="1"/>
  <c r="BZ45" i="49" s="1"/>
  <c r="BZ46" i="49" s="1"/>
  <c r="BZ47" i="49" s="1"/>
  <c r="BN37" i="49"/>
  <c r="BH36" i="49"/>
  <c r="BH35" i="49"/>
  <c r="BN34" i="49"/>
  <c r="BQ34" i="49" s="1"/>
  <c r="BH34" i="49"/>
  <c r="BN33" i="49"/>
  <c r="BT33" i="49" s="1"/>
  <c r="BN32" i="49"/>
  <c r="BT32" i="49" s="1"/>
  <c r="BZ31" i="49"/>
  <c r="BZ32" i="49" s="1"/>
  <c r="BZ33" i="49" s="1"/>
  <c r="BZ34" i="49" s="1"/>
  <c r="BZ35" i="49" s="1"/>
  <c r="BZ36" i="49" s="1"/>
  <c r="BN31" i="49"/>
  <c r="BH31" i="49"/>
  <c r="BN30" i="49"/>
  <c r="BQ30" i="49" s="1"/>
  <c r="BH30" i="49"/>
  <c r="BZ29" i="49"/>
  <c r="BZ30" i="49" s="1"/>
  <c r="BN29" i="49"/>
  <c r="BX28" i="49"/>
  <c r="BN28" i="49"/>
  <c r="BM27" i="49"/>
  <c r="AQ27" i="49" a="1"/>
  <c r="D27" i="49" a="1"/>
  <c r="B27" i="49" a="1"/>
  <c r="AJ4" i="49"/>
  <c r="C5" i="49"/>
  <c r="U4" i="49"/>
  <c r="AO4" i="49" s="1"/>
  <c r="BH4" i="49" s="1"/>
  <c r="BI3" i="49"/>
  <c r="BA3" i="49"/>
  <c r="AQ3" i="49" a="1"/>
  <c r="AP3" i="49"/>
  <c r="AO3" i="49"/>
  <c r="BH3" i="49" s="1" a="1"/>
  <c r="BH3" i="49" s="1"/>
  <c r="AO3" i="49" a="1"/>
  <c r="AB3" i="49"/>
  <c r="U3" i="49"/>
  <c r="U3" i="49" a="1"/>
  <c r="V3" i="49" s="1"/>
  <c r="B3" i="49" a="1"/>
  <c r="C3" i="49" s="1"/>
  <c r="AF51" i="50" l="1"/>
  <c r="AD51" i="50"/>
  <c r="M75" i="50"/>
  <c r="J75" i="50"/>
  <c r="D75" i="50"/>
  <c r="BB3" i="50"/>
  <c r="BD3" i="50"/>
  <c r="AU3" i="50"/>
  <c r="BC3" i="50"/>
  <c r="AZ3" i="50"/>
  <c r="AW3" i="50"/>
  <c r="AV3" i="50"/>
  <c r="AF3" i="49"/>
  <c r="Z3" i="49"/>
  <c r="Y3" i="49"/>
  <c r="AJ3" i="49"/>
  <c r="AG3" i="49"/>
  <c r="AI3" i="49"/>
  <c r="AH3" i="49"/>
  <c r="AA3" i="49"/>
  <c r="K3" i="50"/>
  <c r="P3" i="50"/>
  <c r="G3" i="50"/>
  <c r="J3" i="50"/>
  <c r="O3" i="50"/>
  <c r="F3" i="50"/>
  <c r="N3" i="50"/>
  <c r="E3" i="50"/>
  <c r="M3" i="50"/>
  <c r="D3" i="50"/>
  <c r="L3" i="50"/>
  <c r="Q3" i="50"/>
  <c r="H3" i="50"/>
  <c r="AG27" i="50"/>
  <c r="AF27" i="50"/>
  <c r="AE27" i="50"/>
  <c r="Z27" i="50"/>
  <c r="AC27" i="50"/>
  <c r="AJ27" i="50"/>
  <c r="AB27" i="50"/>
  <c r="AA27" i="50"/>
  <c r="AH27" i="50"/>
  <c r="W27" i="50"/>
  <c r="AD51" i="49"/>
  <c r="AE51" i="49"/>
  <c r="AA51" i="49"/>
  <c r="AC51" i="49"/>
  <c r="W51" i="49"/>
  <c r="AI51" i="49"/>
  <c r="Z51" i="49"/>
  <c r="X51" i="49"/>
  <c r="AF51" i="49"/>
  <c r="AH51" i="49"/>
  <c r="AE51" i="50"/>
  <c r="AE27" i="49"/>
  <c r="AF27" i="49"/>
  <c r="AG27" i="49"/>
  <c r="Y27" i="49"/>
  <c r="X27" i="49"/>
  <c r="AX3" i="49"/>
  <c r="AY3" i="49"/>
  <c r="AT3" i="49"/>
  <c r="BB3" i="49"/>
  <c r="AV3" i="49"/>
  <c r="AS3" i="49"/>
  <c r="AQ3" i="49"/>
  <c r="BD3" i="49"/>
  <c r="AR3" i="49"/>
  <c r="AZ3" i="49"/>
  <c r="W3" i="50" a="1"/>
  <c r="AF3" i="50" s="1"/>
  <c r="D51" i="49" a="1"/>
  <c r="W75" i="49" a="1"/>
  <c r="D75" i="49" a="1"/>
  <c r="L75" i="49" s="1"/>
  <c r="AQ51" i="50" a="1"/>
  <c r="AU51" i="50" s="1"/>
  <c r="D51" i="50" a="1"/>
  <c r="L27" i="50"/>
  <c r="L30" i="50" s="1"/>
  <c r="N27" i="50"/>
  <c r="N27" i="49"/>
  <c r="N28" i="49" s="1"/>
  <c r="N76" i="49" s="1"/>
  <c r="M102" i="57" s="1"/>
  <c r="G27" i="49"/>
  <c r="E27" i="49"/>
  <c r="P27" i="49"/>
  <c r="P28" i="49" s="1"/>
  <c r="O102" i="53" s="1"/>
  <c r="M27" i="49"/>
  <c r="H27" i="49"/>
  <c r="J27" i="49"/>
  <c r="N29" i="50"/>
  <c r="N77" i="50" s="1"/>
  <c r="M123" i="57" s="1"/>
  <c r="O27" i="49"/>
  <c r="O28" i="49" s="1"/>
  <c r="N102" i="53" s="1"/>
  <c r="BQ43" i="50"/>
  <c r="BT43" i="50"/>
  <c r="BT44" i="50"/>
  <c r="BQ44" i="50"/>
  <c r="BQ35" i="50"/>
  <c r="BQ45" i="50"/>
  <c r="BT30" i="50"/>
  <c r="BQ42" i="50"/>
  <c r="BT37" i="50"/>
  <c r="BT46" i="50"/>
  <c r="BI57" i="50" a="1"/>
  <c r="BI57" i="50" s="1"/>
  <c r="AU6" i="50"/>
  <c r="L7" i="50"/>
  <c r="O6" i="50"/>
  <c r="BI3" i="50"/>
  <c r="BH3" i="50"/>
  <c r="B53" i="50"/>
  <c r="U53" i="50" s="1"/>
  <c r="AO53" i="50" s="1"/>
  <c r="B29" i="50"/>
  <c r="U5" i="50"/>
  <c r="AO5" i="50" s="1"/>
  <c r="BH5" i="50" s="1"/>
  <c r="B6" i="50"/>
  <c r="BX28" i="50"/>
  <c r="N28" i="50"/>
  <c r="X3" i="50"/>
  <c r="AX3" i="50"/>
  <c r="U27" i="50" a="1"/>
  <c r="Y3" i="50"/>
  <c r="AQ3" i="50"/>
  <c r="AY3" i="50"/>
  <c r="U4" i="50"/>
  <c r="AO4" i="50" s="1"/>
  <c r="BH4" i="50" s="1"/>
  <c r="AH3" i="50"/>
  <c r="AV5" i="50"/>
  <c r="AV6" i="50" s="1"/>
  <c r="AV7" i="50" s="1"/>
  <c r="AV8" i="50" s="1"/>
  <c r="AV9" i="50" s="1"/>
  <c r="AV10" i="50" s="1"/>
  <c r="AV11" i="50" s="1"/>
  <c r="AV12" i="50" s="1"/>
  <c r="AV13" i="50" s="1"/>
  <c r="AV14" i="50" s="1"/>
  <c r="AV15" i="50" s="1"/>
  <c r="AV16" i="50" s="1"/>
  <c r="AV17" i="50" s="1"/>
  <c r="AV18" i="50" s="1"/>
  <c r="AV19" i="50" s="1"/>
  <c r="AV20" i="50" s="1"/>
  <c r="AV21" i="50" s="1"/>
  <c r="AV22" i="50" s="1"/>
  <c r="AV23" i="50" s="1"/>
  <c r="N6" i="50"/>
  <c r="P27" i="50"/>
  <c r="P28" i="50" s="1"/>
  <c r="O122" i="53" s="1"/>
  <c r="H27" i="50"/>
  <c r="I27" i="50"/>
  <c r="Q27" i="50"/>
  <c r="G27" i="50"/>
  <c r="O27" i="50"/>
  <c r="O29" i="50" s="1"/>
  <c r="N123" i="53" s="1"/>
  <c r="F27" i="50"/>
  <c r="M27" i="50"/>
  <c r="D27" i="50"/>
  <c r="AA3" i="50"/>
  <c r="AS3" i="50"/>
  <c r="BA3" i="50"/>
  <c r="C52" i="50"/>
  <c r="V52" i="50" s="1"/>
  <c r="AP52" i="50" s="1"/>
  <c r="C28" i="50"/>
  <c r="BL28" i="50"/>
  <c r="BL29" i="50" s="1"/>
  <c r="BL30" i="50" s="1"/>
  <c r="BL31" i="50" s="1"/>
  <c r="BL32" i="50" s="1"/>
  <c r="BL33" i="50" s="1"/>
  <c r="BL34" i="50" s="1"/>
  <c r="BL35" i="50" s="1"/>
  <c r="BL36" i="50" s="1"/>
  <c r="BL37" i="50" s="1"/>
  <c r="BL38" i="50" s="1"/>
  <c r="BL39" i="50" s="1"/>
  <c r="BL40" i="50" s="1"/>
  <c r="BL41" i="50" s="1"/>
  <c r="BL42" i="50" s="1"/>
  <c r="BL43" i="50" s="1"/>
  <c r="BL44" i="50" s="1"/>
  <c r="BL45" i="50" s="1"/>
  <c r="BL46" i="50" s="1"/>
  <c r="BL47" i="50" s="1"/>
  <c r="E27" i="50"/>
  <c r="BX29" i="50"/>
  <c r="B52" i="50"/>
  <c r="U52" i="50" s="1"/>
  <c r="AO52" i="50" s="1"/>
  <c r="B28" i="50"/>
  <c r="BK28" i="50"/>
  <c r="BK29" i="50" s="1"/>
  <c r="BK30" i="50" s="1"/>
  <c r="BK31" i="50" s="1"/>
  <c r="BK32" i="50" s="1"/>
  <c r="BK33" i="50" s="1"/>
  <c r="BK34" i="50" s="1"/>
  <c r="BK35" i="50" s="1"/>
  <c r="BK36" i="50" s="1"/>
  <c r="BK37" i="50" s="1"/>
  <c r="BK38" i="50" s="1"/>
  <c r="BK39" i="50" s="1"/>
  <c r="BK40" i="50" s="1"/>
  <c r="BK41" i="50" s="1"/>
  <c r="BK42" i="50" s="1"/>
  <c r="BK43" i="50" s="1"/>
  <c r="BK44" i="50" s="1"/>
  <c r="BK45" i="50" s="1"/>
  <c r="BK46" i="50" s="1"/>
  <c r="BK47" i="50" s="1"/>
  <c r="AB3" i="50"/>
  <c r="AJ3" i="50"/>
  <c r="AT3" i="50"/>
  <c r="C5" i="50"/>
  <c r="J27" i="50"/>
  <c r="BT32" i="50"/>
  <c r="BQ32" i="50"/>
  <c r="L29" i="50"/>
  <c r="K27" i="50"/>
  <c r="BQ41" i="50"/>
  <c r="BT41" i="50"/>
  <c r="BQ29" i="50"/>
  <c r="BT40" i="50"/>
  <c r="BQ40" i="50"/>
  <c r="BQ39" i="50"/>
  <c r="BT39" i="50"/>
  <c r="BT36" i="50"/>
  <c r="BQ36" i="50"/>
  <c r="BT47" i="50"/>
  <c r="AD27" i="50"/>
  <c r="Y27" i="50"/>
  <c r="BB51" i="50"/>
  <c r="AW51" i="50"/>
  <c r="AV51" i="50"/>
  <c r="BD51" i="50"/>
  <c r="BA51" i="50"/>
  <c r="AJ51" i="50"/>
  <c r="AB51" i="50"/>
  <c r="AC51" i="50"/>
  <c r="AA51" i="50"/>
  <c r="AI51" i="50"/>
  <c r="Z51" i="50"/>
  <c r="AH51" i="50"/>
  <c r="Y51" i="50"/>
  <c r="AG51" i="50"/>
  <c r="X51" i="50"/>
  <c r="AQ51" i="50"/>
  <c r="W51" i="50"/>
  <c r="H75" i="50"/>
  <c r="AI75" i="50"/>
  <c r="AA75" i="50"/>
  <c r="AH75" i="50"/>
  <c r="Z75" i="50"/>
  <c r="AG75" i="50"/>
  <c r="Y75" i="50"/>
  <c r="AF75" i="50"/>
  <c r="X75" i="50"/>
  <c r="AE75" i="50"/>
  <c r="W75" i="50"/>
  <c r="K75" i="50"/>
  <c r="AC75" i="50"/>
  <c r="L75" i="50"/>
  <c r="AD75" i="50"/>
  <c r="AJ75" i="50"/>
  <c r="Q75" i="50"/>
  <c r="I75" i="50"/>
  <c r="P75" i="50"/>
  <c r="O75" i="50"/>
  <c r="G75" i="50"/>
  <c r="N75" i="50"/>
  <c r="F75" i="50"/>
  <c r="BT42" i="49"/>
  <c r="BQ42" i="49"/>
  <c r="BQ40" i="49"/>
  <c r="BT30" i="49"/>
  <c r="BT47" i="49"/>
  <c r="BT34" i="49"/>
  <c r="BQ32" i="49"/>
  <c r="C53" i="49"/>
  <c r="V53" i="49" s="1"/>
  <c r="AP53" i="49" s="1"/>
  <c r="C6" i="49"/>
  <c r="C29" i="49"/>
  <c r="V5" i="49"/>
  <c r="AP5" i="49" s="1"/>
  <c r="BI5" i="49" s="1"/>
  <c r="BT28" i="49"/>
  <c r="BQ28" i="49"/>
  <c r="BD7" i="49"/>
  <c r="AT27" i="49"/>
  <c r="AS27" i="49"/>
  <c r="AR27" i="49"/>
  <c r="BT41" i="49"/>
  <c r="BQ41" i="49"/>
  <c r="J3" i="49"/>
  <c r="L5" i="49"/>
  <c r="BD4" i="49"/>
  <c r="AQ27" i="49"/>
  <c r="BQ31" i="49"/>
  <c r="BT31" i="49"/>
  <c r="I3" i="49"/>
  <c r="BD6" i="49"/>
  <c r="C27" i="49"/>
  <c r="B27" i="49"/>
  <c r="U27" i="49" s="1" a="1"/>
  <c r="BQ39" i="49"/>
  <c r="BT39" i="49"/>
  <c r="B53" i="49"/>
  <c r="U53" i="49" s="1"/>
  <c r="AO53" i="49" s="1"/>
  <c r="B6" i="49"/>
  <c r="B29" i="49"/>
  <c r="P3" i="49"/>
  <c r="B28" i="49"/>
  <c r="U5" i="49"/>
  <c r="AO5" i="49" s="1"/>
  <c r="BH5" i="49" s="1"/>
  <c r="C52" i="49"/>
  <c r="V52" i="49" s="1"/>
  <c r="AP52" i="49" s="1"/>
  <c r="BL28" i="49"/>
  <c r="BL29" i="49" s="1"/>
  <c r="BL30" i="49" s="1"/>
  <c r="BL31" i="49" s="1"/>
  <c r="BL32" i="49" s="1"/>
  <c r="BL33" i="49" s="1"/>
  <c r="BL34" i="49" s="1"/>
  <c r="BL35" i="49" s="1"/>
  <c r="BL36" i="49" s="1"/>
  <c r="BL37" i="49" s="1"/>
  <c r="BL38" i="49" s="1"/>
  <c r="BL39" i="49" s="1"/>
  <c r="BL40" i="49" s="1"/>
  <c r="BL41" i="49" s="1"/>
  <c r="BL42" i="49" s="1"/>
  <c r="BL43" i="49" s="1"/>
  <c r="BL44" i="49" s="1"/>
  <c r="BL45" i="49" s="1"/>
  <c r="BL46" i="49" s="1"/>
  <c r="BL47" i="49" s="1"/>
  <c r="C28" i="49"/>
  <c r="K3" i="49"/>
  <c r="B3" i="49"/>
  <c r="BT29" i="49"/>
  <c r="BQ29" i="49"/>
  <c r="O3" i="49"/>
  <c r="G3" i="49"/>
  <c r="M3" i="49"/>
  <c r="N3" i="49"/>
  <c r="F3" i="49"/>
  <c r="E3" i="49"/>
  <c r="L3" i="49"/>
  <c r="D3" i="49"/>
  <c r="V4" i="49"/>
  <c r="AP4" i="49" s="1"/>
  <c r="BI4" i="49" s="1"/>
  <c r="BI57" i="49" a="1"/>
  <c r="BI57" i="49" s="1"/>
  <c r="BD5" i="49"/>
  <c r="H3" i="49"/>
  <c r="B52" i="49"/>
  <c r="U52" i="49" s="1"/>
  <c r="AO52" i="49" s="1"/>
  <c r="BK28" i="49"/>
  <c r="BK29" i="49" s="1"/>
  <c r="BK30" i="49" s="1"/>
  <c r="BK31" i="49" s="1"/>
  <c r="BK32" i="49" s="1"/>
  <c r="BK33" i="49" s="1"/>
  <c r="BK34" i="49" s="1"/>
  <c r="BK35" i="49" s="1"/>
  <c r="BK36" i="49" s="1"/>
  <c r="BK37" i="49" s="1"/>
  <c r="BK38" i="49" s="1"/>
  <c r="BK39" i="49" s="1"/>
  <c r="BK40" i="49" s="1"/>
  <c r="BK41" i="49" s="1"/>
  <c r="BK42" i="49" s="1"/>
  <c r="BK43" i="49" s="1"/>
  <c r="BK44" i="49" s="1"/>
  <c r="BK45" i="49" s="1"/>
  <c r="BK46" i="49" s="1"/>
  <c r="BK47" i="49" s="1"/>
  <c r="AC3" i="49"/>
  <c r="AU3" i="49"/>
  <c r="BC3" i="49"/>
  <c r="I27" i="49"/>
  <c r="Q27" i="49"/>
  <c r="Z27" i="49"/>
  <c r="AH27" i="49"/>
  <c r="AD3" i="49"/>
  <c r="AA27" i="49"/>
  <c r="AI27" i="49"/>
  <c r="BQ33" i="49"/>
  <c r="BQ36" i="49"/>
  <c r="W3" i="49"/>
  <c r="AE3" i="49"/>
  <c r="AW3" i="49"/>
  <c r="N5" i="49"/>
  <c r="K27" i="49"/>
  <c r="AB27" i="49"/>
  <c r="AJ27" i="49"/>
  <c r="X3" i="49"/>
  <c r="O5" i="49"/>
  <c r="D27" i="49"/>
  <c r="L27" i="49"/>
  <c r="L28" i="49" s="1"/>
  <c r="AC27" i="49"/>
  <c r="BT45" i="49"/>
  <c r="BQ45" i="49"/>
  <c r="AD27" i="49"/>
  <c r="BQ37" i="49"/>
  <c r="BT37" i="49"/>
  <c r="F27" i="49"/>
  <c r="W27" i="49"/>
  <c r="BQ35" i="49"/>
  <c r="BT38" i="49"/>
  <c r="BQ38" i="49"/>
  <c r="BT44" i="49"/>
  <c r="BQ44" i="49"/>
  <c r="BQ43" i="49"/>
  <c r="BT43" i="49"/>
  <c r="AW51" i="49"/>
  <c r="BD51" i="49"/>
  <c r="AV51" i="49"/>
  <c r="BC51" i="49"/>
  <c r="AU51" i="49"/>
  <c r="BB51" i="49"/>
  <c r="AT51" i="49"/>
  <c r="BA51" i="49"/>
  <c r="AS51" i="49"/>
  <c r="AZ51" i="49"/>
  <c r="AR51" i="49"/>
  <c r="AY51" i="49"/>
  <c r="AQ51" i="49"/>
  <c r="AX51" i="49"/>
  <c r="BQ46" i="49"/>
  <c r="BT46" i="49"/>
  <c r="H51" i="49"/>
  <c r="P51" i="49"/>
  <c r="P76" i="49" s="1"/>
  <c r="O102" i="57" s="1"/>
  <c r="Y51" i="49"/>
  <c r="AG51" i="49"/>
  <c r="I51" i="49"/>
  <c r="Q51" i="49"/>
  <c r="AI95" i="49"/>
  <c r="O121" i="58" s="1"/>
  <c r="AI94" i="49"/>
  <c r="O120" i="58" s="1"/>
  <c r="AI93" i="49"/>
  <c r="O119" i="58" s="1"/>
  <c r="AI92" i="49"/>
  <c r="O118" i="58" s="1"/>
  <c r="AI91" i="49"/>
  <c r="O117" i="58" s="1"/>
  <c r="AI90" i="49"/>
  <c r="O116" i="58" s="1"/>
  <c r="AI85" i="49"/>
  <c r="O111" i="58" s="1"/>
  <c r="AI83" i="49"/>
  <c r="O109" i="58" s="1"/>
  <c r="AI81" i="49"/>
  <c r="O107" i="58" s="1"/>
  <c r="AI79" i="49"/>
  <c r="O105" i="58" s="1"/>
  <c r="AI77" i="49"/>
  <c r="O103" i="58" s="1"/>
  <c r="AI84" i="49"/>
  <c r="O110" i="58" s="1"/>
  <c r="AI82" i="49"/>
  <c r="O108" i="58" s="1"/>
  <c r="AI80" i="49"/>
  <c r="O106" i="58" s="1"/>
  <c r="AI78" i="49"/>
  <c r="O104" i="58" s="1"/>
  <c r="AI76" i="49"/>
  <c r="O102" i="58" s="1"/>
  <c r="AI88" i="49"/>
  <c r="O114" i="58" s="1"/>
  <c r="AI87" i="49"/>
  <c r="O113" i="58" s="1"/>
  <c r="AI86" i="49"/>
  <c r="O112" i="58" s="1"/>
  <c r="AI89" i="49"/>
  <c r="O115" i="58" s="1"/>
  <c r="K51" i="49"/>
  <c r="U51" i="49"/>
  <c r="AB51" i="49"/>
  <c r="AJ51" i="49"/>
  <c r="D51" i="49"/>
  <c r="L51" i="49"/>
  <c r="E51" i="49"/>
  <c r="M51" i="49"/>
  <c r="F51" i="49"/>
  <c r="K75" i="49"/>
  <c r="Z75" i="49"/>
  <c r="AB75" i="49"/>
  <c r="P75" i="49"/>
  <c r="H75" i="49"/>
  <c r="O75" i="49"/>
  <c r="G75" i="49"/>
  <c r="D75" i="49"/>
  <c r="Q75" i="49"/>
  <c r="AD75" i="49"/>
  <c r="E75" i="49"/>
  <c r="AE75" i="49"/>
  <c r="AG75" i="49"/>
  <c r="Y75" i="49"/>
  <c r="X75" i="49"/>
  <c r="AC75" i="49"/>
  <c r="AI75" i="49"/>
  <c r="AJ75" i="49"/>
  <c r="AH75" i="49" l="1"/>
  <c r="AA75" i="49"/>
  <c r="AF75" i="49"/>
  <c r="AR51" i="50"/>
  <c r="AT51" i="50"/>
  <c r="Z3" i="50"/>
  <c r="N51" i="49"/>
  <c r="O51" i="49"/>
  <c r="J51" i="49"/>
  <c r="G51" i="49"/>
  <c r="AC3" i="50"/>
  <c r="AE3" i="50"/>
  <c r="W3" i="50"/>
  <c r="AS51" i="50"/>
  <c r="AI3" i="50"/>
  <c r="AX51" i="50"/>
  <c r="BC51" i="50"/>
  <c r="W75" i="49"/>
  <c r="L28" i="50"/>
  <c r="L76" i="50" s="1"/>
  <c r="K122" i="57" s="1"/>
  <c r="AG3" i="50"/>
  <c r="AD3" i="50"/>
  <c r="K51" i="50"/>
  <c r="L51" i="50"/>
  <c r="J51" i="50"/>
  <c r="O51" i="50"/>
  <c r="I51" i="50"/>
  <c r="Q51" i="50"/>
  <c r="H51" i="50"/>
  <c r="P51" i="50"/>
  <c r="G51" i="50"/>
  <c r="F51" i="50"/>
  <c r="M51" i="50"/>
  <c r="D51" i="50"/>
  <c r="E51" i="50"/>
  <c r="N51" i="50"/>
  <c r="AZ51" i="50"/>
  <c r="AY51" i="50"/>
  <c r="N75" i="49"/>
  <c r="I75" i="49"/>
  <c r="F75" i="49"/>
  <c r="J75" i="49"/>
  <c r="M75" i="49"/>
  <c r="K124" i="53"/>
  <c r="L54" i="50"/>
  <c r="K124" i="56" s="1"/>
  <c r="K123" i="53"/>
  <c r="L53" i="50"/>
  <c r="K123" i="56" s="1"/>
  <c r="O52" i="49"/>
  <c r="N102" i="56" s="1"/>
  <c r="O76" i="49"/>
  <c r="N102" i="57" s="1"/>
  <c r="M122" i="53"/>
  <c r="N52" i="50"/>
  <c r="M122" i="56" s="1"/>
  <c r="M102" i="53"/>
  <c r="N52" i="49"/>
  <c r="M102" i="56" s="1"/>
  <c r="K102" i="53"/>
  <c r="L52" i="49"/>
  <c r="K102" i="56" s="1"/>
  <c r="M123" i="53"/>
  <c r="N53" i="50"/>
  <c r="M123" i="56" s="1"/>
  <c r="O77" i="50"/>
  <c r="N123" i="57" s="1"/>
  <c r="O53" i="50"/>
  <c r="C76" i="50"/>
  <c r="AP28" i="50"/>
  <c r="V28" i="50"/>
  <c r="V76" i="50" s="1"/>
  <c r="B76" i="50"/>
  <c r="AO28" i="50"/>
  <c r="AO29" i="50" s="1"/>
  <c r="AO30" i="50" s="1"/>
  <c r="AO31" i="50" s="1"/>
  <c r="AO32" i="50" s="1"/>
  <c r="AO33" i="50" s="1"/>
  <c r="AO34" i="50" s="1"/>
  <c r="AO35" i="50" s="1"/>
  <c r="AO36" i="50" s="1"/>
  <c r="AO37" i="50" s="1"/>
  <c r="AO38" i="50" s="1"/>
  <c r="AO39" i="50" s="1"/>
  <c r="AO40" i="50" s="1"/>
  <c r="AO41" i="50" s="1"/>
  <c r="AO42" i="50" s="1"/>
  <c r="AO43" i="50" s="1"/>
  <c r="AO44" i="50" s="1"/>
  <c r="AO45" i="50" s="1"/>
  <c r="AO46" i="50" s="1"/>
  <c r="AO47" i="50" s="1"/>
  <c r="U28" i="50"/>
  <c r="U76" i="50" s="1"/>
  <c r="N7" i="50"/>
  <c r="BX30" i="50"/>
  <c r="N30" i="50"/>
  <c r="B77" i="50"/>
  <c r="U29" i="50"/>
  <c r="U77" i="50" s="1"/>
  <c r="C53" i="50"/>
  <c r="V53" i="50" s="1"/>
  <c r="AP53" i="50" s="1"/>
  <c r="C29" i="50"/>
  <c r="C6" i="50"/>
  <c r="V5" i="50"/>
  <c r="AP5" i="50" s="1"/>
  <c r="BI5" i="50" s="1"/>
  <c r="L31" i="50"/>
  <c r="L8" i="50"/>
  <c r="V27" i="50"/>
  <c r="U27" i="50"/>
  <c r="AO27" i="50" s="1" a="1"/>
  <c r="L78" i="50"/>
  <c r="K124" i="57" s="1"/>
  <c r="N76" i="50"/>
  <c r="M122" i="57" s="1"/>
  <c r="O30" i="50"/>
  <c r="N124" i="53" s="1"/>
  <c r="O7" i="50"/>
  <c r="P76" i="50"/>
  <c r="O122" i="57" s="1"/>
  <c r="BC52" i="50"/>
  <c r="O122" i="55" s="1"/>
  <c r="O28" i="50"/>
  <c r="N122" i="53" s="1"/>
  <c r="BD5" i="50"/>
  <c r="L77" i="50"/>
  <c r="K123" i="57" s="1"/>
  <c r="BD6" i="50"/>
  <c r="AU7" i="50"/>
  <c r="AI95" i="50"/>
  <c r="O141" i="58" s="1"/>
  <c r="AI94" i="50"/>
  <c r="O140" i="58" s="1"/>
  <c r="AI93" i="50"/>
  <c r="O139" i="58" s="1"/>
  <c r="AI92" i="50"/>
  <c r="O138" i="58" s="1"/>
  <c r="AI91" i="50"/>
  <c r="O137" i="58" s="1"/>
  <c r="AI90" i="50"/>
  <c r="O136" i="58" s="1"/>
  <c r="AI89" i="50"/>
  <c r="O135" i="58" s="1"/>
  <c r="AI88" i="50"/>
  <c r="O134" i="58" s="1"/>
  <c r="AI87" i="50"/>
  <c r="O133" i="58" s="1"/>
  <c r="AI86" i="50"/>
  <c r="O132" i="58" s="1"/>
  <c r="AI85" i="50"/>
  <c r="O131" i="58" s="1"/>
  <c r="AI84" i="50"/>
  <c r="O130" i="58" s="1"/>
  <c r="AI83" i="50"/>
  <c r="O129" i="58" s="1"/>
  <c r="AI82" i="50"/>
  <c r="O128" i="58" s="1"/>
  <c r="AI81" i="50"/>
  <c r="O127" i="58" s="1"/>
  <c r="AI80" i="50"/>
  <c r="O126" i="58" s="1"/>
  <c r="AI79" i="50"/>
  <c r="O125" i="58" s="1"/>
  <c r="AI78" i="50"/>
  <c r="O124" i="58" s="1"/>
  <c r="AI77" i="50"/>
  <c r="O123" i="58" s="1"/>
  <c r="AI76" i="50"/>
  <c r="O122" i="58" s="1"/>
  <c r="B54" i="50"/>
  <c r="U54" i="50" s="1"/>
  <c r="AO54" i="50" s="1"/>
  <c r="B30" i="50"/>
  <c r="B7" i="50"/>
  <c r="U6" i="50"/>
  <c r="AO6" i="50" s="1"/>
  <c r="BH6" i="50" s="1"/>
  <c r="L76" i="49"/>
  <c r="K102" i="57" s="1"/>
  <c r="C76" i="49"/>
  <c r="AP28" i="49"/>
  <c r="V28" i="49"/>
  <c r="V76" i="49" s="1"/>
  <c r="AG76" i="49"/>
  <c r="M102" i="58" s="1"/>
  <c r="AG52" i="49"/>
  <c r="M102" i="54" s="1"/>
  <c r="O29" i="49"/>
  <c r="N103" i="53" s="1"/>
  <c r="O6" i="49"/>
  <c r="BX29" i="49"/>
  <c r="N29" i="49"/>
  <c r="N6" i="49"/>
  <c r="B77" i="49"/>
  <c r="U29" i="49"/>
  <c r="U77" i="49" s="1"/>
  <c r="BA52" i="49"/>
  <c r="M102" i="55" s="1"/>
  <c r="C77" i="49"/>
  <c r="V29" i="49"/>
  <c r="V77" i="49" s="1"/>
  <c r="V27" i="49"/>
  <c r="U27" i="49"/>
  <c r="AO27" i="49" s="1" a="1"/>
  <c r="C54" i="49"/>
  <c r="V54" i="49" s="1"/>
  <c r="AP54" i="49" s="1"/>
  <c r="C30" i="49"/>
  <c r="V6" i="49"/>
  <c r="AP6" i="49" s="1"/>
  <c r="BI6" i="49" s="1"/>
  <c r="C7" i="49"/>
  <c r="AH76" i="49"/>
  <c r="N102" i="58" s="1"/>
  <c r="B54" i="49"/>
  <c r="U54" i="49" s="1"/>
  <c r="AO54" i="49" s="1"/>
  <c r="B7" i="49"/>
  <c r="U6" i="49"/>
  <c r="AO6" i="49" s="1"/>
  <c r="BH6" i="49" s="1"/>
  <c r="B30" i="49"/>
  <c r="L6" i="49"/>
  <c r="L29" i="49"/>
  <c r="BD8" i="49"/>
  <c r="AY52" i="49"/>
  <c r="K102" i="55" s="1"/>
  <c r="BC52" i="49"/>
  <c r="O102" i="55" s="1"/>
  <c r="B76" i="49"/>
  <c r="AO28" i="49"/>
  <c r="AO29" i="49" s="1"/>
  <c r="AO30" i="49" s="1"/>
  <c r="AO31" i="49" s="1"/>
  <c r="AO32" i="49" s="1"/>
  <c r="AO33" i="49" s="1"/>
  <c r="AO34" i="49" s="1"/>
  <c r="AO35" i="49" s="1"/>
  <c r="AO36" i="49" s="1"/>
  <c r="AO37" i="49" s="1"/>
  <c r="AO38" i="49" s="1"/>
  <c r="AO39" i="49" s="1"/>
  <c r="AO40" i="49" s="1"/>
  <c r="AO41" i="49" s="1"/>
  <c r="AO42" i="49" s="1"/>
  <c r="AO43" i="49" s="1"/>
  <c r="AO44" i="49" s="1"/>
  <c r="AO45" i="49" s="1"/>
  <c r="AO46" i="49" s="1"/>
  <c r="AO47" i="49" s="1"/>
  <c r="U28" i="49"/>
  <c r="U76" i="49" s="1"/>
  <c r="BM29" i="48"/>
  <c r="BM30" i="48"/>
  <c r="BM31" i="48"/>
  <c r="BM32" i="48"/>
  <c r="BM33" i="48"/>
  <c r="BN33" i="48" s="1"/>
  <c r="BM34" i="48"/>
  <c r="BM35" i="48"/>
  <c r="BM36" i="48"/>
  <c r="BM37" i="48"/>
  <c r="BN37" i="48" s="1"/>
  <c r="BM38" i="48"/>
  <c r="BM39" i="48"/>
  <c r="BM40" i="48"/>
  <c r="BM41" i="48"/>
  <c r="BM42" i="48"/>
  <c r="BM43" i="48"/>
  <c r="BM44" i="48"/>
  <c r="BN44" i="48" s="1"/>
  <c r="BM45" i="48"/>
  <c r="BN45" i="48" s="1"/>
  <c r="BT45" i="48" s="1"/>
  <c r="BM46" i="48"/>
  <c r="BM47" i="48"/>
  <c r="BM28" i="48"/>
  <c r="R29" i="48"/>
  <c r="R30" i="48"/>
  <c r="R31" i="48"/>
  <c r="R32" i="48"/>
  <c r="R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28" i="48"/>
  <c r="AV4" i="48"/>
  <c r="AV5" i="48" s="1"/>
  <c r="AV6" i="48" s="1"/>
  <c r="AV7" i="48" s="1"/>
  <c r="AV8" i="48" s="1"/>
  <c r="AV9" i="48" s="1"/>
  <c r="AV10" i="48" s="1"/>
  <c r="AV11" i="48" s="1"/>
  <c r="AV12" i="48" s="1"/>
  <c r="AV13" i="48" s="1"/>
  <c r="AV14" i="48" s="1"/>
  <c r="AV15" i="48" s="1"/>
  <c r="AV16" i="48" s="1"/>
  <c r="AV17" i="48" s="1"/>
  <c r="AV18" i="48" s="1"/>
  <c r="AV19" i="48" s="1"/>
  <c r="AV20" i="48" s="1"/>
  <c r="AV21" i="48" s="1"/>
  <c r="AV22" i="48" s="1"/>
  <c r="AV23" i="48" s="1"/>
  <c r="AW4" i="48"/>
  <c r="AW5" i="48" s="1"/>
  <c r="AW6" i="48" s="1"/>
  <c r="AW7" i="48" s="1"/>
  <c r="AW8" i="48" s="1"/>
  <c r="AW9" i="48" s="1"/>
  <c r="AW10" i="48" s="1"/>
  <c r="AW11" i="48" s="1"/>
  <c r="AW12" i="48" s="1"/>
  <c r="AW13" i="48" s="1"/>
  <c r="AW14" i="48" s="1"/>
  <c r="AW15" i="48" s="1"/>
  <c r="AW16" i="48" s="1"/>
  <c r="AW17" i="48" s="1"/>
  <c r="AW18" i="48" s="1"/>
  <c r="AW19" i="48" s="1"/>
  <c r="AW20" i="48" s="1"/>
  <c r="AW21" i="48" s="1"/>
  <c r="AW22" i="48" s="1"/>
  <c r="AW23" i="48" s="1"/>
  <c r="AX4" i="48"/>
  <c r="AY4" i="48"/>
  <c r="AZ4" i="48"/>
  <c r="BA4" i="48"/>
  <c r="AU4" i="48"/>
  <c r="L4" i="48"/>
  <c r="N4" i="48"/>
  <c r="O4" i="48"/>
  <c r="C4" i="48"/>
  <c r="B4" i="48"/>
  <c r="AJ75" i="48"/>
  <c r="AE75" i="48"/>
  <c r="AC75" i="48"/>
  <c r="AB75" i="48"/>
  <c r="AA75" i="48"/>
  <c r="Y75" i="48"/>
  <c r="W75" i="48" a="1"/>
  <c r="AH75" i="48" s="1"/>
  <c r="V75" i="48"/>
  <c r="U75" i="48" a="1"/>
  <c r="U75" i="48" s="1"/>
  <c r="O75" i="48"/>
  <c r="M75" i="48"/>
  <c r="D75" i="48" a="1"/>
  <c r="J75" i="48" s="1"/>
  <c r="C75" i="48"/>
  <c r="B75" i="48" a="1"/>
  <c r="B75" i="48" s="1"/>
  <c r="CA71" i="48"/>
  <c r="BZ71" i="48"/>
  <c r="BY71" i="48"/>
  <c r="BX71" i="48"/>
  <c r="BW71" i="48"/>
  <c r="BV71" i="48"/>
  <c r="BU71" i="48"/>
  <c r="BT71" i="48"/>
  <c r="BS71" i="48"/>
  <c r="BR71" i="48"/>
  <c r="BQ71" i="48"/>
  <c r="BP71" i="48"/>
  <c r="BO71" i="48"/>
  <c r="BN71" i="48"/>
  <c r="BM71" i="48"/>
  <c r="BL71" i="48"/>
  <c r="BK71" i="48"/>
  <c r="BJ71" i="48"/>
  <c r="BI71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K70" i="48"/>
  <c r="BJ70" i="48"/>
  <c r="BI70" i="48"/>
  <c r="CA57" i="48"/>
  <c r="BZ57" i="48"/>
  <c r="BY57" i="48"/>
  <c r="BX57" i="48"/>
  <c r="BW57" i="48"/>
  <c r="BV57" i="48"/>
  <c r="BU57" i="48"/>
  <c r="BT57" i="48"/>
  <c r="BS57" i="48"/>
  <c r="BR57" i="48"/>
  <c r="BQ57" i="48"/>
  <c r="BP57" i="48"/>
  <c r="BO57" i="48"/>
  <c r="BN57" i="48"/>
  <c r="BM57" i="48"/>
  <c r="BL57" i="48"/>
  <c r="BK57" i="48"/>
  <c r="BJ57" i="48"/>
  <c r="CA56" i="48"/>
  <c r="BZ56" i="48"/>
  <c r="BY56" i="48"/>
  <c r="BX56" i="48"/>
  <c r="BW56" i="48"/>
  <c r="BV56" i="48"/>
  <c r="BU56" i="48"/>
  <c r="BT56" i="48"/>
  <c r="BS56" i="48"/>
  <c r="BR56" i="48"/>
  <c r="BQ56" i="48"/>
  <c r="BP56" i="48"/>
  <c r="BO56" i="48"/>
  <c r="BN56" i="48"/>
  <c r="BM56" i="48"/>
  <c r="BL56" i="48"/>
  <c r="BK56" i="48"/>
  <c r="BJ56" i="48"/>
  <c r="BI56" i="48"/>
  <c r="AL56" i="48"/>
  <c r="AL57" i="48" s="1"/>
  <c r="AL58" i="48" s="1"/>
  <c r="AL59" i="48" s="1"/>
  <c r="AL60" i="48" s="1"/>
  <c r="AL61" i="48" s="1"/>
  <c r="AL62" i="48" s="1"/>
  <c r="AL63" i="48" s="1"/>
  <c r="AL64" i="48" s="1"/>
  <c r="AL65" i="48" s="1"/>
  <c r="AL66" i="48" s="1"/>
  <c r="AL67" i="48" s="1"/>
  <c r="AL68" i="48" s="1"/>
  <c r="AL69" i="48" s="1"/>
  <c r="AL70" i="48" s="1"/>
  <c r="AL71" i="48" s="1"/>
  <c r="AL55" i="48"/>
  <c r="AL54" i="48"/>
  <c r="AQ51" i="48" a="1"/>
  <c r="AY51" i="48" s="1"/>
  <c r="AP51" i="48"/>
  <c r="AO51" i="48" a="1"/>
  <c r="AO51" i="48" s="1"/>
  <c r="AF51" i="48"/>
  <c r="AE51" i="48"/>
  <c r="AC51" i="48"/>
  <c r="AB51" i="48"/>
  <c r="AA51" i="48"/>
  <c r="X51" i="48"/>
  <c r="W51" i="48" a="1"/>
  <c r="AD51" i="48" s="1"/>
  <c r="U51" i="48" a="1"/>
  <c r="V51" i="48" s="1"/>
  <c r="D51" i="48" a="1"/>
  <c r="N51" i="48" s="1"/>
  <c r="C51" i="48"/>
  <c r="B51" i="48" a="1"/>
  <c r="B51" i="48" s="1"/>
  <c r="BN47" i="48"/>
  <c r="BQ47" i="48" s="1"/>
  <c r="BN46" i="48"/>
  <c r="BT43" i="48"/>
  <c r="BN43" i="48"/>
  <c r="BQ43" i="48" s="1"/>
  <c r="BN42" i="48"/>
  <c r="BN41" i="48"/>
  <c r="BN40" i="48"/>
  <c r="BT40" i="48" s="1"/>
  <c r="BN39" i="48"/>
  <c r="BQ39" i="48" s="1"/>
  <c r="BN38" i="48"/>
  <c r="BT38" i="48" s="1"/>
  <c r="BN36" i="48"/>
  <c r="BT36" i="48" s="1"/>
  <c r="BH36" i="48"/>
  <c r="BN35" i="48"/>
  <c r="BT35" i="48" s="1"/>
  <c r="BH35" i="48"/>
  <c r="BN34" i="48"/>
  <c r="BQ34" i="48" s="1"/>
  <c r="BH34" i="48"/>
  <c r="BN32" i="48"/>
  <c r="BT32" i="48" s="1"/>
  <c r="BN31" i="48"/>
  <c r="BH31" i="48"/>
  <c r="BN30" i="48"/>
  <c r="BT30" i="48" s="1"/>
  <c r="BH30" i="48"/>
  <c r="BZ29" i="48"/>
  <c r="BZ30" i="48" s="1"/>
  <c r="BZ31" i="48" s="1"/>
  <c r="BZ32" i="48" s="1"/>
  <c r="BZ33" i="48" s="1"/>
  <c r="BZ34" i="48" s="1"/>
  <c r="BZ35" i="48" s="1"/>
  <c r="BZ36" i="48" s="1"/>
  <c r="BZ37" i="48" s="1"/>
  <c r="BZ38" i="48" s="1"/>
  <c r="BZ39" i="48" s="1"/>
  <c r="BZ40" i="48" s="1"/>
  <c r="BZ41" i="48" s="1"/>
  <c r="BZ42" i="48" s="1"/>
  <c r="BZ43" i="48" s="1"/>
  <c r="BZ44" i="48" s="1"/>
  <c r="BZ45" i="48" s="1"/>
  <c r="BZ46" i="48" s="1"/>
  <c r="BZ47" i="48" s="1"/>
  <c r="BN29" i="48"/>
  <c r="BQ29" i="48" s="1"/>
  <c r="BN28" i="48"/>
  <c r="BM27" i="48"/>
  <c r="AQ27" i="48" a="1"/>
  <c r="AT27" i="48" s="1"/>
  <c r="AI27" i="48"/>
  <c r="AF27" i="48"/>
  <c r="AE27" i="48"/>
  <c r="AC27" i="48"/>
  <c r="AA27" i="48"/>
  <c r="X27" i="48"/>
  <c r="W27" i="48" a="1"/>
  <c r="AD27" i="48" s="1"/>
  <c r="D27" i="48" a="1"/>
  <c r="M27" i="48" s="1"/>
  <c r="C27" i="48"/>
  <c r="B27" i="48" a="1"/>
  <c r="B27" i="48" s="1"/>
  <c r="U27" i="48" s="1" a="1"/>
  <c r="O5" i="48"/>
  <c r="N5" i="48"/>
  <c r="B5" i="48"/>
  <c r="BA5" i="48"/>
  <c r="BA6" i="48" s="1"/>
  <c r="BA7" i="48" s="1"/>
  <c r="BA8" i="48" s="1"/>
  <c r="BA9" i="48" s="1"/>
  <c r="BA10" i="48" s="1"/>
  <c r="BA11" i="48" s="1"/>
  <c r="BA12" i="48" s="1"/>
  <c r="BA13" i="48" s="1"/>
  <c r="BA14" i="48" s="1"/>
  <c r="BA15" i="48" s="1"/>
  <c r="BA16" i="48" s="1"/>
  <c r="BA17" i="48" s="1"/>
  <c r="BA18" i="48" s="1"/>
  <c r="BA19" i="48" s="1"/>
  <c r="BA20" i="48" s="1"/>
  <c r="BA21" i="48" s="1"/>
  <c r="BA22" i="48" s="1"/>
  <c r="BA23" i="48" s="1"/>
  <c r="AZ5" i="48"/>
  <c r="AZ6" i="48" s="1"/>
  <c r="AZ7" i="48" s="1"/>
  <c r="AZ8" i="48" s="1"/>
  <c r="AZ9" i="48" s="1"/>
  <c r="AZ10" i="48" s="1"/>
  <c r="AZ11" i="48" s="1"/>
  <c r="AZ12" i="48" s="1"/>
  <c r="AZ13" i="48" s="1"/>
  <c r="AZ14" i="48" s="1"/>
  <c r="AZ15" i="48" s="1"/>
  <c r="AZ16" i="48" s="1"/>
  <c r="AZ17" i="48" s="1"/>
  <c r="AZ18" i="48" s="1"/>
  <c r="AZ19" i="48" s="1"/>
  <c r="AZ20" i="48" s="1"/>
  <c r="AZ21" i="48" s="1"/>
  <c r="AZ22" i="48" s="1"/>
  <c r="AZ23" i="48" s="1"/>
  <c r="AY5" i="48"/>
  <c r="AY6" i="48" s="1"/>
  <c r="AY7" i="48" s="1"/>
  <c r="AY8" i="48" s="1"/>
  <c r="AY9" i="48" s="1"/>
  <c r="AY10" i="48" s="1"/>
  <c r="AY11" i="48" s="1"/>
  <c r="AY12" i="48" s="1"/>
  <c r="AY13" i="48" s="1"/>
  <c r="AY14" i="48" s="1"/>
  <c r="AY15" i="48" s="1"/>
  <c r="AY16" i="48" s="1"/>
  <c r="AY17" i="48" s="1"/>
  <c r="AY18" i="48" s="1"/>
  <c r="AY19" i="48" s="1"/>
  <c r="AY20" i="48" s="1"/>
  <c r="AY21" i="48" s="1"/>
  <c r="AY22" i="48" s="1"/>
  <c r="AY23" i="48" s="1"/>
  <c r="AX5" i="48"/>
  <c r="AX6" i="48" s="1"/>
  <c r="AX7" i="48" s="1"/>
  <c r="AX8" i="48" s="1"/>
  <c r="AX9" i="48" s="1"/>
  <c r="AX10" i="48" s="1"/>
  <c r="AX11" i="48" s="1"/>
  <c r="AX12" i="48" s="1"/>
  <c r="AX13" i="48" s="1"/>
  <c r="AX14" i="48" s="1"/>
  <c r="AX15" i="48" s="1"/>
  <c r="AX16" i="48" s="1"/>
  <c r="AX17" i="48" s="1"/>
  <c r="AX18" i="48" s="1"/>
  <c r="AX19" i="48" s="1"/>
  <c r="AX20" i="48" s="1"/>
  <c r="AX21" i="48" s="1"/>
  <c r="AX22" i="48" s="1"/>
  <c r="AX23" i="48" s="1"/>
  <c r="AJ4" i="48"/>
  <c r="U4" i="48"/>
  <c r="AO4" i="48" s="1"/>
  <c r="BH4" i="48" s="1"/>
  <c r="AQ3" i="48" a="1"/>
  <c r="AX3" i="48" s="1"/>
  <c r="AP3" i="48"/>
  <c r="AO3" i="48"/>
  <c r="BH3" i="48" s="1" a="1"/>
  <c r="AO3" i="48" a="1"/>
  <c r="W3" i="48" a="1"/>
  <c r="AJ3" i="48" s="1"/>
  <c r="U3" i="48" a="1"/>
  <c r="U3" i="48" s="1"/>
  <c r="D3" i="48" a="1"/>
  <c r="H3" i="48" s="1"/>
  <c r="B3" i="48" a="1"/>
  <c r="B3" i="48" s="1"/>
  <c r="C5" i="26"/>
  <c r="BA52" i="50" l="1"/>
  <c r="M122" i="55" s="1"/>
  <c r="BA53" i="50"/>
  <c r="M123" i="55" s="1"/>
  <c r="AG53" i="50"/>
  <c r="M123" i="54" s="1"/>
  <c r="O51" i="48"/>
  <c r="D75" i="48"/>
  <c r="AI51" i="48"/>
  <c r="G75" i="48"/>
  <c r="W75" i="48"/>
  <c r="AG75" i="48"/>
  <c r="L52" i="50"/>
  <c r="K122" i="56" s="1"/>
  <c r="AW3" i="48"/>
  <c r="F75" i="48"/>
  <c r="AF75" i="48"/>
  <c r="W27" i="48"/>
  <c r="W51" i="48"/>
  <c r="AJ51" i="48"/>
  <c r="K75" i="48"/>
  <c r="X75" i="48"/>
  <c r="AI75" i="48"/>
  <c r="K122" i="53"/>
  <c r="J51" i="48"/>
  <c r="G51" i="48"/>
  <c r="P75" i="48"/>
  <c r="D27" i="48"/>
  <c r="M103" i="53"/>
  <c r="N53" i="49"/>
  <c r="M103" i="56" s="1"/>
  <c r="J27" i="48"/>
  <c r="F27" i="48"/>
  <c r="G27" i="48"/>
  <c r="AH52" i="49"/>
  <c r="N102" i="54" s="1"/>
  <c r="O29" i="48"/>
  <c r="N83" i="53" s="1"/>
  <c r="L27" i="48"/>
  <c r="BB52" i="49"/>
  <c r="N102" i="55" s="1"/>
  <c r="K125" i="53"/>
  <c r="L55" i="50"/>
  <c r="K125" i="56" s="1"/>
  <c r="AG77" i="50"/>
  <c r="M123" i="58" s="1"/>
  <c r="K103" i="53"/>
  <c r="L53" i="49"/>
  <c r="K103" i="56" s="1"/>
  <c r="N27" i="48"/>
  <c r="M124" i="53"/>
  <c r="N54" i="50"/>
  <c r="M124" i="56" s="1"/>
  <c r="O27" i="48"/>
  <c r="O28" i="48" s="1"/>
  <c r="N82" i="53" s="1"/>
  <c r="BB53" i="50"/>
  <c r="N123" i="55" s="1"/>
  <c r="N123" i="56"/>
  <c r="AG76" i="50"/>
  <c r="M122" i="58" s="1"/>
  <c r="AG52" i="50"/>
  <c r="M122" i="54" s="1"/>
  <c r="C54" i="50"/>
  <c r="V54" i="50" s="1"/>
  <c r="AP54" i="50" s="1"/>
  <c r="C30" i="50"/>
  <c r="V6" i="50"/>
  <c r="AP6" i="50" s="1"/>
  <c r="BI6" i="50" s="1"/>
  <c r="C7" i="50"/>
  <c r="L32" i="50"/>
  <c r="L9" i="50"/>
  <c r="C77" i="50"/>
  <c r="V29" i="50"/>
  <c r="V77" i="50" s="1"/>
  <c r="AZ28" i="50"/>
  <c r="AX28" i="50"/>
  <c r="AP29" i="50"/>
  <c r="B55" i="50"/>
  <c r="U55" i="50" s="1"/>
  <c r="AO55" i="50" s="1"/>
  <c r="B31" i="50"/>
  <c r="B8" i="50"/>
  <c r="U7" i="50"/>
  <c r="AO7" i="50" s="1"/>
  <c r="BH7" i="50" s="1"/>
  <c r="L79" i="50"/>
  <c r="K125" i="57" s="1"/>
  <c r="N78" i="50"/>
  <c r="M124" i="57" s="1"/>
  <c r="AO27" i="50"/>
  <c r="AP27" i="50"/>
  <c r="B78" i="50"/>
  <c r="U30" i="50"/>
  <c r="U78" i="50" s="1"/>
  <c r="AE77" i="50"/>
  <c r="K123" i="58" s="1"/>
  <c r="AE53" i="50"/>
  <c r="K123" i="54" s="1"/>
  <c r="AY53" i="50"/>
  <c r="K123" i="55" s="1"/>
  <c r="O8" i="50"/>
  <c r="O31" i="50"/>
  <c r="N125" i="53" s="1"/>
  <c r="BX31" i="50"/>
  <c r="N31" i="50"/>
  <c r="N8" i="50"/>
  <c r="AU8" i="50"/>
  <c r="BD7" i="50"/>
  <c r="AE76" i="50"/>
  <c r="K122" i="58" s="1"/>
  <c r="AY52" i="50"/>
  <c r="K122" i="55" s="1"/>
  <c r="O78" i="50"/>
  <c r="N124" i="57" s="1"/>
  <c r="O54" i="50"/>
  <c r="N124" i="56" s="1"/>
  <c r="AE78" i="50"/>
  <c r="K124" i="58" s="1"/>
  <c r="AE54" i="50"/>
  <c r="K124" i="54" s="1"/>
  <c r="AY54" i="50"/>
  <c r="K124" i="55" s="1"/>
  <c r="AH77" i="50"/>
  <c r="N123" i="58" s="1"/>
  <c r="AH53" i="50"/>
  <c r="N123" i="54" s="1"/>
  <c r="O76" i="50"/>
  <c r="N122" i="57" s="1"/>
  <c r="O52" i="50"/>
  <c r="N122" i="56" s="1"/>
  <c r="L7" i="49"/>
  <c r="L30" i="49"/>
  <c r="C78" i="49"/>
  <c r="V30" i="49"/>
  <c r="V78" i="49" s="1"/>
  <c r="AE76" i="49"/>
  <c r="K102" i="58" s="1"/>
  <c r="AE52" i="49"/>
  <c r="K102" i="54" s="1"/>
  <c r="B78" i="49"/>
  <c r="U30" i="49"/>
  <c r="U78" i="49" s="1"/>
  <c r="BX30" i="49"/>
  <c r="N30" i="49"/>
  <c r="N7" i="49"/>
  <c r="BD9" i="49"/>
  <c r="N77" i="49"/>
  <c r="M103" i="57" s="1"/>
  <c r="AZ28" i="49"/>
  <c r="AP29" i="49"/>
  <c r="AX28" i="49"/>
  <c r="B55" i="49"/>
  <c r="U55" i="49" s="1"/>
  <c r="AO55" i="49" s="1"/>
  <c r="U7" i="49"/>
  <c r="AO7" i="49" s="1"/>
  <c r="BH7" i="49" s="1"/>
  <c r="B31" i="49"/>
  <c r="B8" i="49"/>
  <c r="C55" i="49"/>
  <c r="V55" i="49" s="1"/>
  <c r="AP55" i="49" s="1"/>
  <c r="C31" i="49"/>
  <c r="C8" i="49"/>
  <c r="V7" i="49"/>
  <c r="AP7" i="49" s="1"/>
  <c r="BI7" i="49" s="1"/>
  <c r="O30" i="49"/>
  <c r="N104" i="53" s="1"/>
  <c r="O7" i="49"/>
  <c r="L77" i="49"/>
  <c r="K103" i="57" s="1"/>
  <c r="AP27" i="49"/>
  <c r="AO27" i="49"/>
  <c r="BK27" i="49" s="1" a="1"/>
  <c r="O77" i="49"/>
  <c r="N103" i="57" s="1"/>
  <c r="O53" i="49"/>
  <c r="N103" i="56" s="1"/>
  <c r="BQ37" i="48"/>
  <c r="BT37" i="48"/>
  <c r="BQ32" i="48"/>
  <c r="BT29" i="48"/>
  <c r="BT47" i="48"/>
  <c r="BQ38" i="48"/>
  <c r="BQ35" i="48"/>
  <c r="BT39" i="48"/>
  <c r="O6" i="48"/>
  <c r="O30" i="48" s="1"/>
  <c r="BH3" i="48"/>
  <c r="BI3" i="48"/>
  <c r="B53" i="48"/>
  <c r="U53" i="48" s="1"/>
  <c r="AO53" i="48" s="1"/>
  <c r="B29" i="48"/>
  <c r="C52" i="48"/>
  <c r="V52" i="48" s="1"/>
  <c r="AP52" i="48" s="1"/>
  <c r="BL28" i="48"/>
  <c r="BL29" i="48" s="1"/>
  <c r="BL30" i="48" s="1"/>
  <c r="BL31" i="48" s="1"/>
  <c r="BL32" i="48" s="1"/>
  <c r="BL33" i="48" s="1"/>
  <c r="BL34" i="48" s="1"/>
  <c r="BL35" i="48" s="1"/>
  <c r="BL36" i="48" s="1"/>
  <c r="BL37" i="48" s="1"/>
  <c r="BL38" i="48" s="1"/>
  <c r="BL39" i="48" s="1"/>
  <c r="BL40" i="48" s="1"/>
  <c r="BL41" i="48" s="1"/>
  <c r="BL42" i="48" s="1"/>
  <c r="BL43" i="48" s="1"/>
  <c r="BL44" i="48" s="1"/>
  <c r="BL45" i="48" s="1"/>
  <c r="BL46" i="48" s="1"/>
  <c r="BL47" i="48" s="1"/>
  <c r="C28" i="48"/>
  <c r="I3" i="48"/>
  <c r="Q3" i="48"/>
  <c r="Z3" i="48"/>
  <c r="AR3" i="48"/>
  <c r="BA3" i="48"/>
  <c r="C3" i="48"/>
  <c r="J3" i="48"/>
  <c r="AA3" i="48"/>
  <c r="AI3" i="48"/>
  <c r="AS3" i="48"/>
  <c r="BB3" i="48"/>
  <c r="K3" i="48"/>
  <c r="AB3" i="48"/>
  <c r="AT3" i="48"/>
  <c r="D3" i="48"/>
  <c r="L3" i="48"/>
  <c r="V3" i="48"/>
  <c r="AC3" i="48"/>
  <c r="AV3" i="48"/>
  <c r="BQ33" i="48"/>
  <c r="BT33" i="48"/>
  <c r="V27" i="48"/>
  <c r="U27" i="48"/>
  <c r="AO27" i="48" s="1" a="1"/>
  <c r="F3" i="48"/>
  <c r="N3" i="48"/>
  <c r="W3" i="48"/>
  <c r="AE3" i="48"/>
  <c r="C5" i="48"/>
  <c r="BX29" i="48"/>
  <c r="N29" i="48"/>
  <c r="BQ31" i="48"/>
  <c r="BT31" i="48"/>
  <c r="E3" i="48"/>
  <c r="BC3" i="48"/>
  <c r="AU3" i="48"/>
  <c r="AY3" i="48"/>
  <c r="B52" i="48"/>
  <c r="U52" i="48" s="1"/>
  <c r="AO52" i="48" s="1"/>
  <c r="BK28" i="48"/>
  <c r="BK29" i="48" s="1"/>
  <c r="BK30" i="48" s="1"/>
  <c r="BK31" i="48" s="1"/>
  <c r="BK32" i="48" s="1"/>
  <c r="BK33" i="48" s="1"/>
  <c r="BK34" i="48" s="1"/>
  <c r="BK35" i="48" s="1"/>
  <c r="BK36" i="48" s="1"/>
  <c r="BK37" i="48" s="1"/>
  <c r="BK38" i="48" s="1"/>
  <c r="BK39" i="48" s="1"/>
  <c r="BK40" i="48" s="1"/>
  <c r="BK41" i="48" s="1"/>
  <c r="BK42" i="48" s="1"/>
  <c r="BK43" i="48" s="1"/>
  <c r="BK44" i="48" s="1"/>
  <c r="BK45" i="48" s="1"/>
  <c r="BK46" i="48" s="1"/>
  <c r="BK47" i="48" s="1"/>
  <c r="B28" i="48"/>
  <c r="V4" i="48"/>
  <c r="AP4" i="48" s="1"/>
  <c r="BI4" i="48" s="1"/>
  <c r="O53" i="48"/>
  <c r="N83" i="56" s="1"/>
  <c r="B6" i="48"/>
  <c r="N6" i="48"/>
  <c r="M3" i="48"/>
  <c r="G3" i="48"/>
  <c r="X3" i="48"/>
  <c r="P3" i="48"/>
  <c r="AG3" i="48"/>
  <c r="AQ3" i="48"/>
  <c r="AH3" i="48"/>
  <c r="L28" i="48"/>
  <c r="L5" i="48"/>
  <c r="U5" i="48"/>
  <c r="AO5" i="48" s="1"/>
  <c r="BH5" i="48" s="1"/>
  <c r="AD3" i="48"/>
  <c r="O3" i="48"/>
  <c r="AF3" i="48"/>
  <c r="Y3" i="48"/>
  <c r="AZ3" i="48"/>
  <c r="AU5" i="48"/>
  <c r="BD4" i="48"/>
  <c r="BT28" i="48"/>
  <c r="BQ28" i="48"/>
  <c r="BD3" i="48"/>
  <c r="BX28" i="48"/>
  <c r="N28" i="48"/>
  <c r="H27" i="48"/>
  <c r="P27" i="48"/>
  <c r="P28" i="48" s="1"/>
  <c r="O82" i="53" s="1"/>
  <c r="Y27" i="48"/>
  <c r="AG27" i="48"/>
  <c r="AQ27" i="48"/>
  <c r="BQ30" i="48"/>
  <c r="BQ36" i="48"/>
  <c r="I27" i="48"/>
  <c r="Q27" i="48"/>
  <c r="Z27" i="48"/>
  <c r="AH27" i="48"/>
  <c r="AR27" i="48"/>
  <c r="BT34" i="48"/>
  <c r="BQ46" i="48"/>
  <c r="BT46" i="48"/>
  <c r="AS27" i="48"/>
  <c r="K27" i="48"/>
  <c r="AB27" i="48"/>
  <c r="AJ27" i="48"/>
  <c r="BQ40" i="48"/>
  <c r="BT41" i="48"/>
  <c r="BQ41" i="48"/>
  <c r="BT44" i="48"/>
  <c r="BQ44" i="48"/>
  <c r="E27" i="48"/>
  <c r="BQ42" i="48"/>
  <c r="BT42" i="48"/>
  <c r="H51" i="48"/>
  <c r="P51" i="48"/>
  <c r="Y51" i="48"/>
  <c r="AG51" i="48"/>
  <c r="AQ51" i="48"/>
  <c r="BB51" i="48"/>
  <c r="I51" i="48"/>
  <c r="Q51" i="48"/>
  <c r="Z51" i="48"/>
  <c r="AH51" i="48"/>
  <c r="AS51" i="48"/>
  <c r="BC51" i="48"/>
  <c r="AI95" i="48"/>
  <c r="O101" i="58" s="1"/>
  <c r="AI94" i="48"/>
  <c r="O100" i="58" s="1"/>
  <c r="AI93" i="48"/>
  <c r="O99" i="58" s="1"/>
  <c r="AI91" i="48"/>
  <c r="O97" i="58" s="1"/>
  <c r="AI89" i="48"/>
  <c r="O95" i="58" s="1"/>
  <c r="AI87" i="48"/>
  <c r="O93" i="58" s="1"/>
  <c r="AI85" i="48"/>
  <c r="O91" i="58" s="1"/>
  <c r="AI83" i="48"/>
  <c r="O89" i="58" s="1"/>
  <c r="AI82" i="48"/>
  <c r="O88" i="58" s="1"/>
  <c r="AI81" i="48"/>
  <c r="O87" i="58" s="1"/>
  <c r="AI80" i="48"/>
  <c r="O86" i="58" s="1"/>
  <c r="AI79" i="48"/>
  <c r="O85" i="58" s="1"/>
  <c r="AI78" i="48"/>
  <c r="O84" i="58" s="1"/>
  <c r="AI77" i="48"/>
  <c r="O83" i="58" s="1"/>
  <c r="AI76" i="48"/>
  <c r="O82" i="58" s="1"/>
  <c r="AI92" i="48"/>
  <c r="O98" i="58" s="1"/>
  <c r="AI90" i="48"/>
  <c r="O96" i="58" s="1"/>
  <c r="AI88" i="48"/>
  <c r="O94" i="58" s="1"/>
  <c r="AI86" i="48"/>
  <c r="O92" i="58" s="1"/>
  <c r="AI84" i="48"/>
  <c r="O90" i="58" s="1"/>
  <c r="AT51" i="48"/>
  <c r="K51" i="48"/>
  <c r="U51" i="48"/>
  <c r="AU51" i="48"/>
  <c r="BQ45" i="48"/>
  <c r="D51" i="48"/>
  <c r="L51" i="48"/>
  <c r="AW51" i="48"/>
  <c r="E51" i="48"/>
  <c r="M51" i="48"/>
  <c r="AX51" i="48"/>
  <c r="F51" i="48"/>
  <c r="BD51" i="48"/>
  <c r="AV51" i="48"/>
  <c r="AZ51" i="48"/>
  <c r="AR51" i="48"/>
  <c r="BA51" i="48"/>
  <c r="H75" i="48"/>
  <c r="Q75" i="48"/>
  <c r="I75" i="48"/>
  <c r="L75" i="48"/>
  <c r="E75" i="48"/>
  <c r="N75" i="48"/>
  <c r="AD75" i="48"/>
  <c r="Z75" i="48"/>
  <c r="L8" i="26"/>
  <c r="M4" i="50" s="1"/>
  <c r="L122" i="51" s="1"/>
  <c r="L7" i="26"/>
  <c r="M4" i="49" s="1"/>
  <c r="L102" i="51" s="1"/>
  <c r="L6" i="26"/>
  <c r="M4" i="48" s="1"/>
  <c r="L82" i="51" s="1"/>
  <c r="L5" i="26"/>
  <c r="L4" i="26"/>
  <c r="L3" i="26"/>
  <c r="D3" i="26"/>
  <c r="E3" i="26"/>
  <c r="F3" i="26"/>
  <c r="G3" i="26"/>
  <c r="H3" i="26"/>
  <c r="I3" i="26"/>
  <c r="J3" i="26"/>
  <c r="D4" i="26"/>
  <c r="E4" i="26"/>
  <c r="F4" i="26"/>
  <c r="G4" i="26"/>
  <c r="H4" i="26"/>
  <c r="I4" i="26"/>
  <c r="J4" i="26"/>
  <c r="D5" i="26"/>
  <c r="E5" i="26"/>
  <c r="F5" i="26"/>
  <c r="G5" i="26"/>
  <c r="H5" i="26"/>
  <c r="I5" i="26"/>
  <c r="J5" i="26"/>
  <c r="D6" i="26"/>
  <c r="E4" i="48" s="1"/>
  <c r="D82" i="51" s="1"/>
  <c r="E6" i="26"/>
  <c r="F4" i="48" s="1"/>
  <c r="E82" i="51" s="1"/>
  <c r="F6" i="26"/>
  <c r="G4" i="48" s="1"/>
  <c r="F82" i="51" s="1"/>
  <c r="G6" i="26"/>
  <c r="H4" i="48" s="1"/>
  <c r="H6" i="26"/>
  <c r="I4" i="48" s="1"/>
  <c r="H82" i="51" s="1"/>
  <c r="I6" i="26"/>
  <c r="J4" i="48" s="1"/>
  <c r="J6" i="26"/>
  <c r="K4" i="48" s="1"/>
  <c r="D7" i="26"/>
  <c r="E4" i="49" s="1"/>
  <c r="D102" i="51" s="1"/>
  <c r="E7" i="26"/>
  <c r="F4" i="49" s="1"/>
  <c r="E102" i="51" s="1"/>
  <c r="F7" i="26"/>
  <c r="G4" i="49" s="1"/>
  <c r="F102" i="51" s="1"/>
  <c r="G7" i="26"/>
  <c r="H4" i="49" s="1"/>
  <c r="G102" i="51" s="1"/>
  <c r="H7" i="26"/>
  <c r="I4" i="49" s="1"/>
  <c r="H102" i="51" s="1"/>
  <c r="I7" i="26"/>
  <c r="J4" i="49" s="1"/>
  <c r="I102" i="51" s="1"/>
  <c r="J7" i="26"/>
  <c r="K4" i="49" s="1"/>
  <c r="J102" i="51" s="1"/>
  <c r="D8" i="26"/>
  <c r="E4" i="50" s="1"/>
  <c r="D122" i="51" s="1"/>
  <c r="E8" i="26"/>
  <c r="F4" i="50" s="1"/>
  <c r="E122" i="51" s="1"/>
  <c r="F8" i="26"/>
  <c r="G4" i="50" s="1"/>
  <c r="F122" i="51" s="1"/>
  <c r="G8" i="26"/>
  <c r="H4" i="50" s="1"/>
  <c r="G122" i="51" s="1"/>
  <c r="H8" i="26"/>
  <c r="I4" i="50" s="1"/>
  <c r="H122" i="51" s="1"/>
  <c r="I8" i="26"/>
  <c r="J4" i="50" s="1"/>
  <c r="I122" i="51" s="1"/>
  <c r="J8" i="26"/>
  <c r="K4" i="50" s="1"/>
  <c r="J122" i="51" s="1"/>
  <c r="C8" i="26"/>
  <c r="D4" i="50" s="1"/>
  <c r="C122" i="51" s="1"/>
  <c r="C7" i="26"/>
  <c r="D4" i="49" s="1"/>
  <c r="C102" i="51" s="1"/>
  <c r="C6" i="26"/>
  <c r="D4" i="48" s="1"/>
  <c r="C4" i="26"/>
  <c r="C3" i="26"/>
  <c r="AE52" i="50" l="1"/>
  <c r="K122" i="54" s="1"/>
  <c r="O52" i="48"/>
  <c r="N82" i="56" s="1"/>
  <c r="O76" i="48"/>
  <c r="N82" i="57" s="1"/>
  <c r="O77" i="48"/>
  <c r="N83" i="57" s="1"/>
  <c r="M83" i="53"/>
  <c r="N53" i="48"/>
  <c r="M83" i="56" s="1"/>
  <c r="N52" i="48"/>
  <c r="M82" i="56" s="1"/>
  <c r="M82" i="53"/>
  <c r="M104" i="53"/>
  <c r="N54" i="49"/>
  <c r="M104" i="56" s="1"/>
  <c r="K104" i="53"/>
  <c r="L54" i="49"/>
  <c r="K104" i="56" s="1"/>
  <c r="K126" i="53"/>
  <c r="L56" i="50"/>
  <c r="K126" i="56" s="1"/>
  <c r="M125" i="53"/>
  <c r="N55" i="50"/>
  <c r="M125" i="56" s="1"/>
  <c r="O78" i="48"/>
  <c r="N84" i="57" s="1"/>
  <c r="N84" i="53"/>
  <c r="K82" i="53"/>
  <c r="L52" i="48"/>
  <c r="K82" i="56" s="1"/>
  <c r="K5" i="48"/>
  <c r="J82" i="51"/>
  <c r="J28" i="48"/>
  <c r="J52" i="48" s="1"/>
  <c r="I82" i="51"/>
  <c r="D28" i="48"/>
  <c r="C82" i="53" s="1"/>
  <c r="C82" i="51"/>
  <c r="H5" i="48"/>
  <c r="G83" i="51" s="1"/>
  <c r="G82" i="51"/>
  <c r="BW28" i="48"/>
  <c r="J5" i="48"/>
  <c r="I83" i="51" s="1"/>
  <c r="J5" i="49"/>
  <c r="I103" i="51" s="1"/>
  <c r="J28" i="49"/>
  <c r="I102" i="53" s="1"/>
  <c r="J5" i="50"/>
  <c r="I123" i="51" s="1"/>
  <c r="J28" i="50"/>
  <c r="I122" i="53" s="1"/>
  <c r="I5" i="50"/>
  <c r="H123" i="51" s="1"/>
  <c r="I28" i="50"/>
  <c r="H122" i="53" s="1"/>
  <c r="H5" i="49"/>
  <c r="G103" i="51" s="1"/>
  <c r="BW28" i="49"/>
  <c r="H28" i="49"/>
  <c r="G102" i="53" s="1"/>
  <c r="I5" i="48"/>
  <c r="H83" i="51" s="1"/>
  <c r="H5" i="50"/>
  <c r="G123" i="51" s="1"/>
  <c r="BW28" i="50"/>
  <c r="H28" i="50"/>
  <c r="G122" i="53" s="1"/>
  <c r="G28" i="49"/>
  <c r="F102" i="53" s="1"/>
  <c r="G5" i="49"/>
  <c r="F103" i="51" s="1"/>
  <c r="E28" i="48"/>
  <c r="D82" i="53" s="1"/>
  <c r="H28" i="48"/>
  <c r="G82" i="53" s="1"/>
  <c r="BO28" i="49"/>
  <c r="D5" i="49"/>
  <c r="C103" i="51" s="1"/>
  <c r="BR28" i="49"/>
  <c r="Q4" i="49"/>
  <c r="P102" i="51" s="1"/>
  <c r="D28" i="49"/>
  <c r="C102" i="53" s="1"/>
  <c r="K5" i="50"/>
  <c r="J123" i="51" s="1"/>
  <c r="K28" i="50"/>
  <c r="D5" i="50"/>
  <c r="C123" i="51" s="1"/>
  <c r="Q4" i="50"/>
  <c r="P122" i="51" s="1"/>
  <c r="BR28" i="50"/>
  <c r="BO28" i="50"/>
  <c r="D28" i="50"/>
  <c r="C122" i="53" s="1"/>
  <c r="I5" i="49"/>
  <c r="H103" i="51" s="1"/>
  <c r="I28" i="49"/>
  <c r="H102" i="53" s="1"/>
  <c r="G5" i="50"/>
  <c r="F123" i="51" s="1"/>
  <c r="G28" i="50"/>
  <c r="F122" i="53" s="1"/>
  <c r="F28" i="49"/>
  <c r="E102" i="53" s="1"/>
  <c r="F5" i="49"/>
  <c r="E103" i="51" s="1"/>
  <c r="I28" i="48"/>
  <c r="H82" i="53" s="1"/>
  <c r="BR28" i="48"/>
  <c r="F5" i="50"/>
  <c r="E123" i="51" s="1"/>
  <c r="F28" i="50"/>
  <c r="E122" i="53" s="1"/>
  <c r="E5" i="49"/>
  <c r="D103" i="51" s="1"/>
  <c r="BU28" i="49"/>
  <c r="E28" i="49"/>
  <c r="D102" i="53" s="1"/>
  <c r="D5" i="48"/>
  <c r="C83" i="51" s="1"/>
  <c r="M5" i="50"/>
  <c r="L123" i="51" s="1"/>
  <c r="M28" i="50"/>
  <c r="L122" i="53" s="1"/>
  <c r="E5" i="50"/>
  <c r="D123" i="51" s="1"/>
  <c r="BU28" i="50"/>
  <c r="E28" i="50"/>
  <c r="D122" i="53" s="1"/>
  <c r="M28" i="49"/>
  <c r="L102" i="53" s="1"/>
  <c r="M5" i="49"/>
  <c r="L103" i="51" s="1"/>
  <c r="K28" i="49"/>
  <c r="K5" i="49"/>
  <c r="J103" i="51" s="1"/>
  <c r="O7" i="48"/>
  <c r="O8" i="48" s="1"/>
  <c r="O54" i="48"/>
  <c r="K29" i="48"/>
  <c r="J83" i="53" s="1"/>
  <c r="N79" i="50"/>
  <c r="M125" i="57" s="1"/>
  <c r="AU9" i="50"/>
  <c r="BD8" i="50"/>
  <c r="O79" i="50"/>
  <c r="N125" i="57" s="1"/>
  <c r="O55" i="50"/>
  <c r="N125" i="56" s="1"/>
  <c r="C55" i="50"/>
  <c r="V55" i="50" s="1"/>
  <c r="AP55" i="50" s="1"/>
  <c r="C31" i="50"/>
  <c r="C8" i="50"/>
  <c r="V7" i="50"/>
  <c r="AP7" i="50" s="1"/>
  <c r="BI7" i="50" s="1"/>
  <c r="O32" i="50"/>
  <c r="N126" i="53" s="1"/>
  <c r="O9" i="50"/>
  <c r="B56" i="50"/>
  <c r="U56" i="50" s="1"/>
  <c r="AO56" i="50" s="1"/>
  <c r="B32" i="50"/>
  <c r="U8" i="50"/>
  <c r="AO8" i="50" s="1"/>
  <c r="BH8" i="50" s="1"/>
  <c r="B9" i="50"/>
  <c r="AH76" i="50"/>
  <c r="N122" i="58" s="1"/>
  <c r="AH52" i="50"/>
  <c r="N122" i="54" s="1"/>
  <c r="BB52" i="50"/>
  <c r="N122" i="55" s="1"/>
  <c r="B79" i="50"/>
  <c r="U31" i="50"/>
  <c r="U79" i="50" s="1"/>
  <c r="C78" i="50"/>
  <c r="V30" i="50"/>
  <c r="V78" i="50" s="1"/>
  <c r="AE79" i="50"/>
  <c r="K125" i="58" s="1"/>
  <c r="AE55" i="50"/>
  <c r="K125" i="54" s="1"/>
  <c r="AY55" i="50"/>
  <c r="K125" i="55" s="1"/>
  <c r="AP30" i="50"/>
  <c r="AX29" i="50"/>
  <c r="AZ29" i="50"/>
  <c r="L33" i="50"/>
  <c r="L10" i="50"/>
  <c r="L80" i="50"/>
  <c r="K126" i="57" s="1"/>
  <c r="AH78" i="50"/>
  <c r="N124" i="58" s="1"/>
  <c r="AH54" i="50"/>
  <c r="N124" i="54" s="1"/>
  <c r="BB54" i="50"/>
  <c r="N124" i="55" s="1"/>
  <c r="N32" i="50"/>
  <c r="BX32" i="50"/>
  <c r="N9" i="50"/>
  <c r="BK27" i="50" a="1"/>
  <c r="AG78" i="50"/>
  <c r="M124" i="58" s="1"/>
  <c r="AG54" i="50"/>
  <c r="M124" i="54" s="1"/>
  <c r="BA54" i="50"/>
  <c r="M124" i="55" s="1"/>
  <c r="N78" i="49"/>
  <c r="M104" i="57" s="1"/>
  <c r="L31" i="49"/>
  <c r="L8" i="49"/>
  <c r="C56" i="49"/>
  <c r="V56" i="49" s="1"/>
  <c r="AP56" i="49" s="1"/>
  <c r="C9" i="49"/>
  <c r="C32" i="49"/>
  <c r="V8" i="49"/>
  <c r="AP8" i="49" s="1"/>
  <c r="BI8" i="49" s="1"/>
  <c r="AG77" i="49"/>
  <c r="M103" i="58" s="1"/>
  <c r="AG53" i="49"/>
  <c r="M103" i="54" s="1"/>
  <c r="BA53" i="49"/>
  <c r="M103" i="55" s="1"/>
  <c r="C79" i="49"/>
  <c r="V31" i="49"/>
  <c r="V79" i="49" s="1"/>
  <c r="BD10" i="49"/>
  <c r="AE77" i="49"/>
  <c r="K103" i="58" s="1"/>
  <c r="AE53" i="49"/>
  <c r="K103" i="54" s="1"/>
  <c r="AY53" i="49"/>
  <c r="K103" i="55" s="1"/>
  <c r="O31" i="49"/>
  <c r="N105" i="53" s="1"/>
  <c r="O8" i="49"/>
  <c r="B56" i="49"/>
  <c r="U56" i="49" s="1"/>
  <c r="AO56" i="49" s="1"/>
  <c r="B32" i="49"/>
  <c r="B9" i="49"/>
  <c r="U8" i="49"/>
  <c r="AO8" i="49" s="1"/>
  <c r="BH8" i="49" s="1"/>
  <c r="AP30" i="49"/>
  <c r="AZ29" i="49"/>
  <c r="AX29" i="49"/>
  <c r="O78" i="49"/>
  <c r="N104" i="57" s="1"/>
  <c r="O54" i="49"/>
  <c r="N104" i="56" s="1"/>
  <c r="B79" i="49"/>
  <c r="U31" i="49"/>
  <c r="U79" i="49" s="1"/>
  <c r="BL27" i="49"/>
  <c r="BK27" i="49"/>
  <c r="AH77" i="49"/>
  <c r="N103" i="58" s="1"/>
  <c r="AH53" i="49"/>
  <c r="N103" i="54" s="1"/>
  <c r="BB53" i="49"/>
  <c r="N103" i="55" s="1"/>
  <c r="BX31" i="49"/>
  <c r="N31" i="49"/>
  <c r="N8" i="49"/>
  <c r="L78" i="49"/>
  <c r="K104" i="57" s="1"/>
  <c r="F5" i="48"/>
  <c r="E83" i="51" s="1"/>
  <c r="F28" i="48"/>
  <c r="F52" i="48" s="1"/>
  <c r="E5" i="48"/>
  <c r="BU28" i="48"/>
  <c r="M5" i="48"/>
  <c r="M28" i="48"/>
  <c r="L82" i="53" s="1"/>
  <c r="G28" i="48"/>
  <c r="F82" i="53" s="1"/>
  <c r="G5" i="48"/>
  <c r="F83" i="51" s="1"/>
  <c r="Q4" i="48"/>
  <c r="P82" i="51" s="1"/>
  <c r="BO28" i="48"/>
  <c r="D76" i="48"/>
  <c r="C82" i="57" s="1"/>
  <c r="AP27" i="48"/>
  <c r="AO27" i="48"/>
  <c r="BK27" i="48" s="1" a="1"/>
  <c r="K28" i="48"/>
  <c r="B77" i="48"/>
  <c r="U29" i="48"/>
  <c r="U77" i="48" s="1"/>
  <c r="N76" i="48"/>
  <c r="M82" i="57" s="1"/>
  <c r="BI57" i="48" a="1"/>
  <c r="BI57" i="48" s="1"/>
  <c r="AU6" i="48"/>
  <c r="BD5" i="48"/>
  <c r="C53" i="48"/>
  <c r="V53" i="48" s="1"/>
  <c r="AP53" i="48" s="1"/>
  <c r="C29" i="48"/>
  <c r="V5" i="48"/>
  <c r="AP5" i="48" s="1"/>
  <c r="BI5" i="48" s="1"/>
  <c r="C6" i="48"/>
  <c r="N77" i="48"/>
  <c r="M83" i="57" s="1"/>
  <c r="BA53" i="48"/>
  <c r="M83" i="55" s="1"/>
  <c r="P76" i="48"/>
  <c r="O82" i="57" s="1"/>
  <c r="BX30" i="48"/>
  <c r="N30" i="48"/>
  <c r="N7" i="48"/>
  <c r="BB53" i="48"/>
  <c r="N83" i="55" s="1"/>
  <c r="BB52" i="48"/>
  <c r="N82" i="55" s="1"/>
  <c r="B54" i="48"/>
  <c r="U54" i="48" s="1"/>
  <c r="AO54" i="48" s="1"/>
  <c r="B7" i="48"/>
  <c r="B30" i="48"/>
  <c r="U6" i="48"/>
  <c r="AO6" i="48" s="1"/>
  <c r="BH6" i="48" s="1"/>
  <c r="B76" i="48"/>
  <c r="AO28" i="48"/>
  <c r="AO29" i="48" s="1"/>
  <c r="AO30" i="48" s="1"/>
  <c r="AO31" i="48" s="1"/>
  <c r="AO32" i="48" s="1"/>
  <c r="AO33" i="48" s="1"/>
  <c r="AO34" i="48" s="1"/>
  <c r="AO35" i="48" s="1"/>
  <c r="AO36" i="48" s="1"/>
  <c r="AO37" i="48" s="1"/>
  <c r="AO38" i="48" s="1"/>
  <c r="AO39" i="48" s="1"/>
  <c r="AO40" i="48" s="1"/>
  <c r="AO41" i="48" s="1"/>
  <c r="AO42" i="48" s="1"/>
  <c r="AO43" i="48" s="1"/>
  <c r="AO44" i="48" s="1"/>
  <c r="AO45" i="48" s="1"/>
  <c r="AO46" i="48" s="1"/>
  <c r="AO47" i="48" s="1"/>
  <c r="U28" i="48"/>
  <c r="U76" i="48" s="1"/>
  <c r="AH76" i="48"/>
  <c r="N82" i="58" s="1"/>
  <c r="AH52" i="48"/>
  <c r="N82" i="54" s="1"/>
  <c r="L76" i="48"/>
  <c r="K82" i="57" s="1"/>
  <c r="BA52" i="48"/>
  <c r="M82" i="55" s="1"/>
  <c r="J29" i="48"/>
  <c r="I83" i="53" s="1"/>
  <c r="J6" i="48"/>
  <c r="I84" i="51" s="1"/>
  <c r="L29" i="48"/>
  <c r="L6" i="48"/>
  <c r="AH77" i="48"/>
  <c r="N83" i="58" s="1"/>
  <c r="AH53" i="48"/>
  <c r="N83" i="54" s="1"/>
  <c r="C76" i="48"/>
  <c r="AP28" i="48"/>
  <c r="V28" i="48"/>
  <c r="V76" i="48" s="1"/>
  <c r="R29" i="47"/>
  <c r="R30" i="47"/>
  <c r="R31" i="47"/>
  <c r="R32" i="47"/>
  <c r="R33" i="47"/>
  <c r="R34" i="47"/>
  <c r="R35" i="47"/>
  <c r="R36" i="47"/>
  <c r="R37" i="47"/>
  <c r="R38" i="47"/>
  <c r="R39" i="47"/>
  <c r="R40" i="47"/>
  <c r="R41" i="47"/>
  <c r="R42" i="47"/>
  <c r="R43" i="47"/>
  <c r="R44" i="47"/>
  <c r="R45" i="47"/>
  <c r="R46" i="47"/>
  <c r="R47" i="47"/>
  <c r="R28" i="47"/>
  <c r="AV4" i="47"/>
  <c r="AV5" i="47" s="1"/>
  <c r="AV6" i="47" s="1"/>
  <c r="AV7" i="47" s="1"/>
  <c r="AV8" i="47" s="1"/>
  <c r="AV9" i="47" s="1"/>
  <c r="AV10" i="47" s="1"/>
  <c r="AV11" i="47" s="1"/>
  <c r="AV12" i="47" s="1"/>
  <c r="AV13" i="47" s="1"/>
  <c r="AV14" i="47" s="1"/>
  <c r="AV15" i="47" s="1"/>
  <c r="AV16" i="47" s="1"/>
  <c r="AV17" i="47" s="1"/>
  <c r="AV18" i="47" s="1"/>
  <c r="AV19" i="47" s="1"/>
  <c r="AV20" i="47" s="1"/>
  <c r="AV21" i="47" s="1"/>
  <c r="AV22" i="47" s="1"/>
  <c r="AV23" i="47" s="1"/>
  <c r="AW4" i="47"/>
  <c r="AX4" i="47"/>
  <c r="AY4" i="47"/>
  <c r="AZ4" i="47"/>
  <c r="BA4" i="47"/>
  <c r="BA5" i="47" s="1"/>
  <c r="BA6" i="47" s="1"/>
  <c r="BA7" i="47" s="1"/>
  <c r="BA8" i="47" s="1"/>
  <c r="BA9" i="47" s="1"/>
  <c r="BA10" i="47" s="1"/>
  <c r="BA11" i="47" s="1"/>
  <c r="BA12" i="47" s="1"/>
  <c r="BA13" i="47" s="1"/>
  <c r="BA14" i="47" s="1"/>
  <c r="BA15" i="47" s="1"/>
  <c r="BA16" i="47" s="1"/>
  <c r="BA17" i="47" s="1"/>
  <c r="BA18" i="47" s="1"/>
  <c r="BA19" i="47" s="1"/>
  <c r="BA20" i="47" s="1"/>
  <c r="BA21" i="47" s="1"/>
  <c r="BA22" i="47" s="1"/>
  <c r="BA23" i="47" s="1"/>
  <c r="AU4" i="47"/>
  <c r="AU5" i="47" s="1"/>
  <c r="L4" i="47"/>
  <c r="N4" i="47"/>
  <c r="BX28" i="47" s="1"/>
  <c r="O4" i="47"/>
  <c r="C4" i="47"/>
  <c r="B4" i="47"/>
  <c r="AJ75" i="47"/>
  <c r="AI75" i="47"/>
  <c r="AG75" i="47"/>
  <c r="AB75" i="47"/>
  <c r="AA75" i="47"/>
  <c r="Y75" i="47"/>
  <c r="X75" i="47"/>
  <c r="W75" i="47"/>
  <c r="W75" i="47" a="1"/>
  <c r="AH75" i="47" s="1"/>
  <c r="U75" i="47" a="1"/>
  <c r="G75" i="47"/>
  <c r="D75" i="47"/>
  <c r="D75" i="47" a="1"/>
  <c r="K75" i="47" s="1"/>
  <c r="B75" i="47" a="1"/>
  <c r="B75" i="47" s="1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K71" i="47"/>
  <c r="BJ71" i="47"/>
  <c r="BI71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K70" i="47"/>
  <c r="BJ70" i="47"/>
  <c r="BI70" i="47"/>
  <c r="CA57" i="47"/>
  <c r="BZ57" i="47"/>
  <c r="BY57" i="47"/>
  <c r="BX57" i="47"/>
  <c r="BW57" i="47"/>
  <c r="BV57" i="47"/>
  <c r="BU57" i="47"/>
  <c r="BT57" i="47"/>
  <c r="BS57" i="47"/>
  <c r="BR57" i="47"/>
  <c r="BQ57" i="47"/>
  <c r="BP57" i="47"/>
  <c r="BO57" i="47"/>
  <c r="BN57" i="47"/>
  <c r="BM57" i="47"/>
  <c r="BL57" i="47"/>
  <c r="BK57" i="47"/>
  <c r="BJ57" i="47"/>
  <c r="CA56" i="47"/>
  <c r="BZ56" i="47"/>
  <c r="BY56" i="47"/>
  <c r="BX56" i="47"/>
  <c r="BW56" i="47"/>
  <c r="BV56" i="47"/>
  <c r="BU56" i="47"/>
  <c r="BT56" i="47"/>
  <c r="BS56" i="47"/>
  <c r="BR56" i="47"/>
  <c r="BQ56" i="47"/>
  <c r="BP56" i="47"/>
  <c r="BO56" i="47"/>
  <c r="BN56" i="47"/>
  <c r="BM56" i="47"/>
  <c r="BL56" i="47"/>
  <c r="BK56" i="47"/>
  <c r="BJ56" i="47"/>
  <c r="BI56" i="47"/>
  <c r="AL54" i="47"/>
  <c r="AL55" i="47" s="1"/>
  <c r="AL56" i="47" s="1"/>
  <c r="AL57" i="47" s="1"/>
  <c r="AL58" i="47" s="1"/>
  <c r="AL59" i="47" s="1"/>
  <c r="AL60" i="47" s="1"/>
  <c r="AL61" i="47" s="1"/>
  <c r="AL62" i="47" s="1"/>
  <c r="AL63" i="47" s="1"/>
  <c r="AL64" i="47" s="1"/>
  <c r="AL65" i="47" s="1"/>
  <c r="AL66" i="47" s="1"/>
  <c r="AL67" i="47" s="1"/>
  <c r="AL68" i="47" s="1"/>
  <c r="AL69" i="47" s="1"/>
  <c r="AL70" i="47" s="1"/>
  <c r="AL71" i="47" s="1"/>
  <c r="AQ51" i="47" a="1"/>
  <c r="AZ51" i="47" s="1"/>
  <c r="AO51" i="47"/>
  <c r="AO51" i="47" a="1"/>
  <c r="AP51" i="47" s="1"/>
  <c r="AA51" i="47"/>
  <c r="Z51" i="47"/>
  <c r="W51" i="47" a="1"/>
  <c r="AC51" i="47" s="1"/>
  <c r="U51" i="47" a="1"/>
  <c r="V51" i="47" s="1"/>
  <c r="D51" i="47" a="1"/>
  <c r="L51" i="47" s="1"/>
  <c r="C51" i="47"/>
  <c r="B51" i="47"/>
  <c r="B51" i="47" a="1"/>
  <c r="BT47" i="47"/>
  <c r="BM47" i="47"/>
  <c r="BN47" i="47" s="1"/>
  <c r="BQ47" i="47" s="1"/>
  <c r="BM46" i="47"/>
  <c r="BN46" i="47" s="1"/>
  <c r="BM45" i="47"/>
  <c r="BN45" i="47" s="1"/>
  <c r="BQ44" i="47"/>
  <c r="BM44" i="47"/>
  <c r="BN44" i="47" s="1"/>
  <c r="BT44" i="47" s="1"/>
  <c r="BT43" i="47"/>
  <c r="BM43" i="47"/>
  <c r="BN43" i="47" s="1"/>
  <c r="BQ43" i="47" s="1"/>
  <c r="BM42" i="47"/>
  <c r="BN42" i="47" s="1"/>
  <c r="BM41" i="47"/>
  <c r="BN41" i="47" s="1"/>
  <c r="BM40" i="47"/>
  <c r="BN40" i="47" s="1"/>
  <c r="BT40" i="47" s="1"/>
  <c r="BM39" i="47"/>
  <c r="BN39" i="47" s="1"/>
  <c r="BN38" i="47"/>
  <c r="BQ38" i="47" s="1"/>
  <c r="BM38" i="47"/>
  <c r="BM37" i="47"/>
  <c r="BN37" i="47" s="1"/>
  <c r="BQ37" i="47" s="1"/>
  <c r="BM36" i="47"/>
  <c r="BN36" i="47" s="1"/>
  <c r="BQ36" i="47" s="1"/>
  <c r="BH36" i="47"/>
  <c r="BQ35" i="47"/>
  <c r="BN35" i="47"/>
  <c r="BT35" i="47" s="1"/>
  <c r="BM35" i="47"/>
  <c r="BH35" i="47"/>
  <c r="BM34" i="47"/>
  <c r="BN34" i="47" s="1"/>
  <c r="BT34" i="47" s="1"/>
  <c r="BH34" i="47"/>
  <c r="BM33" i="47"/>
  <c r="BN33" i="47" s="1"/>
  <c r="BM32" i="47"/>
  <c r="BN32" i="47" s="1"/>
  <c r="BT31" i="47"/>
  <c r="BQ31" i="47"/>
  <c r="BN31" i="47"/>
  <c r="BM31" i="47"/>
  <c r="BH31" i="47"/>
  <c r="BT30" i="47"/>
  <c r="BN30" i="47"/>
  <c r="BQ30" i="47" s="1"/>
  <c r="BM30" i="47"/>
  <c r="BH30" i="47"/>
  <c r="BZ29" i="47"/>
  <c r="BZ30" i="47" s="1"/>
  <c r="BZ31" i="47" s="1"/>
  <c r="BZ32" i="47" s="1"/>
  <c r="BZ33" i="47" s="1"/>
  <c r="BZ34" i="47" s="1"/>
  <c r="BZ35" i="47" s="1"/>
  <c r="BZ36" i="47" s="1"/>
  <c r="BZ37" i="47" s="1"/>
  <c r="BZ38" i="47" s="1"/>
  <c r="BZ39" i="47" s="1"/>
  <c r="BZ40" i="47" s="1"/>
  <c r="BZ41" i="47" s="1"/>
  <c r="BZ42" i="47" s="1"/>
  <c r="BZ43" i="47" s="1"/>
  <c r="BZ44" i="47" s="1"/>
  <c r="BZ45" i="47" s="1"/>
  <c r="BZ46" i="47" s="1"/>
  <c r="BZ47" i="47" s="1"/>
  <c r="BM29" i="47"/>
  <c r="BN29" i="47" s="1"/>
  <c r="BT28" i="47"/>
  <c r="BQ28" i="47"/>
  <c r="BM28" i="47"/>
  <c r="BN28" i="47" s="1"/>
  <c r="BM27" i="47"/>
  <c r="AQ27" i="47"/>
  <c r="AQ27" i="47" a="1"/>
  <c r="AS27" i="47" s="1"/>
  <c r="AG27" i="47"/>
  <c r="AF27" i="47"/>
  <c r="W27" i="47"/>
  <c r="W27" i="47" a="1"/>
  <c r="AE27" i="47" s="1"/>
  <c r="D27" i="47" a="1"/>
  <c r="N27" i="47" s="1"/>
  <c r="B27" i="47" a="1"/>
  <c r="AW5" i="47"/>
  <c r="AW6" i="47" s="1"/>
  <c r="AW7" i="47" s="1"/>
  <c r="AW8" i="47" s="1"/>
  <c r="AW9" i="47" s="1"/>
  <c r="AW10" i="47" s="1"/>
  <c r="AW11" i="47" s="1"/>
  <c r="AW12" i="47" s="1"/>
  <c r="AW13" i="47" s="1"/>
  <c r="AW14" i="47" s="1"/>
  <c r="AW15" i="47" s="1"/>
  <c r="AW16" i="47" s="1"/>
  <c r="AW17" i="47" s="1"/>
  <c r="AW18" i="47" s="1"/>
  <c r="AW19" i="47" s="1"/>
  <c r="AW20" i="47" s="1"/>
  <c r="AW21" i="47" s="1"/>
  <c r="AW22" i="47" s="1"/>
  <c r="AW23" i="47" s="1"/>
  <c r="C5" i="47"/>
  <c r="C6" i="47" s="1"/>
  <c r="B5" i="47"/>
  <c r="B6" i="47" s="1"/>
  <c r="BD4" i="47"/>
  <c r="AY5" i="47"/>
  <c r="AY6" i="47" s="1"/>
  <c r="AY7" i="47" s="1"/>
  <c r="AY8" i="47" s="1"/>
  <c r="AY9" i="47" s="1"/>
  <c r="AY10" i="47" s="1"/>
  <c r="AY11" i="47" s="1"/>
  <c r="AY12" i="47" s="1"/>
  <c r="AY13" i="47" s="1"/>
  <c r="AY14" i="47" s="1"/>
  <c r="AY15" i="47" s="1"/>
  <c r="AY16" i="47" s="1"/>
  <c r="AY17" i="47" s="1"/>
  <c r="AY18" i="47" s="1"/>
  <c r="AY19" i="47" s="1"/>
  <c r="AY20" i="47" s="1"/>
  <c r="AY21" i="47" s="1"/>
  <c r="AY22" i="47" s="1"/>
  <c r="AY23" i="47" s="1"/>
  <c r="AX5" i="47"/>
  <c r="AX6" i="47" s="1"/>
  <c r="AX7" i="47" s="1"/>
  <c r="AX8" i="47" s="1"/>
  <c r="AX9" i="47" s="1"/>
  <c r="AX10" i="47" s="1"/>
  <c r="AX11" i="47" s="1"/>
  <c r="AX12" i="47" s="1"/>
  <c r="AX13" i="47" s="1"/>
  <c r="AX14" i="47" s="1"/>
  <c r="AX15" i="47" s="1"/>
  <c r="AX16" i="47" s="1"/>
  <c r="AX17" i="47" s="1"/>
  <c r="AX18" i="47" s="1"/>
  <c r="AX19" i="47" s="1"/>
  <c r="AX20" i="47" s="1"/>
  <c r="AX21" i="47" s="1"/>
  <c r="AX22" i="47" s="1"/>
  <c r="AX23" i="47" s="1"/>
  <c r="AJ4" i="47"/>
  <c r="V4" i="47"/>
  <c r="AP4" i="47" s="1"/>
  <c r="BI4" i="47" s="1"/>
  <c r="U4" i="47"/>
  <c r="AO4" i="47" s="1"/>
  <c r="BH4" i="47" s="1"/>
  <c r="BD3" i="47"/>
  <c r="BC3" i="47"/>
  <c r="AY3" i="47"/>
  <c r="AV3" i="47"/>
  <c r="AU3" i="47"/>
  <c r="AT3" i="47"/>
  <c r="AS3" i="47"/>
  <c r="AQ3" i="47" a="1"/>
  <c r="AX3" i="47" s="1"/>
  <c r="AO3" i="47" a="1"/>
  <c r="AO3" i="47" s="1"/>
  <c r="AI3" i="47"/>
  <c r="AB3" i="47"/>
  <c r="AA3" i="47"/>
  <c r="W3" i="47" a="1"/>
  <c r="AD3" i="47" s="1"/>
  <c r="U3" i="47"/>
  <c r="U3" i="47" a="1"/>
  <c r="V3" i="47" s="1"/>
  <c r="D3" i="47" a="1"/>
  <c r="L3" i="47" s="1"/>
  <c r="C3" i="47"/>
  <c r="B3" i="47"/>
  <c r="B3" i="47" a="1"/>
  <c r="BM29" i="46"/>
  <c r="BM30" i="46"/>
  <c r="BM31" i="46"/>
  <c r="BM32" i="46"/>
  <c r="BM33" i="46"/>
  <c r="BM34" i="46"/>
  <c r="BM35" i="46"/>
  <c r="BM36" i="46"/>
  <c r="BM37" i="46"/>
  <c r="BM38" i="46"/>
  <c r="BM39" i="46"/>
  <c r="BM40" i="46"/>
  <c r="BM41" i="46"/>
  <c r="BM42" i="46"/>
  <c r="BM43" i="46"/>
  <c r="BM44" i="46"/>
  <c r="BM45" i="46"/>
  <c r="BM46" i="46"/>
  <c r="BM47" i="46"/>
  <c r="BM28" i="46"/>
  <c r="R29" i="46"/>
  <c r="R30" i="46"/>
  <c r="R31" i="46"/>
  <c r="R32" i="46"/>
  <c r="R33" i="46"/>
  <c r="R34" i="46"/>
  <c r="R35" i="46"/>
  <c r="R36" i="46"/>
  <c r="R37" i="46"/>
  <c r="R38" i="46"/>
  <c r="R39" i="46"/>
  <c r="R40" i="46"/>
  <c r="R41" i="46"/>
  <c r="R42" i="46"/>
  <c r="R43" i="46"/>
  <c r="R44" i="46"/>
  <c r="R45" i="46"/>
  <c r="R46" i="46"/>
  <c r="R47" i="46"/>
  <c r="R28" i="46"/>
  <c r="AV4" i="46"/>
  <c r="AV5" i="46" s="1"/>
  <c r="AV6" i="46" s="1"/>
  <c r="AV7" i="46" s="1"/>
  <c r="AV8" i="46" s="1"/>
  <c r="AV9" i="46" s="1"/>
  <c r="AV10" i="46" s="1"/>
  <c r="AV11" i="46" s="1"/>
  <c r="AV12" i="46" s="1"/>
  <c r="AV13" i="46" s="1"/>
  <c r="AV14" i="46" s="1"/>
  <c r="AV15" i="46" s="1"/>
  <c r="AV16" i="46" s="1"/>
  <c r="AV17" i="46" s="1"/>
  <c r="AV18" i="46" s="1"/>
  <c r="AV19" i="46" s="1"/>
  <c r="AV20" i="46" s="1"/>
  <c r="AV21" i="46" s="1"/>
  <c r="AV22" i="46" s="1"/>
  <c r="AV23" i="46" s="1"/>
  <c r="AW4" i="46"/>
  <c r="AW5" i="46" s="1"/>
  <c r="AW6" i="46" s="1"/>
  <c r="AW7" i="46" s="1"/>
  <c r="AW8" i="46" s="1"/>
  <c r="AW9" i="46" s="1"/>
  <c r="AW10" i="46" s="1"/>
  <c r="AW11" i="46" s="1"/>
  <c r="AW12" i="46" s="1"/>
  <c r="AW13" i="46" s="1"/>
  <c r="AW14" i="46" s="1"/>
  <c r="AW15" i="46" s="1"/>
  <c r="AW16" i="46" s="1"/>
  <c r="AW17" i="46" s="1"/>
  <c r="AW18" i="46" s="1"/>
  <c r="AW19" i="46" s="1"/>
  <c r="AW20" i="46" s="1"/>
  <c r="AW21" i="46" s="1"/>
  <c r="AW22" i="46" s="1"/>
  <c r="AW23" i="46" s="1"/>
  <c r="AX4" i="46"/>
  <c r="AY4" i="46"/>
  <c r="AZ4" i="46"/>
  <c r="BA4" i="46"/>
  <c r="AU4" i="46"/>
  <c r="L4" i="46"/>
  <c r="L5" i="46" s="1"/>
  <c r="N4" i="46"/>
  <c r="O4" i="46"/>
  <c r="C4" i="46"/>
  <c r="V4" i="46" s="1"/>
  <c r="AP4" i="46" s="1"/>
  <c r="BI4" i="46" s="1"/>
  <c r="B4" i="46"/>
  <c r="AD75" i="46"/>
  <c r="W75" i="46" a="1"/>
  <c r="AC75" i="46" s="1"/>
  <c r="V75" i="46"/>
  <c r="U75" i="46" a="1"/>
  <c r="U75" i="46" s="1"/>
  <c r="L75" i="46"/>
  <c r="D75" i="46" a="1"/>
  <c r="C75" i="46"/>
  <c r="B75" i="46" a="1"/>
  <c r="B75" i="46" s="1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CA70" i="46"/>
  <c r="BZ70" i="46"/>
  <c r="BY70" i="46"/>
  <c r="BX70" i="46"/>
  <c r="BW70" i="46"/>
  <c r="BV70" i="46"/>
  <c r="BU70" i="46"/>
  <c r="BT70" i="46"/>
  <c r="BS70" i="46"/>
  <c r="BR70" i="46"/>
  <c r="BQ70" i="46"/>
  <c r="BP70" i="46"/>
  <c r="BO70" i="46"/>
  <c r="BN70" i="46"/>
  <c r="BM70" i="46"/>
  <c r="BL70" i="46"/>
  <c r="BK70" i="46"/>
  <c r="BJ70" i="46"/>
  <c r="BI70" i="46"/>
  <c r="CA57" i="46"/>
  <c r="BZ57" i="46"/>
  <c r="BY57" i="46"/>
  <c r="BX57" i="46"/>
  <c r="BW57" i="46"/>
  <c r="BV57" i="46"/>
  <c r="BU57" i="46"/>
  <c r="BT57" i="46"/>
  <c r="BS57" i="46"/>
  <c r="BR57" i="46"/>
  <c r="BQ57" i="46"/>
  <c r="BP57" i="46"/>
  <c r="BO57" i="46"/>
  <c r="BN57" i="46"/>
  <c r="BM57" i="46"/>
  <c r="BL57" i="46"/>
  <c r="BK57" i="46"/>
  <c r="BJ57" i="46"/>
  <c r="CA56" i="46"/>
  <c r="BZ56" i="46"/>
  <c r="BY56" i="46"/>
  <c r="BX56" i="46"/>
  <c r="BW56" i="46"/>
  <c r="BV56" i="46"/>
  <c r="BU56" i="46"/>
  <c r="BT56" i="46"/>
  <c r="BS56" i="46"/>
  <c r="BR56" i="46"/>
  <c r="BQ56" i="46"/>
  <c r="BP56" i="46"/>
  <c r="BO56" i="46"/>
  <c r="BN56" i="46"/>
  <c r="BM56" i="46"/>
  <c r="BL56" i="46"/>
  <c r="BK56" i="46"/>
  <c r="BJ56" i="46"/>
  <c r="BI56" i="46"/>
  <c r="AL54" i="46"/>
  <c r="AL55" i="46" s="1"/>
  <c r="AL56" i="46" s="1"/>
  <c r="AL57" i="46" s="1"/>
  <c r="AL58" i="46" s="1"/>
  <c r="AL59" i="46" s="1"/>
  <c r="AL60" i="46" s="1"/>
  <c r="AL61" i="46" s="1"/>
  <c r="AL62" i="46" s="1"/>
  <c r="AL63" i="46" s="1"/>
  <c r="AL64" i="46" s="1"/>
  <c r="AL65" i="46" s="1"/>
  <c r="AL66" i="46" s="1"/>
  <c r="AL67" i="46" s="1"/>
  <c r="AL68" i="46" s="1"/>
  <c r="AL69" i="46" s="1"/>
  <c r="AL70" i="46" s="1"/>
  <c r="AL71" i="46" s="1"/>
  <c r="AQ51" i="46" a="1"/>
  <c r="AO51" i="46"/>
  <c r="AO51" i="46" a="1"/>
  <c r="AP51" i="46" s="1"/>
  <c r="W51" i="46" a="1"/>
  <c r="AD51" i="46" s="1"/>
  <c r="U51" i="46"/>
  <c r="U51" i="46" a="1"/>
  <c r="V51" i="46" s="1"/>
  <c r="O51" i="46"/>
  <c r="D51" i="46" a="1"/>
  <c r="L51" i="46" s="1"/>
  <c r="C51" i="46"/>
  <c r="B51" i="46"/>
  <c r="B51" i="46" a="1"/>
  <c r="BH36" i="46"/>
  <c r="BH35" i="46"/>
  <c r="BH34" i="46"/>
  <c r="BH31" i="46"/>
  <c r="BH30" i="46"/>
  <c r="BZ29" i="46"/>
  <c r="BZ30" i="46" s="1"/>
  <c r="BZ31" i="46" s="1"/>
  <c r="BZ32" i="46" s="1"/>
  <c r="BZ33" i="46" s="1"/>
  <c r="BZ34" i="46" s="1"/>
  <c r="BZ35" i="46" s="1"/>
  <c r="BZ36" i="46" s="1"/>
  <c r="BZ37" i="46" s="1"/>
  <c r="BZ38" i="46" s="1"/>
  <c r="BZ39" i="46" s="1"/>
  <c r="BZ40" i="46" s="1"/>
  <c r="BZ41" i="46" s="1"/>
  <c r="BZ42" i="46" s="1"/>
  <c r="BZ43" i="46" s="1"/>
  <c r="BZ44" i="46" s="1"/>
  <c r="BZ45" i="46" s="1"/>
  <c r="BZ46" i="46" s="1"/>
  <c r="BZ47" i="46" s="1"/>
  <c r="BM27" i="46"/>
  <c r="AQ27" i="46" a="1"/>
  <c r="AR27" i="46" s="1"/>
  <c r="AJ27" i="46"/>
  <c r="AI27" i="46"/>
  <c r="AE27" i="46"/>
  <c r="AC27" i="46"/>
  <c r="AB27" i="46"/>
  <c r="AA27" i="46"/>
  <c r="Y27" i="46"/>
  <c r="X27" i="46"/>
  <c r="W27" i="46" a="1"/>
  <c r="AH27" i="46" s="1"/>
  <c r="D27" i="46" a="1"/>
  <c r="K27" i="46" s="1"/>
  <c r="B27" i="46" a="1"/>
  <c r="B27" i="46" s="1"/>
  <c r="AZ5" i="46"/>
  <c r="AZ6" i="46" s="1"/>
  <c r="AZ7" i="46" s="1"/>
  <c r="AZ8" i="46" s="1"/>
  <c r="AZ9" i="46" s="1"/>
  <c r="AZ10" i="46" s="1"/>
  <c r="AZ11" i="46" s="1"/>
  <c r="AZ12" i="46" s="1"/>
  <c r="AZ13" i="46" s="1"/>
  <c r="AZ14" i="46" s="1"/>
  <c r="AZ15" i="46" s="1"/>
  <c r="AZ16" i="46" s="1"/>
  <c r="AZ17" i="46" s="1"/>
  <c r="AZ18" i="46" s="1"/>
  <c r="AZ19" i="46" s="1"/>
  <c r="AZ20" i="46" s="1"/>
  <c r="AZ21" i="46" s="1"/>
  <c r="AZ22" i="46" s="1"/>
  <c r="AZ23" i="46" s="1"/>
  <c r="AX5" i="46"/>
  <c r="AX6" i="46" s="1"/>
  <c r="AX7" i="46" s="1"/>
  <c r="AX8" i="46" s="1"/>
  <c r="AX9" i="46" s="1"/>
  <c r="AX10" i="46" s="1"/>
  <c r="AX11" i="46" s="1"/>
  <c r="AX12" i="46" s="1"/>
  <c r="AX13" i="46" s="1"/>
  <c r="AX14" i="46" s="1"/>
  <c r="AX15" i="46" s="1"/>
  <c r="AX16" i="46" s="1"/>
  <c r="AX17" i="46" s="1"/>
  <c r="AX18" i="46" s="1"/>
  <c r="AX19" i="46" s="1"/>
  <c r="AX20" i="46" s="1"/>
  <c r="AX21" i="46" s="1"/>
  <c r="AX22" i="46" s="1"/>
  <c r="AX23" i="46" s="1"/>
  <c r="O5" i="46"/>
  <c r="C5" i="46"/>
  <c r="BA5" i="46"/>
  <c r="BA6" i="46" s="1"/>
  <c r="BA7" i="46" s="1"/>
  <c r="BA8" i="46" s="1"/>
  <c r="BA9" i="46" s="1"/>
  <c r="BA10" i="46" s="1"/>
  <c r="BA11" i="46" s="1"/>
  <c r="BA12" i="46" s="1"/>
  <c r="BA13" i="46" s="1"/>
  <c r="BA14" i="46" s="1"/>
  <c r="BA15" i="46" s="1"/>
  <c r="BA16" i="46" s="1"/>
  <c r="BA17" i="46" s="1"/>
  <c r="BA18" i="46" s="1"/>
  <c r="BA19" i="46" s="1"/>
  <c r="BA20" i="46" s="1"/>
  <c r="BA21" i="46" s="1"/>
  <c r="BA22" i="46" s="1"/>
  <c r="BA23" i="46" s="1"/>
  <c r="AY5" i="46"/>
  <c r="AY6" i="46" s="1"/>
  <c r="AY7" i="46" s="1"/>
  <c r="AY8" i="46" s="1"/>
  <c r="AY9" i="46" s="1"/>
  <c r="AY10" i="46" s="1"/>
  <c r="AY11" i="46" s="1"/>
  <c r="AY12" i="46" s="1"/>
  <c r="AY13" i="46" s="1"/>
  <c r="AY14" i="46" s="1"/>
  <c r="AY15" i="46" s="1"/>
  <c r="AY16" i="46" s="1"/>
  <c r="AY17" i="46" s="1"/>
  <c r="AY18" i="46" s="1"/>
  <c r="AY19" i="46" s="1"/>
  <c r="AY20" i="46" s="1"/>
  <c r="AY21" i="46" s="1"/>
  <c r="AY22" i="46" s="1"/>
  <c r="AY23" i="46" s="1"/>
  <c r="AJ4" i="46"/>
  <c r="BB3" i="46"/>
  <c r="AQ3" i="46" a="1"/>
  <c r="BD3" i="46" s="1"/>
  <c r="AO3" i="46"/>
  <c r="AO3" i="46" a="1"/>
  <c r="AP3" i="46" s="1"/>
  <c r="W3" i="46" a="1"/>
  <c r="AB3" i="46" s="1"/>
  <c r="V3" i="46"/>
  <c r="U3" i="46"/>
  <c r="U3" i="46" a="1"/>
  <c r="D3" i="46" a="1"/>
  <c r="K3" i="46" s="1"/>
  <c r="C3" i="46"/>
  <c r="B3" i="46"/>
  <c r="B3" i="46" a="1"/>
  <c r="L4" i="44"/>
  <c r="L5" i="44" s="1"/>
  <c r="N4" i="44"/>
  <c r="N5" i="44" s="1"/>
  <c r="BX29" i="44" s="1"/>
  <c r="O4" i="44"/>
  <c r="O5" i="44" s="1"/>
  <c r="BM29" i="44"/>
  <c r="BM30" i="44"/>
  <c r="BM31" i="44"/>
  <c r="BM32" i="44"/>
  <c r="BM33" i="44"/>
  <c r="BM34" i="44"/>
  <c r="BM35" i="44"/>
  <c r="BM36" i="44"/>
  <c r="BM37" i="44"/>
  <c r="BM38" i="44"/>
  <c r="BM39" i="44"/>
  <c r="BM40" i="44"/>
  <c r="BM41" i="44"/>
  <c r="BM42" i="44"/>
  <c r="BM43" i="44"/>
  <c r="BM44" i="44"/>
  <c r="BM45" i="44"/>
  <c r="BM46" i="44"/>
  <c r="BM47" i="44"/>
  <c r="BM28" i="44"/>
  <c r="AV4" i="44"/>
  <c r="AW4" i="44"/>
  <c r="AX4" i="44"/>
  <c r="AY4" i="44"/>
  <c r="AZ4" i="44"/>
  <c r="BA4" i="44"/>
  <c r="AU4" i="44"/>
  <c r="R29" i="44"/>
  <c r="R30" i="44"/>
  <c r="R31" i="44"/>
  <c r="R32" i="44"/>
  <c r="R33" i="44"/>
  <c r="R34" i="44"/>
  <c r="R35" i="44"/>
  <c r="R36" i="44"/>
  <c r="R37" i="44"/>
  <c r="R38" i="44"/>
  <c r="R39" i="44"/>
  <c r="R40" i="44"/>
  <c r="R41" i="44"/>
  <c r="R42" i="44"/>
  <c r="R43" i="44"/>
  <c r="R44" i="44"/>
  <c r="R45" i="44"/>
  <c r="R46" i="44"/>
  <c r="R47" i="44"/>
  <c r="R28" i="44"/>
  <c r="B29" i="44"/>
  <c r="U29" i="44" s="1"/>
  <c r="U77" i="44" s="1"/>
  <c r="C29" i="44"/>
  <c r="B30" i="44"/>
  <c r="C30" i="44"/>
  <c r="B31" i="44"/>
  <c r="C31" i="44"/>
  <c r="B32" i="44"/>
  <c r="C32" i="44"/>
  <c r="B33" i="44"/>
  <c r="C33" i="44"/>
  <c r="C81" i="44" s="1"/>
  <c r="B34" i="44"/>
  <c r="C34" i="44"/>
  <c r="B35" i="44"/>
  <c r="C35" i="44"/>
  <c r="V35" i="44" s="1"/>
  <c r="V83" i="44" s="1"/>
  <c r="B36" i="44"/>
  <c r="C36" i="44"/>
  <c r="C84" i="44" s="1"/>
  <c r="B37" i="44"/>
  <c r="C37" i="44"/>
  <c r="B38" i="44"/>
  <c r="C38" i="44"/>
  <c r="B39" i="44"/>
  <c r="C39" i="44"/>
  <c r="V39" i="44" s="1"/>
  <c r="V87" i="44" s="1"/>
  <c r="B40" i="44"/>
  <c r="C40" i="44"/>
  <c r="C88" i="44" s="1"/>
  <c r="B41" i="44"/>
  <c r="C41" i="44"/>
  <c r="B42" i="44"/>
  <c r="C42" i="44"/>
  <c r="B43" i="44"/>
  <c r="C43" i="44"/>
  <c r="B44" i="44"/>
  <c r="C44" i="44"/>
  <c r="C92" i="44" s="1"/>
  <c r="B45" i="44"/>
  <c r="C45" i="44"/>
  <c r="C93" i="44" s="1"/>
  <c r="B46" i="44"/>
  <c r="C46" i="44"/>
  <c r="B47" i="44"/>
  <c r="C47" i="44"/>
  <c r="C28" i="44"/>
  <c r="V28" i="44" s="1"/>
  <c r="V76" i="44" s="1"/>
  <c r="U30" i="44"/>
  <c r="U78" i="44" s="1"/>
  <c r="B28" i="44"/>
  <c r="C4" i="44"/>
  <c r="C5" i="44" s="1"/>
  <c r="B4" i="44"/>
  <c r="U4" i="44" s="1"/>
  <c r="AO4" i="44" s="1"/>
  <c r="BH4" i="44" s="1"/>
  <c r="B5" i="44"/>
  <c r="B6" i="44" s="1"/>
  <c r="B7" i="44" s="1"/>
  <c r="AC75" i="44"/>
  <c r="W75" i="44"/>
  <c r="W75" i="44" a="1"/>
  <c r="U75" i="44" a="1"/>
  <c r="M75" i="44"/>
  <c r="L75" i="44"/>
  <c r="J75" i="44"/>
  <c r="G75" i="44"/>
  <c r="D75" i="44" a="1"/>
  <c r="Q75" i="44" s="1"/>
  <c r="B75" i="44" a="1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BJ70" i="44"/>
  <c r="BI70" i="44"/>
  <c r="AL66" i="44"/>
  <c r="AL67" i="44" s="1"/>
  <c r="AL68" i="44" s="1"/>
  <c r="AL69" i="44" s="1"/>
  <c r="AL70" i="44" s="1"/>
  <c r="AL71" i="44" s="1"/>
  <c r="AL59" i="44"/>
  <c r="AL60" i="44" s="1"/>
  <c r="AL61" i="44" s="1"/>
  <c r="AL62" i="44" s="1"/>
  <c r="AL63" i="44" s="1"/>
  <c r="AL64" i="44" s="1"/>
  <c r="AL65" i="44" s="1"/>
  <c r="CA57" i="44"/>
  <c r="BZ57" i="44"/>
  <c r="BY57" i="44"/>
  <c r="BX57" i="44"/>
  <c r="BW57" i="44"/>
  <c r="BV57" i="44"/>
  <c r="BU57" i="44"/>
  <c r="BT57" i="44"/>
  <c r="BS57" i="44"/>
  <c r="BR57" i="44"/>
  <c r="BQ57" i="44"/>
  <c r="BP57" i="44"/>
  <c r="BO57" i="44"/>
  <c r="BN57" i="44"/>
  <c r="BM57" i="44"/>
  <c r="BL57" i="44"/>
  <c r="BK57" i="44"/>
  <c r="BJ57" i="44"/>
  <c r="CA56" i="44"/>
  <c r="BZ56" i="44"/>
  <c r="BY56" i="44"/>
  <c r="BX56" i="44"/>
  <c r="BW56" i="44"/>
  <c r="BV56" i="44"/>
  <c r="BU56" i="44"/>
  <c r="BT56" i="44"/>
  <c r="BS56" i="44"/>
  <c r="BR56" i="44"/>
  <c r="BQ56" i="44"/>
  <c r="BP56" i="44"/>
  <c r="BO56" i="44"/>
  <c r="BN56" i="44"/>
  <c r="BM56" i="44"/>
  <c r="BL56" i="44"/>
  <c r="BK56" i="44"/>
  <c r="BJ56" i="44"/>
  <c r="BI56" i="44"/>
  <c r="AL54" i="44"/>
  <c r="AL55" i="44" s="1"/>
  <c r="AL56" i="44" s="1"/>
  <c r="AL57" i="44" s="1"/>
  <c r="AL58" i="44" s="1"/>
  <c r="AQ51" i="44" a="1"/>
  <c r="BD51" i="44" s="1"/>
  <c r="AO51" i="44" a="1"/>
  <c r="AP51" i="44" s="1"/>
  <c r="AD51" i="44"/>
  <c r="W51" i="44" a="1"/>
  <c r="AJ51" i="44" s="1"/>
  <c r="V51" i="44"/>
  <c r="U51" i="44"/>
  <c r="U51" i="44" a="1"/>
  <c r="O51" i="44"/>
  <c r="D51" i="44" a="1"/>
  <c r="G51" i="44" s="1"/>
  <c r="B51" i="44" a="1"/>
  <c r="B51" i="44" s="1"/>
  <c r="V44" i="44"/>
  <c r="V92" i="44" s="1"/>
  <c r="V42" i="44"/>
  <c r="V90" i="44" s="1"/>
  <c r="C90" i="44"/>
  <c r="V40" i="44"/>
  <c r="V88" i="44" s="1"/>
  <c r="V38" i="44"/>
  <c r="V86" i="44" s="1"/>
  <c r="C86" i="44"/>
  <c r="BH36" i="44"/>
  <c r="V36" i="44"/>
  <c r="V84" i="44" s="1"/>
  <c r="BH35" i="44"/>
  <c r="BH34" i="44"/>
  <c r="V33" i="44"/>
  <c r="V81" i="44" s="1"/>
  <c r="BZ31" i="44"/>
  <c r="BZ32" i="44" s="1"/>
  <c r="BZ33" i="44" s="1"/>
  <c r="BZ34" i="44" s="1"/>
  <c r="BZ35" i="44" s="1"/>
  <c r="BZ36" i="44" s="1"/>
  <c r="BZ37" i="44" s="1"/>
  <c r="BZ38" i="44" s="1"/>
  <c r="BZ39" i="44" s="1"/>
  <c r="BZ40" i="44" s="1"/>
  <c r="BZ41" i="44" s="1"/>
  <c r="BZ42" i="44" s="1"/>
  <c r="BZ43" i="44" s="1"/>
  <c r="BZ44" i="44" s="1"/>
  <c r="BZ45" i="44" s="1"/>
  <c r="BZ46" i="44" s="1"/>
  <c r="BZ47" i="44" s="1"/>
  <c r="BH31" i="44"/>
  <c r="BH30" i="44"/>
  <c r="C78" i="44"/>
  <c r="B78" i="44"/>
  <c r="BZ29" i="44"/>
  <c r="BZ30" i="44" s="1"/>
  <c r="B77" i="44"/>
  <c r="AP28" i="44"/>
  <c r="AX28" i="44" s="1"/>
  <c r="C76" i="44"/>
  <c r="BM27" i="44"/>
  <c r="AQ27" i="44" a="1"/>
  <c r="AI27" i="44"/>
  <c r="AD27" i="44"/>
  <c r="AC27" i="44"/>
  <c r="W27" i="44" a="1"/>
  <c r="AE27" i="44" s="1"/>
  <c r="U27" i="44" a="1"/>
  <c r="L27" i="44"/>
  <c r="E27" i="44"/>
  <c r="D27" i="44"/>
  <c r="D27" i="44" a="1"/>
  <c r="K27" i="44" s="1"/>
  <c r="C27" i="44"/>
  <c r="B27" i="44"/>
  <c r="B27" i="44" a="1"/>
  <c r="AZ5" i="44"/>
  <c r="AZ6" i="44" s="1"/>
  <c r="AZ7" i="44" s="1"/>
  <c r="AZ8" i="44" s="1"/>
  <c r="AZ9" i="44" s="1"/>
  <c r="AZ10" i="44" s="1"/>
  <c r="AZ11" i="44" s="1"/>
  <c r="AZ12" i="44" s="1"/>
  <c r="AZ13" i="44" s="1"/>
  <c r="AZ14" i="44" s="1"/>
  <c r="AZ15" i="44" s="1"/>
  <c r="AZ16" i="44" s="1"/>
  <c r="AZ17" i="44" s="1"/>
  <c r="AZ18" i="44" s="1"/>
  <c r="AZ19" i="44" s="1"/>
  <c r="AZ20" i="44" s="1"/>
  <c r="AZ21" i="44" s="1"/>
  <c r="AZ22" i="44" s="1"/>
  <c r="AZ23" i="44" s="1"/>
  <c r="AX5" i="44"/>
  <c r="AX6" i="44" s="1"/>
  <c r="AX7" i="44" s="1"/>
  <c r="AX8" i="44" s="1"/>
  <c r="AX9" i="44" s="1"/>
  <c r="AX10" i="44" s="1"/>
  <c r="AX11" i="44" s="1"/>
  <c r="AX12" i="44" s="1"/>
  <c r="AX13" i="44" s="1"/>
  <c r="AX14" i="44" s="1"/>
  <c r="AX15" i="44" s="1"/>
  <c r="AX16" i="44" s="1"/>
  <c r="AX17" i="44" s="1"/>
  <c r="AX18" i="44" s="1"/>
  <c r="AX19" i="44" s="1"/>
  <c r="AX20" i="44" s="1"/>
  <c r="AX21" i="44" s="1"/>
  <c r="AX22" i="44" s="1"/>
  <c r="AX23" i="44" s="1"/>
  <c r="AV5" i="44"/>
  <c r="AV6" i="44" s="1"/>
  <c r="AV7" i="44" s="1"/>
  <c r="AV8" i="44" s="1"/>
  <c r="AV9" i="44" s="1"/>
  <c r="AV10" i="44" s="1"/>
  <c r="AV11" i="44" s="1"/>
  <c r="AV12" i="44" s="1"/>
  <c r="AV13" i="44" s="1"/>
  <c r="AV14" i="44" s="1"/>
  <c r="AV15" i="44" s="1"/>
  <c r="AV16" i="44" s="1"/>
  <c r="AV17" i="44" s="1"/>
  <c r="AV18" i="44" s="1"/>
  <c r="AV19" i="44" s="1"/>
  <c r="AV20" i="44" s="1"/>
  <c r="AV21" i="44" s="1"/>
  <c r="AV22" i="44" s="1"/>
  <c r="AV23" i="44" s="1"/>
  <c r="AU5" i="44"/>
  <c r="BA5" i="44"/>
  <c r="BA6" i="44" s="1"/>
  <c r="BA7" i="44" s="1"/>
  <c r="BA8" i="44" s="1"/>
  <c r="BA9" i="44" s="1"/>
  <c r="BA10" i="44" s="1"/>
  <c r="BA11" i="44" s="1"/>
  <c r="BA12" i="44" s="1"/>
  <c r="BA13" i="44" s="1"/>
  <c r="BA14" i="44" s="1"/>
  <c r="BA15" i="44" s="1"/>
  <c r="BA16" i="44" s="1"/>
  <c r="BA17" i="44" s="1"/>
  <c r="BA18" i="44" s="1"/>
  <c r="BA19" i="44" s="1"/>
  <c r="BA20" i="44" s="1"/>
  <c r="BA21" i="44" s="1"/>
  <c r="BA22" i="44" s="1"/>
  <c r="BA23" i="44" s="1"/>
  <c r="AY5" i="44"/>
  <c r="AY6" i="44" s="1"/>
  <c r="AY7" i="44" s="1"/>
  <c r="AY8" i="44" s="1"/>
  <c r="AY9" i="44" s="1"/>
  <c r="AY10" i="44" s="1"/>
  <c r="AY11" i="44" s="1"/>
  <c r="AY12" i="44" s="1"/>
  <c r="AY13" i="44" s="1"/>
  <c r="AY14" i="44" s="1"/>
  <c r="AY15" i="44" s="1"/>
  <c r="AY16" i="44" s="1"/>
  <c r="AY17" i="44" s="1"/>
  <c r="AY18" i="44" s="1"/>
  <c r="AY19" i="44" s="1"/>
  <c r="AY20" i="44" s="1"/>
  <c r="AY21" i="44" s="1"/>
  <c r="AY22" i="44" s="1"/>
  <c r="AY23" i="44" s="1"/>
  <c r="AJ4" i="44"/>
  <c r="V4" i="44"/>
  <c r="AP4" i="44" s="1"/>
  <c r="BI4" i="44" s="1"/>
  <c r="BX28" i="44"/>
  <c r="AQ3" i="44" a="1"/>
  <c r="AZ3" i="44" s="1"/>
  <c r="AO3" i="44" a="1"/>
  <c r="AP3" i="44" s="1"/>
  <c r="AJ3" i="44"/>
  <c r="AC3" i="44"/>
  <c r="AB3" i="44"/>
  <c r="AA3" i="44"/>
  <c r="W3" i="44" a="1"/>
  <c r="AD3" i="44" s="1"/>
  <c r="U3" i="44"/>
  <c r="U3" i="44" a="1"/>
  <c r="V3" i="44" s="1"/>
  <c r="P3" i="44"/>
  <c r="D3" i="44" a="1"/>
  <c r="G3" i="44" s="1"/>
  <c r="B3" i="44" a="1"/>
  <c r="B3" i="44" s="1"/>
  <c r="W75" i="43" a="1"/>
  <c r="W75" i="43" s="1"/>
  <c r="C1" i="58" s="1"/>
  <c r="D75" i="43" a="1"/>
  <c r="E75" i="43" s="1"/>
  <c r="D1" i="57" s="1"/>
  <c r="V95" i="43"/>
  <c r="U95" i="43"/>
  <c r="V94" i="43"/>
  <c r="U94" i="43"/>
  <c r="V93" i="43"/>
  <c r="U93" i="43"/>
  <c r="V92" i="43"/>
  <c r="U92" i="43"/>
  <c r="V91" i="43"/>
  <c r="U91" i="43"/>
  <c r="V90" i="43"/>
  <c r="U90" i="43"/>
  <c r="V89" i="43"/>
  <c r="U89" i="43"/>
  <c r="V88" i="43"/>
  <c r="U88" i="43"/>
  <c r="V87" i="43"/>
  <c r="U87" i="43"/>
  <c r="V86" i="43"/>
  <c r="U86" i="43"/>
  <c r="V85" i="43"/>
  <c r="U85" i="43"/>
  <c r="V84" i="43"/>
  <c r="U84" i="43"/>
  <c r="V83" i="43"/>
  <c r="U83" i="43"/>
  <c r="V82" i="43"/>
  <c r="U82" i="43"/>
  <c r="V81" i="43"/>
  <c r="U81" i="43"/>
  <c r="V80" i="43"/>
  <c r="U80" i="43"/>
  <c r="V79" i="43"/>
  <c r="U79" i="43"/>
  <c r="V78" i="43"/>
  <c r="U78" i="43"/>
  <c r="V77" i="43"/>
  <c r="U77" i="43"/>
  <c r="V76" i="43"/>
  <c r="U76" i="43"/>
  <c r="U75" i="43" a="1"/>
  <c r="U75" i="43" s="1"/>
  <c r="C95" i="43"/>
  <c r="B95" i="43"/>
  <c r="C94" i="43"/>
  <c r="B94" i="43"/>
  <c r="C93" i="43"/>
  <c r="B93" i="43"/>
  <c r="C92" i="43"/>
  <c r="B92" i="43"/>
  <c r="C91" i="43"/>
  <c r="B91" i="43"/>
  <c r="C90" i="43"/>
  <c r="B90" i="43"/>
  <c r="C89" i="43"/>
  <c r="B89" i="43"/>
  <c r="C88" i="43"/>
  <c r="B88" i="43"/>
  <c r="C87" i="43"/>
  <c r="B87" i="43"/>
  <c r="C86" i="43"/>
  <c r="B86" i="43"/>
  <c r="C85" i="43"/>
  <c r="B85" i="43"/>
  <c r="C84" i="43"/>
  <c r="B84" i="43"/>
  <c r="C83" i="43"/>
  <c r="B83" i="43"/>
  <c r="C82" i="43"/>
  <c r="B82" i="43"/>
  <c r="C81" i="43"/>
  <c r="B81" i="43"/>
  <c r="C80" i="43"/>
  <c r="B80" i="43"/>
  <c r="C79" i="43"/>
  <c r="B79" i="43"/>
  <c r="C78" i="43"/>
  <c r="B78" i="43"/>
  <c r="C77" i="43"/>
  <c r="B77" i="43"/>
  <c r="C76" i="43"/>
  <c r="B76" i="43"/>
  <c r="B75" i="43" a="1"/>
  <c r="B75" i="43" s="1"/>
  <c r="BZ29" i="43"/>
  <c r="BZ30" i="43" s="1"/>
  <c r="BZ31" i="43" s="1"/>
  <c r="BZ32" i="43" s="1"/>
  <c r="BZ33" i="43" s="1"/>
  <c r="BZ34" i="43" s="1"/>
  <c r="BZ35" i="43" s="1"/>
  <c r="BZ36" i="43" s="1"/>
  <c r="BZ37" i="43" s="1"/>
  <c r="BZ38" i="43" s="1"/>
  <c r="BZ39" i="43" s="1"/>
  <c r="BZ40" i="43" s="1"/>
  <c r="BZ41" i="43" s="1"/>
  <c r="BZ42" i="43" s="1"/>
  <c r="BZ43" i="43" s="1"/>
  <c r="BZ44" i="43" s="1"/>
  <c r="BZ45" i="43" s="1"/>
  <c r="BZ46" i="43" s="1"/>
  <c r="BZ47" i="43" s="1"/>
  <c r="I76" i="48" l="1"/>
  <c r="H82" i="57" s="1"/>
  <c r="I29" i="48"/>
  <c r="H83" i="53" s="1"/>
  <c r="D6" i="48"/>
  <c r="C84" i="51" s="1"/>
  <c r="I52" i="48"/>
  <c r="AV52" i="48" s="1"/>
  <c r="H82" i="55" s="1"/>
  <c r="D52" i="48"/>
  <c r="C82" i="56" s="1"/>
  <c r="D29" i="48"/>
  <c r="C83" i="53" s="1"/>
  <c r="I82" i="56"/>
  <c r="AW52" i="48"/>
  <c r="I82" i="55" s="1"/>
  <c r="AC52" i="48"/>
  <c r="I82" i="54" s="1"/>
  <c r="AE3" i="44"/>
  <c r="AQ3" i="44"/>
  <c r="I3" i="44"/>
  <c r="AR3" i="44"/>
  <c r="N75" i="44"/>
  <c r="AF3" i="46"/>
  <c r="J3" i="44"/>
  <c r="X3" i="44"/>
  <c r="AG3" i="44"/>
  <c r="AS3" i="44"/>
  <c r="Z27" i="44"/>
  <c r="K51" i="44"/>
  <c r="X51" i="44"/>
  <c r="D75" i="44"/>
  <c r="O75" i="44"/>
  <c r="AH3" i="46"/>
  <c r="AF27" i="46"/>
  <c r="E51" i="46"/>
  <c r="AF51" i="46"/>
  <c r="AZ3" i="47"/>
  <c r="AD51" i="47"/>
  <c r="P75" i="47"/>
  <c r="AC75" i="47"/>
  <c r="H76" i="48"/>
  <c r="G82" i="57" s="1"/>
  <c r="W3" i="44"/>
  <c r="AF3" i="44"/>
  <c r="W27" i="44"/>
  <c r="D51" i="44"/>
  <c r="K3" i="44"/>
  <c r="Y3" i="44"/>
  <c r="AH3" i="44"/>
  <c r="AT3" i="44"/>
  <c r="AA27" i="44"/>
  <c r="L51" i="44"/>
  <c r="Y51" i="44"/>
  <c r="E75" i="44"/>
  <c r="W27" i="46"/>
  <c r="AG27" i="46"/>
  <c r="G51" i="46"/>
  <c r="AQ3" i="47"/>
  <c r="BA3" i="47"/>
  <c r="AF51" i="47"/>
  <c r="AE75" i="47"/>
  <c r="E76" i="48"/>
  <c r="D82" i="57" s="1"/>
  <c r="AJ27" i="44"/>
  <c r="O3" i="44"/>
  <c r="Z3" i="44"/>
  <c r="AI3" i="44"/>
  <c r="AX3" i="44"/>
  <c r="AB27" i="44"/>
  <c r="M51" i="44"/>
  <c r="AB51" i="44"/>
  <c r="F75" i="44"/>
  <c r="M51" i="46"/>
  <c r="AR3" i="47"/>
  <c r="BB3" i="47"/>
  <c r="AJ51" i="47"/>
  <c r="AF75" i="47"/>
  <c r="AY3" i="44"/>
  <c r="BB3" i="44"/>
  <c r="X3" i="46"/>
  <c r="Z3" i="46"/>
  <c r="AQ51" i="44"/>
  <c r="J27" i="46"/>
  <c r="AJ3" i="47"/>
  <c r="AB51" i="47"/>
  <c r="H75" i="47"/>
  <c r="AA52" i="48"/>
  <c r="G82" i="54" s="1"/>
  <c r="AT51" i="44"/>
  <c r="L3" i="46"/>
  <c r="P27" i="46"/>
  <c r="P28" i="46" s="1"/>
  <c r="O42" i="53" s="1"/>
  <c r="X51" i="46"/>
  <c r="M75" i="47"/>
  <c r="H52" i="48"/>
  <c r="AA76" i="48" s="1"/>
  <c r="G82" i="58" s="1"/>
  <c r="F27" i="44"/>
  <c r="AH78" i="48"/>
  <c r="N84" i="58" s="1"/>
  <c r="N84" i="56"/>
  <c r="N27" i="44"/>
  <c r="AC76" i="48"/>
  <c r="I82" i="58" s="1"/>
  <c r="N54" i="48"/>
  <c r="M84" i="56" s="1"/>
  <c r="M84" i="53"/>
  <c r="M105" i="53"/>
  <c r="N55" i="49"/>
  <c r="M105" i="56" s="1"/>
  <c r="K127" i="53"/>
  <c r="L57" i="50"/>
  <c r="K127" i="56" s="1"/>
  <c r="Q27" i="44"/>
  <c r="K83" i="53"/>
  <c r="L53" i="48"/>
  <c r="K83" i="56" s="1"/>
  <c r="K105" i="53"/>
  <c r="L55" i="49"/>
  <c r="K105" i="56" s="1"/>
  <c r="M126" i="53"/>
  <c r="N56" i="50"/>
  <c r="M126" i="56" s="1"/>
  <c r="G27" i="46"/>
  <c r="E52" i="48"/>
  <c r="D82" i="56" s="1"/>
  <c r="I6" i="48"/>
  <c r="H84" i="51" s="1"/>
  <c r="Y52" i="48"/>
  <c r="E82" i="54" s="1"/>
  <c r="E82" i="56"/>
  <c r="K52" i="48"/>
  <c r="J82" i="56" s="1"/>
  <c r="J82" i="53"/>
  <c r="BW29" i="48"/>
  <c r="BI67" i="48" s="1"/>
  <c r="L83" i="51"/>
  <c r="K52" i="49"/>
  <c r="J102" i="56" s="1"/>
  <c r="J102" i="53"/>
  <c r="E6" i="48"/>
  <c r="D83" i="51"/>
  <c r="J76" i="48"/>
  <c r="I82" i="57" s="1"/>
  <c r="I82" i="53"/>
  <c r="H6" i="48"/>
  <c r="G84" i="51" s="1"/>
  <c r="F76" i="48"/>
  <c r="E82" i="57" s="1"/>
  <c r="E82" i="53"/>
  <c r="K52" i="50"/>
  <c r="J122" i="56" s="1"/>
  <c r="J122" i="53"/>
  <c r="H29" i="48"/>
  <c r="G83" i="53" s="1"/>
  <c r="K6" i="48"/>
  <c r="J83" i="51"/>
  <c r="K77" i="48"/>
  <c r="J83" i="57" s="1"/>
  <c r="K53" i="48"/>
  <c r="J83" i="56" s="1"/>
  <c r="E76" i="50"/>
  <c r="D122" i="57" s="1"/>
  <c r="E52" i="50"/>
  <c r="D122" i="56" s="1"/>
  <c r="G76" i="50"/>
  <c r="F122" i="57" s="1"/>
  <c r="G52" i="50"/>
  <c r="F122" i="56" s="1"/>
  <c r="D6" i="50"/>
  <c r="C124" i="51" s="1"/>
  <c r="BR29" i="50"/>
  <c r="BI65" i="50" s="1"/>
  <c r="D29" i="50"/>
  <c r="C123" i="53" s="1"/>
  <c r="Q5" i="50"/>
  <c r="P123" i="51" s="1"/>
  <c r="AS52" i="48"/>
  <c r="E82" i="55" s="1"/>
  <c r="E29" i="49"/>
  <c r="D103" i="53" s="1"/>
  <c r="E6" i="49"/>
  <c r="D104" i="51" s="1"/>
  <c r="G6" i="50"/>
  <c r="F124" i="51" s="1"/>
  <c r="G29" i="50"/>
  <c r="F123" i="53" s="1"/>
  <c r="K76" i="50"/>
  <c r="J122" i="57" s="1"/>
  <c r="CA28" i="50"/>
  <c r="H29" i="50"/>
  <c r="G123" i="53" s="1"/>
  <c r="H6" i="50"/>
  <c r="G124" i="51" s="1"/>
  <c r="BW29" i="50"/>
  <c r="BI67" i="50" s="1"/>
  <c r="J76" i="50"/>
  <c r="I122" i="57" s="1"/>
  <c r="J52" i="50"/>
  <c r="I122" i="56" s="1"/>
  <c r="E29" i="50"/>
  <c r="D123" i="53" s="1"/>
  <c r="E6" i="50"/>
  <c r="D124" i="51" s="1"/>
  <c r="F76" i="50"/>
  <c r="E122" i="57" s="1"/>
  <c r="F52" i="50"/>
  <c r="E122" i="56" s="1"/>
  <c r="Q28" i="49"/>
  <c r="P102" i="53" s="1"/>
  <c r="I76" i="49"/>
  <c r="H102" i="57" s="1"/>
  <c r="I52" i="49"/>
  <c r="H102" i="56" s="1"/>
  <c r="K29" i="50"/>
  <c r="K6" i="50"/>
  <c r="J124" i="51" s="1"/>
  <c r="J6" i="50"/>
  <c r="I124" i="51" s="1"/>
  <c r="J29" i="50"/>
  <c r="I123" i="53" s="1"/>
  <c r="K6" i="49"/>
  <c r="J104" i="51" s="1"/>
  <c r="K29" i="49"/>
  <c r="M52" i="50"/>
  <c r="L122" i="56" s="1"/>
  <c r="M76" i="50"/>
  <c r="L122" i="57" s="1"/>
  <c r="F6" i="50"/>
  <c r="E124" i="51" s="1"/>
  <c r="F29" i="50"/>
  <c r="E123" i="53" s="1"/>
  <c r="I6" i="49"/>
  <c r="H104" i="51" s="1"/>
  <c r="I29" i="49"/>
  <c r="H103" i="53" s="1"/>
  <c r="D52" i="49"/>
  <c r="C102" i="56" s="1"/>
  <c r="D76" i="49"/>
  <c r="C102" i="57" s="1"/>
  <c r="H76" i="49"/>
  <c r="G102" i="57" s="1"/>
  <c r="AA52" i="49"/>
  <c r="G102" i="54" s="1"/>
  <c r="H52" i="49"/>
  <c r="G102" i="56" s="1"/>
  <c r="K76" i="49"/>
  <c r="J102" i="57" s="1"/>
  <c r="CA28" i="49"/>
  <c r="M6" i="50"/>
  <c r="L124" i="51" s="1"/>
  <c r="M29" i="50"/>
  <c r="L123" i="53" s="1"/>
  <c r="D76" i="50"/>
  <c r="C122" i="57" s="1"/>
  <c r="D52" i="50"/>
  <c r="C122" i="56" s="1"/>
  <c r="Q28" i="50"/>
  <c r="G29" i="49"/>
  <c r="F103" i="53" s="1"/>
  <c r="G6" i="49"/>
  <c r="F104" i="51" s="1"/>
  <c r="J52" i="49"/>
  <c r="I102" i="56" s="1"/>
  <c r="J76" i="49"/>
  <c r="I102" i="57" s="1"/>
  <c r="G76" i="49"/>
  <c r="F102" i="57" s="1"/>
  <c r="G52" i="49"/>
  <c r="F102" i="56" s="1"/>
  <c r="H6" i="49"/>
  <c r="G104" i="51" s="1"/>
  <c r="H29" i="49"/>
  <c r="G103" i="53" s="1"/>
  <c r="BW29" i="49"/>
  <c r="BI67" i="49" s="1"/>
  <c r="J6" i="49"/>
  <c r="I104" i="51" s="1"/>
  <c r="J29" i="49"/>
  <c r="I103" i="53" s="1"/>
  <c r="F29" i="49"/>
  <c r="E103" i="53" s="1"/>
  <c r="F6" i="49"/>
  <c r="E104" i="51" s="1"/>
  <c r="H76" i="50"/>
  <c r="G122" i="57" s="1"/>
  <c r="AA52" i="50"/>
  <c r="G122" i="54" s="1"/>
  <c r="H52" i="50"/>
  <c r="G122" i="56" s="1"/>
  <c r="I76" i="50"/>
  <c r="H122" i="57" s="1"/>
  <c r="I52" i="50"/>
  <c r="H122" i="56" s="1"/>
  <c r="M29" i="49"/>
  <c r="L103" i="53" s="1"/>
  <c r="M6" i="49"/>
  <c r="L104" i="51" s="1"/>
  <c r="M76" i="49"/>
  <c r="L102" i="57" s="1"/>
  <c r="M52" i="49"/>
  <c r="L102" i="56" s="1"/>
  <c r="E76" i="49"/>
  <c r="D102" i="57" s="1"/>
  <c r="E52" i="49"/>
  <c r="D102" i="56" s="1"/>
  <c r="F76" i="49"/>
  <c r="E102" i="57" s="1"/>
  <c r="F52" i="49"/>
  <c r="E102" i="56" s="1"/>
  <c r="BR29" i="49"/>
  <c r="BI65" i="49" s="1"/>
  <c r="D6" i="49"/>
  <c r="C104" i="51" s="1"/>
  <c r="D29" i="49"/>
  <c r="C103" i="53" s="1"/>
  <c r="Q5" i="49"/>
  <c r="P103" i="51" s="1"/>
  <c r="I29" i="50"/>
  <c r="H123" i="53" s="1"/>
  <c r="I6" i="50"/>
  <c r="H124" i="51" s="1"/>
  <c r="AH54" i="48"/>
  <c r="N84" i="54" s="1"/>
  <c r="O31" i="48"/>
  <c r="BB54" i="48"/>
  <c r="N84" i="55" s="1"/>
  <c r="Q5" i="48"/>
  <c r="P83" i="51" s="1"/>
  <c r="BR29" i="48"/>
  <c r="BI65" i="48" s="1"/>
  <c r="E29" i="48"/>
  <c r="L81" i="50"/>
  <c r="K127" i="57" s="1"/>
  <c r="BK27" i="50"/>
  <c r="BL27" i="50"/>
  <c r="C56" i="50"/>
  <c r="V56" i="50" s="1"/>
  <c r="AP56" i="50" s="1"/>
  <c r="C32" i="50"/>
  <c r="V8" i="50"/>
  <c r="AP8" i="50" s="1"/>
  <c r="BI8" i="50" s="1"/>
  <c r="C9" i="50"/>
  <c r="BX33" i="50"/>
  <c r="N33" i="50"/>
  <c r="N10" i="50"/>
  <c r="B57" i="50"/>
  <c r="U57" i="50" s="1"/>
  <c r="AO57" i="50" s="1"/>
  <c r="B33" i="50"/>
  <c r="U9" i="50"/>
  <c r="AO9" i="50" s="1"/>
  <c r="BH9" i="50" s="1"/>
  <c r="B10" i="50"/>
  <c r="C79" i="50"/>
  <c r="V31" i="50"/>
  <c r="V79" i="50" s="1"/>
  <c r="AZ30" i="50"/>
  <c r="AX30" i="50"/>
  <c r="AP31" i="50"/>
  <c r="O33" i="50"/>
  <c r="N127" i="53" s="1"/>
  <c r="O10" i="50"/>
  <c r="BD9" i="50"/>
  <c r="AU10" i="50"/>
  <c r="N80" i="50"/>
  <c r="M126" i="57" s="1"/>
  <c r="B80" i="50"/>
  <c r="U32" i="50"/>
  <c r="U80" i="50" s="1"/>
  <c r="O80" i="50"/>
  <c r="N126" i="57" s="1"/>
  <c r="O56" i="50"/>
  <c r="N126" i="56" s="1"/>
  <c r="AE80" i="50"/>
  <c r="K126" i="58" s="1"/>
  <c r="AE56" i="50"/>
  <c r="K126" i="54" s="1"/>
  <c r="AY56" i="50"/>
  <c r="K126" i="55" s="1"/>
  <c r="L11" i="50"/>
  <c r="L34" i="50"/>
  <c r="AH79" i="50"/>
  <c r="N125" i="58" s="1"/>
  <c r="AH55" i="50"/>
  <c r="N125" i="54" s="1"/>
  <c r="BB55" i="50"/>
  <c r="N125" i="55" s="1"/>
  <c r="AG79" i="50"/>
  <c r="M125" i="58" s="1"/>
  <c r="AG55" i="50"/>
  <c r="M125" i="54" s="1"/>
  <c r="BA55" i="50"/>
  <c r="M125" i="55" s="1"/>
  <c r="AX30" i="49"/>
  <c r="AP31" i="49"/>
  <c r="AZ30" i="49"/>
  <c r="L79" i="49"/>
  <c r="K105" i="57" s="1"/>
  <c r="B57" i="49"/>
  <c r="U57" i="49" s="1"/>
  <c r="AO57" i="49" s="1"/>
  <c r="U9" i="49"/>
  <c r="AO9" i="49" s="1"/>
  <c r="BH9" i="49" s="1"/>
  <c r="B33" i="49"/>
  <c r="B10" i="49"/>
  <c r="O32" i="49"/>
  <c r="N106" i="53" s="1"/>
  <c r="O9" i="49"/>
  <c r="AG78" i="49"/>
  <c r="M104" i="58" s="1"/>
  <c r="AG54" i="49"/>
  <c r="M104" i="54" s="1"/>
  <c r="BA54" i="49"/>
  <c r="M104" i="55" s="1"/>
  <c r="BD11" i="49"/>
  <c r="BX32" i="49"/>
  <c r="N32" i="49"/>
  <c r="N9" i="49"/>
  <c r="B80" i="49"/>
  <c r="U32" i="49"/>
  <c r="U80" i="49" s="1"/>
  <c r="O79" i="49"/>
  <c r="N105" i="57" s="1"/>
  <c r="O55" i="49"/>
  <c r="N105" i="56" s="1"/>
  <c r="C80" i="49"/>
  <c r="V32" i="49"/>
  <c r="V80" i="49" s="1"/>
  <c r="N79" i="49"/>
  <c r="M105" i="57" s="1"/>
  <c r="AH78" i="49"/>
  <c r="N104" i="58" s="1"/>
  <c r="AH54" i="49"/>
  <c r="N104" i="54" s="1"/>
  <c r="BB54" i="49"/>
  <c r="N104" i="55" s="1"/>
  <c r="C57" i="49"/>
  <c r="V57" i="49" s="1"/>
  <c r="AP57" i="49" s="1"/>
  <c r="C33" i="49"/>
  <c r="V9" i="49"/>
  <c r="AP9" i="49" s="1"/>
  <c r="BI9" i="49" s="1"/>
  <c r="C10" i="49"/>
  <c r="AE78" i="49"/>
  <c r="K104" i="58" s="1"/>
  <c r="AE54" i="49"/>
  <c r="K104" i="54" s="1"/>
  <c r="AY54" i="49"/>
  <c r="K104" i="55" s="1"/>
  <c r="L9" i="49"/>
  <c r="L32" i="49"/>
  <c r="M76" i="48"/>
  <c r="L82" i="57" s="1"/>
  <c r="M52" i="48"/>
  <c r="L82" i="56" s="1"/>
  <c r="M6" i="48"/>
  <c r="M29" i="48"/>
  <c r="Y76" i="48"/>
  <c r="E82" i="58" s="1"/>
  <c r="G29" i="48"/>
  <c r="F83" i="53" s="1"/>
  <c r="G6" i="48"/>
  <c r="F84" i="51" s="1"/>
  <c r="Q28" i="48"/>
  <c r="G76" i="48"/>
  <c r="F82" i="57" s="1"/>
  <c r="G52" i="48"/>
  <c r="F82" i="56" s="1"/>
  <c r="F29" i="48"/>
  <c r="E83" i="53" s="1"/>
  <c r="F6" i="48"/>
  <c r="E84" i="51" s="1"/>
  <c r="C77" i="48"/>
  <c r="V29" i="48"/>
  <c r="V77" i="48" s="1"/>
  <c r="AG76" i="48"/>
  <c r="M82" i="58" s="1"/>
  <c r="AG52" i="48"/>
  <c r="M82" i="54" s="1"/>
  <c r="B78" i="48"/>
  <c r="U30" i="48"/>
  <c r="U78" i="48" s="1"/>
  <c r="X52" i="48"/>
  <c r="D82" i="54" s="1"/>
  <c r="L77" i="48"/>
  <c r="K83" i="57" s="1"/>
  <c r="D30" i="48"/>
  <c r="C84" i="53" s="1"/>
  <c r="D7" i="48"/>
  <c r="C85" i="51" s="1"/>
  <c r="B55" i="48"/>
  <c r="U55" i="48" s="1"/>
  <c r="AO55" i="48" s="1"/>
  <c r="B31" i="48"/>
  <c r="U7" i="48"/>
  <c r="AO7" i="48" s="1"/>
  <c r="BH7" i="48" s="1"/>
  <c r="B8" i="48"/>
  <c r="H30" i="48"/>
  <c r="G84" i="53" s="1"/>
  <c r="O32" i="48"/>
  <c r="N86" i="53" s="1"/>
  <c r="O9" i="48"/>
  <c r="AU7" i="48"/>
  <c r="BD6" i="48"/>
  <c r="N31" i="48"/>
  <c r="BX31" i="48"/>
  <c r="N8" i="48"/>
  <c r="I30" i="48"/>
  <c r="H84" i="53" s="1"/>
  <c r="I7" i="48"/>
  <c r="H85" i="51" s="1"/>
  <c r="N78" i="48"/>
  <c r="M84" i="57" s="1"/>
  <c r="I53" i="48"/>
  <c r="H83" i="56" s="1"/>
  <c r="K76" i="48"/>
  <c r="CA28" i="48"/>
  <c r="AP29" i="48"/>
  <c r="AZ28" i="48"/>
  <c r="AX28" i="48"/>
  <c r="AE76" i="48"/>
  <c r="K82" i="58" s="1"/>
  <c r="AE52" i="48"/>
  <c r="K82" i="54" s="1"/>
  <c r="AY52" i="48"/>
  <c r="K82" i="55" s="1"/>
  <c r="J30" i="48"/>
  <c r="I84" i="53" s="1"/>
  <c r="J7" i="48"/>
  <c r="I85" i="51" s="1"/>
  <c r="AG77" i="48"/>
  <c r="M83" i="58" s="1"/>
  <c r="AG53" i="48"/>
  <c r="M83" i="54" s="1"/>
  <c r="C54" i="48"/>
  <c r="V54" i="48" s="1"/>
  <c r="AP54" i="48" s="1"/>
  <c r="C30" i="48"/>
  <c r="V6" i="48"/>
  <c r="AP6" i="48" s="1"/>
  <c r="BI6" i="48" s="1"/>
  <c r="C7" i="48"/>
  <c r="BC52" i="48"/>
  <c r="O82" i="55" s="1"/>
  <c r="AB76" i="48"/>
  <c r="H82" i="58" s="1"/>
  <c r="AB52" i="48"/>
  <c r="H82" i="54" s="1"/>
  <c r="L30" i="48"/>
  <c r="L7" i="48"/>
  <c r="J77" i="48"/>
  <c r="I83" i="57" s="1"/>
  <c r="J53" i="48"/>
  <c r="I83" i="56" s="1"/>
  <c r="BL27" i="48"/>
  <c r="BK27" i="48"/>
  <c r="W52" i="48"/>
  <c r="C82" i="54" s="1"/>
  <c r="BH3" i="47" a="1"/>
  <c r="B54" i="47"/>
  <c r="U54" i="47" s="1"/>
  <c r="AO54" i="47" s="1"/>
  <c r="B30" i="47"/>
  <c r="B7" i="47"/>
  <c r="U6" i="47"/>
  <c r="AO6" i="47" s="1"/>
  <c r="BH6" i="47" s="1"/>
  <c r="BI57" i="47" a="1"/>
  <c r="BI57" i="47" s="1"/>
  <c r="AU6" i="47"/>
  <c r="C54" i="47"/>
  <c r="V54" i="47" s="1"/>
  <c r="AP54" i="47" s="1"/>
  <c r="C30" i="47"/>
  <c r="C7" i="47"/>
  <c r="V6" i="47"/>
  <c r="AP6" i="47" s="1"/>
  <c r="BI6" i="47" s="1"/>
  <c r="M3" i="47"/>
  <c r="F3" i="47"/>
  <c r="N3" i="47"/>
  <c r="W3" i="47"/>
  <c r="AE3" i="47"/>
  <c r="AP3" i="47"/>
  <c r="AW3" i="47"/>
  <c r="O5" i="47"/>
  <c r="E27" i="47"/>
  <c r="X27" i="47"/>
  <c r="N28" i="47"/>
  <c r="BT32" i="47"/>
  <c r="BQ32" i="47"/>
  <c r="E3" i="47"/>
  <c r="G3" i="47"/>
  <c r="O3" i="47"/>
  <c r="X3" i="47"/>
  <c r="AF3" i="47"/>
  <c r="J27" i="47"/>
  <c r="AC27" i="47"/>
  <c r="H3" i="47"/>
  <c r="P3" i="47"/>
  <c r="Y3" i="47"/>
  <c r="AG3" i="47"/>
  <c r="L27" i="47"/>
  <c r="BQ33" i="47"/>
  <c r="BT33" i="47"/>
  <c r="I3" i="47"/>
  <c r="Q3" i="47"/>
  <c r="Z3" i="47"/>
  <c r="AH3" i="47"/>
  <c r="B52" i="47"/>
  <c r="U52" i="47" s="1"/>
  <c r="AO52" i="47" s="1"/>
  <c r="BK28" i="47"/>
  <c r="BK29" i="47" s="1"/>
  <c r="BK30" i="47" s="1"/>
  <c r="BK31" i="47" s="1"/>
  <c r="BK32" i="47" s="1"/>
  <c r="BK33" i="47" s="1"/>
  <c r="BK34" i="47" s="1"/>
  <c r="BK35" i="47" s="1"/>
  <c r="BK36" i="47" s="1"/>
  <c r="BK37" i="47" s="1"/>
  <c r="BK38" i="47" s="1"/>
  <c r="BK39" i="47" s="1"/>
  <c r="BK40" i="47" s="1"/>
  <c r="BK41" i="47" s="1"/>
  <c r="BK42" i="47" s="1"/>
  <c r="BK43" i="47" s="1"/>
  <c r="BK44" i="47" s="1"/>
  <c r="BK45" i="47" s="1"/>
  <c r="BK46" i="47" s="1"/>
  <c r="BK47" i="47" s="1"/>
  <c r="U5" i="47"/>
  <c r="AO5" i="47" s="1"/>
  <c r="BH5" i="47" s="1"/>
  <c r="M27" i="47"/>
  <c r="B28" i="47"/>
  <c r="J3" i="47"/>
  <c r="C52" i="47"/>
  <c r="V52" i="47" s="1"/>
  <c r="AP52" i="47" s="1"/>
  <c r="C28" i="47"/>
  <c r="BL28" i="47"/>
  <c r="BL29" i="47" s="1"/>
  <c r="BL30" i="47" s="1"/>
  <c r="BL31" i="47" s="1"/>
  <c r="BL32" i="47" s="1"/>
  <c r="BL33" i="47" s="1"/>
  <c r="BL34" i="47" s="1"/>
  <c r="BL35" i="47" s="1"/>
  <c r="BL36" i="47" s="1"/>
  <c r="BL37" i="47" s="1"/>
  <c r="BL38" i="47" s="1"/>
  <c r="BL39" i="47" s="1"/>
  <c r="BL40" i="47" s="1"/>
  <c r="BL41" i="47" s="1"/>
  <c r="BL42" i="47" s="1"/>
  <c r="BL43" i="47" s="1"/>
  <c r="BL44" i="47" s="1"/>
  <c r="BL45" i="47" s="1"/>
  <c r="BL46" i="47" s="1"/>
  <c r="BL47" i="47" s="1"/>
  <c r="B53" i="47"/>
  <c r="U53" i="47" s="1"/>
  <c r="AO53" i="47" s="1"/>
  <c r="B29" i="47"/>
  <c r="AZ5" i="47"/>
  <c r="AZ6" i="47" s="1"/>
  <c r="AZ7" i="47" s="1"/>
  <c r="AZ8" i="47" s="1"/>
  <c r="AZ9" i="47" s="1"/>
  <c r="AZ10" i="47" s="1"/>
  <c r="AZ11" i="47" s="1"/>
  <c r="AZ12" i="47" s="1"/>
  <c r="AZ13" i="47" s="1"/>
  <c r="AZ14" i="47" s="1"/>
  <c r="AZ15" i="47" s="1"/>
  <c r="AZ16" i="47" s="1"/>
  <c r="AZ17" i="47" s="1"/>
  <c r="AZ18" i="47" s="1"/>
  <c r="AZ19" i="47" s="1"/>
  <c r="AZ20" i="47" s="1"/>
  <c r="AZ21" i="47" s="1"/>
  <c r="AZ22" i="47" s="1"/>
  <c r="AZ23" i="47" s="1"/>
  <c r="K3" i="47"/>
  <c r="L28" i="47"/>
  <c r="C53" i="47"/>
  <c r="V53" i="47" s="1"/>
  <c r="AP53" i="47" s="1"/>
  <c r="C29" i="47"/>
  <c r="V5" i="47"/>
  <c r="AP5" i="47" s="1"/>
  <c r="BI5" i="47" s="1"/>
  <c r="L5" i="47"/>
  <c r="B27" i="47"/>
  <c r="U27" i="47" s="1" a="1"/>
  <c r="C27" i="47"/>
  <c r="D3" i="47"/>
  <c r="AC3" i="47"/>
  <c r="Q27" i="47"/>
  <c r="I27" i="47"/>
  <c r="O27" i="47"/>
  <c r="O28" i="47" s="1"/>
  <c r="N62" i="53" s="1"/>
  <c r="F27" i="47"/>
  <c r="K27" i="47"/>
  <c r="H27" i="47"/>
  <c r="P27" i="47"/>
  <c r="P28" i="47" s="1"/>
  <c r="O62" i="53" s="1"/>
  <c r="G27" i="47"/>
  <c r="AH27" i="47"/>
  <c r="Z27" i="47"/>
  <c r="AI27" i="47"/>
  <c r="Y27" i="47"/>
  <c r="AD27" i="47"/>
  <c r="AB27" i="47"/>
  <c r="AJ27" i="47"/>
  <c r="AA27" i="47"/>
  <c r="AR27" i="47"/>
  <c r="AT27" i="47"/>
  <c r="N5" i="47"/>
  <c r="D27" i="47"/>
  <c r="BT29" i="47"/>
  <c r="BQ29" i="47"/>
  <c r="BQ34" i="47"/>
  <c r="BT36" i="47"/>
  <c r="BT45" i="47"/>
  <c r="BQ45" i="47"/>
  <c r="BT37" i="47"/>
  <c r="BT41" i="47"/>
  <c r="BQ41" i="47"/>
  <c r="BT46" i="47"/>
  <c r="BQ46" i="47"/>
  <c r="BQ40" i="47"/>
  <c r="BQ39" i="47"/>
  <c r="BT39" i="47"/>
  <c r="BT42" i="47"/>
  <c r="BQ42" i="47"/>
  <c r="BT38" i="47"/>
  <c r="K51" i="47"/>
  <c r="AG51" i="47"/>
  <c r="Y51" i="47"/>
  <c r="AE51" i="47"/>
  <c r="W51" i="47"/>
  <c r="AH51" i="47"/>
  <c r="AT51" i="47"/>
  <c r="BD51" i="47"/>
  <c r="X51" i="47"/>
  <c r="AI51" i="47"/>
  <c r="AU51" i="47"/>
  <c r="P51" i="47"/>
  <c r="H51" i="47"/>
  <c r="N51" i="47"/>
  <c r="F51" i="47"/>
  <c r="M51" i="47"/>
  <c r="AV51" i="47"/>
  <c r="D51" i="47"/>
  <c r="O51" i="47"/>
  <c r="AX51" i="47"/>
  <c r="E51" i="47"/>
  <c r="Q51" i="47"/>
  <c r="G51" i="47"/>
  <c r="AY51" i="47"/>
  <c r="AQ51" i="47"/>
  <c r="AW51" i="47"/>
  <c r="BA51" i="47"/>
  <c r="I51" i="47"/>
  <c r="U51" i="47"/>
  <c r="AR51" i="47"/>
  <c r="BB51" i="47"/>
  <c r="J51" i="47"/>
  <c r="AS51" i="47"/>
  <c r="BC51" i="47"/>
  <c r="V75" i="47"/>
  <c r="U75" i="47"/>
  <c r="J75" i="47"/>
  <c r="C75" i="47"/>
  <c r="Q75" i="47"/>
  <c r="I75" i="47"/>
  <c r="L75" i="47"/>
  <c r="E75" i="47"/>
  <c r="N75" i="47"/>
  <c r="F75" i="47"/>
  <c r="O75" i="47"/>
  <c r="AD75" i="47"/>
  <c r="Z75" i="47"/>
  <c r="AI3" i="46"/>
  <c r="AA3" i="46"/>
  <c r="AG3" i="46"/>
  <c r="Y3" i="46"/>
  <c r="AE3" i="46"/>
  <c r="W3" i="46"/>
  <c r="AJ3" i="46"/>
  <c r="AZ3" i="46"/>
  <c r="BX28" i="46"/>
  <c r="N5" i="46"/>
  <c r="C53" i="46"/>
  <c r="V53" i="46" s="1"/>
  <c r="AP53" i="46" s="1"/>
  <c r="C29" i="46"/>
  <c r="C6" i="46"/>
  <c r="V5" i="46"/>
  <c r="AP5" i="46" s="1"/>
  <c r="BI5" i="46" s="1"/>
  <c r="P3" i="46"/>
  <c r="H3" i="46"/>
  <c r="N3" i="46"/>
  <c r="F3" i="46"/>
  <c r="M3" i="46"/>
  <c r="BH3" i="46" a="1"/>
  <c r="O3" i="46"/>
  <c r="BC3" i="46"/>
  <c r="AU3" i="46"/>
  <c r="BA3" i="46"/>
  <c r="AS3" i="46"/>
  <c r="AY3" i="46"/>
  <c r="AQ3" i="46"/>
  <c r="AW3" i="46"/>
  <c r="E3" i="46"/>
  <c r="Q3" i="46"/>
  <c r="AC3" i="46"/>
  <c r="AR3" i="46"/>
  <c r="B52" i="46"/>
  <c r="U52" i="46" s="1"/>
  <c r="AO52" i="46" s="1"/>
  <c r="BK28" i="46"/>
  <c r="BK29" i="46" s="1"/>
  <c r="BK30" i="46" s="1"/>
  <c r="BK31" i="46" s="1"/>
  <c r="BK32" i="46" s="1"/>
  <c r="BK33" i="46" s="1"/>
  <c r="BK34" i="46" s="1"/>
  <c r="BK35" i="46" s="1"/>
  <c r="BK36" i="46" s="1"/>
  <c r="BK37" i="46" s="1"/>
  <c r="BK38" i="46" s="1"/>
  <c r="BK39" i="46" s="1"/>
  <c r="BK40" i="46" s="1"/>
  <c r="BK41" i="46" s="1"/>
  <c r="BK42" i="46" s="1"/>
  <c r="BK43" i="46" s="1"/>
  <c r="BK44" i="46" s="1"/>
  <c r="BK45" i="46" s="1"/>
  <c r="BK46" i="46" s="1"/>
  <c r="BK47" i="46" s="1"/>
  <c r="B5" i="46"/>
  <c r="B28" i="46"/>
  <c r="U4" i="46"/>
  <c r="AO4" i="46" s="1"/>
  <c r="BH4" i="46" s="1"/>
  <c r="D3" i="46"/>
  <c r="G3" i="46"/>
  <c r="AD3" i="46"/>
  <c r="AT3" i="46"/>
  <c r="I3" i="46"/>
  <c r="AV3" i="46"/>
  <c r="BD4" i="46"/>
  <c r="AU5" i="46"/>
  <c r="O6" i="46"/>
  <c r="L6" i="46"/>
  <c r="J3" i="46"/>
  <c r="AX3" i="46"/>
  <c r="F27" i="46"/>
  <c r="O27" i="46"/>
  <c r="O29" i="46" s="1"/>
  <c r="N43" i="53" s="1"/>
  <c r="H27" i="46"/>
  <c r="C52" i="46"/>
  <c r="V52" i="46" s="1"/>
  <c r="AP52" i="46" s="1"/>
  <c r="C28" i="46"/>
  <c r="C27" i="46"/>
  <c r="U27" i="46" s="1" a="1"/>
  <c r="AQ27" i="46"/>
  <c r="BL28" i="46"/>
  <c r="Q27" i="46"/>
  <c r="I27" i="46"/>
  <c r="L27" i="46"/>
  <c r="L29" i="46" s="1"/>
  <c r="AS27" i="46"/>
  <c r="D27" i="46"/>
  <c r="M27" i="46"/>
  <c r="AT27" i="46"/>
  <c r="E27" i="46"/>
  <c r="N27" i="46"/>
  <c r="N28" i="46" s="1"/>
  <c r="AD27" i="46"/>
  <c r="BD51" i="46"/>
  <c r="AV51" i="46"/>
  <c r="BC51" i="46"/>
  <c r="AU51" i="46"/>
  <c r="BB51" i="46"/>
  <c r="AT51" i="46"/>
  <c r="BA51" i="46"/>
  <c r="AS51" i="46"/>
  <c r="AZ51" i="46"/>
  <c r="AR51" i="46"/>
  <c r="AY51" i="46"/>
  <c r="AQ51" i="46"/>
  <c r="AW51" i="46"/>
  <c r="Z27" i="46"/>
  <c r="AX51" i="46"/>
  <c r="F51" i="46"/>
  <c r="N51" i="46"/>
  <c r="W51" i="46"/>
  <c r="AE51" i="46"/>
  <c r="H51" i="46"/>
  <c r="P51" i="46"/>
  <c r="P76" i="46" s="1"/>
  <c r="O42" i="57" s="1"/>
  <c r="Y51" i="46"/>
  <c r="AG51" i="46"/>
  <c r="I51" i="46"/>
  <c r="Q51" i="46"/>
  <c r="Z51" i="46"/>
  <c r="AH51" i="46"/>
  <c r="J51" i="46"/>
  <c r="AA51" i="46"/>
  <c r="AI51" i="46"/>
  <c r="K51" i="46"/>
  <c r="AB51" i="46"/>
  <c r="AJ51" i="46"/>
  <c r="D51" i="46"/>
  <c r="AC51" i="46"/>
  <c r="Q75" i="46"/>
  <c r="I75" i="46"/>
  <c r="P75" i="46"/>
  <c r="G75" i="46"/>
  <c r="O75" i="46"/>
  <c r="F75" i="46"/>
  <c r="N75" i="46"/>
  <c r="E75" i="46"/>
  <c r="M75" i="46"/>
  <c r="D75" i="46"/>
  <c r="J75" i="46"/>
  <c r="H75" i="46"/>
  <c r="K75" i="46"/>
  <c r="AH75" i="46"/>
  <c r="Z75" i="46"/>
  <c r="AE75" i="46"/>
  <c r="W75" i="46"/>
  <c r="AF75" i="46"/>
  <c r="X75" i="46"/>
  <c r="AG75" i="46"/>
  <c r="Y75" i="46"/>
  <c r="AI75" i="46"/>
  <c r="AA75" i="46"/>
  <c r="AJ75" i="46"/>
  <c r="AB75" i="46"/>
  <c r="N28" i="44"/>
  <c r="N29" i="44"/>
  <c r="N6" i="44"/>
  <c r="BX30" i="44" s="1"/>
  <c r="C87" i="44"/>
  <c r="V45" i="44"/>
  <c r="V93" i="44" s="1"/>
  <c r="C83" i="44"/>
  <c r="U32" i="44"/>
  <c r="U80" i="44" s="1"/>
  <c r="B80" i="44"/>
  <c r="C53" i="44"/>
  <c r="AP53" i="44" s="1"/>
  <c r="C6" i="44"/>
  <c r="C7" i="44" s="1"/>
  <c r="B8" i="44"/>
  <c r="B55" i="44"/>
  <c r="AO55" i="44" s="1"/>
  <c r="B54" i="44"/>
  <c r="AO54" i="44" s="1"/>
  <c r="C8" i="44"/>
  <c r="C55" i="44"/>
  <c r="AP55" i="44" s="1"/>
  <c r="C54" i="44"/>
  <c r="AP54" i="44" s="1"/>
  <c r="C3" i="44"/>
  <c r="C52" i="44"/>
  <c r="AP52" i="44" s="1"/>
  <c r="BL28" i="44"/>
  <c r="V5" i="44"/>
  <c r="AP5" i="44" s="1"/>
  <c r="BI5" i="44" s="1"/>
  <c r="B76" i="44"/>
  <c r="U28" i="44"/>
  <c r="U76" i="44" s="1"/>
  <c r="Q3" i="44"/>
  <c r="L28" i="44"/>
  <c r="V27" i="44"/>
  <c r="U27" i="44"/>
  <c r="AO27" i="44" s="1" a="1"/>
  <c r="BI57" i="44" a="1"/>
  <c r="BI57" i="44" s="1"/>
  <c r="AU6" i="44"/>
  <c r="U6" i="44"/>
  <c r="AO6" i="44" s="1"/>
  <c r="BH6" i="44" s="1"/>
  <c r="B52" i="44"/>
  <c r="AO52" i="44" s="1"/>
  <c r="BK28" i="44"/>
  <c r="BK29" i="44" s="1"/>
  <c r="BK30" i="44" s="1"/>
  <c r="BK31" i="44" s="1"/>
  <c r="BK32" i="44" s="1"/>
  <c r="BK33" i="44" s="1"/>
  <c r="BK34" i="44" s="1"/>
  <c r="BK35" i="44" s="1"/>
  <c r="BK36" i="44" s="1"/>
  <c r="BK37" i="44" s="1"/>
  <c r="BK38" i="44" s="1"/>
  <c r="BK39" i="44" s="1"/>
  <c r="BK40" i="44" s="1"/>
  <c r="BK41" i="44" s="1"/>
  <c r="BK42" i="44" s="1"/>
  <c r="BK43" i="44" s="1"/>
  <c r="BK44" i="44" s="1"/>
  <c r="BK45" i="44" s="1"/>
  <c r="BK46" i="44" s="1"/>
  <c r="BK47" i="44" s="1"/>
  <c r="N3" i="44"/>
  <c r="F3" i="44"/>
  <c r="L3" i="44"/>
  <c r="D3" i="44"/>
  <c r="M3" i="44"/>
  <c r="E3" i="44"/>
  <c r="H3" i="44"/>
  <c r="AW3" i="44"/>
  <c r="BD3" i="44"/>
  <c r="AV3" i="44"/>
  <c r="BC3" i="44"/>
  <c r="AU3" i="44"/>
  <c r="BA3" i="44"/>
  <c r="V6" i="44"/>
  <c r="AP6" i="44" s="1"/>
  <c r="BI6" i="44" s="1"/>
  <c r="B79" i="44"/>
  <c r="U31" i="44"/>
  <c r="U79" i="44" s="1"/>
  <c r="C79" i="44"/>
  <c r="V31" i="44"/>
  <c r="V79" i="44" s="1"/>
  <c r="B53" i="44"/>
  <c r="AO53" i="44" s="1"/>
  <c r="U5" i="44"/>
  <c r="AO5" i="44" s="1"/>
  <c r="BH5" i="44" s="1"/>
  <c r="O6" i="44"/>
  <c r="U7" i="44"/>
  <c r="AO7" i="44" s="1"/>
  <c r="BH7" i="44" s="1"/>
  <c r="AR27" i="44"/>
  <c r="AQ27" i="44"/>
  <c r="AT27" i="44"/>
  <c r="AS27" i="44"/>
  <c r="AO28" i="44"/>
  <c r="AO29" i="44" s="1"/>
  <c r="AO30" i="44" s="1"/>
  <c r="AO31" i="44" s="1"/>
  <c r="AO32" i="44" s="1"/>
  <c r="AO33" i="44" s="1"/>
  <c r="AO34" i="44" s="1"/>
  <c r="AO35" i="44" s="1"/>
  <c r="AO36" i="44" s="1"/>
  <c r="AO37" i="44" s="1"/>
  <c r="AO38" i="44" s="1"/>
  <c r="AO39" i="44" s="1"/>
  <c r="AO40" i="44" s="1"/>
  <c r="AO41" i="44" s="1"/>
  <c r="AO42" i="44" s="1"/>
  <c r="AO43" i="44" s="1"/>
  <c r="AO44" i="44" s="1"/>
  <c r="AO45" i="44" s="1"/>
  <c r="AO46" i="44" s="1"/>
  <c r="AO47" i="44" s="1"/>
  <c r="AW5" i="44"/>
  <c r="AW6" i="44" s="1"/>
  <c r="AW7" i="44" s="1"/>
  <c r="AW8" i="44" s="1"/>
  <c r="AW9" i="44" s="1"/>
  <c r="AW10" i="44" s="1"/>
  <c r="AW11" i="44" s="1"/>
  <c r="AW12" i="44" s="1"/>
  <c r="AW13" i="44" s="1"/>
  <c r="AW14" i="44" s="1"/>
  <c r="AW15" i="44" s="1"/>
  <c r="AW16" i="44" s="1"/>
  <c r="AW17" i="44" s="1"/>
  <c r="AW18" i="44" s="1"/>
  <c r="AW19" i="44" s="1"/>
  <c r="AW20" i="44" s="1"/>
  <c r="AW21" i="44" s="1"/>
  <c r="AW22" i="44" s="1"/>
  <c r="AW23" i="44" s="1"/>
  <c r="BD4" i="44"/>
  <c r="V7" i="44"/>
  <c r="AP7" i="44" s="1"/>
  <c r="BI7" i="44" s="1"/>
  <c r="C85" i="44"/>
  <c r="V37" i="44"/>
  <c r="V85" i="44" s="1"/>
  <c r="AO3" i="44"/>
  <c r="BH3" i="44" s="1" a="1"/>
  <c r="J27" i="44"/>
  <c r="C89" i="44"/>
  <c r="V41" i="44"/>
  <c r="V89" i="44" s="1"/>
  <c r="AG27" i="44"/>
  <c r="Y27" i="44"/>
  <c r="AF27" i="44"/>
  <c r="X27" i="44"/>
  <c r="AH27" i="44"/>
  <c r="AZ28" i="44"/>
  <c r="C94" i="44"/>
  <c r="V46" i="44"/>
  <c r="V94" i="44" s="1"/>
  <c r="P27" i="44"/>
  <c r="P28" i="44" s="1"/>
  <c r="O22" i="53" s="1"/>
  <c r="O2" i="53" s="1"/>
  <c r="H27" i="44"/>
  <c r="O27" i="44"/>
  <c r="O28" i="44" s="1"/>
  <c r="G27" i="44"/>
  <c r="M27" i="44"/>
  <c r="C77" i="44"/>
  <c r="V29" i="44"/>
  <c r="V77" i="44" s="1"/>
  <c r="AP29" i="44"/>
  <c r="C82" i="44"/>
  <c r="V34" i="44"/>
  <c r="V82" i="44" s="1"/>
  <c r="I27" i="44"/>
  <c r="V30" i="44"/>
  <c r="V78" i="44" s="1"/>
  <c r="C51" i="44"/>
  <c r="C80" i="44"/>
  <c r="V32" i="44"/>
  <c r="V80" i="44" s="1"/>
  <c r="E51" i="44"/>
  <c r="BB51" i="44"/>
  <c r="BC51" i="44"/>
  <c r="AI51" i="44"/>
  <c r="AA51" i="44"/>
  <c r="AH51" i="44"/>
  <c r="Z51" i="44"/>
  <c r="AE51" i="44"/>
  <c r="W51" i="44"/>
  <c r="AG51" i="44"/>
  <c r="AF51" i="44"/>
  <c r="AO51" i="44"/>
  <c r="BA51" i="44"/>
  <c r="AS51" i="44"/>
  <c r="AZ51" i="44"/>
  <c r="AR51" i="44"/>
  <c r="AW51" i="44"/>
  <c r="AV51" i="44"/>
  <c r="AU51" i="44"/>
  <c r="C91" i="44"/>
  <c r="V43" i="44"/>
  <c r="V91" i="44" s="1"/>
  <c r="Q51" i="44"/>
  <c r="I51" i="44"/>
  <c r="N51" i="44"/>
  <c r="F51" i="44"/>
  <c r="J51" i="44"/>
  <c r="H51" i="44"/>
  <c r="P51" i="44"/>
  <c r="AC51" i="44"/>
  <c r="AX51" i="44"/>
  <c r="C95" i="44"/>
  <c r="V47" i="44"/>
  <c r="V95" i="44" s="1"/>
  <c r="AY51" i="44"/>
  <c r="U75" i="44"/>
  <c r="V75" i="44"/>
  <c r="AH75" i="44"/>
  <c r="Z75" i="44"/>
  <c r="AG75" i="44"/>
  <c r="Y75" i="44"/>
  <c r="AF75" i="44"/>
  <c r="AD75" i="44"/>
  <c r="AJ75" i="44"/>
  <c r="AB75" i="44"/>
  <c r="AA75" i="44"/>
  <c r="X75" i="44"/>
  <c r="AE75" i="44"/>
  <c r="C75" i="44"/>
  <c r="B75" i="44"/>
  <c r="AI75" i="44"/>
  <c r="K75" i="44"/>
  <c r="H75" i="44"/>
  <c r="P75" i="44"/>
  <c r="I75" i="44"/>
  <c r="AD75" i="43"/>
  <c r="J1" i="58" s="1"/>
  <c r="AC75" i="43"/>
  <c r="I1" i="58" s="1"/>
  <c r="AH75" i="43"/>
  <c r="N1" i="58" s="1"/>
  <c r="Z75" i="43"/>
  <c r="F1" i="58" s="1"/>
  <c r="AA75" i="43"/>
  <c r="G1" i="58" s="1"/>
  <c r="AG75" i="43"/>
  <c r="M1" i="58" s="1"/>
  <c r="Y75" i="43"/>
  <c r="E1" i="58" s="1"/>
  <c r="AJ75" i="43"/>
  <c r="P1" i="58" s="1"/>
  <c r="AI75" i="43"/>
  <c r="O1" i="58" s="1"/>
  <c r="AF75" i="43"/>
  <c r="L1" i="58" s="1"/>
  <c r="X75" i="43"/>
  <c r="D1" i="58" s="1"/>
  <c r="AB75" i="43"/>
  <c r="H1" i="58" s="1"/>
  <c r="AE75" i="43"/>
  <c r="K1" i="58" s="1"/>
  <c r="J75" i="43"/>
  <c r="I1" i="57" s="1"/>
  <c r="Q75" i="43"/>
  <c r="P1" i="57" s="1"/>
  <c r="I75" i="43"/>
  <c r="H1" i="57" s="1"/>
  <c r="L75" i="43"/>
  <c r="K1" i="57" s="1"/>
  <c r="G75" i="43"/>
  <c r="F1" i="57" s="1"/>
  <c r="N75" i="43"/>
  <c r="M1" i="57" s="1"/>
  <c r="F75" i="43"/>
  <c r="E1" i="57" s="1"/>
  <c r="D75" i="43"/>
  <c r="C1" i="57" s="1"/>
  <c r="K75" i="43"/>
  <c r="J1" i="57" s="1"/>
  <c r="P75" i="43"/>
  <c r="O1" i="57" s="1"/>
  <c r="H75" i="43"/>
  <c r="G1" i="57" s="1"/>
  <c r="O75" i="43"/>
  <c r="N1" i="57" s="1"/>
  <c r="M75" i="43"/>
  <c r="L1" i="57" s="1"/>
  <c r="V75" i="43"/>
  <c r="C75" i="43"/>
  <c r="BK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BK70" i="43"/>
  <c r="BL70" i="43"/>
  <c r="BM70" i="43"/>
  <c r="BN70" i="43"/>
  <c r="BO70" i="43"/>
  <c r="BP70" i="43"/>
  <c r="BQ70" i="43"/>
  <c r="BR70" i="43"/>
  <c r="BS70" i="43"/>
  <c r="BT70" i="43"/>
  <c r="BU70" i="43"/>
  <c r="BV70" i="43"/>
  <c r="BW70" i="43"/>
  <c r="BX70" i="43"/>
  <c r="BY70" i="43"/>
  <c r="BZ70" i="43"/>
  <c r="CA70" i="43"/>
  <c r="CA57" i="43"/>
  <c r="BZ57" i="43"/>
  <c r="BY57" i="43"/>
  <c r="BX57" i="43"/>
  <c r="BW57" i="43"/>
  <c r="BV57" i="43"/>
  <c r="BU57" i="43"/>
  <c r="BT57" i="43"/>
  <c r="BS57" i="43"/>
  <c r="BR57" i="43"/>
  <c r="BQ57" i="43"/>
  <c r="BP57" i="43"/>
  <c r="BO57" i="43"/>
  <c r="BN57" i="43"/>
  <c r="BM57" i="43"/>
  <c r="BL57" i="43"/>
  <c r="BK57" i="43"/>
  <c r="CA56" i="43"/>
  <c r="BZ56" i="43"/>
  <c r="BY56" i="43"/>
  <c r="BX56" i="43"/>
  <c r="BW56" i="43"/>
  <c r="BV56" i="43"/>
  <c r="BU56" i="43"/>
  <c r="BT56" i="43"/>
  <c r="BS56" i="43"/>
  <c r="BR56" i="43"/>
  <c r="BQ56" i="43"/>
  <c r="BP56" i="43"/>
  <c r="BO56" i="43"/>
  <c r="BN56" i="43"/>
  <c r="BM56" i="43"/>
  <c r="BL56" i="43"/>
  <c r="BK56" i="43"/>
  <c r="BJ57" i="43"/>
  <c r="BJ56" i="43"/>
  <c r="BJ71" i="43"/>
  <c r="BJ70" i="43"/>
  <c r="BI71" i="43"/>
  <c r="BI70" i="43"/>
  <c r="BI56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28" i="43"/>
  <c r="AL54" i="43"/>
  <c r="BM27" i="43"/>
  <c r="AQ51" i="43" a="1"/>
  <c r="AQ51" i="43" s="1"/>
  <c r="AQ3" i="43" a="1"/>
  <c r="AQ3" i="43" s="1"/>
  <c r="W51" i="43" a="1"/>
  <c r="W51" i="43" s="1"/>
  <c r="C1" i="54" s="1"/>
  <c r="W27" i="43" a="1"/>
  <c r="W27" i="43" s="1"/>
  <c r="W3" i="43" a="1"/>
  <c r="W3" i="43" s="1"/>
  <c r="D51" i="43" a="1"/>
  <c r="E51" i="43" s="1"/>
  <c r="D1" i="56" s="1"/>
  <c r="B51" i="43" a="1"/>
  <c r="B51" i="43" s="1"/>
  <c r="D27" i="43" a="1"/>
  <c r="L27" i="43" s="1"/>
  <c r="K1" i="53" s="1"/>
  <c r="A28" i="9"/>
  <c r="A15" i="9"/>
  <c r="A16" i="9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E30" i="21"/>
  <c r="A45" i="2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O51" i="43" a="1"/>
  <c r="AO51" i="43" s="1"/>
  <c r="U51" i="43" a="1"/>
  <c r="U51" i="43" s="1"/>
  <c r="C47" i="43"/>
  <c r="V47" i="43" s="1"/>
  <c r="B47" i="43"/>
  <c r="B23" i="43" s="1"/>
  <c r="C46" i="43"/>
  <c r="V46" i="43" s="1"/>
  <c r="B46" i="43"/>
  <c r="U46" i="43" s="1"/>
  <c r="C45" i="43"/>
  <c r="V45" i="43" s="1"/>
  <c r="B45" i="43"/>
  <c r="U45" i="43" s="1"/>
  <c r="C44" i="43"/>
  <c r="V44" i="43" s="1"/>
  <c r="B44" i="43"/>
  <c r="U44" i="43" s="1"/>
  <c r="C43" i="43"/>
  <c r="V43" i="43" s="1"/>
  <c r="B43" i="43"/>
  <c r="U43" i="43" s="1"/>
  <c r="C42" i="43"/>
  <c r="V42" i="43" s="1"/>
  <c r="B42" i="43"/>
  <c r="U42" i="43" s="1"/>
  <c r="C41" i="43"/>
  <c r="V41" i="43" s="1"/>
  <c r="B41" i="43"/>
  <c r="U41" i="43" s="1"/>
  <c r="C40" i="43"/>
  <c r="V40" i="43" s="1"/>
  <c r="B40" i="43"/>
  <c r="U40" i="43" s="1"/>
  <c r="C39" i="43"/>
  <c r="V39" i="43" s="1"/>
  <c r="B39" i="43"/>
  <c r="U39" i="43" s="1"/>
  <c r="C38" i="43"/>
  <c r="V38" i="43" s="1"/>
  <c r="B38" i="43"/>
  <c r="U38" i="43" s="1"/>
  <c r="C37" i="43"/>
  <c r="V37" i="43" s="1"/>
  <c r="B37" i="43"/>
  <c r="U37" i="43" s="1"/>
  <c r="BH36" i="43"/>
  <c r="C36" i="43"/>
  <c r="V36" i="43" s="1"/>
  <c r="B36" i="43"/>
  <c r="U36" i="43" s="1"/>
  <c r="BH35" i="43"/>
  <c r="C35" i="43"/>
  <c r="B35" i="43"/>
  <c r="U35" i="43" s="1"/>
  <c r="BH34" i="43"/>
  <c r="C34" i="43"/>
  <c r="C10" i="43" s="1"/>
  <c r="C58" i="43" s="1"/>
  <c r="V58" i="43" s="1"/>
  <c r="AP58" i="43" s="1"/>
  <c r="B34" i="43"/>
  <c r="U34" i="43" s="1"/>
  <c r="C33" i="43"/>
  <c r="V33" i="43" s="1"/>
  <c r="B33" i="43"/>
  <c r="U33" i="43" s="1"/>
  <c r="C32" i="43"/>
  <c r="V32" i="43" s="1"/>
  <c r="B32" i="43"/>
  <c r="BH31" i="43"/>
  <c r="C31" i="43"/>
  <c r="V31" i="43" s="1"/>
  <c r="B31" i="43"/>
  <c r="B7" i="43" s="1"/>
  <c r="B55" i="43" s="1"/>
  <c r="U55" i="43" s="1"/>
  <c r="AO55" i="43" s="1"/>
  <c r="BH30" i="43"/>
  <c r="C30" i="43"/>
  <c r="V30" i="43" s="1"/>
  <c r="B30" i="43"/>
  <c r="U30" i="43" s="1"/>
  <c r="C29" i="43"/>
  <c r="V29" i="43" s="1"/>
  <c r="B29" i="43"/>
  <c r="U29" i="43" s="1"/>
  <c r="C28" i="43"/>
  <c r="AP28" i="43" s="1"/>
  <c r="AX28" i="43" s="1"/>
  <c r="B28" i="43"/>
  <c r="B4" i="43" s="1"/>
  <c r="BK28" i="43" s="1"/>
  <c r="BK29" i="43" s="1"/>
  <c r="BK30" i="43" s="1"/>
  <c r="BK31" i="43" s="1"/>
  <c r="BK32" i="43" s="1"/>
  <c r="BK33" i="43" s="1"/>
  <c r="BK34" i="43" s="1"/>
  <c r="BK35" i="43" s="1"/>
  <c r="BK36" i="43" s="1"/>
  <c r="BK37" i="43" s="1"/>
  <c r="BK38" i="43" s="1"/>
  <c r="BK39" i="43" s="1"/>
  <c r="BK40" i="43" s="1"/>
  <c r="BK41" i="43" s="1"/>
  <c r="BK42" i="43" s="1"/>
  <c r="BK43" i="43" s="1"/>
  <c r="BK44" i="43" s="1"/>
  <c r="BK45" i="43" s="1"/>
  <c r="BK46" i="43" s="1"/>
  <c r="BK47" i="43" s="1"/>
  <c r="AQ27" i="43" a="1"/>
  <c r="AS27" i="43" s="1"/>
  <c r="B27" i="43" a="1"/>
  <c r="C27" i="43" s="1"/>
  <c r="AJ4" i="43"/>
  <c r="AO3" i="43" a="1"/>
  <c r="U3" i="43" a="1"/>
  <c r="U3" i="43" s="1"/>
  <c r="B3" i="43" a="1"/>
  <c r="C3" i="43" s="1"/>
  <c r="E73" i="31"/>
  <c r="E74" i="31" s="1"/>
  <c r="E75" i="31" s="1"/>
  <c r="E76" i="31" s="1"/>
  <c r="E77" i="31" s="1"/>
  <c r="E78" i="31" s="1"/>
  <c r="E79" i="31" s="1"/>
  <c r="E80" i="31" s="1"/>
  <c r="E81" i="31" s="1"/>
  <c r="E72" i="31"/>
  <c r="E53" i="31"/>
  <c r="E54" i="31"/>
  <c r="E55" i="31" s="1"/>
  <c r="E52" i="31"/>
  <c r="F52" i="31" s="1"/>
  <c r="F44" i="31"/>
  <c r="F45" i="31"/>
  <c r="F46" i="31"/>
  <c r="F47" i="31"/>
  <c r="F48" i="31"/>
  <c r="F49" i="31"/>
  <c r="F50" i="31"/>
  <c r="F51" i="31"/>
  <c r="F53" i="31"/>
  <c r="F43" i="31"/>
  <c r="E33" i="31"/>
  <c r="E34" i="31"/>
  <c r="E35" i="31" s="1"/>
  <c r="E32" i="31"/>
  <c r="F33" i="31" s="1"/>
  <c r="F24" i="31"/>
  <c r="F25" i="31"/>
  <c r="F26" i="31"/>
  <c r="F27" i="31"/>
  <c r="F28" i="31"/>
  <c r="F29" i="31"/>
  <c r="F30" i="31"/>
  <c r="F31" i="31"/>
  <c r="F32" i="31"/>
  <c r="F23" i="31"/>
  <c r="E13" i="31"/>
  <c r="E14" i="31" s="1"/>
  <c r="E12" i="31"/>
  <c r="F13" i="31" s="1"/>
  <c r="F4" i="31"/>
  <c r="F5" i="31"/>
  <c r="F6" i="31"/>
  <c r="F7" i="31"/>
  <c r="F8" i="31"/>
  <c r="F9" i="31"/>
  <c r="F10" i="31"/>
  <c r="F11" i="31"/>
  <c r="F12" i="31"/>
  <c r="F3" i="31"/>
  <c r="F132" i="31"/>
  <c r="F133" i="31"/>
  <c r="F134" i="31"/>
  <c r="F135" i="31"/>
  <c r="F136" i="31"/>
  <c r="F137" i="31"/>
  <c r="F138" i="31"/>
  <c r="F139" i="31"/>
  <c r="F140" i="31"/>
  <c r="F141" i="31"/>
  <c r="E133" i="31"/>
  <c r="E134" i="31"/>
  <c r="E135" i="31" s="1"/>
  <c r="E136" i="31" s="1"/>
  <c r="E137" i="31" s="1"/>
  <c r="E138" i="31" s="1"/>
  <c r="E139" i="31" s="1"/>
  <c r="E140" i="31" s="1"/>
  <c r="E141" i="31" s="1"/>
  <c r="E132" i="31"/>
  <c r="F124" i="31"/>
  <c r="F125" i="31"/>
  <c r="F126" i="31"/>
  <c r="F127" i="31"/>
  <c r="F128" i="31"/>
  <c r="F129" i="31"/>
  <c r="F130" i="31"/>
  <c r="F131" i="31"/>
  <c r="F123" i="31"/>
  <c r="E113" i="31"/>
  <c r="E114" i="31" s="1"/>
  <c r="E112" i="31"/>
  <c r="F112" i="31" s="1"/>
  <c r="F104" i="31"/>
  <c r="F105" i="31"/>
  <c r="F106" i="31"/>
  <c r="F107" i="31"/>
  <c r="F108" i="31"/>
  <c r="F109" i="31"/>
  <c r="F110" i="31"/>
  <c r="F111" i="31"/>
  <c r="F103" i="31"/>
  <c r="E93" i="31"/>
  <c r="E94" i="31"/>
  <c r="F94" i="31" s="1"/>
  <c r="E95" i="31"/>
  <c r="E96" i="31" s="1"/>
  <c r="E92" i="31"/>
  <c r="F92" i="31" s="1"/>
  <c r="F84" i="31"/>
  <c r="F85" i="31"/>
  <c r="F86" i="31"/>
  <c r="F87" i="31"/>
  <c r="F88" i="31"/>
  <c r="F89" i="31"/>
  <c r="F90" i="31"/>
  <c r="F91" i="31"/>
  <c r="F93" i="31"/>
  <c r="F83" i="31"/>
  <c r="F71" i="31"/>
  <c r="F70" i="31"/>
  <c r="F69" i="31"/>
  <c r="F68" i="31"/>
  <c r="F67" i="31"/>
  <c r="F66" i="31"/>
  <c r="F65" i="31"/>
  <c r="F64" i="31"/>
  <c r="F63" i="31"/>
  <c r="I77" i="48" l="1"/>
  <c r="H83" i="57" s="1"/>
  <c r="W76" i="48"/>
  <c r="C82" i="58" s="1"/>
  <c r="D53" i="48"/>
  <c r="C83" i="56" s="1"/>
  <c r="AR52" i="48"/>
  <c r="D82" i="55" s="1"/>
  <c r="D77" i="48"/>
  <c r="C83" i="57" s="1"/>
  <c r="X76" i="48"/>
  <c r="D82" i="58" s="1"/>
  <c r="AU52" i="48"/>
  <c r="G82" i="55" s="1"/>
  <c r="G82" i="56"/>
  <c r="AQ52" i="48"/>
  <c r="C82" i="55" s="1"/>
  <c r="H82" i="56"/>
  <c r="AS76" i="43"/>
  <c r="C1" i="55"/>
  <c r="O52" i="44"/>
  <c r="N22" i="56" s="1"/>
  <c r="N22" i="53"/>
  <c r="K43" i="53"/>
  <c r="L53" i="46"/>
  <c r="K43" i="56" s="1"/>
  <c r="K84" i="53"/>
  <c r="L54" i="48"/>
  <c r="K84" i="56" s="1"/>
  <c r="K106" i="53"/>
  <c r="L56" i="49"/>
  <c r="K106" i="56" s="1"/>
  <c r="N52" i="46"/>
  <c r="M42" i="56" s="1"/>
  <c r="M42" i="53"/>
  <c r="K128" i="53"/>
  <c r="L58" i="50"/>
  <c r="K128" i="56" s="1"/>
  <c r="M127" i="53"/>
  <c r="N57" i="50"/>
  <c r="M127" i="56" s="1"/>
  <c r="M23" i="53"/>
  <c r="N53" i="44"/>
  <c r="M23" i="56" s="1"/>
  <c r="M62" i="53"/>
  <c r="N52" i="47"/>
  <c r="M62" i="56" s="1"/>
  <c r="N76" i="44"/>
  <c r="M22" i="57" s="1"/>
  <c r="N52" i="44"/>
  <c r="M22" i="56" s="1"/>
  <c r="M22" i="53"/>
  <c r="M85" i="53"/>
  <c r="N55" i="48"/>
  <c r="M85" i="56" s="1"/>
  <c r="K62" i="53"/>
  <c r="L52" i="47"/>
  <c r="K62" i="56" s="1"/>
  <c r="M106" i="53"/>
  <c r="N56" i="49"/>
  <c r="M106" i="56" s="1"/>
  <c r="K22" i="53"/>
  <c r="L52" i="44"/>
  <c r="K22" i="56" s="1"/>
  <c r="H53" i="48"/>
  <c r="G83" i="56" s="1"/>
  <c r="O55" i="48"/>
  <c r="N85" i="56" s="1"/>
  <c r="N85" i="53"/>
  <c r="Y28" i="49"/>
  <c r="Q52" i="48"/>
  <c r="P82" i="56" s="1"/>
  <c r="Z28" i="50"/>
  <c r="P122" i="53"/>
  <c r="H7" i="48"/>
  <c r="G85" i="51" s="1"/>
  <c r="AR28" i="48"/>
  <c r="P82" i="53"/>
  <c r="W28" i="49"/>
  <c r="E30" i="48"/>
  <c r="D84" i="51"/>
  <c r="AA53" i="48"/>
  <c r="G83" i="54" s="1"/>
  <c r="E77" i="48"/>
  <c r="D83" i="57" s="1"/>
  <c r="D83" i="53"/>
  <c r="H77" i="48"/>
  <c r="G83" i="57" s="1"/>
  <c r="CA29" i="48"/>
  <c r="L83" i="53"/>
  <c r="E7" i="48"/>
  <c r="E31" i="48" s="1"/>
  <c r="AA28" i="49"/>
  <c r="J84" i="51"/>
  <c r="K30" i="48"/>
  <c r="K7" i="48"/>
  <c r="K53" i="49"/>
  <c r="J103" i="56" s="1"/>
  <c r="J103" i="53"/>
  <c r="BW30" i="48"/>
  <c r="BJ67" i="48" s="1"/>
  <c r="L84" i="51"/>
  <c r="Q76" i="48"/>
  <c r="P82" i="57" s="1"/>
  <c r="J82" i="57"/>
  <c r="AS28" i="49"/>
  <c r="BF29" i="49" s="1"/>
  <c r="AY28" i="49" s="1"/>
  <c r="AY29" i="49" s="1"/>
  <c r="AY30" i="49" s="1"/>
  <c r="AY31" i="49" s="1"/>
  <c r="AY32" i="49" s="1"/>
  <c r="AY33" i="49" s="1"/>
  <c r="AY34" i="49" s="1"/>
  <c r="AY35" i="49" s="1"/>
  <c r="AY36" i="49" s="1"/>
  <c r="AY37" i="49" s="1"/>
  <c r="AY38" i="49" s="1"/>
  <c r="AY39" i="49" s="1"/>
  <c r="AY40" i="49" s="1"/>
  <c r="AY41" i="49" s="1"/>
  <c r="AY42" i="49" s="1"/>
  <c r="AY43" i="49" s="1"/>
  <c r="AY44" i="49" s="1"/>
  <c r="AY45" i="49" s="1"/>
  <c r="AY46" i="49" s="1"/>
  <c r="AY47" i="49" s="1"/>
  <c r="K53" i="50"/>
  <c r="J123" i="56" s="1"/>
  <c r="J123" i="53"/>
  <c r="AX53" i="48"/>
  <c r="J83" i="55" s="1"/>
  <c r="X52" i="49"/>
  <c r="D102" i="54" s="1"/>
  <c r="X76" i="49"/>
  <c r="D102" i="58" s="1"/>
  <c r="AR52" i="49"/>
  <c r="D102" i="55" s="1"/>
  <c r="X28" i="50"/>
  <c r="Q76" i="50"/>
  <c r="P122" i="57" s="1"/>
  <c r="I77" i="49"/>
  <c r="H103" i="57" s="1"/>
  <c r="I53" i="49"/>
  <c r="H103" i="56" s="1"/>
  <c r="AH28" i="49"/>
  <c r="AT28" i="49"/>
  <c r="AR28" i="49"/>
  <c r="BJ4" i="49"/>
  <c r="BK4" i="49" s="1"/>
  <c r="BL4" i="49" s="1"/>
  <c r="AE28" i="49"/>
  <c r="AG28" i="49"/>
  <c r="AI28" i="49"/>
  <c r="G30" i="50"/>
  <c r="F124" i="53" s="1"/>
  <c r="G7" i="50"/>
  <c r="F125" i="51" s="1"/>
  <c r="D7" i="50"/>
  <c r="C125" i="51" s="1"/>
  <c r="BR30" i="50"/>
  <c r="BJ65" i="50" s="1"/>
  <c r="D30" i="50"/>
  <c r="C124" i="53" s="1"/>
  <c r="Q6" i="50"/>
  <c r="P124" i="51" s="1"/>
  <c r="AS28" i="48"/>
  <c r="BF29" i="48" s="1"/>
  <c r="AY28" i="48" s="1"/>
  <c r="AY29" i="48" s="1"/>
  <c r="AY30" i="48" s="1"/>
  <c r="AY31" i="48" s="1"/>
  <c r="AY32" i="48" s="1"/>
  <c r="AY33" i="48" s="1"/>
  <c r="AY34" i="48" s="1"/>
  <c r="AY35" i="48" s="1"/>
  <c r="AY36" i="48" s="1"/>
  <c r="AY37" i="48" s="1"/>
  <c r="AY38" i="48" s="1"/>
  <c r="AY39" i="48" s="1"/>
  <c r="AY40" i="48" s="1"/>
  <c r="AY41" i="48" s="1"/>
  <c r="AY42" i="48" s="1"/>
  <c r="AY43" i="48" s="1"/>
  <c r="AY44" i="48" s="1"/>
  <c r="AY45" i="48" s="1"/>
  <c r="AY46" i="48" s="1"/>
  <c r="AY47" i="48" s="1"/>
  <c r="D77" i="49"/>
  <c r="C103" i="57" s="1"/>
  <c r="D53" i="49"/>
  <c r="C103" i="56" s="1"/>
  <c r="Q29" i="49"/>
  <c r="X29" i="49" s="1"/>
  <c r="AA76" i="50"/>
  <c r="G122" i="58" s="1"/>
  <c r="AU52" i="50"/>
  <c r="G122" i="55" s="1"/>
  <c r="AC28" i="49"/>
  <c r="AA76" i="49"/>
  <c r="G102" i="58" s="1"/>
  <c r="AU52" i="49"/>
  <c r="G102" i="55" s="1"/>
  <c r="I30" i="49"/>
  <c r="H104" i="53" s="1"/>
  <c r="I7" i="49"/>
  <c r="H105" i="51" s="1"/>
  <c r="J77" i="50"/>
  <c r="I123" i="57" s="1"/>
  <c r="J53" i="50"/>
  <c r="I123" i="56" s="1"/>
  <c r="AS52" i="50"/>
  <c r="E122" i="55" s="1"/>
  <c r="Y76" i="50"/>
  <c r="E122" i="58" s="1"/>
  <c r="Y52" i="50"/>
  <c r="E122" i="54" s="1"/>
  <c r="Z76" i="50"/>
  <c r="F122" i="58" s="1"/>
  <c r="Z52" i="50"/>
  <c r="F122" i="54" s="1"/>
  <c r="AT52" i="50"/>
  <c r="F122" i="55" s="1"/>
  <c r="AT28" i="48"/>
  <c r="X28" i="48"/>
  <c r="BR30" i="49"/>
  <c r="BJ65" i="49" s="1"/>
  <c r="D7" i="49"/>
  <c r="C105" i="51" s="1"/>
  <c r="D30" i="49"/>
  <c r="C104" i="53" s="1"/>
  <c r="Q6" i="49"/>
  <c r="P104" i="51" s="1"/>
  <c r="AF28" i="49"/>
  <c r="AA53" i="49"/>
  <c r="G103" i="54" s="1"/>
  <c r="H53" i="49"/>
  <c r="G103" i="56" s="1"/>
  <c r="H77" i="49"/>
  <c r="G103" i="57" s="1"/>
  <c r="M77" i="50"/>
  <c r="L123" i="57" s="1"/>
  <c r="M53" i="50"/>
  <c r="L123" i="56" s="1"/>
  <c r="F77" i="50"/>
  <c r="E123" i="57" s="1"/>
  <c r="F53" i="50"/>
  <c r="E123" i="56" s="1"/>
  <c r="J30" i="50"/>
  <c r="I124" i="53" s="1"/>
  <c r="J7" i="50"/>
  <c r="I125" i="51" s="1"/>
  <c r="H7" i="50"/>
  <c r="G125" i="51" s="1"/>
  <c r="H30" i="50"/>
  <c r="G124" i="53" s="1"/>
  <c r="BW30" i="50"/>
  <c r="BJ67" i="50" s="1"/>
  <c r="E7" i="49"/>
  <c r="D105" i="51" s="1"/>
  <c r="E30" i="49"/>
  <c r="D104" i="53" s="1"/>
  <c r="AF76" i="49"/>
  <c r="L102" i="58" s="1"/>
  <c r="AF52" i="49"/>
  <c r="L102" i="54" s="1"/>
  <c r="AZ52" i="49"/>
  <c r="L102" i="55" s="1"/>
  <c r="H7" i="49"/>
  <c r="G105" i="51" s="1"/>
  <c r="H30" i="49"/>
  <c r="G104" i="53" s="1"/>
  <c r="BW30" i="49"/>
  <c r="BJ67" i="49" s="1"/>
  <c r="AC76" i="49"/>
  <c r="I102" i="58" s="1"/>
  <c r="AC52" i="49"/>
  <c r="I102" i="54" s="1"/>
  <c r="AW52" i="49"/>
  <c r="I102" i="55" s="1"/>
  <c r="M7" i="50"/>
  <c r="L125" i="51" s="1"/>
  <c r="M30" i="50"/>
  <c r="L124" i="53" s="1"/>
  <c r="F30" i="50"/>
  <c r="E124" i="53" s="1"/>
  <c r="F7" i="50"/>
  <c r="E125" i="51" s="1"/>
  <c r="K30" i="50"/>
  <c r="K7" i="50"/>
  <c r="J125" i="51" s="1"/>
  <c r="E30" i="50"/>
  <c r="D124" i="53" s="1"/>
  <c r="E7" i="50"/>
  <c r="D125" i="51" s="1"/>
  <c r="H77" i="50"/>
  <c r="G123" i="57" s="1"/>
  <c r="AA53" i="50"/>
  <c r="G123" i="54" s="1"/>
  <c r="H53" i="50"/>
  <c r="G123" i="56" s="1"/>
  <c r="E77" i="49"/>
  <c r="D103" i="57" s="1"/>
  <c r="E53" i="49"/>
  <c r="D103" i="56" s="1"/>
  <c r="X76" i="50"/>
  <c r="D122" i="58" s="1"/>
  <c r="X52" i="50"/>
  <c r="D122" i="54" s="1"/>
  <c r="AR52" i="50"/>
  <c r="D122" i="55" s="1"/>
  <c r="F30" i="49"/>
  <c r="E104" i="53" s="1"/>
  <c r="F7" i="49"/>
  <c r="E105" i="51" s="1"/>
  <c r="G30" i="49"/>
  <c r="F104" i="53" s="1"/>
  <c r="G7" i="49"/>
  <c r="F105" i="51" s="1"/>
  <c r="K77" i="50"/>
  <c r="J123" i="57" s="1"/>
  <c r="CA29" i="50"/>
  <c r="E77" i="50"/>
  <c r="D123" i="57" s="1"/>
  <c r="E53" i="50"/>
  <c r="D123" i="56" s="1"/>
  <c r="AD28" i="48"/>
  <c r="AS52" i="49"/>
  <c r="E102" i="55" s="1"/>
  <c r="Y76" i="49"/>
  <c r="E102" i="58" s="1"/>
  <c r="Y52" i="49"/>
  <c r="E102" i="54" s="1"/>
  <c r="M7" i="49"/>
  <c r="L105" i="51" s="1"/>
  <c r="M30" i="49"/>
  <c r="L104" i="53" s="1"/>
  <c r="F77" i="49"/>
  <c r="E103" i="57" s="1"/>
  <c r="F53" i="49"/>
  <c r="E103" i="56" s="1"/>
  <c r="Z28" i="49"/>
  <c r="G77" i="49"/>
  <c r="F103" i="57" s="1"/>
  <c r="G53" i="49"/>
  <c r="F103" i="56" s="1"/>
  <c r="AD28" i="49"/>
  <c r="AQ28" i="49"/>
  <c r="AF52" i="50"/>
  <c r="L122" i="54" s="1"/>
  <c r="AZ52" i="50"/>
  <c r="L122" i="55" s="1"/>
  <c r="AF76" i="50"/>
  <c r="L122" i="58" s="1"/>
  <c r="AB28" i="49"/>
  <c r="AX52" i="50"/>
  <c r="J122" i="55" s="1"/>
  <c r="AD76" i="50"/>
  <c r="J122" i="58" s="1"/>
  <c r="AD52" i="50"/>
  <c r="J122" i="54" s="1"/>
  <c r="I7" i="50"/>
  <c r="H125" i="51" s="1"/>
  <c r="I30" i="50"/>
  <c r="H124" i="53" s="1"/>
  <c r="M77" i="49"/>
  <c r="L103" i="57" s="1"/>
  <c r="M53" i="49"/>
  <c r="L103" i="56" s="1"/>
  <c r="J77" i="49"/>
  <c r="I103" i="57" s="1"/>
  <c r="J53" i="49"/>
  <c r="I103" i="56" s="1"/>
  <c r="Z76" i="49"/>
  <c r="F102" i="58" s="1"/>
  <c r="Z52" i="49"/>
  <c r="F102" i="54" s="1"/>
  <c r="AT52" i="49"/>
  <c r="F102" i="55" s="1"/>
  <c r="W28" i="50"/>
  <c r="AH28" i="50"/>
  <c r="AR28" i="50"/>
  <c r="AC28" i="50"/>
  <c r="AT28" i="50"/>
  <c r="AI28" i="50"/>
  <c r="BJ4" i="50"/>
  <c r="BK4" i="50" s="1"/>
  <c r="BL4" i="50" s="1"/>
  <c r="AG28" i="50"/>
  <c r="Y28" i="50"/>
  <c r="AF28" i="50"/>
  <c r="AE28" i="50"/>
  <c r="AD28" i="50"/>
  <c r="AS28" i="50"/>
  <c r="BF29" i="50" s="1"/>
  <c r="AY28" i="50" s="1"/>
  <c r="AY29" i="50" s="1"/>
  <c r="AY30" i="50" s="1"/>
  <c r="AY31" i="50" s="1"/>
  <c r="AY32" i="50" s="1"/>
  <c r="AY33" i="50" s="1"/>
  <c r="AY34" i="50" s="1"/>
  <c r="AY35" i="50" s="1"/>
  <c r="AY36" i="50" s="1"/>
  <c r="AY37" i="50" s="1"/>
  <c r="AY38" i="50" s="1"/>
  <c r="AY39" i="50" s="1"/>
  <c r="AY40" i="50" s="1"/>
  <c r="AY41" i="50" s="1"/>
  <c r="AY42" i="50" s="1"/>
  <c r="AY43" i="50" s="1"/>
  <c r="AY44" i="50" s="1"/>
  <c r="AY45" i="50" s="1"/>
  <c r="AY46" i="50" s="1"/>
  <c r="AY47" i="50" s="1"/>
  <c r="AB28" i="50"/>
  <c r="AD76" i="49"/>
  <c r="J102" i="58" s="1"/>
  <c r="AD52" i="49"/>
  <c r="J102" i="54" s="1"/>
  <c r="AX52" i="49"/>
  <c r="J102" i="55" s="1"/>
  <c r="K77" i="49"/>
  <c r="J103" i="57" s="1"/>
  <c r="CA29" i="49"/>
  <c r="Q52" i="49"/>
  <c r="P102" i="56" s="1"/>
  <c r="AB76" i="49"/>
  <c r="H102" i="58" s="1"/>
  <c r="AB52" i="49"/>
  <c r="H102" i="54" s="1"/>
  <c r="AV52" i="49"/>
  <c r="H102" i="55" s="1"/>
  <c r="AC76" i="50"/>
  <c r="I122" i="58" s="1"/>
  <c r="AC52" i="50"/>
  <c r="I122" i="54" s="1"/>
  <c r="AW52" i="50"/>
  <c r="I122" i="55" s="1"/>
  <c r="D77" i="50"/>
  <c r="C123" i="57" s="1"/>
  <c r="D53" i="50"/>
  <c r="C123" i="56" s="1"/>
  <c r="Q29" i="50"/>
  <c r="AA28" i="50"/>
  <c r="I77" i="50"/>
  <c r="H123" i="57" s="1"/>
  <c r="I53" i="50"/>
  <c r="H123" i="56" s="1"/>
  <c r="X28" i="49"/>
  <c r="AV52" i="50"/>
  <c r="H122" i="55" s="1"/>
  <c r="AB76" i="50"/>
  <c r="H122" i="58" s="1"/>
  <c r="AB52" i="50"/>
  <c r="H122" i="54" s="1"/>
  <c r="J30" i="49"/>
  <c r="I104" i="53" s="1"/>
  <c r="J7" i="49"/>
  <c r="I105" i="51" s="1"/>
  <c r="W76" i="50"/>
  <c r="C122" i="58" s="1"/>
  <c r="W52" i="50"/>
  <c r="C122" i="54" s="1"/>
  <c r="Q52" i="50"/>
  <c r="P122" i="56" s="1"/>
  <c r="AQ52" i="50"/>
  <c r="C122" i="55" s="1"/>
  <c r="W76" i="49"/>
  <c r="C102" i="58" s="1"/>
  <c r="W52" i="49"/>
  <c r="C102" i="54" s="1"/>
  <c r="AQ52" i="49"/>
  <c r="C102" i="55" s="1"/>
  <c r="K30" i="49"/>
  <c r="K7" i="49"/>
  <c r="J105" i="51" s="1"/>
  <c r="Q76" i="49"/>
  <c r="P102" i="57" s="1"/>
  <c r="G53" i="50"/>
  <c r="F123" i="56" s="1"/>
  <c r="G77" i="50"/>
  <c r="F123" i="57" s="1"/>
  <c r="AQ28" i="50"/>
  <c r="BR30" i="48"/>
  <c r="BJ65" i="48" s="1"/>
  <c r="AD53" i="48"/>
  <c r="J83" i="54" s="1"/>
  <c r="O79" i="48"/>
  <c r="N85" i="57" s="1"/>
  <c r="AD77" i="48"/>
  <c r="J83" i="58" s="1"/>
  <c r="E53" i="48"/>
  <c r="Q29" i="48"/>
  <c r="O81" i="50"/>
  <c r="N127" i="57" s="1"/>
  <c r="O57" i="50"/>
  <c r="N127" i="56" s="1"/>
  <c r="C80" i="50"/>
  <c r="V32" i="50"/>
  <c r="V80" i="50" s="1"/>
  <c r="AG80" i="50"/>
  <c r="M126" i="58" s="1"/>
  <c r="AG56" i="50"/>
  <c r="M126" i="54" s="1"/>
  <c r="BA56" i="50"/>
  <c r="M126" i="55" s="1"/>
  <c r="AP32" i="50"/>
  <c r="AZ31" i="50"/>
  <c r="AX31" i="50"/>
  <c r="BX34" i="50"/>
  <c r="N34" i="50"/>
  <c r="N11" i="50"/>
  <c r="L35" i="50"/>
  <c r="L12" i="50"/>
  <c r="N81" i="50"/>
  <c r="M127" i="57" s="1"/>
  <c r="L82" i="50"/>
  <c r="K128" i="57" s="1"/>
  <c r="BD10" i="50"/>
  <c r="AU11" i="50"/>
  <c r="B58" i="50"/>
  <c r="U58" i="50" s="1"/>
  <c r="AO58" i="50" s="1"/>
  <c r="B34" i="50"/>
  <c r="B11" i="50"/>
  <c r="U10" i="50"/>
  <c r="AO10" i="50" s="1"/>
  <c r="BH10" i="50" s="1"/>
  <c r="B81" i="50"/>
  <c r="U33" i="50"/>
  <c r="U81" i="50" s="1"/>
  <c r="C57" i="50"/>
  <c r="V57" i="50" s="1"/>
  <c r="AP57" i="50" s="1"/>
  <c r="C33" i="50"/>
  <c r="C10" i="50"/>
  <c r="V9" i="50"/>
  <c r="AP9" i="50" s="1"/>
  <c r="BI9" i="50" s="1"/>
  <c r="AE81" i="50"/>
  <c r="K127" i="58" s="1"/>
  <c r="AE57" i="50"/>
  <c r="K127" i="54" s="1"/>
  <c r="AY57" i="50"/>
  <c r="K127" i="55" s="1"/>
  <c r="AH80" i="50"/>
  <c r="N126" i="58" s="1"/>
  <c r="AH56" i="50"/>
  <c r="N126" i="54" s="1"/>
  <c r="BB56" i="50"/>
  <c r="N126" i="55" s="1"/>
  <c r="O34" i="50"/>
  <c r="N128" i="53" s="1"/>
  <c r="O11" i="50"/>
  <c r="L33" i="49"/>
  <c r="L10" i="49"/>
  <c r="C81" i="49"/>
  <c r="V33" i="49"/>
  <c r="V81" i="49" s="1"/>
  <c r="BD12" i="49"/>
  <c r="AE79" i="49"/>
  <c r="K105" i="58" s="1"/>
  <c r="AE55" i="49"/>
  <c r="K105" i="54" s="1"/>
  <c r="AY55" i="49"/>
  <c r="K105" i="55" s="1"/>
  <c r="AG79" i="49"/>
  <c r="M105" i="58" s="1"/>
  <c r="AG55" i="49"/>
  <c r="M105" i="54" s="1"/>
  <c r="BA55" i="49"/>
  <c r="M105" i="55" s="1"/>
  <c r="O33" i="49"/>
  <c r="N107" i="53" s="1"/>
  <c r="O10" i="49"/>
  <c r="O80" i="49"/>
  <c r="N106" i="57" s="1"/>
  <c r="O56" i="49"/>
  <c r="N106" i="56" s="1"/>
  <c r="B58" i="49"/>
  <c r="U58" i="49" s="1"/>
  <c r="AO58" i="49" s="1"/>
  <c r="B34" i="49"/>
  <c r="B11" i="49"/>
  <c r="U10" i="49"/>
  <c r="AO10" i="49" s="1"/>
  <c r="BH10" i="49" s="1"/>
  <c r="L80" i="49"/>
  <c r="K106" i="57" s="1"/>
  <c r="C58" i="49"/>
  <c r="V58" i="49" s="1"/>
  <c r="AP58" i="49" s="1"/>
  <c r="C34" i="49"/>
  <c r="C11" i="49"/>
  <c r="V10" i="49"/>
  <c r="AP10" i="49" s="1"/>
  <c r="BI10" i="49" s="1"/>
  <c r="BX33" i="49"/>
  <c r="N33" i="49"/>
  <c r="N10" i="49"/>
  <c r="B81" i="49"/>
  <c r="U33" i="49"/>
  <c r="U81" i="49" s="1"/>
  <c r="AZ31" i="49"/>
  <c r="AP32" i="49"/>
  <c r="AX31" i="49"/>
  <c r="AH79" i="49"/>
  <c r="N105" i="58" s="1"/>
  <c r="AH55" i="49"/>
  <c r="N105" i="54" s="1"/>
  <c r="BB55" i="49"/>
  <c r="N105" i="55" s="1"/>
  <c r="N80" i="49"/>
  <c r="M106" i="57" s="1"/>
  <c r="Z28" i="48"/>
  <c r="G7" i="48"/>
  <c r="F85" i="51" s="1"/>
  <c r="G30" i="48"/>
  <c r="F84" i="53" s="1"/>
  <c r="Y28" i="48"/>
  <c r="W28" i="48"/>
  <c r="AI28" i="48"/>
  <c r="G77" i="48"/>
  <c r="F83" i="57" s="1"/>
  <c r="G53" i="48"/>
  <c r="F83" i="56" s="1"/>
  <c r="AF28" i="48"/>
  <c r="AB28" i="48"/>
  <c r="AG28" i="48"/>
  <c r="AC28" i="48"/>
  <c r="F30" i="48"/>
  <c r="E84" i="53" s="1"/>
  <c r="F7" i="48"/>
  <c r="E85" i="51" s="1"/>
  <c r="M53" i="48"/>
  <c r="L83" i="56" s="1"/>
  <c r="M77" i="48"/>
  <c r="L83" i="57" s="1"/>
  <c r="AE28" i="48"/>
  <c r="AA28" i="48"/>
  <c r="AH28" i="48"/>
  <c r="F53" i="48"/>
  <c r="E83" i="56" s="1"/>
  <c r="F77" i="48"/>
  <c r="E83" i="57" s="1"/>
  <c r="M30" i="48"/>
  <c r="L84" i="53" s="1"/>
  <c r="M7" i="48"/>
  <c r="L85" i="51" s="1"/>
  <c r="BJ4" i="48"/>
  <c r="BK4" i="48" s="1"/>
  <c r="BL4" i="48" s="1"/>
  <c r="AQ28" i="48"/>
  <c r="BD29" i="48" s="1"/>
  <c r="Z76" i="48"/>
  <c r="F82" i="58" s="1"/>
  <c r="AT52" i="48"/>
  <c r="F82" i="55" s="1"/>
  <c r="Z52" i="48"/>
  <c r="F82" i="54" s="1"/>
  <c r="AF52" i="48"/>
  <c r="L82" i="54" s="1"/>
  <c r="AF76" i="48"/>
  <c r="L82" i="58" s="1"/>
  <c r="AZ52" i="48"/>
  <c r="L82" i="55" s="1"/>
  <c r="Q6" i="48"/>
  <c r="P84" i="51" s="1"/>
  <c r="AD76" i="48"/>
  <c r="J82" i="58" s="1"/>
  <c r="AD52" i="48"/>
  <c r="AX52" i="48"/>
  <c r="J82" i="55" s="1"/>
  <c r="I31" i="48"/>
  <c r="H85" i="53" s="1"/>
  <c r="I8" i="48"/>
  <c r="H86" i="51" s="1"/>
  <c r="O33" i="48"/>
  <c r="N87" i="53" s="1"/>
  <c r="O10" i="48"/>
  <c r="B32" i="48"/>
  <c r="B56" i="48"/>
  <c r="U56" i="48" s="1"/>
  <c r="AO56" i="48" s="1"/>
  <c r="B9" i="48"/>
  <c r="U8" i="48"/>
  <c r="AO8" i="48" s="1"/>
  <c r="BH8" i="48" s="1"/>
  <c r="AP30" i="48"/>
  <c r="AZ29" i="48"/>
  <c r="AX29" i="48"/>
  <c r="W77" i="48"/>
  <c r="C83" i="58" s="1"/>
  <c r="W53" i="48"/>
  <c r="C83" i="54" s="1"/>
  <c r="AQ53" i="48"/>
  <c r="C83" i="55" s="1"/>
  <c r="O80" i="48"/>
  <c r="N86" i="57" s="1"/>
  <c r="O56" i="48"/>
  <c r="N86" i="56" s="1"/>
  <c r="BX32" i="48"/>
  <c r="N32" i="48"/>
  <c r="N9" i="48"/>
  <c r="B79" i="48"/>
  <c r="U31" i="48"/>
  <c r="U79" i="48" s="1"/>
  <c r="AE77" i="48"/>
  <c r="K83" i="58" s="1"/>
  <c r="AE53" i="48"/>
  <c r="K83" i="54" s="1"/>
  <c r="AY53" i="48"/>
  <c r="K83" i="55" s="1"/>
  <c r="I78" i="48"/>
  <c r="H84" i="57" s="1"/>
  <c r="I54" i="48"/>
  <c r="H84" i="56" s="1"/>
  <c r="J31" i="48"/>
  <c r="I85" i="53" s="1"/>
  <c r="J8" i="48"/>
  <c r="I86" i="51" s="1"/>
  <c r="AC77" i="48"/>
  <c r="I83" i="58" s="1"/>
  <c r="AC53" i="48"/>
  <c r="I83" i="54" s="1"/>
  <c r="AW53" i="48"/>
  <c r="I83" i="55" s="1"/>
  <c r="C78" i="48"/>
  <c r="V30" i="48"/>
  <c r="V78" i="48" s="1"/>
  <c r="J78" i="48"/>
  <c r="I84" i="57" s="1"/>
  <c r="J54" i="48"/>
  <c r="I84" i="56" s="1"/>
  <c r="AB77" i="48"/>
  <c r="H83" i="58" s="1"/>
  <c r="AB53" i="48"/>
  <c r="H83" i="54" s="1"/>
  <c r="AV53" i="48"/>
  <c r="H83" i="55" s="1"/>
  <c r="N79" i="48"/>
  <c r="M85" i="57" s="1"/>
  <c r="H78" i="48"/>
  <c r="G84" i="57" s="1"/>
  <c r="AA54" i="48"/>
  <c r="G84" i="54" s="1"/>
  <c r="H54" i="48"/>
  <c r="G84" i="56" s="1"/>
  <c r="D31" i="48"/>
  <c r="C85" i="53" s="1"/>
  <c r="D8" i="48"/>
  <c r="C86" i="51" s="1"/>
  <c r="C55" i="48"/>
  <c r="V55" i="48" s="1"/>
  <c r="AP55" i="48" s="1"/>
  <c r="C31" i="48"/>
  <c r="C8" i="48"/>
  <c r="V7" i="48"/>
  <c r="AP7" i="48" s="1"/>
  <c r="BI7" i="48" s="1"/>
  <c r="L31" i="48"/>
  <c r="L8" i="48"/>
  <c r="AH55" i="48"/>
  <c r="N85" i="54" s="1"/>
  <c r="L78" i="48"/>
  <c r="K84" i="57" s="1"/>
  <c r="AG78" i="48"/>
  <c r="M84" i="58" s="1"/>
  <c r="AG54" i="48"/>
  <c r="M84" i="54" s="1"/>
  <c r="BA54" i="48"/>
  <c r="M84" i="55" s="1"/>
  <c r="BD7" i="48"/>
  <c r="AU8" i="48"/>
  <c r="D78" i="48"/>
  <c r="C84" i="57" s="1"/>
  <c r="D54" i="48"/>
  <c r="C84" i="56" s="1"/>
  <c r="O76" i="47"/>
  <c r="N62" i="57" s="1"/>
  <c r="O52" i="47"/>
  <c r="C76" i="47"/>
  <c r="V28" i="47"/>
  <c r="V76" i="47" s="1"/>
  <c r="AP28" i="47"/>
  <c r="C55" i="47"/>
  <c r="V55" i="47" s="1"/>
  <c r="AP55" i="47" s="1"/>
  <c r="C31" i="47"/>
  <c r="C8" i="47"/>
  <c r="V7" i="47"/>
  <c r="AP7" i="47" s="1"/>
  <c r="BI7" i="47" s="1"/>
  <c r="B55" i="47"/>
  <c r="U55" i="47" s="1"/>
  <c r="AO55" i="47" s="1"/>
  <c r="B31" i="47"/>
  <c r="B8" i="47"/>
  <c r="U7" i="47"/>
  <c r="AO7" i="47" s="1"/>
  <c r="BH7" i="47" s="1"/>
  <c r="P52" i="47"/>
  <c r="C77" i="47"/>
  <c r="V29" i="47"/>
  <c r="V77" i="47" s="1"/>
  <c r="B77" i="47"/>
  <c r="U29" i="47"/>
  <c r="U77" i="47" s="1"/>
  <c r="C78" i="47"/>
  <c r="V30" i="47"/>
  <c r="V78" i="47" s="1"/>
  <c r="B78" i="47"/>
  <c r="U30" i="47"/>
  <c r="U78" i="47" s="1"/>
  <c r="B76" i="47"/>
  <c r="AO28" i="47"/>
  <c r="AO29" i="47" s="1"/>
  <c r="AO30" i="47" s="1"/>
  <c r="AO31" i="47" s="1"/>
  <c r="AO32" i="47" s="1"/>
  <c r="AO33" i="47" s="1"/>
  <c r="AO34" i="47" s="1"/>
  <c r="AO35" i="47" s="1"/>
  <c r="AO36" i="47" s="1"/>
  <c r="AO37" i="47" s="1"/>
  <c r="AO38" i="47" s="1"/>
  <c r="AO39" i="47" s="1"/>
  <c r="AO40" i="47" s="1"/>
  <c r="AO41" i="47" s="1"/>
  <c r="AO42" i="47" s="1"/>
  <c r="AO43" i="47" s="1"/>
  <c r="AO44" i="47" s="1"/>
  <c r="AO45" i="47" s="1"/>
  <c r="AO46" i="47" s="1"/>
  <c r="AO47" i="47" s="1"/>
  <c r="U28" i="47"/>
  <c r="U76" i="47" s="1"/>
  <c r="AI95" i="47"/>
  <c r="O81" i="58" s="1"/>
  <c r="AI94" i="47"/>
  <c r="O80" i="58" s="1"/>
  <c r="AI93" i="47"/>
  <c r="O79" i="58" s="1"/>
  <c r="AI92" i="47"/>
  <c r="O78" i="58" s="1"/>
  <c r="AI90" i="47"/>
  <c r="O76" i="58" s="1"/>
  <c r="AI88" i="47"/>
  <c r="O74" i="58" s="1"/>
  <c r="AI87" i="47"/>
  <c r="O73" i="58" s="1"/>
  <c r="AI86" i="47"/>
  <c r="O72" i="58" s="1"/>
  <c r="AI84" i="47"/>
  <c r="O70" i="58" s="1"/>
  <c r="AI82" i="47"/>
  <c r="O68" i="58" s="1"/>
  <c r="AI80" i="47"/>
  <c r="O66" i="58" s="1"/>
  <c r="AI78" i="47"/>
  <c r="O64" i="58" s="1"/>
  <c r="AI76" i="47"/>
  <c r="O62" i="58" s="1"/>
  <c r="AI91" i="47"/>
  <c r="O77" i="58" s="1"/>
  <c r="AI89" i="47"/>
  <c r="O75" i="58" s="1"/>
  <c r="AI81" i="47"/>
  <c r="O67" i="58" s="1"/>
  <c r="AI83" i="47"/>
  <c r="O69" i="58" s="1"/>
  <c r="AI79" i="47"/>
  <c r="O65" i="58" s="1"/>
  <c r="AI85" i="47"/>
  <c r="O71" i="58" s="1"/>
  <c r="AI77" i="47"/>
  <c r="O63" i="58" s="1"/>
  <c r="N29" i="47"/>
  <c r="N6" i="47"/>
  <c r="BX29" i="47"/>
  <c r="L76" i="47"/>
  <c r="K62" i="57" s="1"/>
  <c r="N76" i="47"/>
  <c r="M62" i="57" s="1"/>
  <c r="BA52" i="47"/>
  <c r="M62" i="55" s="1"/>
  <c r="BD5" i="47"/>
  <c r="BD6" i="47"/>
  <c r="AU7" i="47"/>
  <c r="BI3" i="47"/>
  <c r="BH3" i="47"/>
  <c r="V27" i="47"/>
  <c r="U27" i="47"/>
  <c r="AO27" i="47" s="1" a="1"/>
  <c r="O6" i="47"/>
  <c r="O29" i="47"/>
  <c r="N63" i="53" s="1"/>
  <c r="L29" i="47"/>
  <c r="L6" i="47"/>
  <c r="V27" i="46"/>
  <c r="U27" i="46"/>
  <c r="AO27" i="46" s="1" a="1"/>
  <c r="L77" i="46"/>
  <c r="K43" i="57" s="1"/>
  <c r="N76" i="46"/>
  <c r="M42" i="57" s="1"/>
  <c r="O77" i="46"/>
  <c r="N43" i="57" s="1"/>
  <c r="O53" i="46"/>
  <c r="C76" i="46"/>
  <c r="V28" i="46"/>
  <c r="V76" i="46" s="1"/>
  <c r="AP28" i="46"/>
  <c r="L28" i="46"/>
  <c r="AI95" i="46"/>
  <c r="O61" i="58" s="1"/>
  <c r="AI94" i="46"/>
  <c r="O60" i="58" s="1"/>
  <c r="AI93" i="46"/>
  <c r="O59" i="58" s="1"/>
  <c r="AI92" i="46"/>
  <c r="O58" i="58" s="1"/>
  <c r="AI91" i="46"/>
  <c r="O57" i="58" s="1"/>
  <c r="AI90" i="46"/>
  <c r="O56" i="58" s="1"/>
  <c r="AI89" i="46"/>
  <c r="O55" i="58" s="1"/>
  <c r="AI88" i="46"/>
  <c r="O54" i="58" s="1"/>
  <c r="AI87" i="46"/>
  <c r="O53" i="58" s="1"/>
  <c r="AI86" i="46"/>
  <c r="O52" i="58" s="1"/>
  <c r="AI85" i="46"/>
  <c r="O51" i="58" s="1"/>
  <c r="AI84" i="46"/>
  <c r="O50" i="58" s="1"/>
  <c r="AI83" i="46"/>
  <c r="O49" i="58" s="1"/>
  <c r="AI82" i="46"/>
  <c r="O48" i="58" s="1"/>
  <c r="AI81" i="46"/>
  <c r="O47" i="58" s="1"/>
  <c r="AI80" i="46"/>
  <c r="O46" i="58" s="1"/>
  <c r="AI79" i="46"/>
  <c r="O45" i="58" s="1"/>
  <c r="AI78" i="46"/>
  <c r="O44" i="58" s="1"/>
  <c r="AI77" i="46"/>
  <c r="O43" i="58" s="1"/>
  <c r="AI76" i="46"/>
  <c r="O42" i="58" s="1"/>
  <c r="BN28" i="46"/>
  <c r="BL29" i="46"/>
  <c r="N29" i="46"/>
  <c r="N6" i="46"/>
  <c r="BX29" i="46"/>
  <c r="BI3" i="46"/>
  <c r="BH3" i="46"/>
  <c r="L7" i="46"/>
  <c r="L30" i="46"/>
  <c r="O28" i="46"/>
  <c r="N42" i="53" s="1"/>
  <c r="O30" i="46"/>
  <c r="N44" i="53" s="1"/>
  <c r="O7" i="46"/>
  <c r="BC52" i="46"/>
  <c r="B76" i="46"/>
  <c r="AO28" i="46"/>
  <c r="AO29" i="46" s="1"/>
  <c r="AO30" i="46" s="1"/>
  <c r="AO31" i="46" s="1"/>
  <c r="AO32" i="46" s="1"/>
  <c r="AO33" i="46" s="1"/>
  <c r="AO34" i="46" s="1"/>
  <c r="AO35" i="46" s="1"/>
  <c r="AO36" i="46" s="1"/>
  <c r="AO37" i="46" s="1"/>
  <c r="AO38" i="46" s="1"/>
  <c r="AO39" i="46" s="1"/>
  <c r="AO40" i="46" s="1"/>
  <c r="AO41" i="46" s="1"/>
  <c r="AO42" i="46" s="1"/>
  <c r="AO43" i="46" s="1"/>
  <c r="AO44" i="46" s="1"/>
  <c r="AO45" i="46" s="1"/>
  <c r="AO46" i="46" s="1"/>
  <c r="AO47" i="46" s="1"/>
  <c r="U28" i="46"/>
  <c r="U76" i="46" s="1"/>
  <c r="C54" i="46"/>
  <c r="V54" i="46" s="1"/>
  <c r="AP54" i="46" s="1"/>
  <c r="C30" i="46"/>
  <c r="V6" i="46"/>
  <c r="AP6" i="46" s="1"/>
  <c r="BI6" i="46" s="1"/>
  <c r="C7" i="46"/>
  <c r="C77" i="46"/>
  <c r="V29" i="46"/>
  <c r="V77" i="46" s="1"/>
  <c r="BI57" i="46" a="1"/>
  <c r="BI57" i="46" s="1"/>
  <c r="BD5" i="46"/>
  <c r="AU6" i="46"/>
  <c r="B53" i="46"/>
  <c r="U53" i="46" s="1"/>
  <c r="AO53" i="46" s="1"/>
  <c r="B29" i="46"/>
  <c r="U5" i="46"/>
  <c r="AO5" i="46" s="1"/>
  <c r="BH5" i="46" s="1"/>
  <c r="B6" i="46"/>
  <c r="N30" i="44"/>
  <c r="N7" i="44"/>
  <c r="N8" i="44" s="1"/>
  <c r="N77" i="44"/>
  <c r="M23" i="57" s="1"/>
  <c r="U33" i="44"/>
  <c r="U81" i="44" s="1"/>
  <c r="B81" i="44"/>
  <c r="B56" i="44"/>
  <c r="AO56" i="44" s="1"/>
  <c r="B9" i="44"/>
  <c r="U8" i="44"/>
  <c r="AO8" i="44" s="1"/>
  <c r="BH8" i="44" s="1"/>
  <c r="V8" i="44"/>
  <c r="AP8" i="44" s="1"/>
  <c r="BI8" i="44" s="1"/>
  <c r="C56" i="44"/>
  <c r="AP56" i="44" s="1"/>
  <c r="C9" i="44"/>
  <c r="BI3" i="44"/>
  <c r="BH3" i="44"/>
  <c r="AP27" i="44"/>
  <c r="AO27" i="44"/>
  <c r="BK27" i="44" s="1" a="1"/>
  <c r="BD5" i="44"/>
  <c r="P76" i="44"/>
  <c r="O22" i="57" s="1"/>
  <c r="AZ29" i="44"/>
  <c r="AX29" i="44"/>
  <c r="AP30" i="44"/>
  <c r="O7" i="44"/>
  <c r="O30" i="44"/>
  <c r="BN28" i="44"/>
  <c r="BL29" i="44"/>
  <c r="O29" i="44"/>
  <c r="BD6" i="44"/>
  <c r="AU7" i="44"/>
  <c r="BA53" i="44"/>
  <c r="M23" i="55" s="1"/>
  <c r="L29" i="44"/>
  <c r="L6" i="44"/>
  <c r="AG77" i="44"/>
  <c r="M23" i="58" s="1"/>
  <c r="AG53" i="44"/>
  <c r="M23" i="54" s="1"/>
  <c r="AI95" i="44"/>
  <c r="O41" i="58" s="1"/>
  <c r="O21" i="58" s="1"/>
  <c r="AI94" i="44"/>
  <c r="O40" i="58" s="1"/>
  <c r="AI93" i="44"/>
  <c r="O39" i="58" s="1"/>
  <c r="AI92" i="44"/>
  <c r="O38" i="58" s="1"/>
  <c r="O18" i="58" s="1"/>
  <c r="AI91" i="44"/>
  <c r="O37" i="58" s="1"/>
  <c r="O17" i="58" s="1"/>
  <c r="AI90" i="44"/>
  <c r="O36" i="58" s="1"/>
  <c r="O16" i="58" s="1"/>
  <c r="AI89" i="44"/>
  <c r="O35" i="58" s="1"/>
  <c r="AI88" i="44"/>
  <c r="O34" i="58" s="1"/>
  <c r="O14" i="58" s="1"/>
  <c r="AI87" i="44"/>
  <c r="O33" i="58" s="1"/>
  <c r="O13" i="58" s="1"/>
  <c r="AI86" i="44"/>
  <c r="O32" i="58" s="1"/>
  <c r="AI85" i="44"/>
  <c r="O31" i="58" s="1"/>
  <c r="AI84" i="44"/>
  <c r="O30" i="58" s="1"/>
  <c r="O10" i="58" s="1"/>
  <c r="AI83" i="44"/>
  <c r="O29" i="58" s="1"/>
  <c r="O9" i="58" s="1"/>
  <c r="AI82" i="44"/>
  <c r="O28" i="58" s="1"/>
  <c r="O8" i="58" s="1"/>
  <c r="AI81" i="44"/>
  <c r="O27" i="58" s="1"/>
  <c r="AI80" i="44"/>
  <c r="O26" i="58" s="1"/>
  <c r="AI79" i="44"/>
  <c r="O25" i="58" s="1"/>
  <c r="O5" i="58" s="1"/>
  <c r="AI78" i="44"/>
  <c r="O24" i="58" s="1"/>
  <c r="AI77" i="44"/>
  <c r="O23" i="58" s="1"/>
  <c r="O3" i="58" s="1"/>
  <c r="AI76" i="44"/>
  <c r="O22" i="58" s="1"/>
  <c r="O2" i="58" s="1"/>
  <c r="L76" i="44"/>
  <c r="K22" i="57" s="1"/>
  <c r="O76" i="44"/>
  <c r="N22" i="57" s="1"/>
  <c r="AL55" i="43"/>
  <c r="AL56" i="43" s="1"/>
  <c r="AL57" i="43" s="1"/>
  <c r="AL58" i="43" s="1"/>
  <c r="AL59" i="43" s="1"/>
  <c r="AL60" i="43" s="1"/>
  <c r="AL61" i="43" s="1"/>
  <c r="AL62" i="43" s="1"/>
  <c r="AL63" i="43" s="1"/>
  <c r="AL64" i="43" s="1"/>
  <c r="AL65" i="43" s="1"/>
  <c r="AL66" i="43" s="1"/>
  <c r="AL67" i="43" s="1"/>
  <c r="AL68" i="43" s="1"/>
  <c r="AL69" i="43" s="1"/>
  <c r="AL70" i="43" s="1"/>
  <c r="AL71" i="43" s="1"/>
  <c r="B17" i="43"/>
  <c r="B65" i="43" s="1"/>
  <c r="U65" i="43" s="1"/>
  <c r="AO65" i="43" s="1"/>
  <c r="B13" i="43"/>
  <c r="B61" i="43" s="1"/>
  <c r="U61" i="43" s="1"/>
  <c r="AO61" i="43" s="1"/>
  <c r="AS77" i="43"/>
  <c r="AS80" i="43"/>
  <c r="C7" i="43"/>
  <c r="V7" i="43" s="1"/>
  <c r="AP7" i="43" s="1"/>
  <c r="BI7" i="43" s="1"/>
  <c r="AS78" i="43"/>
  <c r="C5" i="43"/>
  <c r="C53" i="43" s="1"/>
  <c r="V53" i="43" s="1"/>
  <c r="AP53" i="43" s="1"/>
  <c r="C6" i="43"/>
  <c r="C54" i="43" s="1"/>
  <c r="V54" i="43" s="1"/>
  <c r="AP54" i="43" s="1"/>
  <c r="U32" i="43"/>
  <c r="B8" i="43"/>
  <c r="B56" i="43" s="1"/>
  <c r="U56" i="43" s="1"/>
  <c r="AO56" i="43" s="1"/>
  <c r="V35" i="43"/>
  <c r="C11" i="43"/>
  <c r="C59" i="43" s="1"/>
  <c r="V59" i="43" s="1"/>
  <c r="AP59" i="43" s="1"/>
  <c r="B19" i="43"/>
  <c r="B67" i="43" s="1"/>
  <c r="U67" i="43" s="1"/>
  <c r="AO67" i="43" s="1"/>
  <c r="AS79" i="43"/>
  <c r="AS74" i="43"/>
  <c r="U31" i="43"/>
  <c r="AS75" i="43"/>
  <c r="AV51" i="43"/>
  <c r="H1" i="55" s="1"/>
  <c r="BC51" i="43"/>
  <c r="O1" i="55" s="1"/>
  <c r="AU51" i="43"/>
  <c r="G1" i="55" s="1"/>
  <c r="BB51" i="43"/>
  <c r="N1" i="55" s="1"/>
  <c r="AT51" i="43"/>
  <c r="F1" i="55" s="1"/>
  <c r="AX51" i="43"/>
  <c r="J1" i="55" s="1"/>
  <c r="BD51" i="43"/>
  <c r="P1" i="55" s="1"/>
  <c r="BA51" i="43"/>
  <c r="M1" i="55" s="1"/>
  <c r="AS51" i="43"/>
  <c r="E1" i="55" s="1"/>
  <c r="AW51" i="43"/>
  <c r="I1" i="55" s="1"/>
  <c r="AZ51" i="43"/>
  <c r="L1" i="55" s="1"/>
  <c r="AR51" i="43"/>
  <c r="D1" i="55" s="1"/>
  <c r="AY51" i="43"/>
  <c r="K1" i="55" s="1"/>
  <c r="C21" i="43"/>
  <c r="C69" i="43" s="1"/>
  <c r="V69" i="43" s="1"/>
  <c r="AP69" i="43" s="1"/>
  <c r="C16" i="43"/>
  <c r="C64" i="43" s="1"/>
  <c r="V64" i="43" s="1"/>
  <c r="AP64" i="43" s="1"/>
  <c r="AY3" i="43"/>
  <c r="G1" i="52" s="1"/>
  <c r="AX3" i="43"/>
  <c r="F1" i="52" s="1"/>
  <c r="AW3" i="43"/>
  <c r="E1" i="52" s="1"/>
  <c r="AV3" i="43"/>
  <c r="D1" i="52" s="1"/>
  <c r="BC3" i="43"/>
  <c r="AU3" i="43"/>
  <c r="C1" i="52" s="1"/>
  <c r="BB3" i="43"/>
  <c r="AT3" i="43"/>
  <c r="BD3" i="43"/>
  <c r="J1" i="52" s="1"/>
  <c r="BA3" i="43"/>
  <c r="I1" i="52" s="1"/>
  <c r="AS3" i="43"/>
  <c r="AZ3" i="43"/>
  <c r="H1" i="52" s="1"/>
  <c r="AR3" i="43"/>
  <c r="C9" i="43"/>
  <c r="C57" i="43" s="1"/>
  <c r="V57" i="43" s="1"/>
  <c r="AP57" i="43" s="1"/>
  <c r="B20" i="43"/>
  <c r="U20" i="43" s="1"/>
  <c r="AO20" i="43" s="1"/>
  <c r="BH20" i="43" s="1"/>
  <c r="C12" i="43"/>
  <c r="C60" i="43" s="1"/>
  <c r="V60" i="43" s="1"/>
  <c r="AP60" i="43" s="1"/>
  <c r="C20" i="43"/>
  <c r="C68" i="43" s="1"/>
  <c r="V68" i="43" s="1"/>
  <c r="AP68" i="43" s="1"/>
  <c r="B11" i="43"/>
  <c r="B59" i="43" s="1"/>
  <c r="U59" i="43" s="1"/>
  <c r="AO59" i="43" s="1"/>
  <c r="B14" i="43"/>
  <c r="B62" i="43" s="1"/>
  <c r="U62" i="43" s="1"/>
  <c r="AO62" i="43" s="1"/>
  <c r="C4" i="43"/>
  <c r="V4" i="43" s="1"/>
  <c r="AP4" i="43" s="1"/>
  <c r="BI4" i="43" s="1"/>
  <c r="B16" i="43"/>
  <c r="B64" i="43" s="1"/>
  <c r="U64" i="43" s="1"/>
  <c r="AO64" i="43" s="1"/>
  <c r="AE51" i="43"/>
  <c r="K1" i="54" s="1"/>
  <c r="AD51" i="43"/>
  <c r="J1" i="54" s="1"/>
  <c r="AC51" i="43"/>
  <c r="I1" i="54" s="1"/>
  <c r="AJ51" i="43"/>
  <c r="P1" i="54" s="1"/>
  <c r="AB51" i="43"/>
  <c r="H1" i="54" s="1"/>
  <c r="AI51" i="43"/>
  <c r="AA51" i="43"/>
  <c r="G1" i="54" s="1"/>
  <c r="AH51" i="43"/>
  <c r="N1" i="54" s="1"/>
  <c r="Z51" i="43"/>
  <c r="F1" i="54" s="1"/>
  <c r="AG51" i="43"/>
  <c r="M1" i="54" s="1"/>
  <c r="Y51" i="43"/>
  <c r="E1" i="54" s="1"/>
  <c r="AF51" i="43"/>
  <c r="L1" i="54" s="1"/>
  <c r="X51" i="43"/>
  <c r="D1" i="54" s="1"/>
  <c r="AD27" i="43"/>
  <c r="AC27" i="43"/>
  <c r="AJ27" i="43"/>
  <c r="AB27" i="43"/>
  <c r="AI27" i="43"/>
  <c r="AA27" i="43"/>
  <c r="AH27" i="43"/>
  <c r="Z27" i="43"/>
  <c r="AG27" i="43"/>
  <c r="Y27" i="43"/>
  <c r="AF27" i="43"/>
  <c r="X27" i="43"/>
  <c r="AE27" i="43"/>
  <c r="AD3" i="43"/>
  <c r="AC3" i="43"/>
  <c r="AJ3" i="43"/>
  <c r="AB3" i="43"/>
  <c r="AI3" i="43"/>
  <c r="AA3" i="43"/>
  <c r="AH3" i="43"/>
  <c r="Z3" i="43"/>
  <c r="AG3" i="43"/>
  <c r="Y3" i="43"/>
  <c r="AF3" i="43"/>
  <c r="X3" i="43"/>
  <c r="AE3" i="43"/>
  <c r="B10" i="43"/>
  <c r="U10" i="43" s="1"/>
  <c r="AO10" i="43" s="1"/>
  <c r="BH10" i="43" s="1"/>
  <c r="B18" i="43"/>
  <c r="B66" i="43" s="1"/>
  <c r="U66" i="43" s="1"/>
  <c r="AO66" i="43" s="1"/>
  <c r="B21" i="43"/>
  <c r="B69" i="43" s="1"/>
  <c r="U69" i="43" s="1"/>
  <c r="AO69" i="43" s="1"/>
  <c r="L51" i="43"/>
  <c r="K1" i="56" s="1"/>
  <c r="D51" i="43"/>
  <c r="C1" i="56" s="1"/>
  <c r="K51" i="43"/>
  <c r="J1" i="56" s="1"/>
  <c r="J51" i="43"/>
  <c r="I1" i="56" s="1"/>
  <c r="Q51" i="43"/>
  <c r="P1" i="56" s="1"/>
  <c r="I51" i="43"/>
  <c r="H1" i="56" s="1"/>
  <c r="P51" i="43"/>
  <c r="H51" i="43"/>
  <c r="G1" i="56" s="1"/>
  <c r="O51" i="43"/>
  <c r="N1" i="56" s="1"/>
  <c r="G51" i="43"/>
  <c r="F1" i="56" s="1"/>
  <c r="N51" i="43"/>
  <c r="M1" i="56" s="1"/>
  <c r="F51" i="43"/>
  <c r="E1" i="56" s="1"/>
  <c r="M51" i="43"/>
  <c r="L1" i="56" s="1"/>
  <c r="C51" i="43"/>
  <c r="J27" i="43"/>
  <c r="I1" i="53" s="1"/>
  <c r="D27" i="43"/>
  <c r="C1" i="53" s="1"/>
  <c r="K27" i="43"/>
  <c r="J1" i="53" s="1"/>
  <c r="Q27" i="43"/>
  <c r="P1" i="53" s="1"/>
  <c r="I27" i="43"/>
  <c r="H1" i="53" s="1"/>
  <c r="H27" i="43"/>
  <c r="G1" i="53" s="1"/>
  <c r="G27" i="43"/>
  <c r="F1" i="53" s="1"/>
  <c r="N27" i="43"/>
  <c r="M1" i="53" s="1"/>
  <c r="F27" i="43"/>
  <c r="E1" i="53" s="1"/>
  <c r="P27" i="43"/>
  <c r="O1" i="53" s="1"/>
  <c r="O27" i="43"/>
  <c r="N1" i="53" s="1"/>
  <c r="M27" i="43"/>
  <c r="L1" i="53" s="1"/>
  <c r="E27" i="43"/>
  <c r="D1" i="53" s="1"/>
  <c r="C23" i="43"/>
  <c r="C71" i="43" s="1"/>
  <c r="V71" i="43" s="1"/>
  <c r="AP71" i="43" s="1"/>
  <c r="B9" i="43"/>
  <c r="B57" i="43" s="1"/>
  <c r="U57" i="43" s="1"/>
  <c r="AO57" i="43" s="1"/>
  <c r="C19" i="43"/>
  <c r="C67" i="43" s="1"/>
  <c r="V67" i="43" s="1"/>
  <c r="AP67" i="43" s="1"/>
  <c r="B12" i="43"/>
  <c r="B60" i="43" s="1"/>
  <c r="U60" i="43" s="1"/>
  <c r="AO60" i="43" s="1"/>
  <c r="C22" i="43"/>
  <c r="C70" i="43" s="1"/>
  <c r="V70" i="43" s="1"/>
  <c r="AP70" i="43" s="1"/>
  <c r="C15" i="43"/>
  <c r="V15" i="43" s="1"/>
  <c r="AP15" i="43" s="1"/>
  <c r="BI15" i="43" s="1"/>
  <c r="C13" i="43"/>
  <c r="C61" i="43" s="1"/>
  <c r="V61" i="43" s="1"/>
  <c r="AP61" i="43" s="1"/>
  <c r="U13" i="43"/>
  <c r="AO13" i="43" s="1"/>
  <c r="BH13" i="43" s="1"/>
  <c r="B5" i="43"/>
  <c r="B53" i="43" s="1"/>
  <c r="U53" i="43" s="1"/>
  <c r="AO53" i="43" s="1"/>
  <c r="V51" i="43"/>
  <c r="C8" i="43"/>
  <c r="C56" i="43" s="1"/>
  <c r="V56" i="43" s="1"/>
  <c r="AP56" i="43" s="1"/>
  <c r="C18" i="43"/>
  <c r="C66" i="43" s="1"/>
  <c r="V66" i="43" s="1"/>
  <c r="AP66" i="43" s="1"/>
  <c r="B22" i="43"/>
  <c r="U28" i="43"/>
  <c r="AP51" i="43"/>
  <c r="U7" i="43"/>
  <c r="AO7" i="43" s="1"/>
  <c r="BH7" i="43" s="1"/>
  <c r="AO28" i="43"/>
  <c r="AO29" i="43" s="1"/>
  <c r="AO30" i="43" s="1"/>
  <c r="AO31" i="43" s="1"/>
  <c r="AO32" i="43" s="1"/>
  <c r="AO33" i="43" s="1"/>
  <c r="AO34" i="43" s="1"/>
  <c r="AO35" i="43" s="1"/>
  <c r="AO36" i="43" s="1"/>
  <c r="AO37" i="43" s="1"/>
  <c r="AO38" i="43" s="1"/>
  <c r="AO39" i="43" s="1"/>
  <c r="AO40" i="43" s="1"/>
  <c r="AO41" i="43" s="1"/>
  <c r="AO42" i="43" s="1"/>
  <c r="AO43" i="43" s="1"/>
  <c r="AO44" i="43" s="1"/>
  <c r="AO45" i="43" s="1"/>
  <c r="AO46" i="43" s="1"/>
  <c r="AO47" i="43" s="1"/>
  <c r="B15" i="43"/>
  <c r="B63" i="43" s="1"/>
  <c r="U63" i="43" s="1"/>
  <c r="AO63" i="43" s="1"/>
  <c r="V3" i="43"/>
  <c r="B71" i="43"/>
  <c r="U71" i="43" s="1"/>
  <c r="AO71" i="43" s="1"/>
  <c r="U23" i="43"/>
  <c r="AO23" i="43" s="1"/>
  <c r="BH23" i="43" s="1"/>
  <c r="V34" i="43"/>
  <c r="B27" i="43"/>
  <c r="U27" i="43" s="1" a="1"/>
  <c r="U47" i="43"/>
  <c r="B6" i="43"/>
  <c r="AR27" i="43"/>
  <c r="C17" i="43"/>
  <c r="C65" i="43" s="1"/>
  <c r="V65" i="43" s="1"/>
  <c r="AP65" i="43" s="1"/>
  <c r="AT27" i="43"/>
  <c r="C14" i="43"/>
  <c r="C62" i="43" s="1"/>
  <c r="V62" i="43" s="1"/>
  <c r="AP62" i="43" s="1"/>
  <c r="AP3" i="43"/>
  <c r="AO3" i="43"/>
  <c r="B52" i="43"/>
  <c r="U52" i="43" s="1"/>
  <c r="AO52" i="43" s="1"/>
  <c r="U4" i="43"/>
  <c r="AO4" i="43" s="1"/>
  <c r="BH4" i="43" s="1"/>
  <c r="B3" i="43"/>
  <c r="V10" i="43"/>
  <c r="AP10" i="43" s="1"/>
  <c r="BI10" i="43" s="1"/>
  <c r="V6" i="43"/>
  <c r="AP6" i="43" s="1"/>
  <c r="BI6" i="43" s="1"/>
  <c r="AZ28" i="43"/>
  <c r="AP29" i="43"/>
  <c r="AX29" i="43" s="1"/>
  <c r="V28" i="43"/>
  <c r="AQ27" i="43"/>
  <c r="F73" i="31"/>
  <c r="F72" i="31"/>
  <c r="E56" i="31"/>
  <c r="F55" i="31"/>
  <c r="F54" i="31"/>
  <c r="E36" i="31"/>
  <c r="F35" i="31"/>
  <c r="F34" i="31"/>
  <c r="E15" i="31"/>
  <c r="F14" i="31"/>
  <c r="E115" i="31"/>
  <c r="F114" i="31"/>
  <c r="F113" i="31"/>
  <c r="F96" i="31"/>
  <c r="E97" i="31"/>
  <c r="F95" i="31"/>
  <c r="H8" i="48" l="1"/>
  <c r="G86" i="51" s="1"/>
  <c r="H31" i="48"/>
  <c r="G85" i="53" s="1"/>
  <c r="AU53" i="48"/>
  <c r="G83" i="55" s="1"/>
  <c r="AA77" i="48"/>
  <c r="G83" i="58" s="1"/>
  <c r="O4" i="58"/>
  <c r="O12" i="58"/>
  <c r="O20" i="58"/>
  <c r="AJ28" i="49"/>
  <c r="O6" i="58"/>
  <c r="O7" i="58"/>
  <c r="O15" i="58"/>
  <c r="BA52" i="46"/>
  <c r="M42" i="55" s="1"/>
  <c r="AY52" i="47"/>
  <c r="K62" i="55" s="1"/>
  <c r="O11" i="58"/>
  <c r="O19" i="58"/>
  <c r="BA52" i="44"/>
  <c r="M22" i="55" s="1"/>
  <c r="AY53" i="46"/>
  <c r="AG52" i="44"/>
  <c r="M22" i="54" s="1"/>
  <c r="AG76" i="44"/>
  <c r="M22" i="58" s="1"/>
  <c r="O1" i="54"/>
  <c r="AI80" i="43"/>
  <c r="AI77" i="43"/>
  <c r="AI95" i="43"/>
  <c r="AI87" i="43"/>
  <c r="AI79" i="43"/>
  <c r="AI91" i="43"/>
  <c r="AI83" i="43"/>
  <c r="AI82" i="43"/>
  <c r="AI92" i="43"/>
  <c r="AI84" i="43"/>
  <c r="AI76" i="43"/>
  <c r="AI94" i="43"/>
  <c r="AI88" i="43"/>
  <c r="AI93" i="43"/>
  <c r="AI85" i="43"/>
  <c r="AI90" i="43"/>
  <c r="AI89" i="43"/>
  <c r="AI81" i="43"/>
  <c r="AI86" i="43"/>
  <c r="AI78" i="43"/>
  <c r="O1" i="56"/>
  <c r="P76" i="43"/>
  <c r="O42" i="55"/>
  <c r="O42" i="54"/>
  <c r="O2" i="54" s="1"/>
  <c r="M43" i="53"/>
  <c r="M3" i="53" s="1"/>
  <c r="N53" i="46"/>
  <c r="M43" i="56" s="1"/>
  <c r="L54" i="46"/>
  <c r="K44" i="56" s="1"/>
  <c r="K44" i="53"/>
  <c r="N23" i="53"/>
  <c r="N3" i="53" s="1"/>
  <c r="O53" i="44"/>
  <c r="N23" i="56" s="1"/>
  <c r="BB55" i="48"/>
  <c r="N85" i="55" s="1"/>
  <c r="P76" i="47"/>
  <c r="O62" i="57" s="1"/>
  <c r="O2" i="57" s="1"/>
  <c r="O62" i="56"/>
  <c r="O2" i="56" s="1"/>
  <c r="BB53" i="46"/>
  <c r="N43" i="56"/>
  <c r="M128" i="53"/>
  <c r="N58" i="50"/>
  <c r="M128" i="56" s="1"/>
  <c r="N54" i="44"/>
  <c r="M24" i="56" s="1"/>
  <c r="M24" i="53"/>
  <c r="AH79" i="48"/>
  <c r="N85" i="58" s="1"/>
  <c r="K23" i="53"/>
  <c r="L53" i="44"/>
  <c r="K23" i="56" s="1"/>
  <c r="O54" i="44"/>
  <c r="N24" i="56" s="1"/>
  <c r="N24" i="53"/>
  <c r="M2" i="53"/>
  <c r="M42" i="54"/>
  <c r="K43" i="55"/>
  <c r="K43" i="54"/>
  <c r="K85" i="53"/>
  <c r="L55" i="48"/>
  <c r="K85" i="56" s="1"/>
  <c r="M2" i="56"/>
  <c r="M2" i="57"/>
  <c r="K63" i="53"/>
  <c r="L53" i="47"/>
  <c r="K63" i="56" s="1"/>
  <c r="L52" i="46"/>
  <c r="K42" i="56" s="1"/>
  <c r="K2" i="56" s="1"/>
  <c r="K42" i="53"/>
  <c r="K2" i="53" s="1"/>
  <c r="BC52" i="47"/>
  <c r="O62" i="55" s="1"/>
  <c r="BB52" i="47"/>
  <c r="N62" i="55" s="1"/>
  <c r="N62" i="56"/>
  <c r="M107" i="53"/>
  <c r="N57" i="49"/>
  <c r="M107" i="56" s="1"/>
  <c r="N2" i="53"/>
  <c r="M63" i="53"/>
  <c r="N53" i="47"/>
  <c r="M63" i="56" s="1"/>
  <c r="M86" i="53"/>
  <c r="N56" i="48"/>
  <c r="M86" i="56" s="1"/>
  <c r="K107" i="53"/>
  <c r="L57" i="49"/>
  <c r="K107" i="56" s="1"/>
  <c r="K129" i="53"/>
  <c r="L59" i="50"/>
  <c r="K129" i="56" s="1"/>
  <c r="K54" i="49"/>
  <c r="J104" i="56" s="1"/>
  <c r="J104" i="53"/>
  <c r="K54" i="50"/>
  <c r="J124" i="56" s="1"/>
  <c r="J124" i="53"/>
  <c r="E8" i="48"/>
  <c r="D85" i="51"/>
  <c r="D84" i="53"/>
  <c r="E78" i="48"/>
  <c r="D84" i="57" s="1"/>
  <c r="E54" i="48"/>
  <c r="AC29" i="50"/>
  <c r="P123" i="53"/>
  <c r="AJ52" i="48"/>
  <c r="P82" i="54" s="1"/>
  <c r="J82" i="54"/>
  <c r="W29" i="49"/>
  <c r="P103" i="53"/>
  <c r="AE29" i="48"/>
  <c r="P83" i="53"/>
  <c r="J85" i="51"/>
  <c r="K31" i="48"/>
  <c r="K8" i="48"/>
  <c r="K54" i="48"/>
  <c r="J84" i="53"/>
  <c r="K78" i="48"/>
  <c r="J84" i="57" s="1"/>
  <c r="X53" i="48"/>
  <c r="D83" i="54" s="1"/>
  <c r="D83" i="56"/>
  <c r="AJ28" i="48"/>
  <c r="E55" i="48"/>
  <c r="D85" i="56" s="1"/>
  <c r="D85" i="53"/>
  <c r="AD29" i="50"/>
  <c r="AC29" i="49"/>
  <c r="Y29" i="50"/>
  <c r="AB29" i="50"/>
  <c r="AD29" i="49"/>
  <c r="AF29" i="49"/>
  <c r="X29" i="50"/>
  <c r="AS29" i="50"/>
  <c r="BI61" i="50" s="1"/>
  <c r="AQ29" i="50"/>
  <c r="AA29" i="49"/>
  <c r="Z29" i="50"/>
  <c r="W29" i="50"/>
  <c r="BD52" i="50"/>
  <c r="P122" i="55" s="1"/>
  <c r="F31" i="50"/>
  <c r="E125" i="53" s="1"/>
  <c r="F8" i="50"/>
  <c r="E126" i="51" s="1"/>
  <c r="AU28" i="48"/>
  <c r="J54" i="49"/>
  <c r="I104" i="56" s="1"/>
  <c r="J78" i="49"/>
  <c r="I104" i="57" s="1"/>
  <c r="AJ76" i="49"/>
  <c r="P102" i="58" s="1"/>
  <c r="AD77" i="49"/>
  <c r="J103" i="58" s="1"/>
  <c r="AD53" i="49"/>
  <c r="J103" i="54" s="1"/>
  <c r="AX53" i="49"/>
  <c r="J103" i="55" s="1"/>
  <c r="Z29" i="49"/>
  <c r="M31" i="49"/>
  <c r="L105" i="53" s="1"/>
  <c r="M8" i="49"/>
  <c r="L106" i="51" s="1"/>
  <c r="F8" i="49"/>
  <c r="E106" i="51" s="1"/>
  <c r="F31" i="49"/>
  <c r="E105" i="53" s="1"/>
  <c r="AA29" i="50"/>
  <c r="J78" i="50"/>
  <c r="I124" i="57" s="1"/>
  <c r="J54" i="50"/>
  <c r="I124" i="56" s="1"/>
  <c r="G78" i="50"/>
  <c r="F124" i="57" s="1"/>
  <c r="G54" i="50"/>
  <c r="F124" i="56" s="1"/>
  <c r="AB29" i="49"/>
  <c r="AT53" i="49"/>
  <c r="F103" i="55" s="1"/>
  <c r="Z77" i="49"/>
  <c r="F103" i="58" s="1"/>
  <c r="Z53" i="49"/>
  <c r="F103" i="54" s="1"/>
  <c r="BD52" i="49"/>
  <c r="P102" i="55" s="1"/>
  <c r="AF53" i="49"/>
  <c r="L103" i="54" s="1"/>
  <c r="AF77" i="49"/>
  <c r="L103" i="58" s="1"/>
  <c r="AZ53" i="49"/>
  <c r="L103" i="55" s="1"/>
  <c r="F78" i="50"/>
  <c r="E124" i="57" s="1"/>
  <c r="F54" i="50"/>
  <c r="E124" i="56" s="1"/>
  <c r="E31" i="49"/>
  <c r="D105" i="53" s="1"/>
  <c r="E8" i="49"/>
  <c r="D106" i="51" s="1"/>
  <c r="AS53" i="50"/>
  <c r="E123" i="55" s="1"/>
  <c r="Y77" i="50"/>
  <c r="E123" i="58" s="1"/>
  <c r="Y53" i="50"/>
  <c r="E123" i="54" s="1"/>
  <c r="AJ28" i="50"/>
  <c r="E54" i="49"/>
  <c r="D104" i="56" s="1"/>
  <c r="E78" i="49"/>
  <c r="D104" i="57" s="1"/>
  <c r="AJ52" i="50"/>
  <c r="P122" i="54" s="1"/>
  <c r="AJ52" i="49"/>
  <c r="P102" i="54" s="1"/>
  <c r="AD77" i="50"/>
  <c r="J123" i="58" s="1"/>
  <c r="AD53" i="50"/>
  <c r="J123" i="54" s="1"/>
  <c r="AX53" i="50"/>
  <c r="J123" i="55" s="1"/>
  <c r="H78" i="49"/>
  <c r="G104" i="57" s="1"/>
  <c r="AA54" i="49"/>
  <c r="G104" i="54" s="1"/>
  <c r="H54" i="49"/>
  <c r="G104" i="56" s="1"/>
  <c r="AQ29" i="49"/>
  <c r="D78" i="50"/>
  <c r="C124" i="57" s="1"/>
  <c r="D54" i="50"/>
  <c r="C124" i="56" s="1"/>
  <c r="Q30" i="50"/>
  <c r="AQ30" i="50" s="1"/>
  <c r="AA77" i="49"/>
  <c r="G103" i="58" s="1"/>
  <c r="AU53" i="49"/>
  <c r="G103" i="55" s="1"/>
  <c r="AC53" i="50"/>
  <c r="I123" i="54" s="1"/>
  <c r="AW53" i="50"/>
  <c r="I123" i="55" s="1"/>
  <c r="AC77" i="50"/>
  <c r="I123" i="58" s="1"/>
  <c r="AV53" i="49"/>
  <c r="H103" i="55" s="1"/>
  <c r="AB77" i="49"/>
  <c r="H103" i="58" s="1"/>
  <c r="AB53" i="49"/>
  <c r="H103" i="54" s="1"/>
  <c r="AT53" i="50"/>
  <c r="F123" i="55" s="1"/>
  <c r="Z53" i="50"/>
  <c r="F123" i="54" s="1"/>
  <c r="Z77" i="50"/>
  <c r="F123" i="58" s="1"/>
  <c r="K31" i="49"/>
  <c r="K8" i="49"/>
  <c r="J106" i="51" s="1"/>
  <c r="AJ76" i="50"/>
  <c r="P122" i="58" s="1"/>
  <c r="BI68" i="50"/>
  <c r="BJ5" i="50"/>
  <c r="BK5" i="50" s="1"/>
  <c r="BL5" i="50" s="1"/>
  <c r="P5" i="50" s="1"/>
  <c r="O123" i="51" s="1"/>
  <c r="BI69" i="50"/>
  <c r="AR29" i="50"/>
  <c r="BI60" i="50" s="1"/>
  <c r="AG29" i="50"/>
  <c r="AE29" i="50"/>
  <c r="AT29" i="50"/>
  <c r="BI62" i="50" s="1"/>
  <c r="AH29" i="50"/>
  <c r="Y29" i="49"/>
  <c r="E31" i="50"/>
  <c r="D125" i="53" s="1"/>
  <c r="E8" i="50"/>
  <c r="D126" i="51" s="1"/>
  <c r="M78" i="50"/>
  <c r="L124" i="57" s="1"/>
  <c r="M54" i="50"/>
  <c r="L124" i="56" s="1"/>
  <c r="H31" i="49"/>
  <c r="G105" i="53" s="1"/>
  <c r="H8" i="49"/>
  <c r="G106" i="51" s="1"/>
  <c r="BW31" i="49"/>
  <c r="BK67" i="49" s="1"/>
  <c r="AF29" i="50"/>
  <c r="I31" i="49"/>
  <c r="H105" i="53" s="1"/>
  <c r="I8" i="49"/>
  <c r="H106" i="51" s="1"/>
  <c r="F78" i="49"/>
  <c r="E104" i="57" s="1"/>
  <c r="F54" i="49"/>
  <c r="E104" i="56" s="1"/>
  <c r="K78" i="49"/>
  <c r="J104" i="57" s="1"/>
  <c r="CA30" i="49"/>
  <c r="AV53" i="50"/>
  <c r="H123" i="55" s="1"/>
  <c r="AB77" i="50"/>
  <c r="H123" i="58" s="1"/>
  <c r="AB53" i="50"/>
  <c r="H123" i="54" s="1"/>
  <c r="AQ53" i="50"/>
  <c r="C123" i="55" s="1"/>
  <c r="W77" i="50"/>
  <c r="C123" i="58" s="1"/>
  <c r="W53" i="50"/>
  <c r="C123" i="54" s="1"/>
  <c r="Q53" i="50"/>
  <c r="P123" i="56" s="1"/>
  <c r="I78" i="50"/>
  <c r="H124" i="57" s="1"/>
  <c r="I54" i="50"/>
  <c r="H124" i="56" s="1"/>
  <c r="Y77" i="49"/>
  <c r="E103" i="58" s="1"/>
  <c r="Y53" i="49"/>
  <c r="E103" i="54" s="1"/>
  <c r="AS53" i="49"/>
  <c r="E103" i="55" s="1"/>
  <c r="E78" i="50"/>
  <c r="D124" i="57" s="1"/>
  <c r="E54" i="50"/>
  <c r="D124" i="56" s="1"/>
  <c r="M31" i="50"/>
  <c r="L125" i="53" s="1"/>
  <c r="M8" i="50"/>
  <c r="L126" i="51" s="1"/>
  <c r="H78" i="50"/>
  <c r="G124" i="57" s="1"/>
  <c r="AA54" i="50"/>
  <c r="G124" i="54" s="1"/>
  <c r="H54" i="50"/>
  <c r="G124" i="56" s="1"/>
  <c r="AF77" i="50"/>
  <c r="L123" i="58" s="1"/>
  <c r="AF53" i="50"/>
  <c r="L123" i="54" s="1"/>
  <c r="AZ53" i="50"/>
  <c r="L123" i="55" s="1"/>
  <c r="D78" i="49"/>
  <c r="C104" i="57" s="1"/>
  <c r="D54" i="49"/>
  <c r="C104" i="56" s="1"/>
  <c r="Q30" i="49"/>
  <c r="W30" i="49" s="1"/>
  <c r="I78" i="49"/>
  <c r="H104" i="57" s="1"/>
  <c r="I54" i="49"/>
  <c r="H104" i="56" s="1"/>
  <c r="AS29" i="49"/>
  <c r="BI61" i="49" s="1"/>
  <c r="AR29" i="49"/>
  <c r="BI60" i="49" s="1"/>
  <c r="AH29" i="49"/>
  <c r="AE29" i="49"/>
  <c r="AG29" i="49"/>
  <c r="BJ5" i="49"/>
  <c r="BK5" i="49" s="1"/>
  <c r="BL5" i="49" s="1"/>
  <c r="P5" i="49" s="1"/>
  <c r="O103" i="51" s="1"/>
  <c r="BI69" i="49"/>
  <c r="AT29" i="49"/>
  <c r="BI62" i="49" s="1"/>
  <c r="BI68" i="49"/>
  <c r="D31" i="50"/>
  <c r="C125" i="53" s="1"/>
  <c r="D8" i="50"/>
  <c r="C126" i="51" s="1"/>
  <c r="BR31" i="50"/>
  <c r="BK65" i="50" s="1"/>
  <c r="Q7" i="50"/>
  <c r="P125" i="51" s="1"/>
  <c r="AA77" i="50"/>
  <c r="G123" i="58" s="1"/>
  <c r="AU53" i="50"/>
  <c r="G123" i="55" s="1"/>
  <c r="BD29" i="50"/>
  <c r="AW32" i="50" s="1"/>
  <c r="AU28" i="50"/>
  <c r="J31" i="49"/>
  <c r="I105" i="53" s="1"/>
  <c r="J8" i="49"/>
  <c r="I106" i="51" s="1"/>
  <c r="Q77" i="50"/>
  <c r="P123" i="57" s="1"/>
  <c r="I31" i="50"/>
  <c r="H125" i="53" s="1"/>
  <c r="I8" i="50"/>
  <c r="H126" i="51" s="1"/>
  <c r="BD29" i="49"/>
  <c r="AW32" i="49" s="1"/>
  <c r="AU28" i="49"/>
  <c r="G8" i="49"/>
  <c r="F106" i="51" s="1"/>
  <c r="G31" i="49"/>
  <c r="F105" i="53" s="1"/>
  <c r="X77" i="49"/>
  <c r="D103" i="58" s="1"/>
  <c r="X53" i="49"/>
  <c r="D103" i="54" s="1"/>
  <c r="AR53" i="49"/>
  <c r="D103" i="55" s="1"/>
  <c r="K31" i="50"/>
  <c r="K8" i="50"/>
  <c r="J126" i="51" s="1"/>
  <c r="H31" i="50"/>
  <c r="G125" i="53" s="1"/>
  <c r="H8" i="50"/>
  <c r="G126" i="51" s="1"/>
  <c r="BW31" i="50"/>
  <c r="BK67" i="50" s="1"/>
  <c r="D31" i="49"/>
  <c r="C105" i="53" s="1"/>
  <c r="Q7" i="49"/>
  <c r="P105" i="51" s="1"/>
  <c r="BR31" i="49"/>
  <c r="BK65" i="49" s="1"/>
  <c r="D8" i="49"/>
  <c r="C106" i="51" s="1"/>
  <c r="W77" i="49"/>
  <c r="C103" i="58" s="1"/>
  <c r="Q53" i="49"/>
  <c r="P103" i="56" s="1"/>
  <c r="W53" i="49"/>
  <c r="C103" i="54" s="1"/>
  <c r="AQ53" i="49"/>
  <c r="C103" i="55" s="1"/>
  <c r="AW53" i="49"/>
  <c r="I103" i="55" s="1"/>
  <c r="AC77" i="49"/>
  <c r="I103" i="58" s="1"/>
  <c r="AC53" i="49"/>
  <c r="I103" i="54" s="1"/>
  <c r="M78" i="49"/>
  <c r="L104" i="57" s="1"/>
  <c r="M54" i="49"/>
  <c r="L104" i="56" s="1"/>
  <c r="X77" i="50"/>
  <c r="D123" i="58" s="1"/>
  <c r="X53" i="50"/>
  <c r="D123" i="54" s="1"/>
  <c r="AR53" i="50"/>
  <c r="D123" i="55" s="1"/>
  <c r="G54" i="49"/>
  <c r="F104" i="56" s="1"/>
  <c r="G78" i="49"/>
  <c r="F104" i="57" s="1"/>
  <c r="CA30" i="50"/>
  <c r="K78" i="50"/>
  <c r="J124" i="57" s="1"/>
  <c r="J31" i="50"/>
  <c r="I125" i="53" s="1"/>
  <c r="J8" i="50"/>
  <c r="I126" i="51" s="1"/>
  <c r="Q77" i="49"/>
  <c r="P103" i="57" s="1"/>
  <c r="G8" i="50"/>
  <c r="F126" i="51" s="1"/>
  <c r="G31" i="50"/>
  <c r="F125" i="53" s="1"/>
  <c r="AR53" i="48"/>
  <c r="D83" i="55" s="1"/>
  <c r="Q77" i="48"/>
  <c r="P83" i="57" s="1"/>
  <c r="W29" i="48"/>
  <c r="AS29" i="48"/>
  <c r="BI61" i="48" s="1"/>
  <c r="AA29" i="48"/>
  <c r="AH29" i="48"/>
  <c r="BJ5" i="48"/>
  <c r="BK5" i="48" s="1"/>
  <c r="BL5" i="48" s="1"/>
  <c r="P5" i="48" s="1"/>
  <c r="AR29" i="48"/>
  <c r="AG29" i="48"/>
  <c r="AB29" i="48"/>
  <c r="E79" i="48"/>
  <c r="D85" i="57" s="1"/>
  <c r="X77" i="48"/>
  <c r="D83" i="58" s="1"/>
  <c r="AD29" i="48"/>
  <c r="BI69" i="48"/>
  <c r="AQ29" i="48"/>
  <c r="Y29" i="48"/>
  <c r="BI68" i="48"/>
  <c r="AC29" i="48"/>
  <c r="Z29" i="48"/>
  <c r="AF29" i="48"/>
  <c r="AT29" i="48"/>
  <c r="BI62" i="48" s="1"/>
  <c r="X29" i="48"/>
  <c r="BR31" i="48"/>
  <c r="BK65" i="48" s="1"/>
  <c r="Q53" i="48"/>
  <c r="P83" i="56" s="1"/>
  <c r="B59" i="50"/>
  <c r="U59" i="50" s="1"/>
  <c r="AO59" i="50" s="1"/>
  <c r="B35" i="50"/>
  <c r="U11" i="50"/>
  <c r="AO11" i="50" s="1"/>
  <c r="BH11" i="50" s="1"/>
  <c r="B12" i="50"/>
  <c r="AU12" i="50"/>
  <c r="BD11" i="50"/>
  <c r="AE82" i="50"/>
  <c r="K128" i="58" s="1"/>
  <c r="AE58" i="50"/>
  <c r="K128" i="54" s="1"/>
  <c r="AY58" i="50"/>
  <c r="K128" i="55" s="1"/>
  <c r="BX35" i="50"/>
  <c r="N35" i="50"/>
  <c r="N12" i="50"/>
  <c r="O35" i="50"/>
  <c r="N129" i="53" s="1"/>
  <c r="O12" i="50"/>
  <c r="C58" i="50"/>
  <c r="V58" i="50" s="1"/>
  <c r="AP58" i="50" s="1"/>
  <c r="C34" i="50"/>
  <c r="V10" i="50"/>
  <c r="AP10" i="50" s="1"/>
  <c r="BI10" i="50" s="1"/>
  <c r="C11" i="50"/>
  <c r="L36" i="50"/>
  <c r="L13" i="50"/>
  <c r="N82" i="50"/>
  <c r="M128" i="57" s="1"/>
  <c r="O82" i="50"/>
  <c r="N128" i="57" s="1"/>
  <c r="O58" i="50"/>
  <c r="N128" i="56" s="1"/>
  <c r="C81" i="50"/>
  <c r="V33" i="50"/>
  <c r="V81" i="50" s="1"/>
  <c r="L83" i="50"/>
  <c r="K129" i="57" s="1"/>
  <c r="AG81" i="50"/>
  <c r="M127" i="58" s="1"/>
  <c r="AG57" i="50"/>
  <c r="M127" i="54" s="1"/>
  <c r="BA57" i="50"/>
  <c r="M127" i="55" s="1"/>
  <c r="B82" i="50"/>
  <c r="U34" i="50"/>
  <c r="U82" i="50" s="1"/>
  <c r="AP33" i="50"/>
  <c r="AZ32" i="50"/>
  <c r="AX32" i="50"/>
  <c r="AH81" i="50"/>
  <c r="N127" i="58" s="1"/>
  <c r="AH57" i="50"/>
  <c r="N127" i="54" s="1"/>
  <c r="BB57" i="50"/>
  <c r="N127" i="55" s="1"/>
  <c r="B82" i="49"/>
  <c r="U34" i="49"/>
  <c r="U82" i="49" s="1"/>
  <c r="AG80" i="49"/>
  <c r="M106" i="58" s="1"/>
  <c r="AG56" i="49"/>
  <c r="M106" i="54" s="1"/>
  <c r="BA56" i="49"/>
  <c r="M106" i="55" s="1"/>
  <c r="AH80" i="49"/>
  <c r="N106" i="58" s="1"/>
  <c r="AH56" i="49"/>
  <c r="N106" i="54" s="1"/>
  <c r="BB56" i="49"/>
  <c r="N106" i="55" s="1"/>
  <c r="AZ32" i="49"/>
  <c r="AX32" i="49"/>
  <c r="AP33" i="49"/>
  <c r="N34" i="49"/>
  <c r="N11" i="49"/>
  <c r="BX34" i="49"/>
  <c r="O34" i="49"/>
  <c r="N108" i="53" s="1"/>
  <c r="O11" i="49"/>
  <c r="O81" i="49"/>
  <c r="N107" i="57" s="1"/>
  <c r="O57" i="49"/>
  <c r="N107" i="56" s="1"/>
  <c r="BD13" i="49"/>
  <c r="L34" i="49"/>
  <c r="L11" i="49"/>
  <c r="N81" i="49"/>
  <c r="M107" i="57" s="1"/>
  <c r="C59" i="49"/>
  <c r="V59" i="49" s="1"/>
  <c r="AP59" i="49" s="1"/>
  <c r="C12" i="49"/>
  <c r="C35" i="49"/>
  <c r="V11" i="49"/>
  <c r="AP11" i="49" s="1"/>
  <c r="BI11" i="49" s="1"/>
  <c r="C82" i="49"/>
  <c r="V34" i="49"/>
  <c r="V82" i="49" s="1"/>
  <c r="AE80" i="49"/>
  <c r="K106" i="58" s="1"/>
  <c r="AE56" i="49"/>
  <c r="K106" i="54" s="1"/>
  <c r="AY56" i="49"/>
  <c r="K106" i="55" s="1"/>
  <c r="L81" i="49"/>
  <c r="K107" i="57" s="1"/>
  <c r="B59" i="49"/>
  <c r="U59" i="49" s="1"/>
  <c r="AO59" i="49" s="1"/>
  <c r="B35" i="49"/>
  <c r="B12" i="49"/>
  <c r="U11" i="49"/>
  <c r="AO11" i="49" s="1"/>
  <c r="BH11" i="49" s="1"/>
  <c r="M78" i="48"/>
  <c r="L84" i="57" s="1"/>
  <c r="M54" i="48"/>
  <c r="L84" i="56" s="1"/>
  <c r="F31" i="48"/>
  <c r="E85" i="53" s="1"/>
  <c r="F8" i="48"/>
  <c r="E86" i="51" s="1"/>
  <c r="F78" i="48"/>
  <c r="E84" i="57" s="1"/>
  <c r="F54" i="48"/>
  <c r="E84" i="56" s="1"/>
  <c r="AS53" i="48"/>
  <c r="E83" i="55" s="1"/>
  <c r="Y77" i="48"/>
  <c r="E83" i="58" s="1"/>
  <c r="Y53" i="48"/>
  <c r="E83" i="54" s="1"/>
  <c r="M31" i="48"/>
  <c r="M8" i="48"/>
  <c r="BW31" i="48"/>
  <c r="BK67" i="48" s="1"/>
  <c r="BD52" i="48"/>
  <c r="P82" i="55" s="1"/>
  <c r="Z77" i="48"/>
  <c r="F83" i="58" s="1"/>
  <c r="Z53" i="48"/>
  <c r="F83" i="54" s="1"/>
  <c r="AT53" i="48"/>
  <c r="F83" i="55" s="1"/>
  <c r="CA30" i="48"/>
  <c r="G78" i="48"/>
  <c r="F84" i="57" s="1"/>
  <c r="G54" i="48"/>
  <c r="F84" i="56" s="1"/>
  <c r="Q30" i="48"/>
  <c r="AJ76" i="48"/>
  <c r="P82" i="58" s="1"/>
  <c r="G31" i="48"/>
  <c r="F85" i="53" s="1"/>
  <c r="G8" i="48"/>
  <c r="F86" i="51" s="1"/>
  <c r="AZ53" i="48"/>
  <c r="L83" i="55" s="1"/>
  <c r="AF77" i="48"/>
  <c r="L83" i="58" s="1"/>
  <c r="AF53" i="48"/>
  <c r="L83" i="54" s="1"/>
  <c r="Q7" i="48"/>
  <c r="P85" i="51" s="1"/>
  <c r="N33" i="48"/>
  <c r="BX33" i="48"/>
  <c r="N10" i="48"/>
  <c r="D9" i="48"/>
  <c r="C87" i="51" s="1"/>
  <c r="D32" i="48"/>
  <c r="C86" i="53" s="1"/>
  <c r="AB78" i="48"/>
  <c r="H84" i="58" s="1"/>
  <c r="AB54" i="48"/>
  <c r="H84" i="54" s="1"/>
  <c r="AV54" i="48"/>
  <c r="H84" i="55" s="1"/>
  <c r="B80" i="48"/>
  <c r="U32" i="48"/>
  <c r="U80" i="48" s="1"/>
  <c r="AC78" i="48"/>
  <c r="I84" i="58" s="1"/>
  <c r="AC54" i="48"/>
  <c r="I84" i="54" s="1"/>
  <c r="AW54" i="48"/>
  <c r="I84" i="55" s="1"/>
  <c r="J32" i="48"/>
  <c r="I86" i="53" s="1"/>
  <c r="J9" i="48"/>
  <c r="I87" i="51" s="1"/>
  <c r="N80" i="48"/>
  <c r="M86" i="57" s="1"/>
  <c r="O34" i="48"/>
  <c r="N88" i="53" s="1"/>
  <c r="O11" i="48"/>
  <c r="I79" i="48"/>
  <c r="H85" i="57" s="1"/>
  <c r="I55" i="48"/>
  <c r="H85" i="56" s="1"/>
  <c r="BD8" i="48"/>
  <c r="AU9" i="48"/>
  <c r="L32" i="48"/>
  <c r="L9" i="48"/>
  <c r="L79" i="48"/>
  <c r="K85" i="57" s="1"/>
  <c r="D79" i="48"/>
  <c r="C85" i="57" s="1"/>
  <c r="D55" i="48"/>
  <c r="C85" i="56" s="1"/>
  <c r="J79" i="48"/>
  <c r="I85" i="57" s="1"/>
  <c r="J55" i="48"/>
  <c r="I85" i="56" s="1"/>
  <c r="O81" i="48"/>
  <c r="N87" i="57" s="1"/>
  <c r="O57" i="48"/>
  <c r="N87" i="56" s="1"/>
  <c r="AE78" i="48"/>
  <c r="K84" i="58" s="1"/>
  <c r="AE54" i="48"/>
  <c r="K84" i="54" s="1"/>
  <c r="AY54" i="48"/>
  <c r="K84" i="55" s="1"/>
  <c r="C56" i="48"/>
  <c r="V56" i="48" s="1"/>
  <c r="AP56" i="48" s="1"/>
  <c r="V8" i="48"/>
  <c r="AP8" i="48" s="1"/>
  <c r="BI8" i="48" s="1"/>
  <c r="C32" i="48"/>
  <c r="C9" i="48"/>
  <c r="AW30" i="48"/>
  <c r="BH29" i="48"/>
  <c r="AW29" i="48"/>
  <c r="AW28" i="48"/>
  <c r="BA28" i="48" s="1"/>
  <c r="BI60" i="48"/>
  <c r="AH80" i="48"/>
  <c r="N86" i="58" s="1"/>
  <c r="AH56" i="48"/>
  <c r="N86" i="54" s="1"/>
  <c r="BB56" i="48"/>
  <c r="N86" i="55" s="1"/>
  <c r="C79" i="48"/>
  <c r="V31" i="48"/>
  <c r="V79" i="48" s="1"/>
  <c r="AG79" i="48"/>
  <c r="M85" i="58" s="1"/>
  <c r="AG55" i="48"/>
  <c r="M85" i="54" s="1"/>
  <c r="BA55" i="48"/>
  <c r="M85" i="55" s="1"/>
  <c r="X79" i="48"/>
  <c r="D85" i="58" s="1"/>
  <c r="X55" i="48"/>
  <c r="D85" i="54" s="1"/>
  <c r="AR55" i="48"/>
  <c r="D85" i="55" s="1"/>
  <c r="AP31" i="48"/>
  <c r="AW31" i="48" s="1"/>
  <c r="AX30" i="48"/>
  <c r="AZ30" i="48"/>
  <c r="H32" i="48"/>
  <c r="G86" i="53" s="1"/>
  <c r="H9" i="48"/>
  <c r="G87" i="51" s="1"/>
  <c r="B57" i="48"/>
  <c r="U57" i="48" s="1"/>
  <c r="AO57" i="48" s="1"/>
  <c r="U9" i="48"/>
  <c r="AO9" i="48" s="1"/>
  <c r="BH9" i="48" s="1"/>
  <c r="B33" i="48"/>
  <c r="B10" i="48"/>
  <c r="I32" i="48"/>
  <c r="H86" i="53" s="1"/>
  <c r="I9" i="48"/>
  <c r="H87" i="51" s="1"/>
  <c r="AA78" i="48"/>
  <c r="G84" i="58" s="1"/>
  <c r="AU54" i="48"/>
  <c r="G84" i="55" s="1"/>
  <c r="W78" i="48"/>
  <c r="C84" i="58" s="1"/>
  <c r="W54" i="48"/>
  <c r="C84" i="54" s="1"/>
  <c r="AQ54" i="48"/>
  <c r="C84" i="55" s="1"/>
  <c r="H79" i="48"/>
  <c r="G85" i="57" s="1"/>
  <c r="AA55" i="48"/>
  <c r="G85" i="54" s="1"/>
  <c r="H55" i="48"/>
  <c r="G85" i="56" s="1"/>
  <c r="O30" i="47"/>
  <c r="N64" i="53" s="1"/>
  <c r="O7" i="47"/>
  <c r="N77" i="47"/>
  <c r="M63" i="57" s="1"/>
  <c r="AP27" i="47"/>
  <c r="AO27" i="47"/>
  <c r="BK27" i="47" s="1" a="1"/>
  <c r="B56" i="47"/>
  <c r="U56" i="47" s="1"/>
  <c r="AO56" i="47" s="1"/>
  <c r="B32" i="47"/>
  <c r="U8" i="47"/>
  <c r="AO8" i="47" s="1"/>
  <c r="BH8" i="47" s="1"/>
  <c r="B9" i="47"/>
  <c r="L30" i="47"/>
  <c r="L7" i="47"/>
  <c r="B79" i="47"/>
  <c r="U31" i="47"/>
  <c r="U79" i="47" s="1"/>
  <c r="AH76" i="47"/>
  <c r="N62" i="58" s="1"/>
  <c r="AH52" i="47"/>
  <c r="N62" i="54" s="1"/>
  <c r="L77" i="47"/>
  <c r="K63" i="57" s="1"/>
  <c r="AU8" i="47"/>
  <c r="BD7" i="47"/>
  <c r="AE76" i="47"/>
  <c r="K62" i="58" s="1"/>
  <c r="AE52" i="47"/>
  <c r="K62" i="54" s="1"/>
  <c r="C56" i="47"/>
  <c r="V56" i="47" s="1"/>
  <c r="AP56" i="47" s="1"/>
  <c r="C32" i="47"/>
  <c r="V8" i="47"/>
  <c r="AP8" i="47" s="1"/>
  <c r="BI8" i="47" s="1"/>
  <c r="C9" i="47"/>
  <c r="AX28" i="47"/>
  <c r="AZ28" i="47"/>
  <c r="AP29" i="47"/>
  <c r="C79" i="47"/>
  <c r="V31" i="47"/>
  <c r="V79" i="47" s="1"/>
  <c r="AG76" i="47"/>
  <c r="M62" i="58" s="1"/>
  <c r="AG52" i="47"/>
  <c r="M62" i="54" s="1"/>
  <c r="O77" i="47"/>
  <c r="N63" i="57" s="1"/>
  <c r="O53" i="47"/>
  <c r="N63" i="56" s="1"/>
  <c r="N30" i="47"/>
  <c r="BX30" i="47"/>
  <c r="N7" i="47"/>
  <c r="AE77" i="46"/>
  <c r="K43" i="58" s="1"/>
  <c r="AE53" i="46"/>
  <c r="O76" i="46"/>
  <c r="N42" i="57" s="1"/>
  <c r="N2" i="57" s="1"/>
  <c r="O52" i="46"/>
  <c r="N42" i="56" s="1"/>
  <c r="N2" i="56" s="1"/>
  <c r="BD6" i="46"/>
  <c r="AU7" i="46"/>
  <c r="L76" i="46"/>
  <c r="K42" i="57" s="1"/>
  <c r="K2" i="57" s="1"/>
  <c r="AG76" i="46"/>
  <c r="M42" i="58" s="1"/>
  <c r="AG52" i="46"/>
  <c r="C55" i="46"/>
  <c r="V55" i="46" s="1"/>
  <c r="AP55" i="46" s="1"/>
  <c r="C8" i="46"/>
  <c r="C31" i="46"/>
  <c r="V7" i="46"/>
  <c r="AP7" i="46" s="1"/>
  <c r="BI7" i="46" s="1"/>
  <c r="B54" i="46"/>
  <c r="U54" i="46" s="1"/>
  <c r="AO54" i="46" s="1"/>
  <c r="B30" i="46"/>
  <c r="B7" i="46"/>
  <c r="U6" i="46"/>
  <c r="AO6" i="46" s="1"/>
  <c r="BH6" i="46" s="1"/>
  <c r="L78" i="46"/>
  <c r="K44" i="57" s="1"/>
  <c r="N7" i="46"/>
  <c r="BX30" i="46"/>
  <c r="N30" i="46"/>
  <c r="AX28" i="46"/>
  <c r="AP29" i="46"/>
  <c r="AZ28" i="46"/>
  <c r="L31" i="46"/>
  <c r="L8" i="46"/>
  <c r="N77" i="46"/>
  <c r="M43" i="57" s="1"/>
  <c r="M3" i="57" s="1"/>
  <c r="BL30" i="46"/>
  <c r="BN29" i="46"/>
  <c r="O78" i="46"/>
  <c r="N44" i="57" s="1"/>
  <c r="O54" i="46"/>
  <c r="N44" i="56" s="1"/>
  <c r="C78" i="46"/>
  <c r="V30" i="46"/>
  <c r="V78" i="46" s="1"/>
  <c r="BQ28" i="46"/>
  <c r="BT28" i="46"/>
  <c r="AO27" i="46"/>
  <c r="BK27" i="46" s="1" a="1"/>
  <c r="AP27" i="46"/>
  <c r="O8" i="46"/>
  <c r="O31" i="46"/>
  <c r="N45" i="53" s="1"/>
  <c r="AH77" i="46"/>
  <c r="N43" i="58" s="1"/>
  <c r="AH53" i="46"/>
  <c r="B77" i="46"/>
  <c r="U29" i="46"/>
  <c r="U77" i="46" s="1"/>
  <c r="N78" i="44"/>
  <c r="M24" i="57" s="1"/>
  <c r="N31" i="44"/>
  <c r="BX31" i="44"/>
  <c r="B82" i="44"/>
  <c r="U34" i="44"/>
  <c r="U82" i="44" s="1"/>
  <c r="B10" i="44"/>
  <c r="U9" i="44"/>
  <c r="AO9" i="44" s="1"/>
  <c r="BH9" i="44" s="1"/>
  <c r="B57" i="44"/>
  <c r="AO57" i="44" s="1"/>
  <c r="C10" i="44"/>
  <c r="C57" i="44"/>
  <c r="AP57" i="44" s="1"/>
  <c r="V9" i="44"/>
  <c r="AP9" i="44" s="1"/>
  <c r="BI9" i="44" s="1"/>
  <c r="L77" i="44"/>
  <c r="K23" i="57" s="1"/>
  <c r="K3" i="57" s="1"/>
  <c r="AZ30" i="44"/>
  <c r="AX30" i="44"/>
  <c r="AP31" i="44"/>
  <c r="O78" i="44"/>
  <c r="N24" i="57" s="1"/>
  <c r="BL27" i="44"/>
  <c r="BK27" i="44"/>
  <c r="AH76" i="44"/>
  <c r="N22" i="58" s="1"/>
  <c r="AH52" i="44"/>
  <c r="N22" i="54" s="1"/>
  <c r="O77" i="44"/>
  <c r="N23" i="57" s="1"/>
  <c r="N3" i="57" s="1"/>
  <c r="AE76" i="44"/>
  <c r="K22" i="58" s="1"/>
  <c r="AE52" i="44"/>
  <c r="K22" i="54" s="1"/>
  <c r="O31" i="44"/>
  <c r="O8" i="44"/>
  <c r="BN29" i="44"/>
  <c r="BL30" i="44"/>
  <c r="L30" i="44"/>
  <c r="L7" i="44"/>
  <c r="BT28" i="44"/>
  <c r="BQ28" i="44"/>
  <c r="AU8" i="44"/>
  <c r="BD7" i="44"/>
  <c r="AY52" i="44"/>
  <c r="K22" i="55" s="1"/>
  <c r="AG78" i="44"/>
  <c r="M24" i="58" s="1"/>
  <c r="AG54" i="44"/>
  <c r="M24" i="54" s="1"/>
  <c r="BX32" i="44"/>
  <c r="N32" i="44"/>
  <c r="N9" i="44"/>
  <c r="BB52" i="44"/>
  <c r="N22" i="55" s="1"/>
  <c r="BC52" i="44"/>
  <c r="O22" i="55" s="1"/>
  <c r="V20" i="43"/>
  <c r="AP20" i="43" s="1"/>
  <c r="BI20" i="43" s="1"/>
  <c r="U17" i="43"/>
  <c r="AO17" i="43" s="1"/>
  <c r="BH17" i="43" s="1"/>
  <c r="V12" i="43"/>
  <c r="AP12" i="43" s="1"/>
  <c r="BI12" i="43" s="1"/>
  <c r="U11" i="43"/>
  <c r="AO11" i="43" s="1"/>
  <c r="BH11" i="43" s="1"/>
  <c r="B68" i="43"/>
  <c r="U68" i="43" s="1"/>
  <c r="AO68" i="43" s="1"/>
  <c r="V5" i="43"/>
  <c r="AP5" i="43" s="1"/>
  <c r="BI5" i="43" s="1"/>
  <c r="V21" i="43"/>
  <c r="AP21" i="43" s="1"/>
  <c r="BI21" i="43" s="1"/>
  <c r="V8" i="43"/>
  <c r="AP8" i="43" s="1"/>
  <c r="BI8" i="43" s="1"/>
  <c r="C55" i="43"/>
  <c r="V55" i="43" s="1"/>
  <c r="AP55" i="43" s="1"/>
  <c r="C63" i="43"/>
  <c r="V63" i="43" s="1"/>
  <c r="AP63" i="43" s="1"/>
  <c r="U16" i="43"/>
  <c r="AO16" i="43" s="1"/>
  <c r="BH16" i="43" s="1"/>
  <c r="V16" i="43"/>
  <c r="AP16" i="43" s="1"/>
  <c r="BI16" i="43" s="1"/>
  <c r="U8" i="43"/>
  <c r="AO8" i="43" s="1"/>
  <c r="BH8" i="43" s="1"/>
  <c r="V14" i="43"/>
  <c r="AP14" i="43" s="1"/>
  <c r="BI14" i="43" s="1"/>
  <c r="U19" i="43"/>
  <c r="AO19" i="43" s="1"/>
  <c r="BH19" i="43" s="1"/>
  <c r="V11" i="43"/>
  <c r="AP11" i="43" s="1"/>
  <c r="BI11" i="43" s="1"/>
  <c r="V23" i="43"/>
  <c r="AP23" i="43" s="1"/>
  <c r="BI23" i="43" s="1"/>
  <c r="V9" i="43"/>
  <c r="AP9" i="43" s="1"/>
  <c r="BI9" i="43" s="1"/>
  <c r="V19" i="43"/>
  <c r="AP19" i="43" s="1"/>
  <c r="BI19" i="43" s="1"/>
  <c r="C52" i="43"/>
  <c r="V52" i="43" s="1"/>
  <c r="AP52" i="43" s="1"/>
  <c r="BL28" i="43"/>
  <c r="BM28" i="43" s="1"/>
  <c r="U15" i="43"/>
  <c r="AO15" i="43" s="1"/>
  <c r="BH15" i="43" s="1"/>
  <c r="U18" i="43"/>
  <c r="AO18" i="43" s="1"/>
  <c r="BH18" i="43" s="1"/>
  <c r="B58" i="43"/>
  <c r="U58" i="43" s="1"/>
  <c r="AO58" i="43" s="1"/>
  <c r="U9" i="43"/>
  <c r="AO9" i="43" s="1"/>
  <c r="BH9" i="43" s="1"/>
  <c r="U14" i="43"/>
  <c r="AO14" i="43" s="1"/>
  <c r="BH14" i="43" s="1"/>
  <c r="U12" i="43"/>
  <c r="AO12" i="43" s="1"/>
  <c r="BH12" i="43" s="1"/>
  <c r="U21" i="43"/>
  <c r="AO21" i="43" s="1"/>
  <c r="BH21" i="43" s="1"/>
  <c r="V22" i="43"/>
  <c r="AP22" i="43" s="1"/>
  <c r="BI22" i="43" s="1"/>
  <c r="V17" i="43"/>
  <c r="AP17" i="43" s="1"/>
  <c r="BI17" i="43" s="1"/>
  <c r="U5" i="43"/>
  <c r="AO5" i="43" s="1"/>
  <c r="BH5" i="43" s="1"/>
  <c r="V18" i="43"/>
  <c r="AP18" i="43" s="1"/>
  <c r="BI18" i="43" s="1"/>
  <c r="V13" i="43"/>
  <c r="AP13" i="43" s="1"/>
  <c r="BI13" i="43" s="1"/>
  <c r="B70" i="43"/>
  <c r="U70" i="43" s="1"/>
  <c r="AO70" i="43" s="1"/>
  <c r="U22" i="43"/>
  <c r="AO22" i="43" s="1"/>
  <c r="BH22" i="43" s="1"/>
  <c r="U27" i="43"/>
  <c r="V27" i="43"/>
  <c r="B54" i="43"/>
  <c r="U54" i="43" s="1"/>
  <c r="AO54" i="43" s="1"/>
  <c r="U6" i="43"/>
  <c r="AO6" i="43" s="1"/>
  <c r="BH6" i="43" s="1"/>
  <c r="BH3" i="43" a="1"/>
  <c r="BH3" i="43" s="1"/>
  <c r="AZ29" i="43"/>
  <c r="AP30" i="43"/>
  <c r="AX30" i="43" s="1"/>
  <c r="F74" i="31"/>
  <c r="E57" i="31"/>
  <c r="F56" i="31"/>
  <c r="E37" i="31"/>
  <c r="F36" i="31"/>
  <c r="F15" i="31"/>
  <c r="E16" i="31"/>
  <c r="F115" i="31"/>
  <c r="E116" i="31"/>
  <c r="E98" i="31"/>
  <c r="F97" i="31"/>
  <c r="M2" i="58" l="1"/>
  <c r="M3" i="56"/>
  <c r="AD30" i="50"/>
  <c r="M2" i="54"/>
  <c r="M2" i="55"/>
  <c r="O2" i="55"/>
  <c r="L58" i="49"/>
  <c r="K108" i="56" s="1"/>
  <c r="K108" i="53"/>
  <c r="M108" i="53"/>
  <c r="N58" i="49"/>
  <c r="M108" i="56" s="1"/>
  <c r="N43" i="55"/>
  <c r="N43" i="54"/>
  <c r="Z30" i="49"/>
  <c r="N54" i="47"/>
  <c r="M64" i="56" s="1"/>
  <c r="M64" i="53"/>
  <c r="N79" i="44"/>
  <c r="M25" i="57" s="1"/>
  <c r="N55" i="44"/>
  <c r="M25" i="56" s="1"/>
  <c r="M25" i="53"/>
  <c r="L54" i="47"/>
  <c r="K64" i="56" s="1"/>
  <c r="K64" i="53"/>
  <c r="M44" i="53"/>
  <c r="M4" i="53" s="1"/>
  <c r="N54" i="46"/>
  <c r="M44" i="56" s="1"/>
  <c r="M4" i="56" s="1"/>
  <c r="M87" i="53"/>
  <c r="N57" i="48"/>
  <c r="M87" i="56" s="1"/>
  <c r="N4" i="53"/>
  <c r="BA54" i="44"/>
  <c r="M24" i="55" s="1"/>
  <c r="K24" i="53"/>
  <c r="K4" i="53" s="1"/>
  <c r="L54" i="44"/>
  <c r="K24" i="56" s="1"/>
  <c r="K4" i="56" s="1"/>
  <c r="L56" i="48"/>
  <c r="K86" i="56" s="1"/>
  <c r="K86" i="53"/>
  <c r="K3" i="56"/>
  <c r="O55" i="44"/>
  <c r="N25" i="56" s="1"/>
  <c r="N25" i="53"/>
  <c r="N56" i="44"/>
  <c r="M26" i="56" s="1"/>
  <c r="M26" i="53"/>
  <c r="K45" i="53"/>
  <c r="L55" i="46"/>
  <c r="K45" i="56" s="1"/>
  <c r="K130" i="53"/>
  <c r="L60" i="50"/>
  <c r="K130" i="56" s="1"/>
  <c r="M129" i="53"/>
  <c r="N59" i="50"/>
  <c r="M129" i="56" s="1"/>
  <c r="K3" i="53"/>
  <c r="N3" i="56"/>
  <c r="AF30" i="49"/>
  <c r="CA31" i="48"/>
  <c r="L85" i="53"/>
  <c r="K55" i="49"/>
  <c r="J105" i="56" s="1"/>
  <c r="J105" i="53"/>
  <c r="J84" i="56"/>
  <c r="AD54" i="48"/>
  <c r="J84" i="54" s="1"/>
  <c r="AX54" i="48"/>
  <c r="J84" i="55" s="1"/>
  <c r="AD78" i="48"/>
  <c r="J84" i="58" s="1"/>
  <c r="D86" i="51"/>
  <c r="E32" i="48"/>
  <c r="E9" i="48"/>
  <c r="J86" i="51"/>
  <c r="K32" i="48"/>
  <c r="K9" i="48"/>
  <c r="K55" i="48"/>
  <c r="J85" i="53"/>
  <c r="K79" i="48"/>
  <c r="J85" i="57" s="1"/>
  <c r="K55" i="50"/>
  <c r="J125" i="56" s="1"/>
  <c r="J125" i="53"/>
  <c r="Y30" i="50"/>
  <c r="P124" i="53"/>
  <c r="BW32" i="48"/>
  <c r="BL67" i="48" s="1"/>
  <c r="L86" i="51"/>
  <c r="BJ68" i="48"/>
  <c r="P84" i="53"/>
  <c r="P29" i="48"/>
  <c r="O83" i="53" s="1"/>
  <c r="O83" i="51"/>
  <c r="AA30" i="49"/>
  <c r="P104" i="53"/>
  <c r="D84" i="56"/>
  <c r="X78" i="48"/>
  <c r="D84" i="58" s="1"/>
  <c r="X54" i="48"/>
  <c r="D84" i="54" s="1"/>
  <c r="AR54" i="48"/>
  <c r="D84" i="55" s="1"/>
  <c r="Y30" i="49"/>
  <c r="AC30" i="50"/>
  <c r="AJ53" i="49"/>
  <c r="AU29" i="50"/>
  <c r="X30" i="49"/>
  <c r="AJ77" i="49"/>
  <c r="P103" i="58" s="1"/>
  <c r="AJ29" i="50"/>
  <c r="AJ29" i="49"/>
  <c r="AS30" i="50"/>
  <c r="BJ61" i="50" s="1"/>
  <c r="G32" i="50"/>
  <c r="F126" i="53" s="1"/>
  <c r="G9" i="50"/>
  <c r="F127" i="51" s="1"/>
  <c r="AF78" i="49"/>
  <c r="L104" i="58" s="1"/>
  <c r="AZ54" i="49"/>
  <c r="L104" i="55" s="1"/>
  <c r="AF54" i="49"/>
  <c r="L104" i="54" s="1"/>
  <c r="H79" i="50"/>
  <c r="G125" i="57" s="1"/>
  <c r="H55" i="50"/>
  <c r="G125" i="56" s="1"/>
  <c r="AA55" i="50"/>
  <c r="G125" i="54" s="1"/>
  <c r="J79" i="49"/>
  <c r="I105" i="57" s="1"/>
  <c r="J55" i="49"/>
  <c r="I105" i="56" s="1"/>
  <c r="D32" i="50"/>
  <c r="C126" i="53" s="1"/>
  <c r="D9" i="50"/>
  <c r="C127" i="51" s="1"/>
  <c r="BR32" i="50"/>
  <c r="BL65" i="50" s="1"/>
  <c r="Q8" i="50"/>
  <c r="P126" i="51" s="1"/>
  <c r="W54" i="49"/>
  <c r="C104" i="54" s="1"/>
  <c r="Q54" i="49"/>
  <c r="P104" i="56" s="1"/>
  <c r="W78" i="49"/>
  <c r="C104" i="58" s="1"/>
  <c r="AQ54" i="49"/>
  <c r="C104" i="55" s="1"/>
  <c r="E79" i="49"/>
  <c r="D105" i="57" s="1"/>
  <c r="E55" i="49"/>
  <c r="D105" i="56" s="1"/>
  <c r="AS30" i="49"/>
  <c r="BJ61" i="49" s="1"/>
  <c r="BR32" i="49"/>
  <c r="BL65" i="49" s="1"/>
  <c r="D9" i="49"/>
  <c r="C107" i="51" s="1"/>
  <c r="D32" i="49"/>
  <c r="C106" i="53" s="1"/>
  <c r="Q8" i="49"/>
  <c r="P106" i="51" s="1"/>
  <c r="K32" i="50"/>
  <c r="K9" i="50"/>
  <c r="J127" i="51" s="1"/>
  <c r="AW30" i="49"/>
  <c r="BA30" i="49" s="1"/>
  <c r="AW29" i="49"/>
  <c r="BA29" i="49" s="1"/>
  <c r="BH29" i="49"/>
  <c r="AW28" i="49"/>
  <c r="BA28" i="49" s="1"/>
  <c r="AW31" i="49"/>
  <c r="BA31" i="49" s="1"/>
  <c r="D79" i="50"/>
  <c r="C125" i="57" s="1"/>
  <c r="D55" i="50"/>
  <c r="C125" i="56" s="1"/>
  <c r="Q31" i="50"/>
  <c r="AF31" i="50" s="1"/>
  <c r="Q78" i="49"/>
  <c r="P104" i="57" s="1"/>
  <c r="AB30" i="50"/>
  <c r="Y78" i="49"/>
  <c r="E104" i="58" s="1"/>
  <c r="Y54" i="49"/>
  <c r="E104" i="54" s="1"/>
  <c r="AS54" i="49"/>
  <c r="E104" i="55" s="1"/>
  <c r="H9" i="49"/>
  <c r="G107" i="51" s="1"/>
  <c r="H32" i="49"/>
  <c r="G106" i="53" s="1"/>
  <c r="BW32" i="49"/>
  <c r="BL67" i="49" s="1"/>
  <c r="W30" i="50"/>
  <c r="AC78" i="50"/>
  <c r="I124" i="58" s="1"/>
  <c r="AC54" i="50"/>
  <c r="I124" i="54" s="1"/>
  <c r="AW54" i="50"/>
  <c r="I124" i="55" s="1"/>
  <c r="J32" i="50"/>
  <c r="I126" i="53" s="1"/>
  <c r="J9" i="50"/>
  <c r="I127" i="51" s="1"/>
  <c r="K79" i="50"/>
  <c r="J125" i="57" s="1"/>
  <c r="CA31" i="50"/>
  <c r="AW29" i="50"/>
  <c r="AW30" i="50"/>
  <c r="BA30" i="50" s="1"/>
  <c r="BH29" i="50"/>
  <c r="AW28" i="50"/>
  <c r="BA28" i="50" s="1"/>
  <c r="AW31" i="50"/>
  <c r="BA31" i="50" s="1"/>
  <c r="M32" i="50"/>
  <c r="L126" i="53" s="1"/>
  <c r="M9" i="50"/>
  <c r="L127" i="51" s="1"/>
  <c r="AB78" i="50"/>
  <c r="H124" i="58" s="1"/>
  <c r="AB54" i="50"/>
  <c r="H124" i="54" s="1"/>
  <c r="AV54" i="50"/>
  <c r="H124" i="55" s="1"/>
  <c r="H79" i="49"/>
  <c r="G105" i="57" s="1"/>
  <c r="AA55" i="49"/>
  <c r="G105" i="54" s="1"/>
  <c r="H55" i="49"/>
  <c r="G105" i="56" s="1"/>
  <c r="K9" i="49"/>
  <c r="J107" i="51" s="1"/>
  <c r="K32" i="49"/>
  <c r="X30" i="50"/>
  <c r="AG30" i="50"/>
  <c r="BJ68" i="50"/>
  <c r="BJ69" i="50"/>
  <c r="AH30" i="50"/>
  <c r="AR30" i="50"/>
  <c r="BJ60" i="50" s="1"/>
  <c r="AT30" i="50"/>
  <c r="BJ62" i="50" s="1"/>
  <c r="BJ6" i="50"/>
  <c r="BK6" i="50" s="1"/>
  <c r="BL6" i="50" s="1"/>
  <c r="P6" i="50" s="1"/>
  <c r="O124" i="51" s="1"/>
  <c r="AE30" i="50"/>
  <c r="X54" i="49"/>
  <c r="D104" i="54" s="1"/>
  <c r="X78" i="49"/>
  <c r="D104" i="58" s="1"/>
  <c r="AR54" i="49"/>
  <c r="D104" i="55" s="1"/>
  <c r="Y54" i="50"/>
  <c r="E124" i="54" s="1"/>
  <c r="Y78" i="50"/>
  <c r="E124" i="58" s="1"/>
  <c r="AS54" i="50"/>
  <c r="E124" i="55" s="1"/>
  <c r="F32" i="50"/>
  <c r="E126" i="53" s="1"/>
  <c r="F9" i="50"/>
  <c r="E127" i="51" s="1"/>
  <c r="J79" i="50"/>
  <c r="I125" i="57" s="1"/>
  <c r="J55" i="50"/>
  <c r="I125" i="56" s="1"/>
  <c r="Z78" i="49"/>
  <c r="F104" i="58" s="1"/>
  <c r="Z54" i="49"/>
  <c r="F104" i="54" s="1"/>
  <c r="AT54" i="49"/>
  <c r="F104" i="55" s="1"/>
  <c r="I32" i="50"/>
  <c r="H126" i="53" s="1"/>
  <c r="I9" i="50"/>
  <c r="H127" i="51" s="1"/>
  <c r="AB30" i="49"/>
  <c r="M55" i="50"/>
  <c r="L125" i="56" s="1"/>
  <c r="M79" i="50"/>
  <c r="L125" i="57" s="1"/>
  <c r="AD30" i="49"/>
  <c r="AF30" i="50"/>
  <c r="K79" i="49"/>
  <c r="J105" i="57" s="1"/>
  <c r="CA31" i="49"/>
  <c r="W78" i="50"/>
  <c r="C124" i="58" s="1"/>
  <c r="W54" i="50"/>
  <c r="C124" i="54" s="1"/>
  <c r="Q54" i="50"/>
  <c r="P124" i="56" s="1"/>
  <c r="AQ54" i="50"/>
  <c r="C124" i="55" s="1"/>
  <c r="F79" i="50"/>
  <c r="E125" i="57" s="1"/>
  <c r="F55" i="50"/>
  <c r="E125" i="56" s="1"/>
  <c r="I79" i="50"/>
  <c r="H125" i="57" s="1"/>
  <c r="I55" i="50"/>
  <c r="H125" i="56" s="1"/>
  <c r="AB78" i="49"/>
  <c r="H104" i="58" s="1"/>
  <c r="AB54" i="49"/>
  <c r="H104" i="54" s="1"/>
  <c r="AV54" i="49"/>
  <c r="H104" i="55" s="1"/>
  <c r="X78" i="50"/>
  <c r="D124" i="58" s="1"/>
  <c r="X54" i="50"/>
  <c r="D124" i="54" s="1"/>
  <c r="AR54" i="50"/>
  <c r="D124" i="55" s="1"/>
  <c r="AF78" i="50"/>
  <c r="L124" i="58" s="1"/>
  <c r="AF54" i="50"/>
  <c r="L124" i="54" s="1"/>
  <c r="AZ54" i="50"/>
  <c r="L124" i="55" s="1"/>
  <c r="Q78" i="50"/>
  <c r="P124" i="57" s="1"/>
  <c r="F79" i="49"/>
  <c r="E105" i="57" s="1"/>
  <c r="F55" i="49"/>
  <c r="E105" i="56" s="1"/>
  <c r="Q31" i="49"/>
  <c r="W31" i="49" s="1"/>
  <c r="D79" i="49"/>
  <c r="C105" i="57" s="1"/>
  <c r="D55" i="49"/>
  <c r="C105" i="56" s="1"/>
  <c r="I32" i="49"/>
  <c r="H106" i="53" s="1"/>
  <c r="I9" i="49"/>
  <c r="H107" i="51" s="1"/>
  <c r="AX54" i="50"/>
  <c r="J124" i="55" s="1"/>
  <c r="AD78" i="50"/>
  <c r="J124" i="58" s="1"/>
  <c r="AD54" i="50"/>
  <c r="J124" i="54" s="1"/>
  <c r="AI5" i="49"/>
  <c r="P29" i="49"/>
  <c r="O103" i="53" s="1"/>
  <c r="BU29" i="49"/>
  <c r="BI66" i="49" s="1"/>
  <c r="BO29" i="49"/>
  <c r="BI64" i="49" s="1"/>
  <c r="AA30" i="50"/>
  <c r="AJ53" i="50"/>
  <c r="AD78" i="49"/>
  <c r="J104" i="58" s="1"/>
  <c r="AD54" i="49"/>
  <c r="J104" i="54" s="1"/>
  <c r="AX54" i="49"/>
  <c r="J104" i="55" s="1"/>
  <c r="I79" i="49"/>
  <c r="H105" i="57" s="1"/>
  <c r="I55" i="49"/>
  <c r="H105" i="56" s="1"/>
  <c r="AU29" i="49"/>
  <c r="Z30" i="50"/>
  <c r="F9" i="49"/>
  <c r="E107" i="51" s="1"/>
  <c r="F32" i="49"/>
  <c r="E106" i="53" s="1"/>
  <c r="AC30" i="49"/>
  <c r="G79" i="49"/>
  <c r="F105" i="57" s="1"/>
  <c r="G55" i="49"/>
  <c r="F105" i="56" s="1"/>
  <c r="AA78" i="50"/>
  <c r="G124" i="58" s="1"/>
  <c r="AU54" i="50"/>
  <c r="G124" i="55" s="1"/>
  <c r="AJ77" i="50"/>
  <c r="P123" i="58" s="1"/>
  <c r="E32" i="50"/>
  <c r="D126" i="53" s="1"/>
  <c r="E9" i="50"/>
  <c r="D127" i="51" s="1"/>
  <c r="Z78" i="50"/>
  <c r="F124" i="58" s="1"/>
  <c r="Z54" i="50"/>
  <c r="F124" i="54" s="1"/>
  <c r="AT54" i="50"/>
  <c r="F124" i="55" s="1"/>
  <c r="M32" i="49"/>
  <c r="L106" i="53" s="1"/>
  <c r="M9" i="49"/>
  <c r="L107" i="51" s="1"/>
  <c r="G79" i="50"/>
  <c r="F125" i="57" s="1"/>
  <c r="G55" i="50"/>
  <c r="F125" i="56" s="1"/>
  <c r="H32" i="50"/>
  <c r="G126" i="53" s="1"/>
  <c r="H9" i="50"/>
  <c r="G127" i="51" s="1"/>
  <c r="BW32" i="50"/>
  <c r="BL67" i="50" s="1"/>
  <c r="G32" i="49"/>
  <c r="F106" i="53" s="1"/>
  <c r="G9" i="49"/>
  <c r="F107" i="51" s="1"/>
  <c r="J32" i="49"/>
  <c r="I106" i="53" s="1"/>
  <c r="J9" i="49"/>
  <c r="I107" i="51" s="1"/>
  <c r="AQ30" i="49"/>
  <c r="BJ69" i="49"/>
  <c r="AG30" i="49"/>
  <c r="AT30" i="49"/>
  <c r="BJ62" i="49" s="1"/>
  <c r="AR30" i="49"/>
  <c r="BJ60" i="49" s="1"/>
  <c r="AE30" i="49"/>
  <c r="BJ6" i="49"/>
  <c r="BK6" i="49" s="1"/>
  <c r="BL6" i="49" s="1"/>
  <c r="P6" i="49" s="1"/>
  <c r="O104" i="51" s="1"/>
  <c r="AH30" i="49"/>
  <c r="BJ68" i="49"/>
  <c r="E79" i="50"/>
  <c r="D125" i="57" s="1"/>
  <c r="E55" i="50"/>
  <c r="D125" i="56" s="1"/>
  <c r="AI5" i="50"/>
  <c r="P29" i="50"/>
  <c r="O123" i="53" s="1"/>
  <c r="BU29" i="50"/>
  <c r="BI66" i="50" s="1"/>
  <c r="BO29" i="50"/>
  <c r="BI64" i="50" s="1"/>
  <c r="AA78" i="49"/>
  <c r="G104" i="58" s="1"/>
  <c r="AU54" i="49"/>
  <c r="G104" i="55" s="1"/>
  <c r="E9" i="49"/>
  <c r="D107" i="51" s="1"/>
  <c r="E32" i="49"/>
  <c r="D106" i="53" s="1"/>
  <c r="M79" i="49"/>
  <c r="L105" i="57" s="1"/>
  <c r="M55" i="49"/>
  <c r="L105" i="56" s="1"/>
  <c r="AC78" i="49"/>
  <c r="I104" i="58" s="1"/>
  <c r="AC54" i="49"/>
  <c r="I104" i="54" s="1"/>
  <c r="AW54" i="49"/>
  <c r="I104" i="55" s="1"/>
  <c r="AI5" i="48"/>
  <c r="AJ5" i="48" s="1"/>
  <c r="BO29" i="48"/>
  <c r="BI64" i="48" s="1"/>
  <c r="BU29" i="48"/>
  <c r="BI66" i="48" s="1"/>
  <c r="AU29" i="48"/>
  <c r="AS30" i="48"/>
  <c r="BJ61" i="48" s="1"/>
  <c r="AJ29" i="48"/>
  <c r="AF30" i="48"/>
  <c r="AG30" i="48"/>
  <c r="AB30" i="48"/>
  <c r="BJ69" i="48"/>
  <c r="BR32" i="48"/>
  <c r="BL65" i="48" s="1"/>
  <c r="Q54" i="48"/>
  <c r="P84" i="56" s="1"/>
  <c r="AT30" i="48"/>
  <c r="BJ62" i="48" s="1"/>
  <c r="AJ53" i="48"/>
  <c r="Q8" i="48"/>
  <c r="P86" i="51" s="1"/>
  <c r="AJ77" i="48"/>
  <c r="P83" i="58" s="1"/>
  <c r="AA30" i="48"/>
  <c r="Y30" i="48"/>
  <c r="AC30" i="48"/>
  <c r="Q78" i="48"/>
  <c r="P84" i="57" s="1"/>
  <c r="L84" i="50"/>
  <c r="K130" i="57" s="1"/>
  <c r="C82" i="50"/>
  <c r="V34" i="50"/>
  <c r="V82" i="50" s="1"/>
  <c r="B83" i="50"/>
  <c r="U35" i="50"/>
  <c r="U83" i="50" s="1"/>
  <c r="BA32" i="50"/>
  <c r="AH82" i="50"/>
  <c r="N128" i="58" s="1"/>
  <c r="AH58" i="50"/>
  <c r="N128" i="54" s="1"/>
  <c r="BB58" i="50"/>
  <c r="N128" i="55" s="1"/>
  <c r="AG82" i="50"/>
  <c r="M128" i="58" s="1"/>
  <c r="AG58" i="50"/>
  <c r="M128" i="54" s="1"/>
  <c r="BA58" i="50"/>
  <c r="M128" i="55" s="1"/>
  <c r="O36" i="50"/>
  <c r="N130" i="53" s="1"/>
  <c r="O13" i="50"/>
  <c r="BD12" i="50"/>
  <c r="AU13" i="50"/>
  <c r="AZ33" i="50"/>
  <c r="AX33" i="50"/>
  <c r="AP34" i="50"/>
  <c r="AW33" i="50"/>
  <c r="O83" i="50"/>
  <c r="N129" i="57" s="1"/>
  <c r="O59" i="50"/>
  <c r="N129" i="56" s="1"/>
  <c r="N36" i="50"/>
  <c r="N13" i="50"/>
  <c r="BX36" i="50"/>
  <c r="N83" i="50"/>
  <c r="M129" i="57" s="1"/>
  <c r="AE83" i="50"/>
  <c r="K129" i="58" s="1"/>
  <c r="AE59" i="50"/>
  <c r="K129" i="54" s="1"/>
  <c r="AY59" i="50"/>
  <c r="K129" i="55" s="1"/>
  <c r="L37" i="50"/>
  <c r="L14" i="50"/>
  <c r="C59" i="50"/>
  <c r="V59" i="50" s="1"/>
  <c r="AP59" i="50" s="1"/>
  <c r="C35" i="50"/>
  <c r="C12" i="50"/>
  <c r="V11" i="50"/>
  <c r="AP11" i="50" s="1"/>
  <c r="BI11" i="50" s="1"/>
  <c r="B60" i="50"/>
  <c r="U60" i="50" s="1"/>
  <c r="AO60" i="50" s="1"/>
  <c r="B36" i="50"/>
  <c r="B13" i="50"/>
  <c r="U12" i="50"/>
  <c r="AO12" i="50" s="1"/>
  <c r="BH12" i="50" s="1"/>
  <c r="AH81" i="49"/>
  <c r="N107" i="58" s="1"/>
  <c r="AH57" i="49"/>
  <c r="N107" i="54" s="1"/>
  <c r="BB57" i="49"/>
  <c r="N107" i="55" s="1"/>
  <c r="B60" i="49"/>
  <c r="U60" i="49" s="1"/>
  <c r="AO60" i="49" s="1"/>
  <c r="U12" i="49"/>
  <c r="AO12" i="49" s="1"/>
  <c r="BH12" i="49" s="1"/>
  <c r="B36" i="49"/>
  <c r="B13" i="49"/>
  <c r="AE81" i="49"/>
  <c r="K107" i="58" s="1"/>
  <c r="AE57" i="49"/>
  <c r="K107" i="54" s="1"/>
  <c r="AY57" i="49"/>
  <c r="K107" i="55" s="1"/>
  <c r="C83" i="49"/>
  <c r="V35" i="49"/>
  <c r="V83" i="49" s="1"/>
  <c r="B83" i="49"/>
  <c r="U35" i="49"/>
  <c r="U83" i="49" s="1"/>
  <c r="C60" i="49"/>
  <c r="V60" i="49" s="1"/>
  <c r="AP60" i="49" s="1"/>
  <c r="C36" i="49"/>
  <c r="V12" i="49"/>
  <c r="AP12" i="49" s="1"/>
  <c r="BI12" i="49" s="1"/>
  <c r="C13" i="49"/>
  <c r="N35" i="49"/>
  <c r="BX35" i="49"/>
  <c r="N12" i="49"/>
  <c r="L35" i="49"/>
  <c r="L12" i="49"/>
  <c r="L82" i="49"/>
  <c r="K108" i="57" s="1"/>
  <c r="BD14" i="49"/>
  <c r="O35" i="49"/>
  <c r="N109" i="53" s="1"/>
  <c r="O12" i="49"/>
  <c r="N82" i="49"/>
  <c r="M108" i="57" s="1"/>
  <c r="AG81" i="49"/>
  <c r="M107" i="58" s="1"/>
  <c r="AG57" i="49"/>
  <c r="M107" i="54" s="1"/>
  <c r="BA57" i="49"/>
  <c r="M107" i="55" s="1"/>
  <c r="O82" i="49"/>
  <c r="N108" i="57" s="1"/>
  <c r="O58" i="49"/>
  <c r="N108" i="56" s="1"/>
  <c r="BA32" i="49"/>
  <c r="AX33" i="49"/>
  <c r="AP34" i="49"/>
  <c r="AZ33" i="49"/>
  <c r="AW33" i="49"/>
  <c r="BA33" i="49" s="1"/>
  <c r="G79" i="48"/>
  <c r="F85" i="57" s="1"/>
  <c r="G55" i="48"/>
  <c r="F85" i="56" s="1"/>
  <c r="AD30" i="48"/>
  <c r="Y54" i="48"/>
  <c r="E84" i="54" s="1"/>
  <c r="AS54" i="48"/>
  <c r="E84" i="55" s="1"/>
  <c r="Y78" i="48"/>
  <c r="E84" i="58" s="1"/>
  <c r="AQ30" i="48"/>
  <c r="BJ59" i="48" s="1"/>
  <c r="W30" i="48"/>
  <c r="F9" i="48"/>
  <c r="E87" i="51" s="1"/>
  <c r="F32" i="48"/>
  <c r="E86" i="53" s="1"/>
  <c r="G32" i="48"/>
  <c r="F86" i="53" s="1"/>
  <c r="G9" i="48"/>
  <c r="F87" i="51" s="1"/>
  <c r="AH30" i="48"/>
  <c r="Z54" i="48"/>
  <c r="F84" i="54" s="1"/>
  <c r="AT54" i="48"/>
  <c r="F84" i="55" s="1"/>
  <c r="Z78" i="48"/>
  <c r="F84" i="58" s="1"/>
  <c r="M9" i="48"/>
  <c r="L87" i="51" s="1"/>
  <c r="M32" i="48"/>
  <c r="F79" i="48"/>
  <c r="E85" i="57" s="1"/>
  <c r="F55" i="48"/>
  <c r="E85" i="56" s="1"/>
  <c r="X30" i="48"/>
  <c r="BJ6" i="48"/>
  <c r="BK6" i="48" s="1"/>
  <c r="BL6" i="48" s="1"/>
  <c r="P6" i="48" s="1"/>
  <c r="M79" i="48"/>
  <c r="L85" i="57" s="1"/>
  <c r="M55" i="48"/>
  <c r="L85" i="56" s="1"/>
  <c r="AF78" i="48"/>
  <c r="L84" i="58" s="1"/>
  <c r="AF54" i="48"/>
  <c r="L84" i="54" s="1"/>
  <c r="AZ54" i="48"/>
  <c r="L84" i="55" s="1"/>
  <c r="Q31" i="48"/>
  <c r="Z30" i="48"/>
  <c r="AR30" i="48"/>
  <c r="BJ60" i="48" s="1"/>
  <c r="AE30" i="48"/>
  <c r="I80" i="48"/>
  <c r="H86" i="57" s="1"/>
  <c r="I56" i="48"/>
  <c r="H86" i="56" s="1"/>
  <c r="H33" i="48"/>
  <c r="G87" i="53" s="1"/>
  <c r="H10" i="48"/>
  <c r="G88" i="51" s="1"/>
  <c r="H80" i="48"/>
  <c r="G86" i="57" s="1"/>
  <c r="AA56" i="48"/>
  <c r="G86" i="54" s="1"/>
  <c r="H56" i="48"/>
  <c r="G86" i="56" s="1"/>
  <c r="BA29" i="48"/>
  <c r="BI59" i="48"/>
  <c r="C57" i="48"/>
  <c r="V57" i="48" s="1"/>
  <c r="AP57" i="48" s="1"/>
  <c r="C33" i="48"/>
  <c r="C10" i="48"/>
  <c r="V9" i="48"/>
  <c r="AP9" i="48" s="1"/>
  <c r="BI9" i="48" s="1"/>
  <c r="AE79" i="48"/>
  <c r="K85" i="58" s="1"/>
  <c r="AE55" i="48"/>
  <c r="K85" i="54" s="1"/>
  <c r="AY55" i="48"/>
  <c r="K85" i="55" s="1"/>
  <c r="J33" i="48"/>
  <c r="I87" i="53" s="1"/>
  <c r="J10" i="48"/>
  <c r="I88" i="51" s="1"/>
  <c r="D80" i="48"/>
  <c r="C86" i="57" s="1"/>
  <c r="D56" i="48"/>
  <c r="C86" i="56" s="1"/>
  <c r="J80" i="48"/>
  <c r="I86" i="57" s="1"/>
  <c r="J56" i="48"/>
  <c r="I86" i="56" s="1"/>
  <c r="N34" i="48"/>
  <c r="BX34" i="48"/>
  <c r="N11" i="48"/>
  <c r="C80" i="48"/>
  <c r="V32" i="48"/>
  <c r="V80" i="48" s="1"/>
  <c r="BA30" i="48"/>
  <c r="AC79" i="48"/>
  <c r="I85" i="58" s="1"/>
  <c r="AC55" i="48"/>
  <c r="I85" i="54" s="1"/>
  <c r="AW55" i="48"/>
  <c r="I85" i="55" s="1"/>
  <c r="L33" i="48"/>
  <c r="L10" i="48"/>
  <c r="O35" i="48"/>
  <c r="N89" i="53" s="1"/>
  <c r="O12" i="48"/>
  <c r="D33" i="48"/>
  <c r="C87" i="53" s="1"/>
  <c r="D10" i="48"/>
  <c r="C88" i="51" s="1"/>
  <c r="AZ31" i="48"/>
  <c r="AX31" i="48"/>
  <c r="AP32" i="48"/>
  <c r="P77" i="48"/>
  <c r="O83" i="57" s="1"/>
  <c r="W79" i="48"/>
  <c r="C85" i="58" s="1"/>
  <c r="W55" i="48"/>
  <c r="C85" i="54" s="1"/>
  <c r="AQ55" i="48"/>
  <c r="C85" i="55" s="1"/>
  <c r="L80" i="48"/>
  <c r="K86" i="57" s="1"/>
  <c r="O82" i="48"/>
  <c r="N88" i="57" s="1"/>
  <c r="O58" i="48"/>
  <c r="N88" i="56" s="1"/>
  <c r="N81" i="48"/>
  <c r="M87" i="57" s="1"/>
  <c r="AA79" i="48"/>
  <c r="G85" i="58" s="1"/>
  <c r="AU55" i="48"/>
  <c r="G85" i="55" s="1"/>
  <c r="I10" i="48"/>
  <c r="H88" i="51" s="1"/>
  <c r="I33" i="48"/>
  <c r="H87" i="53" s="1"/>
  <c r="B58" i="48"/>
  <c r="U58" i="48" s="1"/>
  <c r="AO58" i="48" s="1"/>
  <c r="B34" i="48"/>
  <c r="B11" i="48"/>
  <c r="U10" i="48"/>
  <c r="AO10" i="48" s="1"/>
  <c r="BH10" i="48" s="1"/>
  <c r="BD9" i="48"/>
  <c r="AU10" i="48"/>
  <c r="AB79" i="48"/>
  <c r="H85" i="58" s="1"/>
  <c r="AB55" i="48"/>
  <c r="H85" i="54" s="1"/>
  <c r="AV55" i="48"/>
  <c r="H85" i="55" s="1"/>
  <c r="B81" i="48"/>
  <c r="U33" i="48"/>
  <c r="U81" i="48" s="1"/>
  <c r="AH81" i="48"/>
  <c r="N87" i="58" s="1"/>
  <c r="AH57" i="48"/>
  <c r="N87" i="54" s="1"/>
  <c r="BB57" i="48"/>
  <c r="N87" i="55" s="1"/>
  <c r="AG80" i="48"/>
  <c r="M86" i="58" s="1"/>
  <c r="AG56" i="48"/>
  <c r="M86" i="54" s="1"/>
  <c r="BA56" i="48"/>
  <c r="M86" i="55" s="1"/>
  <c r="N78" i="47"/>
  <c r="M64" i="57" s="1"/>
  <c r="AH77" i="47"/>
  <c r="N63" i="58" s="1"/>
  <c r="AH53" i="47"/>
  <c r="N63" i="54" s="1"/>
  <c r="BB53" i="47"/>
  <c r="N63" i="55" s="1"/>
  <c r="C57" i="47"/>
  <c r="V57" i="47" s="1"/>
  <c r="AP57" i="47" s="1"/>
  <c r="C33" i="47"/>
  <c r="V9" i="47"/>
  <c r="AP9" i="47" s="1"/>
  <c r="BI9" i="47" s="1"/>
  <c r="C10" i="47"/>
  <c r="C80" i="47"/>
  <c r="V32" i="47"/>
  <c r="V80" i="47" s="1"/>
  <c r="AG77" i="47"/>
  <c r="M63" i="58" s="1"/>
  <c r="AG53" i="47"/>
  <c r="M63" i="54" s="1"/>
  <c r="BA53" i="47"/>
  <c r="M63" i="55" s="1"/>
  <c r="O31" i="47"/>
  <c r="N65" i="53" s="1"/>
  <c r="O8" i="47"/>
  <c r="BX31" i="47"/>
  <c r="N31" i="47"/>
  <c r="N8" i="47"/>
  <c r="O78" i="47"/>
  <c r="N64" i="57" s="1"/>
  <c r="N4" i="57" s="1"/>
  <c r="O54" i="47"/>
  <c r="N64" i="56" s="1"/>
  <c r="N4" i="56" s="1"/>
  <c r="AU9" i="47"/>
  <c r="BD8" i="47"/>
  <c r="B57" i="47"/>
  <c r="U57" i="47" s="1"/>
  <c r="AO57" i="47" s="1"/>
  <c r="B33" i="47"/>
  <c r="U9" i="47"/>
  <c r="AO9" i="47" s="1"/>
  <c r="BH9" i="47" s="1"/>
  <c r="B10" i="47"/>
  <c r="AP30" i="47"/>
  <c r="AX29" i="47"/>
  <c r="AZ29" i="47"/>
  <c r="AE77" i="47"/>
  <c r="K63" i="58" s="1"/>
  <c r="AE53" i="47"/>
  <c r="K63" i="54" s="1"/>
  <c r="AY53" i="47"/>
  <c r="K63" i="55" s="1"/>
  <c r="L31" i="47"/>
  <c r="L8" i="47"/>
  <c r="B80" i="47"/>
  <c r="U32" i="47"/>
  <c r="U80" i="47" s="1"/>
  <c r="L78" i="47"/>
  <c r="K64" i="57" s="1"/>
  <c r="BK27" i="47"/>
  <c r="BL27" i="47"/>
  <c r="BT29" i="46"/>
  <c r="BQ29" i="46"/>
  <c r="AE76" i="46"/>
  <c r="K42" i="58" s="1"/>
  <c r="K2" i="58" s="1"/>
  <c r="AE52" i="46"/>
  <c r="AY52" i="46"/>
  <c r="O32" i="46"/>
  <c r="N46" i="53" s="1"/>
  <c r="O9" i="46"/>
  <c r="BN30" i="46"/>
  <c r="BL31" i="46"/>
  <c r="C56" i="46"/>
  <c r="V56" i="46" s="1"/>
  <c r="AP56" i="46" s="1"/>
  <c r="C32" i="46"/>
  <c r="V8" i="46"/>
  <c r="AP8" i="46" s="1"/>
  <c r="BI8" i="46" s="1"/>
  <c r="C9" i="46"/>
  <c r="O79" i="46"/>
  <c r="N45" i="57" s="1"/>
  <c r="O55" i="46"/>
  <c r="N45" i="56" s="1"/>
  <c r="B78" i="46"/>
  <c r="U30" i="46"/>
  <c r="U78" i="46" s="1"/>
  <c r="AG77" i="46"/>
  <c r="M43" i="58" s="1"/>
  <c r="AG53" i="46"/>
  <c r="BA53" i="46"/>
  <c r="C79" i="46"/>
  <c r="V31" i="46"/>
  <c r="V79" i="46" s="1"/>
  <c r="N78" i="46"/>
  <c r="M44" i="57" s="1"/>
  <c r="M4" i="57" s="1"/>
  <c r="BK27" i="46"/>
  <c r="BL27" i="46"/>
  <c r="AH78" i="46"/>
  <c r="N44" i="58" s="1"/>
  <c r="AH54" i="46"/>
  <c r="BB54" i="46"/>
  <c r="L32" i="46"/>
  <c r="L9" i="46"/>
  <c r="AZ29" i="46"/>
  <c r="AP30" i="46"/>
  <c r="AX29" i="46"/>
  <c r="AU8" i="46"/>
  <c r="BD7" i="46"/>
  <c r="AH76" i="46"/>
  <c r="N42" i="58" s="1"/>
  <c r="N2" i="58" s="1"/>
  <c r="AH52" i="46"/>
  <c r="BB52" i="46"/>
  <c r="L79" i="46"/>
  <c r="K45" i="57" s="1"/>
  <c r="BX31" i="46"/>
  <c r="N31" i="46"/>
  <c r="N8" i="46"/>
  <c r="AE78" i="46"/>
  <c r="K44" i="58" s="1"/>
  <c r="AE54" i="46"/>
  <c r="AY54" i="46"/>
  <c r="B55" i="46"/>
  <c r="U55" i="46" s="1"/>
  <c r="AO55" i="46" s="1"/>
  <c r="B31" i="46"/>
  <c r="U7" i="46"/>
  <c r="AO7" i="46" s="1"/>
  <c r="BH7" i="46" s="1"/>
  <c r="B8" i="46"/>
  <c r="B83" i="44"/>
  <c r="U35" i="44"/>
  <c r="U83" i="44" s="1"/>
  <c r="B11" i="44"/>
  <c r="U10" i="44"/>
  <c r="AO10" i="44" s="1"/>
  <c r="BH10" i="44" s="1"/>
  <c r="B58" i="44"/>
  <c r="AO58" i="44" s="1"/>
  <c r="C11" i="44"/>
  <c r="C58" i="44"/>
  <c r="AP58" i="44" s="1"/>
  <c r="V10" i="44"/>
  <c r="AP10" i="44" s="1"/>
  <c r="BI10" i="44" s="1"/>
  <c r="BD8" i="44"/>
  <c r="AU9" i="44"/>
  <c r="L8" i="44"/>
  <c r="L31" i="44"/>
  <c r="AH78" i="44"/>
  <c r="N24" i="58" s="1"/>
  <c r="AH54" i="44"/>
  <c r="N24" i="54" s="1"/>
  <c r="BB54" i="44"/>
  <c r="N24" i="55" s="1"/>
  <c r="O32" i="44"/>
  <c r="O9" i="44"/>
  <c r="AH77" i="44"/>
  <c r="N23" i="58" s="1"/>
  <c r="N3" i="58" s="1"/>
  <c r="AH53" i="44"/>
  <c r="N23" i="54" s="1"/>
  <c r="BB53" i="44"/>
  <c r="N23" i="55" s="1"/>
  <c r="AE77" i="44"/>
  <c r="K23" i="58" s="1"/>
  <c r="K3" i="58" s="1"/>
  <c r="AE53" i="44"/>
  <c r="K23" i="54" s="1"/>
  <c r="AY53" i="44"/>
  <c r="K23" i="55" s="1"/>
  <c r="K3" i="55" s="1"/>
  <c r="O79" i="44"/>
  <c r="N25" i="57" s="1"/>
  <c r="AP32" i="44"/>
  <c r="AX31" i="44"/>
  <c r="AZ31" i="44"/>
  <c r="BN30" i="44"/>
  <c r="BL31" i="44"/>
  <c r="BX33" i="44"/>
  <c r="N33" i="44"/>
  <c r="N10" i="44"/>
  <c r="L78" i="44"/>
  <c r="K24" i="57" s="1"/>
  <c r="BQ29" i="44"/>
  <c r="BT29" i="44"/>
  <c r="N80" i="44"/>
  <c r="M26" i="57" s="1"/>
  <c r="BL29" i="43"/>
  <c r="BN28" i="43"/>
  <c r="BI3" i="43"/>
  <c r="AO27" i="43" a="1"/>
  <c r="AZ30" i="43"/>
  <c r="AP31" i="43"/>
  <c r="AX31" i="43" s="1"/>
  <c r="F75" i="31"/>
  <c r="E58" i="31"/>
  <c r="F57" i="31"/>
  <c r="F37" i="31"/>
  <c r="E38" i="31"/>
  <c r="E17" i="31"/>
  <c r="F16" i="31"/>
  <c r="E117" i="31"/>
  <c r="F116" i="31"/>
  <c r="E99" i="31"/>
  <c r="F98" i="31"/>
  <c r="BI59" i="49" l="1"/>
  <c r="AI29" i="48"/>
  <c r="M3" i="58"/>
  <c r="K3" i="54"/>
  <c r="N5" i="53"/>
  <c r="M109" i="53"/>
  <c r="N59" i="49"/>
  <c r="M109" i="56" s="1"/>
  <c r="N3" i="55"/>
  <c r="M130" i="53"/>
  <c r="N60" i="50"/>
  <c r="M130" i="56" s="1"/>
  <c r="X31" i="50"/>
  <c r="N3" i="54"/>
  <c r="L56" i="46"/>
  <c r="K46" i="56" s="1"/>
  <c r="K46" i="53"/>
  <c r="L61" i="50"/>
  <c r="K131" i="56" s="1"/>
  <c r="K131" i="53"/>
  <c r="K25" i="53"/>
  <c r="L55" i="44"/>
  <c r="K25" i="56" s="1"/>
  <c r="K5" i="56" s="1"/>
  <c r="K42" i="55"/>
  <c r="K2" i="55" s="1"/>
  <c r="K42" i="54"/>
  <c r="K2" i="54" s="1"/>
  <c r="N44" i="55"/>
  <c r="N44" i="54"/>
  <c r="M43" i="55"/>
  <c r="M3" i="55" s="1"/>
  <c r="M43" i="54"/>
  <c r="M3" i="54" s="1"/>
  <c r="K109" i="53"/>
  <c r="L59" i="49"/>
  <c r="K109" i="56" s="1"/>
  <c r="N55" i="46"/>
  <c r="M45" i="56" s="1"/>
  <c r="M5" i="56" s="1"/>
  <c r="M45" i="53"/>
  <c r="AB31" i="50"/>
  <c r="N42" i="54"/>
  <c r="N2" i="54" s="1"/>
  <c r="N42" i="55"/>
  <c r="N2" i="55" s="1"/>
  <c r="K4" i="57"/>
  <c r="K87" i="53"/>
  <c r="L57" i="48"/>
  <c r="K87" i="56" s="1"/>
  <c r="M27" i="53"/>
  <c r="N57" i="44"/>
  <c r="M27" i="56" s="1"/>
  <c r="K44" i="55"/>
  <c r="K44" i="54"/>
  <c r="N26" i="53"/>
  <c r="O56" i="44"/>
  <c r="N26" i="56" s="1"/>
  <c r="AG79" i="44"/>
  <c r="M25" i="58" s="1"/>
  <c r="K65" i="53"/>
  <c r="L55" i="47"/>
  <c r="K65" i="56" s="1"/>
  <c r="M65" i="53"/>
  <c r="N55" i="47"/>
  <c r="M65" i="56" s="1"/>
  <c r="N58" i="48"/>
  <c r="M88" i="56" s="1"/>
  <c r="M88" i="53"/>
  <c r="M5" i="53"/>
  <c r="AS31" i="50"/>
  <c r="BK61" i="50" s="1"/>
  <c r="CA32" i="48"/>
  <c r="L86" i="53"/>
  <c r="AB31" i="49"/>
  <c r="J87" i="51"/>
  <c r="K10" i="48"/>
  <c r="K33" i="48"/>
  <c r="W31" i="50"/>
  <c r="P125" i="53"/>
  <c r="K56" i="48"/>
  <c r="J86" i="53"/>
  <c r="K80" i="48"/>
  <c r="J86" i="57" s="1"/>
  <c r="K56" i="49"/>
  <c r="J106" i="56" s="1"/>
  <c r="J106" i="53"/>
  <c r="K56" i="50"/>
  <c r="J126" i="56" s="1"/>
  <c r="J126" i="53"/>
  <c r="AK53" i="49"/>
  <c r="BI58" i="49" s="1"/>
  <c r="P103" i="54"/>
  <c r="J85" i="56"/>
  <c r="AX55" i="48"/>
  <c r="J85" i="55" s="1"/>
  <c r="AD55" i="48"/>
  <c r="J85" i="54" s="1"/>
  <c r="AD79" i="48"/>
  <c r="J85" i="58" s="1"/>
  <c r="D87" i="51"/>
  <c r="E33" i="48"/>
  <c r="E10" i="48"/>
  <c r="AQ31" i="48"/>
  <c r="BK59" i="48" s="1"/>
  <c r="P85" i="53"/>
  <c r="AK53" i="50"/>
  <c r="BI58" i="50" s="1"/>
  <c r="P123" i="54"/>
  <c r="AI6" i="48"/>
  <c r="O84" i="51"/>
  <c r="AC31" i="49"/>
  <c r="P105" i="53"/>
  <c r="D86" i="53"/>
  <c r="E80" i="48"/>
  <c r="D86" i="57" s="1"/>
  <c r="E56" i="48"/>
  <c r="AK53" i="48"/>
  <c r="BI58" i="48" s="1"/>
  <c r="P83" i="54"/>
  <c r="AJ30" i="50"/>
  <c r="AJ30" i="49"/>
  <c r="AQ31" i="49"/>
  <c r="BK59" i="49" s="1"/>
  <c r="AJ54" i="50"/>
  <c r="K33" i="49"/>
  <c r="K10" i="49"/>
  <c r="J108" i="51" s="1"/>
  <c r="D33" i="49"/>
  <c r="C107" i="53" s="1"/>
  <c r="Q9" i="49"/>
  <c r="P107" i="51" s="1"/>
  <c r="D10" i="49"/>
  <c r="C108" i="51" s="1"/>
  <c r="BR33" i="49"/>
  <c r="BM65" i="49" s="1"/>
  <c r="D56" i="50"/>
  <c r="C126" i="56" s="1"/>
  <c r="D80" i="50"/>
  <c r="C126" i="57" s="1"/>
  <c r="Q32" i="50"/>
  <c r="W32" i="50" s="1"/>
  <c r="M56" i="49"/>
  <c r="L106" i="56" s="1"/>
  <c r="M80" i="49"/>
  <c r="L106" i="57" s="1"/>
  <c r="Q79" i="49"/>
  <c r="P105" i="57" s="1"/>
  <c r="AB79" i="50"/>
  <c r="H125" i="58" s="1"/>
  <c r="AB55" i="50"/>
  <c r="H125" i="54" s="1"/>
  <c r="AV55" i="50"/>
  <c r="H125" i="55" s="1"/>
  <c r="AJ78" i="50"/>
  <c r="P124" i="58" s="1"/>
  <c r="AA31" i="49"/>
  <c r="M10" i="50"/>
  <c r="L128" i="51" s="1"/>
  <c r="M33" i="50"/>
  <c r="L127" i="53" s="1"/>
  <c r="AD79" i="50"/>
  <c r="J125" i="58" s="1"/>
  <c r="AX55" i="50"/>
  <c r="J125" i="55" s="1"/>
  <c r="AD55" i="50"/>
  <c r="J125" i="54" s="1"/>
  <c r="AJ78" i="49"/>
  <c r="P104" i="58" s="1"/>
  <c r="E33" i="49"/>
  <c r="D107" i="53" s="1"/>
  <c r="E10" i="49"/>
  <c r="D108" i="51" s="1"/>
  <c r="BJ59" i="49"/>
  <c r="AU30" i="49"/>
  <c r="H10" i="50"/>
  <c r="G128" i="51" s="1"/>
  <c r="H33" i="50"/>
  <c r="G127" i="53" s="1"/>
  <c r="BW33" i="50"/>
  <c r="BM67" i="50" s="1"/>
  <c r="Z31" i="49"/>
  <c r="BJ7" i="49"/>
  <c r="BK7" i="49" s="1"/>
  <c r="BL7" i="49" s="1"/>
  <c r="P7" i="49" s="1"/>
  <c r="O105" i="51" s="1"/>
  <c r="AH31" i="49"/>
  <c r="AR31" i="49"/>
  <c r="BK60" i="49" s="1"/>
  <c r="AE31" i="49"/>
  <c r="AG31" i="49"/>
  <c r="BK68" i="49"/>
  <c r="BK69" i="49"/>
  <c r="AT31" i="49"/>
  <c r="BK62" i="49" s="1"/>
  <c r="AD31" i="49"/>
  <c r="AF79" i="50"/>
  <c r="L125" i="58" s="1"/>
  <c r="AF55" i="50"/>
  <c r="L125" i="54" s="1"/>
  <c r="AZ55" i="50"/>
  <c r="L125" i="55" s="1"/>
  <c r="AC31" i="50"/>
  <c r="AA79" i="49"/>
  <c r="G105" i="58" s="1"/>
  <c r="AU55" i="49"/>
  <c r="G105" i="55" s="1"/>
  <c r="M80" i="50"/>
  <c r="L126" i="57" s="1"/>
  <c r="M56" i="50"/>
  <c r="L126" i="56" s="1"/>
  <c r="AQ31" i="50"/>
  <c r="AC79" i="49"/>
  <c r="I105" i="58" s="1"/>
  <c r="AC55" i="49"/>
  <c r="I105" i="54" s="1"/>
  <c r="AW55" i="49"/>
  <c r="I105" i="55" s="1"/>
  <c r="AF31" i="49"/>
  <c r="H80" i="50"/>
  <c r="G126" i="57" s="1"/>
  <c r="AA56" i="50"/>
  <c r="G126" i="54" s="1"/>
  <c r="H56" i="50"/>
  <c r="G126" i="56" s="1"/>
  <c r="AS31" i="49"/>
  <c r="BK61" i="49" s="1"/>
  <c r="Y31" i="49"/>
  <c r="Y31" i="50"/>
  <c r="AC79" i="50"/>
  <c r="I125" i="58" s="1"/>
  <c r="AW55" i="50"/>
  <c r="I125" i="55" s="1"/>
  <c r="AC55" i="50"/>
  <c r="I125" i="54" s="1"/>
  <c r="J33" i="50"/>
  <c r="I127" i="53" s="1"/>
  <c r="J10" i="50"/>
  <c r="I128" i="51" s="1"/>
  <c r="H56" i="49"/>
  <c r="G106" i="56" s="1"/>
  <c r="H80" i="49"/>
  <c r="G106" i="57" s="1"/>
  <c r="AA56" i="49"/>
  <c r="G106" i="54" s="1"/>
  <c r="X31" i="49"/>
  <c r="AJ54" i="49"/>
  <c r="Q55" i="49"/>
  <c r="P105" i="56" s="1"/>
  <c r="W55" i="49"/>
  <c r="C105" i="54" s="1"/>
  <c r="W79" i="49"/>
  <c r="C105" i="58" s="1"/>
  <c r="AQ55" i="49"/>
  <c r="C105" i="55" s="1"/>
  <c r="AZ55" i="49"/>
  <c r="L105" i="55" s="1"/>
  <c r="AF55" i="49"/>
  <c r="L105" i="54" s="1"/>
  <c r="AF79" i="49"/>
  <c r="L105" i="58" s="1"/>
  <c r="AI6" i="49"/>
  <c r="P30" i="49"/>
  <c r="O104" i="53" s="1"/>
  <c r="BO30" i="49"/>
  <c r="BJ64" i="49" s="1"/>
  <c r="BU30" i="49"/>
  <c r="BJ66" i="49" s="1"/>
  <c r="J10" i="49"/>
  <c r="I108" i="51" s="1"/>
  <c r="J33" i="49"/>
  <c r="I107" i="53" s="1"/>
  <c r="Z79" i="49"/>
  <c r="F105" i="58" s="1"/>
  <c r="Z55" i="49"/>
  <c r="F105" i="54" s="1"/>
  <c r="AT55" i="49"/>
  <c r="F105" i="55" s="1"/>
  <c r="I33" i="49"/>
  <c r="H107" i="53" s="1"/>
  <c r="I10" i="49"/>
  <c r="H108" i="51" s="1"/>
  <c r="Y79" i="49"/>
  <c r="E105" i="58" s="1"/>
  <c r="Y55" i="49"/>
  <c r="E105" i="54" s="1"/>
  <c r="AS55" i="49"/>
  <c r="E105" i="55" s="1"/>
  <c r="Y79" i="50"/>
  <c r="E125" i="58" s="1"/>
  <c r="Y55" i="50"/>
  <c r="E125" i="54" s="1"/>
  <c r="AS55" i="50"/>
  <c r="E125" i="55" s="1"/>
  <c r="J80" i="50"/>
  <c r="I126" i="57" s="1"/>
  <c r="J56" i="50"/>
  <c r="I126" i="56" s="1"/>
  <c r="H10" i="49"/>
  <c r="G108" i="51" s="1"/>
  <c r="H33" i="49"/>
  <c r="G107" i="53" s="1"/>
  <c r="BW33" i="49"/>
  <c r="BM67" i="49" s="1"/>
  <c r="AD31" i="50"/>
  <c r="AH31" i="50"/>
  <c r="AR31" i="50"/>
  <c r="BK60" i="50" s="1"/>
  <c r="BJ7" i="50"/>
  <c r="BK7" i="50" s="1"/>
  <c r="BL7" i="50" s="1"/>
  <c r="P7" i="50" s="1"/>
  <c r="O125" i="51" s="1"/>
  <c r="AE31" i="50"/>
  <c r="BK68" i="50"/>
  <c r="AG31" i="50"/>
  <c r="AT31" i="50"/>
  <c r="BK62" i="50" s="1"/>
  <c r="BK69" i="50"/>
  <c r="K33" i="50"/>
  <c r="K10" i="50"/>
  <c r="J128" i="51" s="1"/>
  <c r="AR55" i="49"/>
  <c r="D105" i="55" s="1"/>
  <c r="X79" i="49"/>
  <c r="D105" i="58" s="1"/>
  <c r="X55" i="49"/>
  <c r="D105" i="54" s="1"/>
  <c r="AA31" i="50"/>
  <c r="G10" i="50"/>
  <c r="F128" i="51" s="1"/>
  <c r="G33" i="50"/>
  <c r="F127" i="53" s="1"/>
  <c r="AR55" i="50"/>
  <c r="D125" i="55" s="1"/>
  <c r="X79" i="50"/>
  <c r="D125" i="58" s="1"/>
  <c r="X55" i="50"/>
  <c r="D125" i="54" s="1"/>
  <c r="M10" i="49"/>
  <c r="L108" i="51" s="1"/>
  <c r="M33" i="49"/>
  <c r="L107" i="53" s="1"/>
  <c r="F33" i="49"/>
  <c r="E107" i="53" s="1"/>
  <c r="F10" i="49"/>
  <c r="E108" i="51" s="1"/>
  <c r="AI29" i="50"/>
  <c r="P77" i="50"/>
  <c r="O123" i="57" s="1"/>
  <c r="J80" i="49"/>
  <c r="I106" i="57" s="1"/>
  <c r="J56" i="49"/>
  <c r="I106" i="56" s="1"/>
  <c r="Z31" i="50"/>
  <c r="E33" i="50"/>
  <c r="D127" i="53" s="1"/>
  <c r="E10" i="50"/>
  <c r="D128" i="51" s="1"/>
  <c r="AB79" i="49"/>
  <c r="H105" i="58" s="1"/>
  <c r="AB55" i="49"/>
  <c r="H105" i="54" s="1"/>
  <c r="AV55" i="49"/>
  <c r="H105" i="55" s="1"/>
  <c r="I80" i="49"/>
  <c r="H106" i="57" s="1"/>
  <c r="I56" i="49"/>
  <c r="H106" i="56" s="1"/>
  <c r="AD79" i="49"/>
  <c r="J105" i="58" s="1"/>
  <c r="AD55" i="49"/>
  <c r="J105" i="54" s="1"/>
  <c r="AX55" i="49"/>
  <c r="J105" i="55" s="1"/>
  <c r="I33" i="50"/>
  <c r="H127" i="53" s="1"/>
  <c r="I10" i="50"/>
  <c r="H128" i="51" s="1"/>
  <c r="W79" i="50"/>
  <c r="C125" i="58" s="1"/>
  <c r="W55" i="50"/>
  <c r="C125" i="54" s="1"/>
  <c r="Q55" i="50"/>
  <c r="P125" i="56" s="1"/>
  <c r="AQ55" i="50"/>
  <c r="C125" i="55" s="1"/>
  <c r="CA32" i="50"/>
  <c r="K80" i="50"/>
  <c r="J126" i="57" s="1"/>
  <c r="AD32" i="50"/>
  <c r="G80" i="50"/>
  <c r="F126" i="57" s="1"/>
  <c r="G56" i="50"/>
  <c r="F126" i="56" s="1"/>
  <c r="AS32" i="50"/>
  <c r="BL61" i="50" s="1"/>
  <c r="Z32" i="50"/>
  <c r="AJ5" i="50"/>
  <c r="BC53" i="50"/>
  <c r="G33" i="49"/>
  <c r="F107" i="53" s="1"/>
  <c r="G10" i="49"/>
  <c r="F108" i="51" s="1"/>
  <c r="Z79" i="50"/>
  <c r="F125" i="58" s="1"/>
  <c r="Z55" i="50"/>
  <c r="F125" i="54" s="1"/>
  <c r="AT55" i="50"/>
  <c r="F125" i="55" s="1"/>
  <c r="E80" i="50"/>
  <c r="D126" i="57" s="1"/>
  <c r="E56" i="50"/>
  <c r="D126" i="56" s="1"/>
  <c r="P77" i="49"/>
  <c r="O103" i="57" s="1"/>
  <c r="AI29" i="49"/>
  <c r="I56" i="50"/>
  <c r="H126" i="56" s="1"/>
  <c r="I80" i="50"/>
  <c r="H126" i="57" s="1"/>
  <c r="AB32" i="50"/>
  <c r="F33" i="50"/>
  <c r="E127" i="53" s="1"/>
  <c r="F10" i="50"/>
  <c r="E128" i="51" s="1"/>
  <c r="Q79" i="50"/>
  <c r="P125" i="57" s="1"/>
  <c r="AU30" i="50"/>
  <c r="AA79" i="50"/>
  <c r="G125" i="58" s="1"/>
  <c r="AU55" i="50"/>
  <c r="G125" i="55" s="1"/>
  <c r="E80" i="49"/>
  <c r="D106" i="57" s="1"/>
  <c r="E56" i="49"/>
  <c r="D106" i="56" s="1"/>
  <c r="G56" i="49"/>
  <c r="F106" i="56" s="1"/>
  <c r="G80" i="49"/>
  <c r="F106" i="57" s="1"/>
  <c r="F56" i="49"/>
  <c r="E106" i="56" s="1"/>
  <c r="F80" i="49"/>
  <c r="E106" i="57" s="1"/>
  <c r="AJ5" i="49"/>
  <c r="F80" i="50"/>
  <c r="E126" i="57" s="1"/>
  <c r="F56" i="50"/>
  <c r="E126" i="56" s="1"/>
  <c r="Y32" i="50"/>
  <c r="P30" i="50"/>
  <c r="O124" i="53" s="1"/>
  <c r="AI6" i="50"/>
  <c r="BU30" i="50"/>
  <c r="BJ66" i="50" s="1"/>
  <c r="BO30" i="50"/>
  <c r="BJ64" i="50" s="1"/>
  <c r="K80" i="49"/>
  <c r="J106" i="57" s="1"/>
  <c r="CA32" i="49"/>
  <c r="BA29" i="50"/>
  <c r="BI59" i="50"/>
  <c r="D56" i="49"/>
  <c r="C106" i="56" s="1"/>
  <c r="Q32" i="49"/>
  <c r="D80" i="49"/>
  <c r="C106" i="57" s="1"/>
  <c r="BJ59" i="50"/>
  <c r="D33" i="50"/>
  <c r="C127" i="53" s="1"/>
  <c r="D10" i="50"/>
  <c r="C128" i="51" s="1"/>
  <c r="BR33" i="50"/>
  <c r="BM65" i="50" s="1"/>
  <c r="Q9" i="50"/>
  <c r="P127" i="51" s="1"/>
  <c r="Q55" i="48"/>
  <c r="P85" i="56" s="1"/>
  <c r="Q32" i="48"/>
  <c r="AJ78" i="48"/>
  <c r="P84" i="58" s="1"/>
  <c r="Q9" i="48"/>
  <c r="P87" i="51" s="1"/>
  <c r="AJ54" i="48"/>
  <c r="Q79" i="48"/>
  <c r="P85" i="57" s="1"/>
  <c r="P30" i="48"/>
  <c r="BU30" i="48"/>
  <c r="BJ66" i="48" s="1"/>
  <c r="AE31" i="48"/>
  <c r="BR33" i="48"/>
  <c r="BM65" i="48" s="1"/>
  <c r="AF31" i="48"/>
  <c r="BO30" i="48"/>
  <c r="BJ64" i="48" s="1"/>
  <c r="X31" i="48"/>
  <c r="Z31" i="48"/>
  <c r="AJ30" i="48"/>
  <c r="BK68" i="48"/>
  <c r="AU30" i="48"/>
  <c r="BK69" i="48"/>
  <c r="C60" i="50"/>
  <c r="V60" i="50" s="1"/>
  <c r="AP60" i="50" s="1"/>
  <c r="C36" i="50"/>
  <c r="V12" i="50"/>
  <c r="AP12" i="50" s="1"/>
  <c r="BI12" i="50" s="1"/>
  <c r="C13" i="50"/>
  <c r="C83" i="50"/>
  <c r="V35" i="50"/>
  <c r="V83" i="50" s="1"/>
  <c r="L85" i="50"/>
  <c r="K131" i="57" s="1"/>
  <c r="BA33" i="50"/>
  <c r="B61" i="50"/>
  <c r="U61" i="50" s="1"/>
  <c r="AO61" i="50" s="1"/>
  <c r="B37" i="50"/>
  <c r="B14" i="50"/>
  <c r="U13" i="50"/>
  <c r="AO13" i="50" s="1"/>
  <c r="BH13" i="50" s="1"/>
  <c r="AG83" i="50"/>
  <c r="M129" i="58" s="1"/>
  <c r="AG59" i="50"/>
  <c r="M129" i="54" s="1"/>
  <c r="BA59" i="50"/>
  <c r="M129" i="55" s="1"/>
  <c r="N37" i="50"/>
  <c r="BX37" i="50"/>
  <c r="N14" i="50"/>
  <c r="AX34" i="50"/>
  <c r="AP35" i="50"/>
  <c r="AZ34" i="50"/>
  <c r="AW34" i="50"/>
  <c r="O37" i="50"/>
  <c r="N131" i="53" s="1"/>
  <c r="O14" i="50"/>
  <c r="L38" i="50"/>
  <c r="L15" i="50"/>
  <c r="B84" i="50"/>
  <c r="U36" i="50"/>
  <c r="U84" i="50" s="1"/>
  <c r="N84" i="50"/>
  <c r="M130" i="57" s="1"/>
  <c r="O84" i="50"/>
  <c r="N130" i="57" s="1"/>
  <c r="O60" i="50"/>
  <c r="N130" i="56" s="1"/>
  <c r="AE84" i="50"/>
  <c r="K130" i="58" s="1"/>
  <c r="AE60" i="50"/>
  <c r="K130" i="54" s="1"/>
  <c r="AY60" i="50"/>
  <c r="K130" i="55" s="1"/>
  <c r="AH83" i="50"/>
  <c r="N129" i="58" s="1"/>
  <c r="AH59" i="50"/>
  <c r="N129" i="54" s="1"/>
  <c r="BB59" i="50"/>
  <c r="N129" i="55" s="1"/>
  <c r="BD13" i="50"/>
  <c r="AU14" i="50"/>
  <c r="C84" i="49"/>
  <c r="V36" i="49"/>
  <c r="V84" i="49" s="1"/>
  <c r="AG82" i="49"/>
  <c r="M108" i="58" s="1"/>
  <c r="AG58" i="49"/>
  <c r="M108" i="54" s="1"/>
  <c r="BA58" i="49"/>
  <c r="M108" i="55" s="1"/>
  <c r="AH82" i="49"/>
  <c r="N108" i="58" s="1"/>
  <c r="AH58" i="49"/>
  <c r="N108" i="54" s="1"/>
  <c r="BB58" i="49"/>
  <c r="N108" i="55" s="1"/>
  <c r="BD15" i="49"/>
  <c r="BX36" i="49"/>
  <c r="N13" i="49"/>
  <c r="N36" i="49"/>
  <c r="AZ34" i="49"/>
  <c r="AP35" i="49"/>
  <c r="AX34" i="49"/>
  <c r="AW34" i="49"/>
  <c r="O36" i="49"/>
  <c r="N110" i="53" s="1"/>
  <c r="O13" i="49"/>
  <c r="O83" i="49"/>
  <c r="N109" i="57" s="1"/>
  <c r="O59" i="49"/>
  <c r="N109" i="56" s="1"/>
  <c r="AE82" i="49"/>
  <c r="K108" i="58" s="1"/>
  <c r="AE58" i="49"/>
  <c r="K108" i="54" s="1"/>
  <c r="AY58" i="49"/>
  <c r="K108" i="55" s="1"/>
  <c r="N83" i="49"/>
  <c r="M109" i="57" s="1"/>
  <c r="L36" i="49"/>
  <c r="L13" i="49"/>
  <c r="C61" i="49"/>
  <c r="V61" i="49" s="1"/>
  <c r="AP61" i="49" s="1"/>
  <c r="C37" i="49"/>
  <c r="C14" i="49"/>
  <c r="V13" i="49"/>
  <c r="AP13" i="49" s="1"/>
  <c r="BI13" i="49" s="1"/>
  <c r="B61" i="49"/>
  <c r="U61" i="49" s="1"/>
  <c r="AO61" i="49" s="1"/>
  <c r="B37" i="49"/>
  <c r="B14" i="49"/>
  <c r="U13" i="49"/>
  <c r="AO13" i="49" s="1"/>
  <c r="BH13" i="49" s="1"/>
  <c r="L83" i="49"/>
  <c r="K109" i="57" s="1"/>
  <c r="B84" i="49"/>
  <c r="U36" i="49"/>
  <c r="U84" i="49" s="1"/>
  <c r="Y31" i="48"/>
  <c r="W31" i="48"/>
  <c r="AH31" i="48"/>
  <c r="AC31" i="48"/>
  <c r="G33" i="48"/>
  <c r="F87" i="53" s="1"/>
  <c r="G10" i="48"/>
  <c r="F88" i="51" s="1"/>
  <c r="Y55" i="48"/>
  <c r="E85" i="54" s="1"/>
  <c r="Y79" i="48"/>
  <c r="E85" i="58" s="1"/>
  <c r="AS55" i="48"/>
  <c r="E85" i="55" s="1"/>
  <c r="AD31" i="48"/>
  <c r="AR31" i="48"/>
  <c r="BK60" i="48" s="1"/>
  <c r="M80" i="48"/>
  <c r="L86" i="57" s="1"/>
  <c r="M56" i="48"/>
  <c r="L86" i="56" s="1"/>
  <c r="G80" i="48"/>
  <c r="F86" i="57" s="1"/>
  <c r="G56" i="48"/>
  <c r="F86" i="56" s="1"/>
  <c r="AG31" i="48"/>
  <c r="BJ7" i="48"/>
  <c r="BK7" i="48" s="1"/>
  <c r="BL7" i="48" s="1"/>
  <c r="P7" i="48" s="1"/>
  <c r="AA31" i="48"/>
  <c r="M33" i="48"/>
  <c r="L87" i="53" s="1"/>
  <c r="M10" i="48"/>
  <c r="F56" i="48"/>
  <c r="E86" i="56" s="1"/>
  <c r="F80" i="48"/>
  <c r="E86" i="57" s="1"/>
  <c r="Z55" i="48"/>
  <c r="F85" i="54" s="1"/>
  <c r="AT55" i="48"/>
  <c r="F85" i="55" s="1"/>
  <c r="Z79" i="48"/>
  <c r="F85" i="58" s="1"/>
  <c r="AS31" i="48"/>
  <c r="BK61" i="48" s="1"/>
  <c r="AT31" i="48"/>
  <c r="BK62" i="48" s="1"/>
  <c r="AB31" i="48"/>
  <c r="BW33" i="48"/>
  <c r="BM67" i="48" s="1"/>
  <c r="AZ55" i="48"/>
  <c r="L85" i="55" s="1"/>
  <c r="AF79" i="48"/>
  <c r="L85" i="58" s="1"/>
  <c r="AF55" i="48"/>
  <c r="L85" i="54" s="1"/>
  <c r="F10" i="48"/>
  <c r="E88" i="51" s="1"/>
  <c r="F33" i="48"/>
  <c r="E87" i="53" s="1"/>
  <c r="BA31" i="48"/>
  <c r="AJ6" i="48"/>
  <c r="AG81" i="48"/>
  <c r="M87" i="58" s="1"/>
  <c r="AG57" i="48"/>
  <c r="M87" i="54" s="1"/>
  <c r="BA57" i="48"/>
  <c r="M87" i="55" s="1"/>
  <c r="D81" i="48"/>
  <c r="C87" i="57" s="1"/>
  <c r="D57" i="48"/>
  <c r="C87" i="56" s="1"/>
  <c r="H81" i="48"/>
  <c r="G87" i="57" s="1"/>
  <c r="AA57" i="48"/>
  <c r="G87" i="54" s="1"/>
  <c r="H57" i="48"/>
  <c r="G87" i="56" s="1"/>
  <c r="AE80" i="48"/>
  <c r="K86" i="58" s="1"/>
  <c r="AE56" i="48"/>
  <c r="K86" i="54" s="1"/>
  <c r="AY56" i="48"/>
  <c r="K86" i="55" s="1"/>
  <c r="O36" i="48"/>
  <c r="N90" i="53" s="1"/>
  <c r="O13" i="48"/>
  <c r="J34" i="48"/>
  <c r="I88" i="53" s="1"/>
  <c r="J11" i="48"/>
  <c r="I89" i="51" s="1"/>
  <c r="B82" i="48"/>
  <c r="U34" i="48"/>
  <c r="U82" i="48" s="1"/>
  <c r="N82" i="48"/>
  <c r="M88" i="57" s="1"/>
  <c r="J81" i="48"/>
  <c r="I87" i="57" s="1"/>
  <c r="J57" i="48"/>
  <c r="I87" i="56" s="1"/>
  <c r="AA80" i="48"/>
  <c r="G86" i="58" s="1"/>
  <c r="AU56" i="48"/>
  <c r="G86" i="55" s="1"/>
  <c r="AB80" i="48"/>
  <c r="H86" i="58" s="1"/>
  <c r="AB56" i="48"/>
  <c r="H86" i="54" s="1"/>
  <c r="AV56" i="48"/>
  <c r="H86" i="55" s="1"/>
  <c r="O83" i="48"/>
  <c r="N89" i="57" s="1"/>
  <c r="O59" i="48"/>
  <c r="N89" i="56" s="1"/>
  <c r="AP33" i="48"/>
  <c r="AZ32" i="48"/>
  <c r="AX32" i="48"/>
  <c r="AW32" i="48"/>
  <c r="BC53" i="48"/>
  <c r="B35" i="48"/>
  <c r="B59" i="48"/>
  <c r="U59" i="48" s="1"/>
  <c r="AO59" i="48" s="1"/>
  <c r="U11" i="48"/>
  <c r="AO11" i="48" s="1"/>
  <c r="BH11" i="48" s="1"/>
  <c r="B12" i="48"/>
  <c r="BX35" i="48"/>
  <c r="N35" i="48"/>
  <c r="N12" i="48"/>
  <c r="BD10" i="48"/>
  <c r="AU11" i="48"/>
  <c r="I81" i="48"/>
  <c r="H87" i="57" s="1"/>
  <c r="I57" i="48"/>
  <c r="H87" i="56" s="1"/>
  <c r="D34" i="48"/>
  <c r="C88" i="53" s="1"/>
  <c r="D11" i="48"/>
  <c r="C89" i="51" s="1"/>
  <c r="L11" i="48"/>
  <c r="L34" i="48"/>
  <c r="AC80" i="48"/>
  <c r="I86" i="58" s="1"/>
  <c r="AC56" i="48"/>
  <c r="I86" i="54" s="1"/>
  <c r="AW56" i="48"/>
  <c r="I86" i="55" s="1"/>
  <c r="I34" i="48"/>
  <c r="H88" i="53" s="1"/>
  <c r="I11" i="48"/>
  <c r="H89" i="51" s="1"/>
  <c r="AH82" i="48"/>
  <c r="N88" i="58" s="1"/>
  <c r="AH58" i="48"/>
  <c r="N88" i="54" s="1"/>
  <c r="BB58" i="48"/>
  <c r="N88" i="55" s="1"/>
  <c r="L81" i="48"/>
  <c r="K87" i="57" s="1"/>
  <c r="C58" i="48"/>
  <c r="V58" i="48" s="1"/>
  <c r="AP58" i="48" s="1"/>
  <c r="C34" i="48"/>
  <c r="C11" i="48"/>
  <c r="V10" i="48"/>
  <c r="AP10" i="48" s="1"/>
  <c r="BI10" i="48" s="1"/>
  <c r="W80" i="48"/>
  <c r="C86" i="58" s="1"/>
  <c r="W56" i="48"/>
  <c r="C86" i="54" s="1"/>
  <c r="AQ56" i="48"/>
  <c r="C86" i="55" s="1"/>
  <c r="C81" i="48"/>
  <c r="V33" i="48"/>
  <c r="V81" i="48" s="1"/>
  <c r="H34" i="48"/>
  <c r="G88" i="53" s="1"/>
  <c r="H11" i="48"/>
  <c r="G89" i="51" s="1"/>
  <c r="AZ30" i="47"/>
  <c r="AP31" i="47"/>
  <c r="AX30" i="47"/>
  <c r="B58" i="47"/>
  <c r="U58" i="47" s="1"/>
  <c r="AO58" i="47" s="1"/>
  <c r="B34" i="47"/>
  <c r="B11" i="47"/>
  <c r="U10" i="47"/>
  <c r="AO10" i="47" s="1"/>
  <c r="BH10" i="47" s="1"/>
  <c r="BD9" i="47"/>
  <c r="AU10" i="47"/>
  <c r="O32" i="47"/>
  <c r="N66" i="53" s="1"/>
  <c r="O9" i="47"/>
  <c r="C81" i="47"/>
  <c r="V33" i="47"/>
  <c r="V81" i="47" s="1"/>
  <c r="O79" i="47"/>
  <c r="N65" i="57" s="1"/>
  <c r="N5" i="57" s="1"/>
  <c r="O55" i="47"/>
  <c r="N65" i="56" s="1"/>
  <c r="N5" i="56" s="1"/>
  <c r="B81" i="47"/>
  <c r="U33" i="47"/>
  <c r="U81" i="47" s="1"/>
  <c r="AH78" i="47"/>
  <c r="N64" i="58" s="1"/>
  <c r="N4" i="58" s="1"/>
  <c r="AH54" i="47"/>
  <c r="N64" i="54" s="1"/>
  <c r="N4" i="54" s="1"/>
  <c r="BB54" i="47"/>
  <c r="N64" i="55" s="1"/>
  <c r="N4" i="55" s="1"/>
  <c r="AG78" i="47"/>
  <c r="M64" i="58" s="1"/>
  <c r="AG54" i="47"/>
  <c r="M64" i="54" s="1"/>
  <c r="BA54" i="47"/>
  <c r="M64" i="55" s="1"/>
  <c r="L32" i="47"/>
  <c r="L9" i="47"/>
  <c r="N32" i="47"/>
  <c r="BX32" i="47"/>
  <c r="N9" i="47"/>
  <c r="C58" i="47"/>
  <c r="V58" i="47" s="1"/>
  <c r="AP58" i="47" s="1"/>
  <c r="C34" i="47"/>
  <c r="V10" i="47"/>
  <c r="AP10" i="47" s="1"/>
  <c r="BI10" i="47" s="1"/>
  <c r="C11" i="47"/>
  <c r="AE78" i="47"/>
  <c r="K64" i="58" s="1"/>
  <c r="AE54" i="47"/>
  <c r="K64" i="54" s="1"/>
  <c r="AY54" i="47"/>
  <c r="K64" i="55" s="1"/>
  <c r="L79" i="47"/>
  <c r="K65" i="57" s="1"/>
  <c r="N79" i="47"/>
  <c r="M65" i="57" s="1"/>
  <c r="AE79" i="46"/>
  <c r="K45" i="58" s="1"/>
  <c r="AE55" i="46"/>
  <c r="AY55" i="46"/>
  <c r="N32" i="46"/>
  <c r="N9" i="46"/>
  <c r="BX32" i="46"/>
  <c r="AU9" i="46"/>
  <c r="BD8" i="46"/>
  <c r="O33" i="46"/>
  <c r="N47" i="53" s="1"/>
  <c r="O10" i="46"/>
  <c r="B56" i="46"/>
  <c r="U56" i="46" s="1"/>
  <c r="AO56" i="46" s="1"/>
  <c r="B32" i="46"/>
  <c r="B9" i="46"/>
  <c r="U8" i="46"/>
  <c r="AO8" i="46" s="1"/>
  <c r="BH8" i="46" s="1"/>
  <c r="N79" i="46"/>
  <c r="M45" i="57" s="1"/>
  <c r="M5" i="57" s="1"/>
  <c r="O80" i="46"/>
  <c r="N46" i="57" s="1"/>
  <c r="O56" i="46"/>
  <c r="N46" i="56" s="1"/>
  <c r="C57" i="46"/>
  <c r="V57" i="46" s="1"/>
  <c r="AP57" i="46" s="1"/>
  <c r="C10" i="46"/>
  <c r="C33" i="46"/>
  <c r="V9" i="46"/>
  <c r="AP9" i="46" s="1"/>
  <c r="BI9" i="46" s="1"/>
  <c r="L33" i="46"/>
  <c r="L10" i="46"/>
  <c r="L80" i="46"/>
  <c r="K46" i="57" s="1"/>
  <c r="AH79" i="46"/>
  <c r="N45" i="58" s="1"/>
  <c r="AH55" i="46"/>
  <c r="BB55" i="46"/>
  <c r="C80" i="46"/>
  <c r="V32" i="46"/>
  <c r="V80" i="46" s="1"/>
  <c r="AG78" i="46"/>
  <c r="M44" i="58" s="1"/>
  <c r="AG54" i="46"/>
  <c r="BA54" i="46"/>
  <c r="B79" i="46"/>
  <c r="U31" i="46"/>
  <c r="U79" i="46" s="1"/>
  <c r="AZ30" i="46"/>
  <c r="AP31" i="46"/>
  <c r="AX30" i="46"/>
  <c r="BL32" i="46"/>
  <c r="BN31" i="46"/>
  <c r="BQ30" i="46"/>
  <c r="BT30" i="46"/>
  <c r="BA55" i="44"/>
  <c r="M25" i="55" s="1"/>
  <c r="AG55" i="44"/>
  <c r="M25" i="54" s="1"/>
  <c r="U36" i="44"/>
  <c r="U84" i="44" s="1"/>
  <c r="B84" i="44"/>
  <c r="B12" i="44"/>
  <c r="U11" i="44"/>
  <c r="AO11" i="44" s="1"/>
  <c r="BH11" i="44" s="1"/>
  <c r="B59" i="44"/>
  <c r="AO59" i="44" s="1"/>
  <c r="V11" i="44"/>
  <c r="AP11" i="44" s="1"/>
  <c r="BI11" i="44" s="1"/>
  <c r="C59" i="44"/>
  <c r="AP59" i="44" s="1"/>
  <c r="C12" i="44"/>
  <c r="BN31" i="44"/>
  <c r="BL32" i="44"/>
  <c r="BX34" i="44"/>
  <c r="N34" i="44"/>
  <c r="N11" i="44"/>
  <c r="BQ30" i="44"/>
  <c r="BT30" i="44"/>
  <c r="N81" i="44"/>
  <c r="M27" i="57" s="1"/>
  <c r="O33" i="44"/>
  <c r="O10" i="44"/>
  <c r="O80" i="44"/>
  <c r="N26" i="57" s="1"/>
  <c r="L79" i="44"/>
  <c r="K25" i="57" s="1"/>
  <c r="K5" i="57" s="1"/>
  <c r="L32" i="44"/>
  <c r="L9" i="44"/>
  <c r="AH79" i="44"/>
  <c r="N25" i="58" s="1"/>
  <c r="AH55" i="44"/>
  <c r="N25" i="54" s="1"/>
  <c r="BB55" i="44"/>
  <c r="N25" i="55" s="1"/>
  <c r="AG80" i="44"/>
  <c r="M26" i="58" s="1"/>
  <c r="AG56" i="44"/>
  <c r="M26" i="54" s="1"/>
  <c r="BA56" i="44"/>
  <c r="M26" i="55" s="1"/>
  <c r="AE78" i="44"/>
  <c r="K24" i="58" s="1"/>
  <c r="K4" i="58" s="1"/>
  <c r="AE54" i="44"/>
  <c r="K24" i="54" s="1"/>
  <c r="K4" i="54" s="1"/>
  <c r="AY54" i="44"/>
  <c r="K24" i="55" s="1"/>
  <c r="K4" i="55" s="1"/>
  <c r="BD9" i="44"/>
  <c r="AU10" i="44"/>
  <c r="AZ32" i="44"/>
  <c r="AP33" i="44"/>
  <c r="AX32" i="44"/>
  <c r="BQ28" i="43"/>
  <c r="BT28" i="43"/>
  <c r="BL30" i="43"/>
  <c r="BM29" i="43"/>
  <c r="BN29" i="43" s="1"/>
  <c r="AP27" i="43"/>
  <c r="AO27" i="43"/>
  <c r="AP32" i="43"/>
  <c r="AX32" i="43" s="1"/>
  <c r="AZ31" i="43"/>
  <c r="F76" i="31"/>
  <c r="E59" i="31"/>
  <c r="F58" i="31"/>
  <c r="E39" i="31"/>
  <c r="F38" i="31"/>
  <c r="E18" i="31"/>
  <c r="F17" i="31"/>
  <c r="E118" i="31"/>
  <c r="F117" i="31"/>
  <c r="E100" i="31"/>
  <c r="F99" i="31"/>
  <c r="A2" i="27"/>
  <c r="A3" i="27"/>
  <c r="A4" i="27"/>
  <c r="A5" i="27"/>
  <c r="A6" i="27"/>
  <c r="A7" i="27"/>
  <c r="A8" i="27"/>
  <c r="A9" i="27"/>
  <c r="A10" i="27"/>
  <c r="A11" i="27"/>
  <c r="A12" i="27"/>
  <c r="A13" i="27"/>
  <c r="A14" i="27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A1" i="31" a="1"/>
  <c r="B1" i="31" s="1"/>
  <c r="A1" i="26" a="1"/>
  <c r="B1" i="26" s="1"/>
  <c r="A1" i="28" a="1"/>
  <c r="A1" i="28" s="1"/>
  <c r="M131" i="53" l="1"/>
  <c r="N61" i="50"/>
  <c r="M131" i="56" s="1"/>
  <c r="K5" i="53"/>
  <c r="M44" i="55"/>
  <c r="M4" i="55" s="1"/>
  <c r="M44" i="54"/>
  <c r="M4" i="54" s="1"/>
  <c r="N58" i="44"/>
  <c r="M28" i="56" s="1"/>
  <c r="M28" i="53"/>
  <c r="K88" i="53"/>
  <c r="L58" i="48"/>
  <c r="K88" i="56" s="1"/>
  <c r="M4" i="58"/>
  <c r="K47" i="53"/>
  <c r="L57" i="46"/>
  <c r="K47" i="56" s="1"/>
  <c r="M89" i="53"/>
  <c r="N59" i="48"/>
  <c r="M89" i="56" s="1"/>
  <c r="N6" i="53"/>
  <c r="K132" i="53"/>
  <c r="L62" i="50"/>
  <c r="K132" i="56" s="1"/>
  <c r="L56" i="44"/>
  <c r="K26" i="56" s="1"/>
  <c r="K26" i="53"/>
  <c r="M66" i="53"/>
  <c r="N56" i="47"/>
  <c r="M66" i="56" s="1"/>
  <c r="N56" i="46"/>
  <c r="M46" i="56" s="1"/>
  <c r="M46" i="53"/>
  <c r="K110" i="53"/>
  <c r="L60" i="49"/>
  <c r="K110" i="56" s="1"/>
  <c r="O57" i="44"/>
  <c r="N27" i="56" s="1"/>
  <c r="N27" i="53"/>
  <c r="N45" i="55"/>
  <c r="N45" i="54"/>
  <c r="K45" i="55"/>
  <c r="K45" i="54"/>
  <c r="L56" i="47"/>
  <c r="K66" i="56" s="1"/>
  <c r="K66" i="53"/>
  <c r="M110" i="53"/>
  <c r="N60" i="49"/>
  <c r="M110" i="56" s="1"/>
  <c r="AC32" i="50"/>
  <c r="AA32" i="50"/>
  <c r="AF32" i="50"/>
  <c r="AJ31" i="49"/>
  <c r="AK54" i="48"/>
  <c r="BJ58" i="48" s="1"/>
  <c r="P84" i="54"/>
  <c r="D87" i="53"/>
  <c r="E81" i="48"/>
  <c r="D87" i="57" s="1"/>
  <c r="E57" i="48"/>
  <c r="D88" i="51"/>
  <c r="E34" i="48"/>
  <c r="E11" i="48"/>
  <c r="K57" i="48"/>
  <c r="J87" i="53"/>
  <c r="K81" i="48"/>
  <c r="J87" i="57" s="1"/>
  <c r="BD53" i="50"/>
  <c r="P123" i="55" s="1"/>
  <c r="O123" i="55"/>
  <c r="J88" i="51"/>
  <c r="K11" i="48"/>
  <c r="K34" i="48"/>
  <c r="BW34" i="48"/>
  <c r="BN67" i="48" s="1"/>
  <c r="L88" i="51"/>
  <c r="AQ32" i="48"/>
  <c r="BL59" i="48" s="1"/>
  <c r="P86" i="53"/>
  <c r="AD32" i="49"/>
  <c r="P106" i="53"/>
  <c r="BD53" i="48"/>
  <c r="P83" i="55" s="1"/>
  <c r="O83" i="55"/>
  <c r="D86" i="56"/>
  <c r="X80" i="48"/>
  <c r="D86" i="58" s="1"/>
  <c r="X56" i="48"/>
  <c r="D86" i="54" s="1"/>
  <c r="AR56" i="48"/>
  <c r="D86" i="55" s="1"/>
  <c r="AQ32" i="50"/>
  <c r="P126" i="53"/>
  <c r="K57" i="49"/>
  <c r="J107" i="56" s="1"/>
  <c r="J107" i="53"/>
  <c r="AI7" i="48"/>
  <c r="O85" i="51"/>
  <c r="P78" i="48"/>
  <c r="O84" i="57" s="1"/>
  <c r="O84" i="53"/>
  <c r="K57" i="50"/>
  <c r="J127" i="56" s="1"/>
  <c r="J127" i="53"/>
  <c r="AK54" i="49"/>
  <c r="BJ58" i="49" s="1"/>
  <c r="P104" i="54"/>
  <c r="AK54" i="50"/>
  <c r="BJ58" i="50" s="1"/>
  <c r="P124" i="54"/>
  <c r="J86" i="56"/>
  <c r="AD80" i="48"/>
  <c r="J86" i="58" s="1"/>
  <c r="AD56" i="48"/>
  <c r="J86" i="54" s="1"/>
  <c r="AX56" i="48"/>
  <c r="J86" i="55" s="1"/>
  <c r="AJ31" i="50"/>
  <c r="G34" i="49"/>
  <c r="F108" i="53" s="1"/>
  <c r="G11" i="49"/>
  <c r="F109" i="51" s="1"/>
  <c r="H81" i="49"/>
  <c r="G107" i="57" s="1"/>
  <c r="AA57" i="49"/>
  <c r="G107" i="54" s="1"/>
  <c r="H57" i="49"/>
  <c r="G107" i="56" s="1"/>
  <c r="E11" i="49"/>
  <c r="D109" i="51" s="1"/>
  <c r="E34" i="49"/>
  <c r="D108" i="53" s="1"/>
  <c r="M34" i="50"/>
  <c r="L128" i="53" s="1"/>
  <c r="M11" i="50"/>
  <c r="L129" i="51" s="1"/>
  <c r="AC32" i="48"/>
  <c r="W80" i="49"/>
  <c r="C106" i="58" s="1"/>
  <c r="W56" i="49"/>
  <c r="C106" i="54" s="1"/>
  <c r="Q56" i="49"/>
  <c r="P106" i="56" s="1"/>
  <c r="AQ56" i="49"/>
  <c r="C106" i="55" s="1"/>
  <c r="BC53" i="49"/>
  <c r="Z80" i="49"/>
  <c r="F106" i="58" s="1"/>
  <c r="Z56" i="49"/>
  <c r="F106" i="54" s="1"/>
  <c r="AT56" i="49"/>
  <c r="F106" i="55" s="1"/>
  <c r="G57" i="49"/>
  <c r="F107" i="56" s="1"/>
  <c r="G81" i="49"/>
  <c r="F107" i="57" s="1"/>
  <c r="AD80" i="50"/>
  <c r="J126" i="58" s="1"/>
  <c r="AD56" i="50"/>
  <c r="J126" i="54" s="1"/>
  <c r="AX56" i="50"/>
  <c r="J126" i="55" s="1"/>
  <c r="I34" i="50"/>
  <c r="H128" i="53" s="1"/>
  <c r="I11" i="50"/>
  <c r="H129" i="51" s="1"/>
  <c r="H34" i="49"/>
  <c r="G108" i="53" s="1"/>
  <c r="H11" i="49"/>
  <c r="G109" i="51" s="1"/>
  <c r="BW34" i="49"/>
  <c r="BN67" i="49" s="1"/>
  <c r="AA32" i="49"/>
  <c r="E81" i="49"/>
  <c r="D107" i="57" s="1"/>
  <c r="E57" i="49"/>
  <c r="D107" i="56" s="1"/>
  <c r="AF56" i="49"/>
  <c r="L106" i="54" s="1"/>
  <c r="AZ56" i="49"/>
  <c r="L106" i="55" s="1"/>
  <c r="AF80" i="49"/>
  <c r="L106" i="58" s="1"/>
  <c r="BR34" i="49"/>
  <c r="BN65" i="49" s="1"/>
  <c r="Q10" i="49"/>
  <c r="P108" i="51" s="1"/>
  <c r="D11" i="49"/>
  <c r="C109" i="51" s="1"/>
  <c r="D34" i="49"/>
  <c r="C108" i="53" s="1"/>
  <c r="AJ6" i="50"/>
  <c r="X32" i="49"/>
  <c r="I57" i="50"/>
  <c r="H127" i="56" s="1"/>
  <c r="I81" i="50"/>
  <c r="H127" i="57" s="1"/>
  <c r="P31" i="50"/>
  <c r="O125" i="53" s="1"/>
  <c r="AI7" i="50"/>
  <c r="BO31" i="50"/>
  <c r="BK64" i="50" s="1"/>
  <c r="BU31" i="50"/>
  <c r="BK66" i="50" s="1"/>
  <c r="J57" i="49"/>
  <c r="I107" i="56" s="1"/>
  <c r="J81" i="49"/>
  <c r="I107" i="57" s="1"/>
  <c r="AC56" i="49"/>
  <c r="I106" i="54" s="1"/>
  <c r="AC80" i="49"/>
  <c r="I106" i="58" s="1"/>
  <c r="AW56" i="49"/>
  <c r="I106" i="55" s="1"/>
  <c r="D34" i="50"/>
  <c r="C128" i="53" s="1"/>
  <c r="D11" i="50"/>
  <c r="C129" i="51" s="1"/>
  <c r="BR34" i="50"/>
  <c r="BN65" i="50" s="1"/>
  <c r="Q10" i="50"/>
  <c r="P128" i="51" s="1"/>
  <c r="P78" i="50"/>
  <c r="O124" i="57" s="1"/>
  <c r="AI30" i="50"/>
  <c r="Y32" i="49"/>
  <c r="X80" i="49"/>
  <c r="D106" i="58" s="1"/>
  <c r="X56" i="49"/>
  <c r="D106" i="54" s="1"/>
  <c r="AR56" i="49"/>
  <c r="D106" i="55" s="1"/>
  <c r="F34" i="50"/>
  <c r="E128" i="53" s="1"/>
  <c r="F11" i="50"/>
  <c r="E129" i="51" s="1"/>
  <c r="X80" i="50"/>
  <c r="D126" i="58" s="1"/>
  <c r="X56" i="50"/>
  <c r="D126" i="54" s="1"/>
  <c r="AR56" i="50"/>
  <c r="D126" i="55" s="1"/>
  <c r="K34" i="50"/>
  <c r="K11" i="50"/>
  <c r="J129" i="51" s="1"/>
  <c r="AC80" i="50"/>
  <c r="I126" i="58" s="1"/>
  <c r="AC56" i="50"/>
  <c r="I126" i="54" s="1"/>
  <c r="AW56" i="50"/>
  <c r="I126" i="55" s="1"/>
  <c r="J34" i="49"/>
  <c r="I108" i="53" s="1"/>
  <c r="J11" i="49"/>
  <c r="I109" i="51" s="1"/>
  <c r="H57" i="50"/>
  <c r="G127" i="56" s="1"/>
  <c r="H81" i="50"/>
  <c r="G127" i="57" s="1"/>
  <c r="AA57" i="50"/>
  <c r="G127" i="54" s="1"/>
  <c r="D57" i="49"/>
  <c r="C107" i="56" s="1"/>
  <c r="Q33" i="49"/>
  <c r="AQ33" i="49" s="1"/>
  <c r="D81" i="49"/>
  <c r="C107" i="57" s="1"/>
  <c r="D57" i="50"/>
  <c r="C127" i="56" s="1"/>
  <c r="D81" i="50"/>
  <c r="C127" i="57" s="1"/>
  <c r="Q33" i="50"/>
  <c r="F81" i="50"/>
  <c r="E127" i="57" s="1"/>
  <c r="F57" i="50"/>
  <c r="E127" i="56" s="1"/>
  <c r="E34" i="50"/>
  <c r="D128" i="53" s="1"/>
  <c r="E11" i="50"/>
  <c r="D129" i="51" s="1"/>
  <c r="K81" i="50"/>
  <c r="J127" i="57" s="1"/>
  <c r="CA33" i="50"/>
  <c r="I34" i="49"/>
  <c r="H108" i="53" s="1"/>
  <c r="I11" i="49"/>
  <c r="H109" i="51" s="1"/>
  <c r="AJ79" i="49"/>
  <c r="P105" i="58" s="1"/>
  <c r="AA80" i="49"/>
  <c r="G106" i="58" s="1"/>
  <c r="AU56" i="49"/>
  <c r="G106" i="55" s="1"/>
  <c r="H11" i="50"/>
  <c r="G129" i="51" s="1"/>
  <c r="H34" i="50"/>
  <c r="G128" i="53" s="1"/>
  <c r="BW34" i="50"/>
  <c r="BN67" i="50" s="1"/>
  <c r="BL59" i="50"/>
  <c r="K34" i="49"/>
  <c r="K11" i="49"/>
  <c r="J109" i="51" s="1"/>
  <c r="Y56" i="50"/>
  <c r="E126" i="54" s="1"/>
  <c r="Y80" i="50"/>
  <c r="E126" i="58" s="1"/>
  <c r="AS56" i="50"/>
  <c r="E126" i="55" s="1"/>
  <c r="Y80" i="49"/>
  <c r="E106" i="58" s="1"/>
  <c r="Y56" i="49"/>
  <c r="E106" i="54" s="1"/>
  <c r="AS56" i="49"/>
  <c r="E106" i="55" s="1"/>
  <c r="E81" i="50"/>
  <c r="D127" i="57" s="1"/>
  <c r="E57" i="50"/>
  <c r="D127" i="56" s="1"/>
  <c r="F11" i="49"/>
  <c r="E109" i="51" s="1"/>
  <c r="F34" i="49"/>
  <c r="E108" i="53" s="1"/>
  <c r="G57" i="50"/>
  <c r="F127" i="56" s="1"/>
  <c r="G81" i="50"/>
  <c r="F127" i="57" s="1"/>
  <c r="I81" i="49"/>
  <c r="H107" i="57" s="1"/>
  <c r="I57" i="49"/>
  <c r="H107" i="56" s="1"/>
  <c r="AJ55" i="49"/>
  <c r="J34" i="50"/>
  <c r="I128" i="53" s="1"/>
  <c r="J11" i="50"/>
  <c r="I129" i="51" s="1"/>
  <c r="BK59" i="50"/>
  <c r="AU31" i="50"/>
  <c r="X32" i="50"/>
  <c r="AR32" i="50"/>
  <c r="BL60" i="50" s="1"/>
  <c r="AT32" i="50"/>
  <c r="BL62" i="50" s="1"/>
  <c r="AG32" i="50"/>
  <c r="BJ8" i="50"/>
  <c r="BK8" i="50" s="1"/>
  <c r="BL8" i="50" s="1"/>
  <c r="P8" i="50" s="1"/>
  <c r="O126" i="51" s="1"/>
  <c r="AE32" i="50"/>
  <c r="BL69" i="50"/>
  <c r="AH32" i="50"/>
  <c r="BL68" i="50"/>
  <c r="CA33" i="49"/>
  <c r="K81" i="49"/>
  <c r="J107" i="57" s="1"/>
  <c r="W32" i="49"/>
  <c r="BL69" i="49"/>
  <c r="BL68" i="49"/>
  <c r="AE32" i="49"/>
  <c r="AT32" i="49"/>
  <c r="BL62" i="49" s="1"/>
  <c r="AR32" i="49"/>
  <c r="BL60" i="49" s="1"/>
  <c r="AH32" i="49"/>
  <c r="BJ8" i="49"/>
  <c r="BK8" i="49" s="1"/>
  <c r="BL8" i="49" s="1"/>
  <c r="P8" i="49" s="1"/>
  <c r="O106" i="51" s="1"/>
  <c r="AG32" i="49"/>
  <c r="M34" i="49"/>
  <c r="L108" i="53" s="1"/>
  <c r="M11" i="49"/>
  <c r="L109" i="51" s="1"/>
  <c r="AQ32" i="49"/>
  <c r="AD80" i="49"/>
  <c r="J106" i="58" s="1"/>
  <c r="AD56" i="49"/>
  <c r="J106" i="54" s="1"/>
  <c r="AX56" i="49"/>
  <c r="J106" i="55" s="1"/>
  <c r="AS32" i="49"/>
  <c r="BL61" i="49" s="1"/>
  <c r="Z80" i="50"/>
  <c r="F126" i="58" s="1"/>
  <c r="Z56" i="50"/>
  <c r="F126" i="54" s="1"/>
  <c r="AT56" i="50"/>
  <c r="F126" i="55" s="1"/>
  <c r="AJ55" i="50"/>
  <c r="AB32" i="49"/>
  <c r="F81" i="49"/>
  <c r="E107" i="57" s="1"/>
  <c r="F57" i="49"/>
  <c r="E107" i="56" s="1"/>
  <c r="Y33" i="49"/>
  <c r="G11" i="50"/>
  <c r="F129" i="51" s="1"/>
  <c r="G34" i="50"/>
  <c r="F128" i="53" s="1"/>
  <c r="AI30" i="49"/>
  <c r="P78" i="49"/>
  <c r="O104" i="57" s="1"/>
  <c r="J81" i="50"/>
  <c r="I127" i="57" s="1"/>
  <c r="J57" i="50"/>
  <c r="I127" i="56" s="1"/>
  <c r="AA80" i="50"/>
  <c r="G126" i="58" s="1"/>
  <c r="AU56" i="50"/>
  <c r="G126" i="55" s="1"/>
  <c r="Q80" i="50"/>
  <c r="P126" i="57" s="1"/>
  <c r="Q80" i="49"/>
  <c r="P106" i="57" s="1"/>
  <c r="AU31" i="49"/>
  <c r="Z32" i="49"/>
  <c r="AB80" i="50"/>
  <c r="H126" i="58" s="1"/>
  <c r="AB56" i="50"/>
  <c r="H126" i="54" s="1"/>
  <c r="AV56" i="50"/>
  <c r="H126" i="55" s="1"/>
  <c r="AJ79" i="50"/>
  <c r="P125" i="58" s="1"/>
  <c r="AB56" i="49"/>
  <c r="H106" i="54" s="1"/>
  <c r="AB80" i="49"/>
  <c r="H106" i="58" s="1"/>
  <c r="AV56" i="49"/>
  <c r="H106" i="55" s="1"/>
  <c r="AC32" i="49"/>
  <c r="M81" i="49"/>
  <c r="L107" i="57" s="1"/>
  <c r="M57" i="49"/>
  <c r="L107" i="56" s="1"/>
  <c r="AF33" i="49"/>
  <c r="AJ6" i="49"/>
  <c r="BC54" i="49"/>
  <c r="AF80" i="50"/>
  <c r="L126" i="58" s="1"/>
  <c r="AF56" i="50"/>
  <c r="L126" i="54" s="1"/>
  <c r="AZ56" i="50"/>
  <c r="L126" i="55" s="1"/>
  <c r="P31" i="49"/>
  <c r="O105" i="53" s="1"/>
  <c r="AI7" i="49"/>
  <c r="BU31" i="49"/>
  <c r="BK66" i="49" s="1"/>
  <c r="BO31" i="49"/>
  <c r="BK64" i="49" s="1"/>
  <c r="M81" i="50"/>
  <c r="L127" i="57" s="1"/>
  <c r="M57" i="50"/>
  <c r="L127" i="56" s="1"/>
  <c r="AF32" i="49"/>
  <c r="W56" i="50"/>
  <c r="C126" i="54" s="1"/>
  <c r="W80" i="50"/>
  <c r="C126" i="58" s="1"/>
  <c r="Q56" i="50"/>
  <c r="P126" i="56" s="1"/>
  <c r="AQ56" i="50"/>
  <c r="C126" i="55" s="1"/>
  <c r="AG32" i="48"/>
  <c r="AF32" i="48"/>
  <c r="AS32" i="48"/>
  <c r="BL61" i="48" s="1"/>
  <c r="BJ8" i="48"/>
  <c r="BK8" i="48" s="1"/>
  <c r="BL8" i="48" s="1"/>
  <c r="P8" i="48" s="1"/>
  <c r="AT32" i="48"/>
  <c r="BL62" i="48" s="1"/>
  <c r="AR32" i="48"/>
  <c r="BL60" i="48" s="1"/>
  <c r="BL69" i="48"/>
  <c r="Y32" i="48"/>
  <c r="AD32" i="48"/>
  <c r="Q80" i="48"/>
  <c r="P86" i="57" s="1"/>
  <c r="W32" i="48"/>
  <c r="X32" i="48"/>
  <c r="BL68" i="48"/>
  <c r="AU31" i="48"/>
  <c r="AH32" i="48"/>
  <c r="AA32" i="48"/>
  <c r="AE32" i="48"/>
  <c r="Z32" i="48"/>
  <c r="AB32" i="48"/>
  <c r="BR34" i="48"/>
  <c r="BN65" i="48" s="1"/>
  <c r="Q33" i="48"/>
  <c r="Q10" i="48"/>
  <c r="P88" i="51" s="1"/>
  <c r="AI30" i="48"/>
  <c r="AJ55" i="48"/>
  <c r="BU31" i="48"/>
  <c r="BK66" i="48" s="1"/>
  <c r="AJ79" i="48"/>
  <c r="P85" i="58" s="1"/>
  <c r="P31" i="48"/>
  <c r="AJ31" i="48"/>
  <c r="O38" i="50"/>
  <c r="N132" i="53" s="1"/>
  <c r="O15" i="50"/>
  <c r="B62" i="50"/>
  <c r="U62" i="50" s="1"/>
  <c r="AO62" i="50" s="1"/>
  <c r="B38" i="50"/>
  <c r="U14" i="50"/>
  <c r="AO14" i="50" s="1"/>
  <c r="BH14" i="50" s="1"/>
  <c r="B15" i="50"/>
  <c r="O85" i="50"/>
  <c r="N131" i="57" s="1"/>
  <c r="O61" i="50"/>
  <c r="N131" i="56" s="1"/>
  <c r="N38" i="50"/>
  <c r="N15" i="50"/>
  <c r="BX38" i="50"/>
  <c r="B85" i="50"/>
  <c r="U37" i="50"/>
  <c r="U85" i="50" s="1"/>
  <c r="AE85" i="50"/>
  <c r="K131" i="58" s="1"/>
  <c r="AE61" i="50"/>
  <c r="K131" i="54" s="1"/>
  <c r="AY61" i="50"/>
  <c r="K131" i="55" s="1"/>
  <c r="L39" i="50"/>
  <c r="L16" i="50"/>
  <c r="BA34" i="50"/>
  <c r="L86" i="50"/>
  <c r="K132" i="57" s="1"/>
  <c r="N85" i="50"/>
  <c r="M131" i="57" s="1"/>
  <c r="C61" i="50"/>
  <c r="V61" i="50" s="1"/>
  <c r="AP61" i="50" s="1"/>
  <c r="C37" i="50"/>
  <c r="V13" i="50"/>
  <c r="AP13" i="50" s="1"/>
  <c r="BI13" i="50" s="1"/>
  <c r="C14" i="50"/>
  <c r="AH84" i="50"/>
  <c r="N130" i="58" s="1"/>
  <c r="AH60" i="50"/>
  <c r="N130" i="54" s="1"/>
  <c r="BB60" i="50"/>
  <c r="N130" i="55" s="1"/>
  <c r="AW35" i="50"/>
  <c r="AX35" i="50"/>
  <c r="AP36" i="50"/>
  <c r="AZ35" i="50"/>
  <c r="AG84" i="50"/>
  <c r="M130" i="58" s="1"/>
  <c r="AG60" i="50"/>
  <c r="M130" i="54" s="1"/>
  <c r="BA60" i="50"/>
  <c r="M130" i="55" s="1"/>
  <c r="C84" i="50"/>
  <c r="V36" i="50"/>
  <c r="V84" i="50" s="1"/>
  <c r="AU15" i="50"/>
  <c r="BD14" i="50"/>
  <c r="L37" i="49"/>
  <c r="L14" i="49"/>
  <c r="AH83" i="49"/>
  <c r="N109" i="58" s="1"/>
  <c r="AH59" i="49"/>
  <c r="N109" i="54" s="1"/>
  <c r="BB59" i="49"/>
  <c r="N109" i="55" s="1"/>
  <c r="AW35" i="49"/>
  <c r="BA35" i="49" s="1"/>
  <c r="AZ35" i="49"/>
  <c r="AP36" i="49"/>
  <c r="AX35" i="49"/>
  <c r="N84" i="49"/>
  <c r="M110" i="57" s="1"/>
  <c r="AE83" i="49"/>
  <c r="K109" i="58" s="1"/>
  <c r="AE59" i="49"/>
  <c r="K109" i="54" s="1"/>
  <c r="AY59" i="49"/>
  <c r="K109" i="55" s="1"/>
  <c r="L84" i="49"/>
  <c r="K110" i="57" s="1"/>
  <c r="BX37" i="49"/>
  <c r="N37" i="49"/>
  <c r="N14" i="49"/>
  <c r="AG83" i="49"/>
  <c r="M109" i="58" s="1"/>
  <c r="AG59" i="49"/>
  <c r="M109" i="54" s="1"/>
  <c r="BA59" i="49"/>
  <c r="M109" i="55" s="1"/>
  <c r="B62" i="49"/>
  <c r="U62" i="49" s="1"/>
  <c r="AO62" i="49" s="1"/>
  <c r="B38" i="49"/>
  <c r="B15" i="49"/>
  <c r="U14" i="49"/>
  <c r="AO14" i="49" s="1"/>
  <c r="BH14" i="49" s="1"/>
  <c r="C85" i="49"/>
  <c r="V37" i="49"/>
  <c r="V85" i="49" s="1"/>
  <c r="O37" i="49"/>
  <c r="N111" i="53" s="1"/>
  <c r="O14" i="49"/>
  <c r="B85" i="49"/>
  <c r="U37" i="49"/>
  <c r="U85" i="49" s="1"/>
  <c r="O84" i="49"/>
  <c r="N110" i="57" s="1"/>
  <c r="O60" i="49"/>
  <c r="N110" i="56" s="1"/>
  <c r="BA34" i="49"/>
  <c r="BD16" i="49"/>
  <c r="C62" i="49"/>
  <c r="V62" i="49" s="1"/>
  <c r="AP62" i="49" s="1"/>
  <c r="V14" i="49"/>
  <c r="AP14" i="49" s="1"/>
  <c r="BI14" i="49" s="1"/>
  <c r="C38" i="49"/>
  <c r="C15" i="49"/>
  <c r="Z80" i="48"/>
  <c r="F86" i="58" s="1"/>
  <c r="Z56" i="48"/>
  <c r="F86" i="54" s="1"/>
  <c r="AT56" i="48"/>
  <c r="F86" i="55" s="1"/>
  <c r="BO31" i="48"/>
  <c r="BK64" i="48" s="1"/>
  <c r="G34" i="48"/>
  <c r="F88" i="53" s="1"/>
  <c r="G11" i="48"/>
  <c r="F89" i="51" s="1"/>
  <c r="G81" i="48"/>
  <c r="F87" i="57" s="1"/>
  <c r="G57" i="48"/>
  <c r="F87" i="56" s="1"/>
  <c r="M34" i="48"/>
  <c r="M11" i="48"/>
  <c r="F81" i="48"/>
  <c r="E87" i="57" s="1"/>
  <c r="F57" i="48"/>
  <c r="E87" i="56" s="1"/>
  <c r="M81" i="48"/>
  <c r="L87" i="57" s="1"/>
  <c r="M57" i="48"/>
  <c r="L87" i="56" s="1"/>
  <c r="AS56" i="48"/>
  <c r="E86" i="55" s="1"/>
  <c r="Y80" i="48"/>
  <c r="E86" i="58" s="1"/>
  <c r="Y56" i="48"/>
  <c r="E86" i="54" s="1"/>
  <c r="Q56" i="48"/>
  <c r="P86" i="56" s="1"/>
  <c r="F34" i="48"/>
  <c r="E88" i="53" s="1"/>
  <c r="F11" i="48"/>
  <c r="E89" i="51" s="1"/>
  <c r="CA33" i="48"/>
  <c r="AF80" i="48"/>
  <c r="L86" i="58" s="1"/>
  <c r="AF56" i="48"/>
  <c r="L86" i="54" s="1"/>
  <c r="AZ56" i="48"/>
  <c r="L86" i="55" s="1"/>
  <c r="I12" i="48"/>
  <c r="H90" i="51" s="1"/>
  <c r="I35" i="48"/>
  <c r="H89" i="53" s="1"/>
  <c r="C82" i="48"/>
  <c r="V34" i="48"/>
  <c r="V82" i="48" s="1"/>
  <c r="D35" i="48"/>
  <c r="C89" i="53" s="1"/>
  <c r="D12" i="48"/>
  <c r="C90" i="51" s="1"/>
  <c r="N36" i="48"/>
  <c r="BX36" i="48"/>
  <c r="N13" i="48"/>
  <c r="N83" i="48"/>
  <c r="M89" i="57" s="1"/>
  <c r="BA32" i="48"/>
  <c r="D82" i="48"/>
  <c r="C88" i="57" s="1"/>
  <c r="D58" i="48"/>
  <c r="C88" i="56" s="1"/>
  <c r="AE81" i="48"/>
  <c r="K87" i="58" s="1"/>
  <c r="AE57" i="48"/>
  <c r="K87" i="54" s="1"/>
  <c r="AY57" i="48"/>
  <c r="K87" i="55" s="1"/>
  <c r="B60" i="48"/>
  <c r="U60" i="48" s="1"/>
  <c r="AO60" i="48" s="1"/>
  <c r="B36" i="48"/>
  <c r="U12" i="48"/>
  <c r="AO12" i="48" s="1"/>
  <c r="BH12" i="48" s="1"/>
  <c r="B13" i="48"/>
  <c r="O84" i="48"/>
  <c r="N90" i="57" s="1"/>
  <c r="O60" i="48"/>
  <c r="N90" i="56" s="1"/>
  <c r="L82" i="48"/>
  <c r="K88" i="57" s="1"/>
  <c r="AX33" i="48"/>
  <c r="AP34" i="48"/>
  <c r="AZ33" i="48"/>
  <c r="AW33" i="48"/>
  <c r="AC81" i="48"/>
  <c r="I87" i="58" s="1"/>
  <c r="AC57" i="48"/>
  <c r="I87" i="54" s="1"/>
  <c r="AW57" i="48"/>
  <c r="I87" i="55" s="1"/>
  <c r="L35" i="48"/>
  <c r="L12" i="48"/>
  <c r="AB81" i="48"/>
  <c r="H87" i="58" s="1"/>
  <c r="AB57" i="48"/>
  <c r="H87" i="54" s="1"/>
  <c r="AV57" i="48"/>
  <c r="H87" i="55" s="1"/>
  <c r="AH83" i="48"/>
  <c r="N89" i="58" s="1"/>
  <c r="AH59" i="48"/>
  <c r="N89" i="54" s="1"/>
  <c r="BB59" i="48"/>
  <c r="N89" i="55" s="1"/>
  <c r="AJ7" i="48"/>
  <c r="W81" i="48"/>
  <c r="C87" i="58" s="1"/>
  <c r="W57" i="48"/>
  <c r="C87" i="54" s="1"/>
  <c r="AQ57" i="48"/>
  <c r="C87" i="55" s="1"/>
  <c r="I82" i="48"/>
  <c r="H88" i="57" s="1"/>
  <c r="I58" i="48"/>
  <c r="H88" i="56" s="1"/>
  <c r="H35" i="48"/>
  <c r="G89" i="53" s="1"/>
  <c r="H12" i="48"/>
  <c r="G90" i="51" s="1"/>
  <c r="B83" i="48"/>
  <c r="U35" i="48"/>
  <c r="U83" i="48" s="1"/>
  <c r="J35" i="48"/>
  <c r="I89" i="53" s="1"/>
  <c r="J12" i="48"/>
  <c r="I90" i="51" s="1"/>
  <c r="BC54" i="48"/>
  <c r="O37" i="48"/>
  <c r="N91" i="53" s="1"/>
  <c r="O14" i="48"/>
  <c r="H82" i="48"/>
  <c r="G88" i="57" s="1"/>
  <c r="H58" i="48"/>
  <c r="G88" i="56" s="1"/>
  <c r="AA58" i="48"/>
  <c r="G88" i="54" s="1"/>
  <c r="C59" i="48"/>
  <c r="V59" i="48" s="1"/>
  <c r="AP59" i="48" s="1"/>
  <c r="C35" i="48"/>
  <c r="C12" i="48"/>
  <c r="V11" i="48"/>
  <c r="AP11" i="48" s="1"/>
  <c r="BI11" i="48" s="1"/>
  <c r="AU12" i="48"/>
  <c r="BD11" i="48"/>
  <c r="AG82" i="48"/>
  <c r="M88" i="58" s="1"/>
  <c r="AG58" i="48"/>
  <c r="M88" i="54" s="1"/>
  <c r="BA58" i="48"/>
  <c r="M88" i="55" s="1"/>
  <c r="J82" i="48"/>
  <c r="I88" i="57" s="1"/>
  <c r="J58" i="48"/>
  <c r="I88" i="56" s="1"/>
  <c r="AA81" i="48"/>
  <c r="G87" i="58" s="1"/>
  <c r="AU57" i="48"/>
  <c r="G87" i="55" s="1"/>
  <c r="N80" i="47"/>
  <c r="M66" i="57" s="1"/>
  <c r="L33" i="47"/>
  <c r="L10" i="47"/>
  <c r="O33" i="47"/>
  <c r="N67" i="53" s="1"/>
  <c r="O10" i="47"/>
  <c r="B59" i="47"/>
  <c r="U59" i="47" s="1"/>
  <c r="AO59" i="47" s="1"/>
  <c r="B35" i="47"/>
  <c r="U11" i="47"/>
  <c r="AO11" i="47" s="1"/>
  <c r="BH11" i="47" s="1"/>
  <c r="B12" i="47"/>
  <c r="L80" i="47"/>
  <c r="K66" i="57" s="1"/>
  <c r="O80" i="47"/>
  <c r="N66" i="57" s="1"/>
  <c r="N6" i="57" s="1"/>
  <c r="O56" i="47"/>
  <c r="N66" i="56" s="1"/>
  <c r="N6" i="56" s="1"/>
  <c r="B82" i="47"/>
  <c r="U34" i="47"/>
  <c r="U82" i="47" s="1"/>
  <c r="AE79" i="47"/>
  <c r="K65" i="58" s="1"/>
  <c r="AE55" i="47"/>
  <c r="K65" i="54" s="1"/>
  <c r="AY55" i="47"/>
  <c r="K65" i="55" s="1"/>
  <c r="AH79" i="47"/>
  <c r="N65" i="58" s="1"/>
  <c r="N5" i="58" s="1"/>
  <c r="AH55" i="47"/>
  <c r="N65" i="54" s="1"/>
  <c r="BB55" i="47"/>
  <c r="N65" i="55" s="1"/>
  <c r="N5" i="55" s="1"/>
  <c r="AG79" i="47"/>
  <c r="M65" i="58" s="1"/>
  <c r="AG55" i="47"/>
  <c r="M65" i="54" s="1"/>
  <c r="BA55" i="47"/>
  <c r="M65" i="55" s="1"/>
  <c r="AZ31" i="47"/>
  <c r="AP32" i="47"/>
  <c r="AX31" i="47"/>
  <c r="C59" i="47"/>
  <c r="V59" i="47" s="1"/>
  <c r="AP59" i="47" s="1"/>
  <c r="C35" i="47"/>
  <c r="C12" i="47"/>
  <c r="V11" i="47"/>
  <c r="AP11" i="47" s="1"/>
  <c r="BI11" i="47" s="1"/>
  <c r="BD10" i="47"/>
  <c r="AU11" i="47"/>
  <c r="BX33" i="47"/>
  <c r="N33" i="47"/>
  <c r="N10" i="47"/>
  <c r="C82" i="47"/>
  <c r="V34" i="47"/>
  <c r="V82" i="47" s="1"/>
  <c r="B57" i="46"/>
  <c r="U57" i="46" s="1"/>
  <c r="AO57" i="46" s="1"/>
  <c r="B33" i="46"/>
  <c r="U9" i="46"/>
  <c r="AO9" i="46" s="1"/>
  <c r="BH9" i="46" s="1"/>
  <c r="B10" i="46"/>
  <c r="N80" i="46"/>
  <c r="M46" i="57" s="1"/>
  <c r="M6" i="57" s="1"/>
  <c r="AE80" i="46"/>
  <c r="K46" i="58" s="1"/>
  <c r="AE56" i="46"/>
  <c r="AY56" i="46"/>
  <c r="B80" i="46"/>
  <c r="U32" i="46"/>
  <c r="U80" i="46" s="1"/>
  <c r="BD9" i="46"/>
  <c r="AU10" i="46"/>
  <c r="L34" i="46"/>
  <c r="L11" i="46"/>
  <c r="BL33" i="46"/>
  <c r="BN32" i="46"/>
  <c r="L81" i="46"/>
  <c r="K47" i="57" s="1"/>
  <c r="C81" i="46"/>
  <c r="V33" i="46"/>
  <c r="V81" i="46" s="1"/>
  <c r="O81" i="46"/>
  <c r="N47" i="57" s="1"/>
  <c r="O57" i="46"/>
  <c r="N47" i="56" s="1"/>
  <c r="AH80" i="46"/>
  <c r="N46" i="58" s="1"/>
  <c r="AH56" i="46"/>
  <c r="BB56" i="46"/>
  <c r="O34" i="46"/>
  <c r="N48" i="53" s="1"/>
  <c r="O11" i="46"/>
  <c r="C58" i="46"/>
  <c r="V58" i="46" s="1"/>
  <c r="AP58" i="46" s="1"/>
  <c r="C34" i="46"/>
  <c r="V10" i="46"/>
  <c r="AP10" i="46" s="1"/>
  <c r="BI10" i="46" s="1"/>
  <c r="C11" i="46"/>
  <c r="AX31" i="46"/>
  <c r="AP32" i="46"/>
  <c r="AZ31" i="46"/>
  <c r="BQ31" i="46"/>
  <c r="BT31" i="46"/>
  <c r="AG79" i="46"/>
  <c r="M45" i="58" s="1"/>
  <c r="M5" i="58" s="1"/>
  <c r="AG55" i="46"/>
  <c r="BA55" i="46"/>
  <c r="N33" i="46"/>
  <c r="BX33" i="46"/>
  <c r="N10" i="46"/>
  <c r="B85" i="44"/>
  <c r="U37" i="44"/>
  <c r="U85" i="44" s="1"/>
  <c r="B60" i="44"/>
  <c r="AO60" i="44" s="1"/>
  <c r="B13" i="44"/>
  <c r="U12" i="44"/>
  <c r="AO12" i="44" s="1"/>
  <c r="BH12" i="44" s="1"/>
  <c r="C13" i="44"/>
  <c r="C60" i="44"/>
  <c r="AP60" i="44" s="1"/>
  <c r="V12" i="44"/>
  <c r="AP12" i="44" s="1"/>
  <c r="BI12" i="44" s="1"/>
  <c r="N82" i="44"/>
  <c r="M28" i="57" s="1"/>
  <c r="O34" i="44"/>
  <c r="O11" i="44"/>
  <c r="AE79" i="44"/>
  <c r="K25" i="58" s="1"/>
  <c r="K5" i="58" s="1"/>
  <c r="AE55" i="44"/>
  <c r="K25" i="54" s="1"/>
  <c r="K5" i="54" s="1"/>
  <c r="AY55" i="44"/>
  <c r="K25" i="55" s="1"/>
  <c r="L10" i="44"/>
  <c r="L33" i="44"/>
  <c r="O81" i="44"/>
  <c r="N27" i="57" s="1"/>
  <c r="BN32" i="44"/>
  <c r="BL33" i="44"/>
  <c r="L80" i="44"/>
  <c r="K26" i="57" s="1"/>
  <c r="K6" i="57" s="1"/>
  <c r="BT31" i="44"/>
  <c r="BQ31" i="44"/>
  <c r="AX33" i="44"/>
  <c r="AP34" i="44"/>
  <c r="AZ33" i="44"/>
  <c r="AU11" i="44"/>
  <c r="BD10" i="44"/>
  <c r="AG81" i="44"/>
  <c r="M27" i="58" s="1"/>
  <c r="AG57" i="44"/>
  <c r="M27" i="54" s="1"/>
  <c r="BA57" i="44"/>
  <c r="M27" i="55" s="1"/>
  <c r="AH80" i="44"/>
  <c r="N26" i="58" s="1"/>
  <c r="AH56" i="44"/>
  <c r="N26" i="54" s="1"/>
  <c r="BB56" i="44"/>
  <c r="N26" i="55" s="1"/>
  <c r="N35" i="44"/>
  <c r="BX35" i="44"/>
  <c r="N12" i="44"/>
  <c r="BQ29" i="43"/>
  <c r="BT29" i="43"/>
  <c r="BK27" i="43" a="1"/>
  <c r="BL31" i="43"/>
  <c r="BM30" i="43"/>
  <c r="BN30" i="43" s="1"/>
  <c r="AP33" i="43"/>
  <c r="AX33" i="43" s="1"/>
  <c r="AZ32" i="43"/>
  <c r="F77" i="31"/>
  <c r="F59" i="31"/>
  <c r="E60" i="31"/>
  <c r="E40" i="31"/>
  <c r="F39" i="31"/>
  <c r="E19" i="31"/>
  <c r="F18" i="31"/>
  <c r="F118" i="31"/>
  <c r="E119" i="31"/>
  <c r="E101" i="31"/>
  <c r="F101" i="31" s="1"/>
  <c r="F100" i="31"/>
  <c r="A1" i="31"/>
  <c r="A1" i="26"/>
  <c r="B1" i="28"/>
  <c r="M4" i="47"/>
  <c r="L62" i="51" s="1"/>
  <c r="M4" i="46"/>
  <c r="L42" i="51" s="1"/>
  <c r="M4" i="44"/>
  <c r="L22" i="51" s="1"/>
  <c r="E4" i="44"/>
  <c r="D22" i="51" s="1"/>
  <c r="F4" i="44"/>
  <c r="E22" i="51" s="1"/>
  <c r="G4" i="44"/>
  <c r="F22" i="51" s="1"/>
  <c r="H4" i="44"/>
  <c r="G22" i="51" s="1"/>
  <c r="I4" i="44"/>
  <c r="H22" i="51" s="1"/>
  <c r="J4" i="44"/>
  <c r="I22" i="51" s="1"/>
  <c r="K4" i="44"/>
  <c r="J22" i="51" s="1"/>
  <c r="E4" i="46"/>
  <c r="D42" i="51" s="1"/>
  <c r="F4" i="46"/>
  <c r="E42" i="51" s="1"/>
  <c r="G4" i="46"/>
  <c r="F42" i="51" s="1"/>
  <c r="H4" i="46"/>
  <c r="G42" i="51" s="1"/>
  <c r="I4" i="46"/>
  <c r="H42" i="51" s="1"/>
  <c r="J4" i="46"/>
  <c r="I42" i="51" s="1"/>
  <c r="K4" i="46"/>
  <c r="J42" i="51" s="1"/>
  <c r="E4" i="47"/>
  <c r="D62" i="51" s="1"/>
  <c r="F4" i="47"/>
  <c r="E62" i="51" s="1"/>
  <c r="G4" i="47"/>
  <c r="F62" i="51" s="1"/>
  <c r="H4" i="47"/>
  <c r="G62" i="51" s="1"/>
  <c r="I4" i="47"/>
  <c r="H62" i="51" s="1"/>
  <c r="J4" i="47"/>
  <c r="I62" i="51" s="1"/>
  <c r="K4" i="47"/>
  <c r="J62" i="51" s="1"/>
  <c r="D4" i="47"/>
  <c r="C62" i="51" s="1"/>
  <c r="D4" i="46"/>
  <c r="C42" i="51" s="1"/>
  <c r="D4" i="44"/>
  <c r="C22" i="51" s="1"/>
  <c r="K2" i="26"/>
  <c r="M2" i="26"/>
  <c r="N2" i="26"/>
  <c r="O2" i="26"/>
  <c r="J2" i="51" l="1"/>
  <c r="F2" i="51"/>
  <c r="N5" i="54"/>
  <c r="N7" i="53"/>
  <c r="E2" i="51"/>
  <c r="BI55" i="50"/>
  <c r="AB33" i="49"/>
  <c r="K46" i="55"/>
  <c r="K46" i="54"/>
  <c r="M47" i="53"/>
  <c r="N57" i="46"/>
  <c r="M47" i="56" s="1"/>
  <c r="M45" i="55"/>
  <c r="M5" i="55" s="1"/>
  <c r="M45" i="54"/>
  <c r="M5" i="54" s="1"/>
  <c r="K67" i="53"/>
  <c r="L57" i="47"/>
  <c r="K67" i="56" s="1"/>
  <c r="N59" i="44"/>
  <c r="M29" i="56" s="1"/>
  <c r="M29" i="53"/>
  <c r="N28" i="53"/>
  <c r="O58" i="44"/>
  <c r="N28" i="56" s="1"/>
  <c r="BI63" i="50"/>
  <c r="K133" i="53"/>
  <c r="L63" i="50"/>
  <c r="K133" i="56" s="1"/>
  <c r="M132" i="53"/>
  <c r="N62" i="50"/>
  <c r="M132" i="56" s="1"/>
  <c r="K111" i="53"/>
  <c r="L61" i="49"/>
  <c r="K111" i="56" s="1"/>
  <c r="M6" i="53"/>
  <c r="K6" i="53"/>
  <c r="K48" i="53"/>
  <c r="L58" i="46"/>
  <c r="K48" i="56" s="1"/>
  <c r="K89" i="53"/>
  <c r="L59" i="48"/>
  <c r="K89" i="56" s="1"/>
  <c r="M111" i="53"/>
  <c r="N61" i="49"/>
  <c r="M111" i="56" s="1"/>
  <c r="M6" i="56"/>
  <c r="K6" i="56"/>
  <c r="M67" i="53"/>
  <c r="N57" i="47"/>
  <c r="M67" i="56" s="1"/>
  <c r="M90" i="53"/>
  <c r="N60" i="48"/>
  <c r="M90" i="56" s="1"/>
  <c r="K27" i="53"/>
  <c r="K7" i="53" s="1"/>
  <c r="L57" i="44"/>
  <c r="K27" i="56" s="1"/>
  <c r="K7" i="56" s="1"/>
  <c r="N46" i="54"/>
  <c r="N46" i="55"/>
  <c r="K5" i="55"/>
  <c r="C2" i="51"/>
  <c r="L2" i="51"/>
  <c r="X33" i="49"/>
  <c r="D2" i="51"/>
  <c r="AJ32" i="50"/>
  <c r="AD33" i="50"/>
  <c r="P127" i="53"/>
  <c r="AK55" i="48"/>
  <c r="BK58" i="48" s="1"/>
  <c r="P85" i="54"/>
  <c r="K58" i="50"/>
  <c r="J128" i="56" s="1"/>
  <c r="J128" i="53"/>
  <c r="BD54" i="49"/>
  <c r="P104" i="55" s="1"/>
  <c r="O104" i="55"/>
  <c r="K58" i="49"/>
  <c r="J108" i="56" s="1"/>
  <c r="J108" i="53"/>
  <c r="AA33" i="49"/>
  <c r="D87" i="56"/>
  <c r="X81" i="48"/>
  <c r="D87" i="58" s="1"/>
  <c r="X57" i="48"/>
  <c r="D87" i="54" s="1"/>
  <c r="AR57" i="48"/>
  <c r="D87" i="55" s="1"/>
  <c r="D89" i="51"/>
  <c r="E12" i="48"/>
  <c r="E35" i="48"/>
  <c r="D88" i="53"/>
  <c r="E82" i="48"/>
  <c r="D88" i="57" s="1"/>
  <c r="E58" i="48"/>
  <c r="AK55" i="49"/>
  <c r="BK58" i="49" s="1"/>
  <c r="P105" i="54"/>
  <c r="K58" i="48"/>
  <c r="J88" i="53"/>
  <c r="K82" i="48"/>
  <c r="J88" i="57" s="1"/>
  <c r="J89" i="51"/>
  <c r="K35" i="48"/>
  <c r="K12" i="48"/>
  <c r="I2" i="51"/>
  <c r="H2" i="51"/>
  <c r="BI55" i="48"/>
  <c r="AQ33" i="48"/>
  <c r="BM59" i="48" s="1"/>
  <c r="P87" i="53"/>
  <c r="AK55" i="50"/>
  <c r="BK58" i="50" s="1"/>
  <c r="P125" i="54"/>
  <c r="CA34" i="48"/>
  <c r="L88" i="53"/>
  <c r="BD53" i="49"/>
  <c r="P103" i="55" s="1"/>
  <c r="O103" i="55"/>
  <c r="G2" i="51"/>
  <c r="BI63" i="48"/>
  <c r="BD54" i="48"/>
  <c r="P84" i="55" s="1"/>
  <c r="O84" i="55"/>
  <c r="BO32" i="48"/>
  <c r="BL64" i="48" s="1"/>
  <c r="O86" i="51"/>
  <c r="AS33" i="49"/>
  <c r="BM61" i="49" s="1"/>
  <c r="P107" i="53"/>
  <c r="BW35" i="48"/>
  <c r="BO67" i="48" s="1"/>
  <c r="L89" i="51"/>
  <c r="P79" i="48"/>
  <c r="O85" i="57" s="1"/>
  <c r="O85" i="53"/>
  <c r="J87" i="56"/>
  <c r="AX57" i="48"/>
  <c r="J87" i="55" s="1"/>
  <c r="AD81" i="48"/>
  <c r="J87" i="58" s="1"/>
  <c r="AD57" i="48"/>
  <c r="J87" i="54" s="1"/>
  <c r="AS33" i="50"/>
  <c r="BM61" i="50" s="1"/>
  <c r="W33" i="49"/>
  <c r="Q34" i="49"/>
  <c r="AS34" i="49" s="1"/>
  <c r="BN61" i="49" s="1"/>
  <c r="D58" i="49"/>
  <c r="C108" i="56" s="1"/>
  <c r="D82" i="49"/>
  <c r="C108" i="57" s="1"/>
  <c r="X81" i="49"/>
  <c r="D107" i="58" s="1"/>
  <c r="X57" i="49"/>
  <c r="D107" i="54" s="1"/>
  <c r="AR57" i="49"/>
  <c r="D107" i="55" s="1"/>
  <c r="I12" i="50"/>
  <c r="H130" i="51" s="1"/>
  <c r="I35" i="50"/>
  <c r="H129" i="53" s="1"/>
  <c r="Z81" i="49"/>
  <c r="F107" i="58" s="1"/>
  <c r="Z57" i="49"/>
  <c r="F107" i="54" s="1"/>
  <c r="AT57" i="49"/>
  <c r="F107" i="55" s="1"/>
  <c r="AJ80" i="49"/>
  <c r="P106" i="58" s="1"/>
  <c r="BJ55" i="49"/>
  <c r="G82" i="50"/>
  <c r="F128" i="57" s="1"/>
  <c r="G58" i="50"/>
  <c r="F128" i="56" s="1"/>
  <c r="M58" i="49"/>
  <c r="L108" i="56" s="1"/>
  <c r="M82" i="49"/>
  <c r="L108" i="57" s="1"/>
  <c r="J35" i="50"/>
  <c r="I129" i="53" s="1"/>
  <c r="J12" i="50"/>
  <c r="I130" i="51" s="1"/>
  <c r="AU32" i="50"/>
  <c r="E12" i="50"/>
  <c r="D130" i="51" s="1"/>
  <c r="E35" i="50"/>
  <c r="D129" i="53" s="1"/>
  <c r="Q81" i="50"/>
  <c r="P127" i="57" s="1"/>
  <c r="AA33" i="50"/>
  <c r="F35" i="50"/>
  <c r="E129" i="53" s="1"/>
  <c r="F12" i="50"/>
  <c r="E130" i="51" s="1"/>
  <c r="AC33" i="49"/>
  <c r="BR35" i="49"/>
  <c r="BO65" i="49" s="1"/>
  <c r="D35" i="49"/>
  <c r="C109" i="53" s="1"/>
  <c r="Q11" i="49"/>
  <c r="P109" i="51" s="1"/>
  <c r="D12" i="49"/>
  <c r="C110" i="51" s="1"/>
  <c r="I82" i="50"/>
  <c r="H128" i="57" s="1"/>
  <c r="I58" i="50"/>
  <c r="H128" i="56" s="1"/>
  <c r="AA81" i="49"/>
  <c r="G107" i="58" s="1"/>
  <c r="AU57" i="49"/>
  <c r="G107" i="55" s="1"/>
  <c r="AF81" i="50"/>
  <c r="L127" i="58" s="1"/>
  <c r="AF57" i="50"/>
  <c r="L127" i="54" s="1"/>
  <c r="AZ57" i="50"/>
  <c r="L127" i="55" s="1"/>
  <c r="G35" i="50"/>
  <c r="F129" i="53" s="1"/>
  <c r="G12" i="50"/>
  <c r="F130" i="51" s="1"/>
  <c r="AJ32" i="49"/>
  <c r="BO32" i="50"/>
  <c r="BL64" i="50" s="1"/>
  <c r="BU32" i="50"/>
  <c r="BL66" i="50" s="1"/>
  <c r="AI8" i="50"/>
  <c r="P32" i="50"/>
  <c r="O126" i="53" s="1"/>
  <c r="J82" i="50"/>
  <c r="I128" i="57" s="1"/>
  <c r="J58" i="50"/>
  <c r="I128" i="56" s="1"/>
  <c r="Z81" i="50"/>
  <c r="F127" i="58" s="1"/>
  <c r="Z57" i="50"/>
  <c r="F127" i="54" s="1"/>
  <c r="AT57" i="50"/>
  <c r="F127" i="55" s="1"/>
  <c r="E58" i="50"/>
  <c r="D128" i="56" s="1"/>
  <c r="E82" i="50"/>
  <c r="D128" i="57" s="1"/>
  <c r="W57" i="50"/>
  <c r="C127" i="54" s="1"/>
  <c r="W81" i="50"/>
  <c r="C127" i="58" s="1"/>
  <c r="Q57" i="50"/>
  <c r="P127" i="56" s="1"/>
  <c r="AQ57" i="50"/>
  <c r="C127" i="55" s="1"/>
  <c r="F58" i="50"/>
  <c r="E128" i="56" s="1"/>
  <c r="F82" i="50"/>
  <c r="E128" i="57" s="1"/>
  <c r="AB81" i="50"/>
  <c r="H127" i="58" s="1"/>
  <c r="AB57" i="50"/>
  <c r="H127" i="54" s="1"/>
  <c r="AV57" i="50"/>
  <c r="H127" i="55" s="1"/>
  <c r="P32" i="49"/>
  <c r="O106" i="53" s="1"/>
  <c r="AI8" i="49"/>
  <c r="BU32" i="49"/>
  <c r="BL66" i="49" s="1"/>
  <c r="BO32" i="49"/>
  <c r="BL64" i="49" s="1"/>
  <c r="AX57" i="49"/>
  <c r="J107" i="55" s="1"/>
  <c r="AD81" i="49"/>
  <c r="J107" i="58" s="1"/>
  <c r="AD57" i="49"/>
  <c r="J107" i="54" s="1"/>
  <c r="F82" i="49"/>
  <c r="E108" i="57" s="1"/>
  <c r="F58" i="49"/>
  <c r="E108" i="56" s="1"/>
  <c r="I12" i="49"/>
  <c r="H110" i="51" s="1"/>
  <c r="I35" i="49"/>
  <c r="H109" i="53" s="1"/>
  <c r="Y33" i="50"/>
  <c r="BM59" i="49"/>
  <c r="K12" i="50"/>
  <c r="J130" i="51" s="1"/>
  <c r="K35" i="50"/>
  <c r="AC81" i="49"/>
  <c r="I107" i="58" s="1"/>
  <c r="AC57" i="49"/>
  <c r="I107" i="54" s="1"/>
  <c r="AW57" i="49"/>
  <c r="I107" i="55" s="1"/>
  <c r="M12" i="50"/>
  <c r="L130" i="51" s="1"/>
  <c r="M35" i="50"/>
  <c r="L129" i="53" s="1"/>
  <c r="K82" i="49"/>
  <c r="J108" i="57" s="1"/>
  <c r="CA34" i="49"/>
  <c r="AJ80" i="50"/>
  <c r="P126" i="58" s="1"/>
  <c r="AJ7" i="49"/>
  <c r="AF57" i="49"/>
  <c r="L107" i="54" s="1"/>
  <c r="AF81" i="49"/>
  <c r="L107" i="58" s="1"/>
  <c r="AZ57" i="49"/>
  <c r="L107" i="55" s="1"/>
  <c r="AC81" i="50"/>
  <c r="I127" i="58" s="1"/>
  <c r="AC57" i="50"/>
  <c r="I127" i="54" s="1"/>
  <c r="AW57" i="50"/>
  <c r="I127" i="55" s="1"/>
  <c r="Y81" i="49"/>
  <c r="E107" i="58" s="1"/>
  <c r="Y57" i="49"/>
  <c r="E107" i="54" s="1"/>
  <c r="AS57" i="49"/>
  <c r="E107" i="55" s="1"/>
  <c r="F35" i="49"/>
  <c r="E109" i="53" s="1"/>
  <c r="F12" i="49"/>
  <c r="E110" i="51" s="1"/>
  <c r="I82" i="49"/>
  <c r="H108" i="57" s="1"/>
  <c r="I58" i="49"/>
  <c r="H108" i="56" s="1"/>
  <c r="Y81" i="50"/>
  <c r="E127" i="58" s="1"/>
  <c r="Y57" i="50"/>
  <c r="E127" i="54" s="1"/>
  <c r="AS57" i="50"/>
  <c r="E127" i="55" s="1"/>
  <c r="AA81" i="50"/>
  <c r="G127" i="58" s="1"/>
  <c r="AU57" i="50"/>
  <c r="G127" i="55" s="1"/>
  <c r="CA34" i="50"/>
  <c r="K82" i="50"/>
  <c r="J128" i="57" s="1"/>
  <c r="D35" i="50"/>
  <c r="C129" i="53" s="1"/>
  <c r="D12" i="50"/>
  <c r="C130" i="51" s="1"/>
  <c r="BR35" i="50"/>
  <c r="BO65" i="50" s="1"/>
  <c r="Q11" i="50"/>
  <c r="P129" i="51" s="1"/>
  <c r="BI63" i="49"/>
  <c r="BI55" i="49"/>
  <c r="M82" i="50"/>
  <c r="L128" i="57" s="1"/>
  <c r="M58" i="50"/>
  <c r="L128" i="56" s="1"/>
  <c r="G35" i="49"/>
  <c r="F109" i="53" s="1"/>
  <c r="G12" i="49"/>
  <c r="F110" i="51" s="1"/>
  <c r="AJ56" i="50"/>
  <c r="AI31" i="49"/>
  <c r="P79" i="49"/>
  <c r="O105" i="57" s="1"/>
  <c r="AB81" i="49"/>
  <c r="H107" i="58" s="1"/>
  <c r="AB57" i="49"/>
  <c r="H107" i="54" s="1"/>
  <c r="AV57" i="49"/>
  <c r="H107" i="55" s="1"/>
  <c r="X33" i="50"/>
  <c r="H82" i="50"/>
  <c r="G128" i="57" s="1"/>
  <c r="H58" i="50"/>
  <c r="G128" i="56" s="1"/>
  <c r="AA58" i="50"/>
  <c r="G128" i="54" s="1"/>
  <c r="Q81" i="49"/>
  <c r="P107" i="57" s="1"/>
  <c r="D82" i="50"/>
  <c r="C128" i="57" s="1"/>
  <c r="D58" i="50"/>
  <c r="C128" i="56" s="1"/>
  <c r="Q34" i="50"/>
  <c r="H35" i="49"/>
  <c r="G109" i="53" s="1"/>
  <c r="H12" i="49"/>
  <c r="G110" i="51" s="1"/>
  <c r="BW35" i="49"/>
  <c r="BO67" i="49" s="1"/>
  <c r="G82" i="49"/>
  <c r="F108" i="57" s="1"/>
  <c r="G58" i="49"/>
  <c r="F108" i="56" s="1"/>
  <c r="M12" i="49"/>
  <c r="L110" i="51" s="1"/>
  <c r="M35" i="49"/>
  <c r="L109" i="53" s="1"/>
  <c r="AC33" i="50"/>
  <c r="BM68" i="50"/>
  <c r="AT33" i="50"/>
  <c r="BM62" i="50" s="1"/>
  <c r="BJ9" i="50"/>
  <c r="BK9" i="50" s="1"/>
  <c r="BL9" i="50" s="1"/>
  <c r="P9" i="50" s="1"/>
  <c r="O127" i="51" s="1"/>
  <c r="AH33" i="50"/>
  <c r="BM69" i="50"/>
  <c r="AR33" i="50"/>
  <c r="BM60" i="50" s="1"/>
  <c r="AE33" i="50"/>
  <c r="AG33" i="50"/>
  <c r="AB33" i="50"/>
  <c r="AR57" i="50"/>
  <c r="D127" i="55" s="1"/>
  <c r="X57" i="50"/>
  <c r="D127" i="54" s="1"/>
  <c r="X81" i="50"/>
  <c r="D127" i="58" s="1"/>
  <c r="H35" i="50"/>
  <c r="G129" i="53" s="1"/>
  <c r="H12" i="50"/>
  <c r="G130" i="51" s="1"/>
  <c r="BW35" i="50"/>
  <c r="BO67" i="50" s="1"/>
  <c r="W33" i="50"/>
  <c r="AD33" i="49"/>
  <c r="BM68" i="49"/>
  <c r="AH33" i="49"/>
  <c r="BM69" i="49"/>
  <c r="AT33" i="49"/>
  <c r="BM62" i="49" s="1"/>
  <c r="BJ9" i="49"/>
  <c r="BK9" i="49" s="1"/>
  <c r="BL9" i="49" s="1"/>
  <c r="P9" i="49" s="1"/>
  <c r="O107" i="51" s="1"/>
  <c r="AR33" i="49"/>
  <c r="BM60" i="49" s="1"/>
  <c r="AG33" i="49"/>
  <c r="AE33" i="49"/>
  <c r="J35" i="49"/>
  <c r="I109" i="53" s="1"/>
  <c r="J12" i="49"/>
  <c r="I110" i="51" s="1"/>
  <c r="AJ7" i="50"/>
  <c r="BC55" i="50"/>
  <c r="BC54" i="50"/>
  <c r="H82" i="49"/>
  <c r="G108" i="57" s="1"/>
  <c r="AA58" i="49"/>
  <c r="G108" i="54" s="1"/>
  <c r="H58" i="49"/>
  <c r="G108" i="56" s="1"/>
  <c r="Z33" i="49"/>
  <c r="E82" i="49"/>
  <c r="D108" i="57" s="1"/>
  <c r="E58" i="49"/>
  <c r="D108" i="56" s="1"/>
  <c r="AF33" i="50"/>
  <c r="BL59" i="49"/>
  <c r="AU32" i="49"/>
  <c r="Z33" i="50"/>
  <c r="K35" i="49"/>
  <c r="K12" i="49"/>
  <c r="J110" i="51" s="1"/>
  <c r="AX57" i="50"/>
  <c r="J127" i="55" s="1"/>
  <c r="AD57" i="50"/>
  <c r="J127" i="54" s="1"/>
  <c r="AD81" i="50"/>
  <c r="J127" i="58" s="1"/>
  <c r="AQ33" i="50"/>
  <c r="W81" i="49"/>
  <c r="C107" i="58" s="1"/>
  <c r="W57" i="49"/>
  <c r="C107" i="54" s="1"/>
  <c r="Q57" i="49"/>
  <c r="P107" i="56" s="1"/>
  <c r="AQ57" i="49"/>
  <c r="C107" i="55" s="1"/>
  <c r="J82" i="49"/>
  <c r="I108" i="57" s="1"/>
  <c r="J58" i="49"/>
  <c r="I108" i="56" s="1"/>
  <c r="P79" i="50"/>
  <c r="O125" i="57" s="1"/>
  <c r="AI31" i="50"/>
  <c r="AJ56" i="49"/>
  <c r="E35" i="49"/>
  <c r="D109" i="53" s="1"/>
  <c r="E12" i="49"/>
  <c r="D110" i="51" s="1"/>
  <c r="AE33" i="48"/>
  <c r="AI8" i="48"/>
  <c r="AJ8" i="48" s="1"/>
  <c r="P32" i="48"/>
  <c r="AU32" i="48"/>
  <c r="BU32" i="48"/>
  <c r="BL66" i="48" s="1"/>
  <c r="AS33" i="48"/>
  <c r="BM61" i="48" s="1"/>
  <c r="Y33" i="48"/>
  <c r="X33" i="48"/>
  <c r="W33" i="48"/>
  <c r="BR35" i="48"/>
  <c r="BO65" i="48" s="1"/>
  <c r="AJ32" i="48"/>
  <c r="AA33" i="48"/>
  <c r="AD33" i="48"/>
  <c r="AJ80" i="48"/>
  <c r="P86" i="58" s="1"/>
  <c r="AH33" i="48"/>
  <c r="BM69" i="48"/>
  <c r="BM68" i="48"/>
  <c r="Z33" i="48"/>
  <c r="AR33" i="48"/>
  <c r="BM60" i="48" s="1"/>
  <c r="BJ9" i="48"/>
  <c r="BK9" i="48" s="1"/>
  <c r="BL9" i="48" s="1"/>
  <c r="P9" i="48" s="1"/>
  <c r="AC33" i="48"/>
  <c r="AG33" i="48"/>
  <c r="AF33" i="48"/>
  <c r="AT33" i="48"/>
  <c r="BM62" i="48" s="1"/>
  <c r="AB33" i="48"/>
  <c r="AI31" i="48"/>
  <c r="Q57" i="48"/>
  <c r="P87" i="56" s="1"/>
  <c r="Q11" i="48"/>
  <c r="P89" i="51" s="1"/>
  <c r="Q34" i="48"/>
  <c r="AJ56" i="48"/>
  <c r="Q81" i="48"/>
  <c r="P87" i="57" s="1"/>
  <c r="BA35" i="50"/>
  <c r="AE86" i="50"/>
  <c r="K132" i="58" s="1"/>
  <c r="AE62" i="50"/>
  <c r="K132" i="54" s="1"/>
  <c r="AY62" i="50"/>
  <c r="K132" i="55" s="1"/>
  <c r="L40" i="50"/>
  <c r="L17" i="50"/>
  <c r="B86" i="50"/>
  <c r="U38" i="50"/>
  <c r="U86" i="50" s="1"/>
  <c r="C62" i="50"/>
  <c r="V62" i="50" s="1"/>
  <c r="AP62" i="50" s="1"/>
  <c r="C38" i="50"/>
  <c r="V14" i="50"/>
  <c r="AP14" i="50" s="1"/>
  <c r="BI14" i="50" s="1"/>
  <c r="C15" i="50"/>
  <c r="L87" i="50"/>
  <c r="K133" i="57" s="1"/>
  <c r="BX39" i="50"/>
  <c r="N39" i="50"/>
  <c r="N16" i="50"/>
  <c r="C85" i="50"/>
  <c r="V37" i="50"/>
  <c r="V85" i="50" s="1"/>
  <c r="N86" i="50"/>
  <c r="M132" i="57" s="1"/>
  <c r="O39" i="50"/>
  <c r="N133" i="53" s="1"/>
  <c r="O16" i="50"/>
  <c r="AP37" i="50"/>
  <c r="AZ36" i="50"/>
  <c r="AW36" i="50"/>
  <c r="AX36" i="50"/>
  <c r="AG85" i="50"/>
  <c r="M131" i="58" s="1"/>
  <c r="AG61" i="50"/>
  <c r="M131" i="54" s="1"/>
  <c r="BA61" i="50"/>
  <c r="M131" i="55" s="1"/>
  <c r="O86" i="50"/>
  <c r="N132" i="57" s="1"/>
  <c r="O62" i="50"/>
  <c r="N132" i="56" s="1"/>
  <c r="AH85" i="50"/>
  <c r="N131" i="58" s="1"/>
  <c r="AH61" i="50"/>
  <c r="N131" i="54" s="1"/>
  <c r="BB61" i="50"/>
  <c r="N131" i="55" s="1"/>
  <c r="BD15" i="50"/>
  <c r="AU16" i="50"/>
  <c r="B63" i="50"/>
  <c r="U63" i="50" s="1"/>
  <c r="AO63" i="50" s="1"/>
  <c r="B16" i="50"/>
  <c r="B39" i="50"/>
  <c r="U15" i="50"/>
  <c r="AO15" i="50" s="1"/>
  <c r="BH15" i="50" s="1"/>
  <c r="B86" i="49"/>
  <c r="U38" i="49"/>
  <c r="U86" i="49" s="1"/>
  <c r="AH60" i="49"/>
  <c r="N110" i="54" s="1"/>
  <c r="AH84" i="49"/>
  <c r="N110" i="58" s="1"/>
  <c r="BB60" i="49"/>
  <c r="N110" i="55" s="1"/>
  <c r="L38" i="49"/>
  <c r="L15" i="49"/>
  <c r="AE84" i="49"/>
  <c r="K110" i="58" s="1"/>
  <c r="AE60" i="49"/>
  <c r="K110" i="54" s="1"/>
  <c r="AY60" i="49"/>
  <c r="K110" i="55" s="1"/>
  <c r="L85" i="49"/>
  <c r="K111" i="57" s="1"/>
  <c r="N38" i="49"/>
  <c r="BX38" i="49"/>
  <c r="N15" i="49"/>
  <c r="AG84" i="49"/>
  <c r="M110" i="58" s="1"/>
  <c r="AG60" i="49"/>
  <c r="M110" i="54" s="1"/>
  <c r="BA60" i="49"/>
  <c r="M110" i="55" s="1"/>
  <c r="BD17" i="49"/>
  <c r="O15" i="49"/>
  <c r="O38" i="49"/>
  <c r="N112" i="53" s="1"/>
  <c r="N85" i="49"/>
  <c r="M111" i="57" s="1"/>
  <c r="O85" i="49"/>
  <c r="N111" i="57" s="1"/>
  <c r="O61" i="49"/>
  <c r="N111" i="56" s="1"/>
  <c r="C63" i="49"/>
  <c r="V63" i="49" s="1"/>
  <c r="AP63" i="49" s="1"/>
  <c r="C39" i="49"/>
  <c r="C16" i="49"/>
  <c r="V15" i="49"/>
  <c r="AP15" i="49" s="1"/>
  <c r="BI15" i="49" s="1"/>
  <c r="C86" i="49"/>
  <c r="V38" i="49"/>
  <c r="V86" i="49" s="1"/>
  <c r="B63" i="49"/>
  <c r="U63" i="49" s="1"/>
  <c r="AO63" i="49" s="1"/>
  <c r="B39" i="49"/>
  <c r="U15" i="49"/>
  <c r="AO15" i="49" s="1"/>
  <c r="BH15" i="49" s="1"/>
  <c r="B16" i="49"/>
  <c r="AX36" i="49"/>
  <c r="AP37" i="49"/>
  <c r="AW36" i="49"/>
  <c r="AZ36" i="49"/>
  <c r="AZ57" i="48"/>
  <c r="L87" i="55" s="1"/>
  <c r="AF57" i="48"/>
  <c r="L87" i="54" s="1"/>
  <c r="AF81" i="48"/>
  <c r="L87" i="58" s="1"/>
  <c r="G35" i="48"/>
  <c r="F89" i="53" s="1"/>
  <c r="G12" i="48"/>
  <c r="F90" i="51" s="1"/>
  <c r="Z81" i="48"/>
  <c r="F87" i="58" s="1"/>
  <c r="Z57" i="48"/>
  <c r="F87" i="54" s="1"/>
  <c r="AT57" i="48"/>
  <c r="F87" i="55" s="1"/>
  <c r="F12" i="48"/>
  <c r="E90" i="51" s="1"/>
  <c r="F35" i="48"/>
  <c r="E89" i="53" s="1"/>
  <c r="Y81" i="48"/>
  <c r="E87" i="58" s="1"/>
  <c r="AS57" i="48"/>
  <c r="E87" i="55" s="1"/>
  <c r="Y57" i="48"/>
  <c r="E87" i="54" s="1"/>
  <c r="F82" i="48"/>
  <c r="E88" i="57" s="1"/>
  <c r="F58" i="48"/>
  <c r="E88" i="56" s="1"/>
  <c r="G82" i="48"/>
  <c r="F88" i="57" s="1"/>
  <c r="G58" i="48"/>
  <c r="F88" i="56" s="1"/>
  <c r="M35" i="48"/>
  <c r="M12" i="48"/>
  <c r="L90" i="51" s="1"/>
  <c r="M82" i="48"/>
  <c r="L88" i="57" s="1"/>
  <c r="M58" i="48"/>
  <c r="L88" i="56" s="1"/>
  <c r="W82" i="48"/>
  <c r="C88" i="58" s="1"/>
  <c r="W58" i="48"/>
  <c r="C88" i="54" s="1"/>
  <c r="AQ58" i="48"/>
  <c r="C88" i="55" s="1"/>
  <c r="AG83" i="48"/>
  <c r="M89" i="58" s="1"/>
  <c r="AG59" i="48"/>
  <c r="M89" i="54" s="1"/>
  <c r="BA59" i="48"/>
  <c r="M89" i="55" s="1"/>
  <c r="AZ34" i="48"/>
  <c r="AP35" i="48"/>
  <c r="AX34" i="48"/>
  <c r="AW34" i="48"/>
  <c r="BX37" i="48"/>
  <c r="N37" i="48"/>
  <c r="N14" i="48"/>
  <c r="AA82" i="48"/>
  <c r="G88" i="58" s="1"/>
  <c r="AU58" i="48"/>
  <c r="G88" i="55" s="1"/>
  <c r="AU13" i="48"/>
  <c r="BD12" i="48"/>
  <c r="J36" i="48"/>
  <c r="I90" i="53" s="1"/>
  <c r="J13" i="48"/>
  <c r="I91" i="51" s="1"/>
  <c r="N84" i="48"/>
  <c r="M90" i="57" s="1"/>
  <c r="BC55" i="48"/>
  <c r="J83" i="48"/>
  <c r="I89" i="57" s="1"/>
  <c r="J59" i="48"/>
  <c r="I89" i="56" s="1"/>
  <c r="AB82" i="48"/>
  <c r="H88" i="58" s="1"/>
  <c r="AB58" i="48"/>
  <c r="H88" i="54" s="1"/>
  <c r="AV58" i="48"/>
  <c r="H88" i="55" s="1"/>
  <c r="AE82" i="48"/>
  <c r="K88" i="58" s="1"/>
  <c r="AE58" i="48"/>
  <c r="K88" i="54" s="1"/>
  <c r="AY58" i="48"/>
  <c r="K88" i="55" s="1"/>
  <c r="B61" i="48"/>
  <c r="U61" i="48" s="1"/>
  <c r="AO61" i="48" s="1"/>
  <c r="B37" i="48"/>
  <c r="B14" i="48"/>
  <c r="U13" i="48"/>
  <c r="AO13" i="48" s="1"/>
  <c r="BH13" i="48" s="1"/>
  <c r="D36" i="48"/>
  <c r="C90" i="53" s="1"/>
  <c r="D13" i="48"/>
  <c r="C91" i="51" s="1"/>
  <c r="I83" i="48"/>
  <c r="H89" i="57" s="1"/>
  <c r="I59" i="48"/>
  <c r="H89" i="56" s="1"/>
  <c r="H83" i="48"/>
  <c r="G89" i="57" s="1"/>
  <c r="H59" i="48"/>
  <c r="G89" i="56" s="1"/>
  <c r="AA59" i="48"/>
  <c r="G89" i="54" s="1"/>
  <c r="C60" i="48"/>
  <c r="V60" i="48" s="1"/>
  <c r="AP60" i="48" s="1"/>
  <c r="C36" i="48"/>
  <c r="V12" i="48"/>
  <c r="AP12" i="48" s="1"/>
  <c r="BI12" i="48" s="1"/>
  <c r="C13" i="48"/>
  <c r="O38" i="48"/>
  <c r="N92" i="53" s="1"/>
  <c r="O15" i="48"/>
  <c r="AC82" i="48"/>
  <c r="I88" i="58" s="1"/>
  <c r="AC58" i="48"/>
  <c r="I88" i="54" s="1"/>
  <c r="AW58" i="48"/>
  <c r="I88" i="55" s="1"/>
  <c r="C83" i="48"/>
  <c r="V35" i="48"/>
  <c r="V83" i="48" s="1"/>
  <c r="O85" i="48"/>
  <c r="N91" i="57" s="1"/>
  <c r="O61" i="48"/>
  <c r="N91" i="56" s="1"/>
  <c r="B84" i="48"/>
  <c r="U36" i="48"/>
  <c r="U84" i="48" s="1"/>
  <c r="I36" i="48"/>
  <c r="H90" i="53" s="1"/>
  <c r="I13" i="48"/>
  <c r="H91" i="51" s="1"/>
  <c r="L36" i="48"/>
  <c r="L13" i="48"/>
  <c r="BA33" i="48"/>
  <c r="AH84" i="48"/>
  <c r="N90" i="58" s="1"/>
  <c r="AH60" i="48"/>
  <c r="N90" i="54" s="1"/>
  <c r="BB60" i="48"/>
  <c r="N90" i="55" s="1"/>
  <c r="H36" i="48"/>
  <c r="G90" i="53" s="1"/>
  <c r="H13" i="48"/>
  <c r="G91" i="51" s="1"/>
  <c r="L83" i="48"/>
  <c r="K89" i="57" s="1"/>
  <c r="D83" i="48"/>
  <c r="C89" i="57" s="1"/>
  <c r="D59" i="48"/>
  <c r="C89" i="56" s="1"/>
  <c r="K5" i="44"/>
  <c r="J23" i="51" s="1"/>
  <c r="K28" i="44"/>
  <c r="BR28" i="47"/>
  <c r="Q4" i="47"/>
  <c r="P62" i="51" s="1"/>
  <c r="D5" i="47"/>
  <c r="C63" i="51" s="1"/>
  <c r="BO28" i="47"/>
  <c r="D28" i="47"/>
  <c r="C62" i="53" s="1"/>
  <c r="K5" i="46"/>
  <c r="J43" i="51" s="1"/>
  <c r="K28" i="46"/>
  <c r="J5" i="44"/>
  <c r="I23" i="51" s="1"/>
  <c r="J28" i="44"/>
  <c r="M5" i="47"/>
  <c r="L63" i="51" s="1"/>
  <c r="M28" i="47"/>
  <c r="L62" i="53" s="1"/>
  <c r="H5" i="44"/>
  <c r="G23" i="51" s="1"/>
  <c r="BW28" i="44"/>
  <c r="H28" i="44"/>
  <c r="D5" i="46"/>
  <c r="C43" i="51" s="1"/>
  <c r="BR28" i="46"/>
  <c r="Q4" i="46"/>
  <c r="P42" i="51" s="1"/>
  <c r="BO28" i="46"/>
  <c r="D28" i="46"/>
  <c r="C42" i="53" s="1"/>
  <c r="E5" i="47"/>
  <c r="D63" i="51" s="1"/>
  <c r="E28" i="47"/>
  <c r="D62" i="53" s="1"/>
  <c r="BU28" i="47"/>
  <c r="M5" i="46"/>
  <c r="L43" i="51" s="1"/>
  <c r="M28" i="46"/>
  <c r="L42" i="53" s="1"/>
  <c r="K28" i="47"/>
  <c r="K5" i="47"/>
  <c r="J63" i="51" s="1"/>
  <c r="J5" i="46"/>
  <c r="I43" i="51" s="1"/>
  <c r="J28" i="46"/>
  <c r="I42" i="53" s="1"/>
  <c r="I5" i="44"/>
  <c r="H23" i="51" s="1"/>
  <c r="I28" i="44"/>
  <c r="J5" i="47"/>
  <c r="I63" i="51" s="1"/>
  <c r="J28" i="47"/>
  <c r="I62" i="53" s="1"/>
  <c r="H28" i="46"/>
  <c r="BW28" i="46"/>
  <c r="H5" i="46"/>
  <c r="G43" i="51" s="1"/>
  <c r="G5" i="44"/>
  <c r="F23" i="51" s="1"/>
  <c r="G28" i="44"/>
  <c r="I5" i="46"/>
  <c r="H43" i="51" s="1"/>
  <c r="I28" i="46"/>
  <c r="H42" i="53" s="1"/>
  <c r="I5" i="47"/>
  <c r="H63" i="51" s="1"/>
  <c r="I28" i="47"/>
  <c r="H62" i="53" s="1"/>
  <c r="H5" i="47"/>
  <c r="G63" i="51" s="1"/>
  <c r="BW28" i="47"/>
  <c r="H28" i="47"/>
  <c r="G62" i="53" s="1"/>
  <c r="G5" i="46"/>
  <c r="F43" i="51" s="1"/>
  <c r="G28" i="46"/>
  <c r="F42" i="53" s="1"/>
  <c r="F5" i="44"/>
  <c r="E23" i="51" s="1"/>
  <c r="F28" i="44"/>
  <c r="F5" i="46"/>
  <c r="E43" i="51" s="1"/>
  <c r="F28" i="46"/>
  <c r="E42" i="53" s="1"/>
  <c r="G5" i="47"/>
  <c r="F63" i="51" s="1"/>
  <c r="G28" i="47"/>
  <c r="F62" i="53" s="1"/>
  <c r="E5" i="44"/>
  <c r="D23" i="51" s="1"/>
  <c r="E28" i="44"/>
  <c r="BU28" i="44"/>
  <c r="Q4" i="44"/>
  <c r="P22" i="51" s="1"/>
  <c r="BR28" i="44"/>
  <c r="D28" i="44"/>
  <c r="D5" i="44"/>
  <c r="C23" i="51" s="1"/>
  <c r="BO28" i="44"/>
  <c r="F5" i="47"/>
  <c r="E63" i="51" s="1"/>
  <c r="F28" i="47"/>
  <c r="E62" i="53" s="1"/>
  <c r="E5" i="46"/>
  <c r="D43" i="51" s="1"/>
  <c r="BU28" i="46"/>
  <c r="E28" i="46"/>
  <c r="D42" i="53" s="1"/>
  <c r="M5" i="44"/>
  <c r="L23" i="51" s="1"/>
  <c r="M28" i="44"/>
  <c r="N81" i="47"/>
  <c r="M67" i="57" s="1"/>
  <c r="C83" i="47"/>
  <c r="V35" i="47"/>
  <c r="V83" i="47" s="1"/>
  <c r="AU12" i="47"/>
  <c r="BD11" i="47"/>
  <c r="O34" i="47"/>
  <c r="N68" i="53" s="1"/>
  <c r="O11" i="47"/>
  <c r="L34" i="47"/>
  <c r="L11" i="47"/>
  <c r="AP33" i="47"/>
  <c r="AZ32" i="47"/>
  <c r="AX32" i="47"/>
  <c r="AH80" i="47"/>
  <c r="N66" i="58" s="1"/>
  <c r="N6" i="58" s="1"/>
  <c r="AH56" i="47"/>
  <c r="N66" i="54" s="1"/>
  <c r="BB56" i="47"/>
  <c r="N66" i="55" s="1"/>
  <c r="O81" i="47"/>
  <c r="N67" i="57" s="1"/>
  <c r="N7" i="57" s="1"/>
  <c r="O57" i="47"/>
  <c r="N67" i="56" s="1"/>
  <c r="N7" i="56" s="1"/>
  <c r="L81" i="47"/>
  <c r="K67" i="57" s="1"/>
  <c r="B60" i="47"/>
  <c r="U60" i="47" s="1"/>
  <c r="AO60" i="47" s="1"/>
  <c r="B36" i="47"/>
  <c r="U12" i="47"/>
  <c r="AO12" i="47" s="1"/>
  <c r="BH12" i="47" s="1"/>
  <c r="B13" i="47"/>
  <c r="AG80" i="47"/>
  <c r="M66" i="58" s="1"/>
  <c r="AG56" i="47"/>
  <c r="M66" i="54" s="1"/>
  <c r="BA56" i="47"/>
  <c r="M66" i="55" s="1"/>
  <c r="BX34" i="47"/>
  <c r="N34" i="47"/>
  <c r="N11" i="47"/>
  <c r="C60" i="47"/>
  <c r="V60" i="47" s="1"/>
  <c r="AP60" i="47" s="1"/>
  <c r="C36" i="47"/>
  <c r="C13" i="47"/>
  <c r="V12" i="47"/>
  <c r="AP12" i="47" s="1"/>
  <c r="BI12" i="47" s="1"/>
  <c r="AE80" i="47"/>
  <c r="K66" i="58" s="1"/>
  <c r="AE56" i="47"/>
  <c r="K66" i="54" s="1"/>
  <c r="AY56" i="47"/>
  <c r="K66" i="55" s="1"/>
  <c r="B83" i="47"/>
  <c r="U35" i="47"/>
  <c r="U83" i="47" s="1"/>
  <c r="L35" i="46"/>
  <c r="L12" i="46"/>
  <c r="AU11" i="46"/>
  <c r="BD10" i="46"/>
  <c r="L82" i="46"/>
  <c r="K48" i="57" s="1"/>
  <c r="AH81" i="46"/>
  <c r="N47" i="58" s="1"/>
  <c r="AH57" i="46"/>
  <c r="BB57" i="46"/>
  <c r="AX32" i="46"/>
  <c r="AP33" i="46"/>
  <c r="AZ32" i="46"/>
  <c r="AE81" i="46"/>
  <c r="K47" i="58" s="1"/>
  <c r="AE57" i="46"/>
  <c r="AY57" i="46"/>
  <c r="B58" i="46"/>
  <c r="U58" i="46" s="1"/>
  <c r="AO58" i="46" s="1"/>
  <c r="B34" i="46"/>
  <c r="B11" i="46"/>
  <c r="U10" i="46"/>
  <c r="AO10" i="46" s="1"/>
  <c r="BH10" i="46" s="1"/>
  <c r="N34" i="46"/>
  <c r="BX34" i="46"/>
  <c r="N11" i="46"/>
  <c r="C59" i="46"/>
  <c r="V59" i="46" s="1"/>
  <c r="AP59" i="46" s="1"/>
  <c r="C35" i="46"/>
  <c r="C12" i="46"/>
  <c r="V11" i="46"/>
  <c r="AP11" i="46" s="1"/>
  <c r="BI11" i="46" s="1"/>
  <c r="BT32" i="46"/>
  <c r="BQ32" i="46"/>
  <c r="AG80" i="46"/>
  <c r="M46" i="58" s="1"/>
  <c r="M6" i="58" s="1"/>
  <c r="AG56" i="46"/>
  <c r="BA56" i="46"/>
  <c r="B81" i="46"/>
  <c r="U33" i="46"/>
  <c r="U81" i="46" s="1"/>
  <c r="O35" i="46"/>
  <c r="N49" i="53" s="1"/>
  <c r="O12" i="46"/>
  <c r="BN33" i="46"/>
  <c r="BL34" i="46"/>
  <c r="N81" i="46"/>
  <c r="M47" i="57" s="1"/>
  <c r="C82" i="46"/>
  <c r="V34" i="46"/>
  <c r="V82" i="46" s="1"/>
  <c r="O82" i="46"/>
  <c r="N48" i="57" s="1"/>
  <c r="O58" i="46"/>
  <c r="N48" i="56" s="1"/>
  <c r="B86" i="44"/>
  <c r="U38" i="44"/>
  <c r="U86" i="44" s="1"/>
  <c r="B14" i="44"/>
  <c r="B61" i="44"/>
  <c r="AO61" i="44" s="1"/>
  <c r="U13" i="44"/>
  <c r="AO13" i="44" s="1"/>
  <c r="BH13" i="44" s="1"/>
  <c r="C14" i="44"/>
  <c r="C61" i="44"/>
  <c r="AP61" i="44" s="1"/>
  <c r="V13" i="44"/>
  <c r="AP13" i="44" s="1"/>
  <c r="BI13" i="44" s="1"/>
  <c r="N83" i="44"/>
  <c r="M29" i="57" s="1"/>
  <c r="AE80" i="44"/>
  <c r="K26" i="58" s="1"/>
  <c r="AE56" i="44"/>
  <c r="K26" i="54" s="1"/>
  <c r="AY56" i="44"/>
  <c r="K26" i="55" s="1"/>
  <c r="O82" i="44"/>
  <c r="N28" i="57" s="1"/>
  <c r="BQ32" i="44"/>
  <c r="BT32" i="44"/>
  <c r="L81" i="44"/>
  <c r="K27" i="57" s="1"/>
  <c r="L11" i="44"/>
  <c r="L34" i="44"/>
  <c r="BX36" i="44"/>
  <c r="N13" i="44"/>
  <c r="N36" i="44"/>
  <c r="AP35" i="44"/>
  <c r="AX34" i="44"/>
  <c r="AZ34" i="44"/>
  <c r="O35" i="44"/>
  <c r="O12" i="44"/>
  <c r="AH81" i="44"/>
  <c r="N27" i="58" s="1"/>
  <c r="AH57" i="44"/>
  <c r="N27" i="54" s="1"/>
  <c r="BB57" i="44"/>
  <c r="N27" i="55" s="1"/>
  <c r="AU12" i="44"/>
  <c r="BD11" i="44"/>
  <c r="BL34" i="44"/>
  <c r="BN33" i="44"/>
  <c r="AG82" i="44"/>
  <c r="M28" i="58" s="1"/>
  <c r="AG58" i="44"/>
  <c r="M28" i="54" s="1"/>
  <c r="BA58" i="44"/>
  <c r="M28" i="55" s="1"/>
  <c r="BQ30" i="43"/>
  <c r="BT30" i="43"/>
  <c r="BL32" i="43"/>
  <c r="BM31" i="43"/>
  <c r="BN31" i="43" s="1"/>
  <c r="BL27" i="43"/>
  <c r="BK27" i="43"/>
  <c r="O4" i="43"/>
  <c r="N4" i="43"/>
  <c r="BX28" i="43" s="1"/>
  <c r="L4" i="43"/>
  <c r="AZ33" i="43"/>
  <c r="AP34" i="43"/>
  <c r="AX34" i="43" s="1"/>
  <c r="F78" i="31"/>
  <c r="E61" i="31"/>
  <c r="F61" i="31" s="1"/>
  <c r="F60" i="31"/>
  <c r="E41" i="31"/>
  <c r="F41" i="31" s="1"/>
  <c r="F40" i="31"/>
  <c r="E20" i="31"/>
  <c r="F19" i="31"/>
  <c r="F119" i="31"/>
  <c r="E120" i="31"/>
  <c r="G2" i="26"/>
  <c r="J2" i="26"/>
  <c r="I2" i="26"/>
  <c r="H2" i="26"/>
  <c r="P6" i="26"/>
  <c r="F2" i="26"/>
  <c r="E2" i="26"/>
  <c r="D2" i="26"/>
  <c r="P3" i="26"/>
  <c r="P4" i="26"/>
  <c r="P5" i="26"/>
  <c r="P7" i="26"/>
  <c r="P8" i="26"/>
  <c r="L2" i="26"/>
  <c r="C2" i="26"/>
  <c r="A5" i="26"/>
  <c r="A6" i="26"/>
  <c r="A7" i="26"/>
  <c r="A8" i="26"/>
  <c r="P4" i="28"/>
  <c r="P5" i="28"/>
  <c r="P6" i="28"/>
  <c r="P7" i="28"/>
  <c r="P8" i="28"/>
  <c r="A3" i="28"/>
  <c r="A4" i="28"/>
  <c r="A5" i="28"/>
  <c r="A6" i="28"/>
  <c r="A7" i="28"/>
  <c r="A8" i="28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M7" i="57" l="1"/>
  <c r="BJ63" i="49"/>
  <c r="N6" i="55"/>
  <c r="N6" i="54"/>
  <c r="M7" i="56"/>
  <c r="G3" i="51"/>
  <c r="N8" i="53"/>
  <c r="M91" i="53"/>
  <c r="N61" i="48"/>
  <c r="M91" i="56" s="1"/>
  <c r="K134" i="53"/>
  <c r="L64" i="50"/>
  <c r="K134" i="56" s="1"/>
  <c r="K28" i="53"/>
  <c r="L58" i="44"/>
  <c r="K28" i="56" s="1"/>
  <c r="M48" i="53"/>
  <c r="N58" i="46"/>
  <c r="M48" i="56" s="1"/>
  <c r="K90" i="53"/>
  <c r="L60" i="48"/>
  <c r="K90" i="56" s="1"/>
  <c r="M112" i="53"/>
  <c r="N62" i="49"/>
  <c r="M112" i="56" s="1"/>
  <c r="N60" i="44"/>
  <c r="M30" i="56" s="1"/>
  <c r="M30" i="53"/>
  <c r="M68" i="53"/>
  <c r="N58" i="47"/>
  <c r="M68" i="56" s="1"/>
  <c r="K6" i="58"/>
  <c r="K68" i="53"/>
  <c r="L58" i="47"/>
  <c r="K68" i="56" s="1"/>
  <c r="N29" i="53"/>
  <c r="O59" i="44"/>
  <c r="N29" i="56" s="1"/>
  <c r="M7" i="53"/>
  <c r="K6" i="55"/>
  <c r="K6" i="54"/>
  <c r="L59" i="46"/>
  <c r="K49" i="56" s="1"/>
  <c r="K49" i="53"/>
  <c r="K47" i="55"/>
  <c r="K47" i="54"/>
  <c r="M46" i="54"/>
  <c r="M6" i="54" s="1"/>
  <c r="M46" i="55"/>
  <c r="M6" i="55" s="1"/>
  <c r="L62" i="49"/>
  <c r="K112" i="56" s="1"/>
  <c r="K112" i="53"/>
  <c r="K7" i="57"/>
  <c r="N47" i="55"/>
  <c r="N47" i="54"/>
  <c r="M133" i="53"/>
  <c r="N63" i="50"/>
  <c r="M133" i="56" s="1"/>
  <c r="AA34" i="49"/>
  <c r="C3" i="51"/>
  <c r="AB34" i="49"/>
  <c r="AD34" i="49"/>
  <c r="F3" i="51"/>
  <c r="BJ55" i="48"/>
  <c r="AC34" i="49"/>
  <c r="BJ63" i="48"/>
  <c r="X34" i="49"/>
  <c r="L3" i="51"/>
  <c r="BD54" i="50"/>
  <c r="P124" i="55" s="1"/>
  <c r="O124" i="55"/>
  <c r="AS34" i="50"/>
  <c r="BN61" i="50" s="1"/>
  <c r="P128" i="53"/>
  <c r="M52" i="44"/>
  <c r="L22" i="56" s="1"/>
  <c r="L22" i="53"/>
  <c r="L2" i="53" s="1"/>
  <c r="BD55" i="50"/>
  <c r="P125" i="55" s="1"/>
  <c r="O125" i="55"/>
  <c r="AF34" i="50"/>
  <c r="K59" i="50"/>
  <c r="J129" i="56" s="1"/>
  <c r="J129" i="53"/>
  <c r="D52" i="44"/>
  <c r="C22" i="56" s="1"/>
  <c r="C22" i="53"/>
  <c r="C2" i="53" s="1"/>
  <c r="BD55" i="48"/>
  <c r="P85" i="55" s="1"/>
  <c r="O85" i="55"/>
  <c r="J88" i="56"/>
  <c r="AD82" i="48"/>
  <c r="J88" i="58" s="1"/>
  <c r="AD58" i="48"/>
  <c r="J88" i="54" s="1"/>
  <c r="AX58" i="48"/>
  <c r="J88" i="55" s="1"/>
  <c r="K59" i="49"/>
  <c r="J109" i="56" s="1"/>
  <c r="J109" i="53"/>
  <c r="J90" i="51"/>
  <c r="K13" i="48"/>
  <c r="K36" i="48"/>
  <c r="D88" i="56"/>
  <c r="AR58" i="48"/>
  <c r="D88" i="55" s="1"/>
  <c r="X58" i="48"/>
  <c r="D88" i="54" s="1"/>
  <c r="X82" i="48"/>
  <c r="D88" i="58" s="1"/>
  <c r="J52" i="44"/>
  <c r="I22" i="56" s="1"/>
  <c r="I22" i="53"/>
  <c r="I2" i="53" s="1"/>
  <c r="P2" i="51"/>
  <c r="F52" i="44"/>
  <c r="E22" i="56" s="1"/>
  <c r="E22" i="53"/>
  <c r="E2" i="53" s="1"/>
  <c r="I3" i="51"/>
  <c r="K52" i="44"/>
  <c r="J22" i="56" s="1"/>
  <c r="J22" i="53"/>
  <c r="AK56" i="48"/>
  <c r="BL58" i="48" s="1"/>
  <c r="P86" i="54"/>
  <c r="AK56" i="49"/>
  <c r="BL58" i="49" s="1"/>
  <c r="P106" i="54"/>
  <c r="AA34" i="50"/>
  <c r="K59" i="48"/>
  <c r="J89" i="53"/>
  <c r="K83" i="48"/>
  <c r="J89" i="57" s="1"/>
  <c r="E3" i="51"/>
  <c r="K52" i="46"/>
  <c r="J42" i="56" s="1"/>
  <c r="J42" i="53"/>
  <c r="J3" i="51"/>
  <c r="CA35" i="48"/>
  <c r="L89" i="53"/>
  <c r="AH34" i="48"/>
  <c r="P88" i="53"/>
  <c r="AQ34" i="49"/>
  <c r="BN59" i="49" s="1"/>
  <c r="P108" i="53"/>
  <c r="K52" i="47"/>
  <c r="J62" i="56" s="1"/>
  <c r="J62" i="53"/>
  <c r="E52" i="44"/>
  <c r="D22" i="56" s="1"/>
  <c r="D22" i="53"/>
  <c r="D2" i="53" s="1"/>
  <c r="I52" i="44"/>
  <c r="H22" i="56" s="1"/>
  <c r="H22" i="53"/>
  <c r="H2" i="53" s="1"/>
  <c r="H52" i="44"/>
  <c r="G22" i="56" s="1"/>
  <c r="G22" i="53"/>
  <c r="BU33" i="48"/>
  <c r="BM66" i="48" s="1"/>
  <c r="O87" i="51"/>
  <c r="AK56" i="50"/>
  <c r="BL58" i="50" s="1"/>
  <c r="P126" i="54"/>
  <c r="D89" i="53"/>
  <c r="E59" i="48"/>
  <c r="E83" i="48"/>
  <c r="D89" i="57" s="1"/>
  <c r="H52" i="46"/>
  <c r="G42" i="56" s="1"/>
  <c r="G42" i="53"/>
  <c r="D3" i="51"/>
  <c r="G52" i="44"/>
  <c r="F22" i="56" s="1"/>
  <c r="F22" i="53"/>
  <c r="F2" i="53" s="1"/>
  <c r="H3" i="51"/>
  <c r="AI32" i="48"/>
  <c r="O86" i="53"/>
  <c r="W34" i="50"/>
  <c r="D90" i="51"/>
  <c r="E13" i="48"/>
  <c r="E36" i="48"/>
  <c r="AJ33" i="49"/>
  <c r="Y34" i="50"/>
  <c r="AQ34" i="50"/>
  <c r="BN59" i="50" s="1"/>
  <c r="AJ81" i="49"/>
  <c r="P107" i="58" s="1"/>
  <c r="AD58" i="50"/>
  <c r="J128" i="54" s="1"/>
  <c r="AD82" i="50"/>
  <c r="J128" i="58" s="1"/>
  <c r="AX58" i="50"/>
  <c r="J128" i="55" s="1"/>
  <c r="AC82" i="49"/>
  <c r="I108" i="58" s="1"/>
  <c r="AC58" i="49"/>
  <c r="I108" i="54" s="1"/>
  <c r="AW58" i="49"/>
  <c r="I108" i="55" s="1"/>
  <c r="AJ33" i="50"/>
  <c r="M13" i="50"/>
  <c r="L131" i="51" s="1"/>
  <c r="M36" i="50"/>
  <c r="L130" i="53" s="1"/>
  <c r="X34" i="50"/>
  <c r="G83" i="50"/>
  <c r="F129" i="57" s="1"/>
  <c r="G59" i="50"/>
  <c r="F129" i="56" s="1"/>
  <c r="F83" i="50"/>
  <c r="E129" i="57" s="1"/>
  <c r="F59" i="50"/>
  <c r="E129" i="56" s="1"/>
  <c r="AF34" i="49"/>
  <c r="BJ55" i="50"/>
  <c r="BJ63" i="50"/>
  <c r="H36" i="49"/>
  <c r="G110" i="53" s="1"/>
  <c r="H13" i="49"/>
  <c r="G111" i="51" s="1"/>
  <c r="BW36" i="49"/>
  <c r="BP67" i="49" s="1"/>
  <c r="AI32" i="50"/>
  <c r="P80" i="50"/>
  <c r="O126" i="57" s="1"/>
  <c r="E13" i="49"/>
  <c r="D111" i="51" s="1"/>
  <c r="E36" i="49"/>
  <c r="D110" i="53" s="1"/>
  <c r="K36" i="49"/>
  <c r="K13" i="49"/>
  <c r="J111" i="51" s="1"/>
  <c r="X82" i="49"/>
  <c r="D108" i="58" s="1"/>
  <c r="X58" i="49"/>
  <c r="D108" i="54" s="1"/>
  <c r="AR58" i="49"/>
  <c r="D108" i="55" s="1"/>
  <c r="BK55" i="50"/>
  <c r="P33" i="49"/>
  <c r="O107" i="53" s="1"/>
  <c r="AI9" i="49"/>
  <c r="BO33" i="49"/>
  <c r="BM64" i="49" s="1"/>
  <c r="BU33" i="49"/>
  <c r="BM66" i="49" s="1"/>
  <c r="M83" i="49"/>
  <c r="L109" i="57" s="1"/>
  <c r="M59" i="49"/>
  <c r="L109" i="56" s="1"/>
  <c r="AA59" i="49"/>
  <c r="G109" i="54" s="1"/>
  <c r="H83" i="49"/>
  <c r="G109" i="57" s="1"/>
  <c r="H59" i="49"/>
  <c r="G109" i="56" s="1"/>
  <c r="AB58" i="49"/>
  <c r="H108" i="54" s="1"/>
  <c r="AB82" i="49"/>
  <c r="H108" i="58" s="1"/>
  <c r="AV58" i="49"/>
  <c r="H108" i="55" s="1"/>
  <c r="I83" i="49"/>
  <c r="H109" i="57" s="1"/>
  <c r="I59" i="49"/>
  <c r="H109" i="56" s="1"/>
  <c r="X82" i="50"/>
  <c r="D128" i="58" s="1"/>
  <c r="X58" i="50"/>
  <c r="D128" i="54" s="1"/>
  <c r="AR58" i="50"/>
  <c r="D128" i="55" s="1"/>
  <c r="AJ8" i="50"/>
  <c r="BC56" i="50"/>
  <c r="AF82" i="49"/>
  <c r="L108" i="58" s="1"/>
  <c r="AF58" i="49"/>
  <c r="L108" i="54" s="1"/>
  <c r="AZ58" i="49"/>
  <c r="L108" i="55" s="1"/>
  <c r="E59" i="49"/>
  <c r="D109" i="56" s="1"/>
  <c r="E83" i="49"/>
  <c r="D109" i="57" s="1"/>
  <c r="CA35" i="49"/>
  <c r="K83" i="49"/>
  <c r="J109" i="57" s="1"/>
  <c r="H36" i="50"/>
  <c r="G130" i="53" s="1"/>
  <c r="H13" i="50"/>
  <c r="G131" i="51" s="1"/>
  <c r="BW36" i="50"/>
  <c r="BP67" i="50" s="1"/>
  <c r="M13" i="49"/>
  <c r="L111" i="51" s="1"/>
  <c r="M36" i="49"/>
  <c r="L110" i="53" s="1"/>
  <c r="AA82" i="50"/>
  <c r="G128" i="58" s="1"/>
  <c r="AU58" i="50"/>
  <c r="G128" i="55" s="1"/>
  <c r="I36" i="49"/>
  <c r="H110" i="53" s="1"/>
  <c r="I13" i="49"/>
  <c r="H111" i="51" s="1"/>
  <c r="Y58" i="50"/>
  <c r="E128" i="54" s="1"/>
  <c r="Y82" i="50"/>
  <c r="E128" i="58" s="1"/>
  <c r="AS58" i="50"/>
  <c r="E128" i="55" s="1"/>
  <c r="D59" i="49"/>
  <c r="C109" i="56" s="1"/>
  <c r="Q35" i="49"/>
  <c r="D83" i="49"/>
  <c r="C109" i="57" s="1"/>
  <c r="E59" i="50"/>
  <c r="D129" i="56" s="1"/>
  <c r="E83" i="50"/>
  <c r="D129" i="57" s="1"/>
  <c r="Z34" i="50"/>
  <c r="W34" i="49"/>
  <c r="AJ57" i="49"/>
  <c r="AA59" i="50"/>
  <c r="G129" i="54" s="1"/>
  <c r="H83" i="50"/>
  <c r="G129" i="57" s="1"/>
  <c r="H59" i="50"/>
  <c r="G129" i="56" s="1"/>
  <c r="G13" i="49"/>
  <c r="F111" i="51" s="1"/>
  <c r="G36" i="49"/>
  <c r="F110" i="53" s="1"/>
  <c r="F36" i="49"/>
  <c r="E110" i="53" s="1"/>
  <c r="F13" i="49"/>
  <c r="E111" i="51" s="1"/>
  <c r="AD82" i="49"/>
  <c r="J108" i="58" s="1"/>
  <c r="AD58" i="49"/>
  <c r="J108" i="54" s="1"/>
  <c r="AX58" i="49"/>
  <c r="J108" i="55" s="1"/>
  <c r="CA35" i="50"/>
  <c r="K83" i="50"/>
  <c r="J129" i="57" s="1"/>
  <c r="Y34" i="49"/>
  <c r="AJ8" i="49"/>
  <c r="E36" i="50"/>
  <c r="D130" i="53" s="1"/>
  <c r="E13" i="50"/>
  <c r="D131" i="51" s="1"/>
  <c r="D13" i="49"/>
  <c r="C111" i="51" s="1"/>
  <c r="BR36" i="49"/>
  <c r="BP65" i="49" s="1"/>
  <c r="Q12" i="49"/>
  <c r="P110" i="51" s="1"/>
  <c r="D36" i="49"/>
  <c r="C110" i="53" s="1"/>
  <c r="J36" i="49"/>
  <c r="I110" i="53" s="1"/>
  <c r="J13" i="49"/>
  <c r="I111" i="51" s="1"/>
  <c r="Z82" i="49"/>
  <c r="F108" i="58" s="1"/>
  <c r="Z58" i="49"/>
  <c r="F108" i="54" s="1"/>
  <c r="AT58" i="49"/>
  <c r="F108" i="55" s="1"/>
  <c r="AD34" i="50"/>
  <c r="BJ10" i="50"/>
  <c r="BK10" i="50" s="1"/>
  <c r="BL10" i="50" s="1"/>
  <c r="P10" i="50" s="1"/>
  <c r="O128" i="51" s="1"/>
  <c r="AH34" i="50"/>
  <c r="AR34" i="50"/>
  <c r="BN60" i="50" s="1"/>
  <c r="AE34" i="50"/>
  <c r="BN68" i="50"/>
  <c r="AG34" i="50"/>
  <c r="BN69" i="50"/>
  <c r="AT34" i="50"/>
  <c r="BN62" i="50" s="1"/>
  <c r="G59" i="49"/>
  <c r="F109" i="56" s="1"/>
  <c r="G83" i="49"/>
  <c r="F109" i="57" s="1"/>
  <c r="F83" i="49"/>
  <c r="E109" i="57" s="1"/>
  <c r="F59" i="49"/>
  <c r="E109" i="56" s="1"/>
  <c r="K36" i="50"/>
  <c r="K13" i="50"/>
  <c r="J131" i="51" s="1"/>
  <c r="Y82" i="49"/>
  <c r="E108" i="58" s="1"/>
  <c r="Y58" i="49"/>
  <c r="E108" i="54" s="1"/>
  <c r="AS58" i="49"/>
  <c r="E108" i="55" s="1"/>
  <c r="AI32" i="49"/>
  <c r="P80" i="49"/>
  <c r="O106" i="57" s="1"/>
  <c r="Z82" i="50"/>
  <c r="F128" i="58" s="1"/>
  <c r="Z58" i="50"/>
  <c r="F128" i="54" s="1"/>
  <c r="AT58" i="50"/>
  <c r="F128" i="55" s="1"/>
  <c r="Q82" i="49"/>
  <c r="P108" i="57" s="1"/>
  <c r="BM59" i="50"/>
  <c r="AU33" i="50"/>
  <c r="AA82" i="49"/>
  <c r="G108" i="58" s="1"/>
  <c r="AU58" i="49"/>
  <c r="G108" i="55" s="1"/>
  <c r="J59" i="49"/>
  <c r="I109" i="56" s="1"/>
  <c r="J83" i="49"/>
  <c r="I109" i="57" s="1"/>
  <c r="P33" i="50"/>
  <c r="O127" i="53" s="1"/>
  <c r="AI9" i="50"/>
  <c r="BU33" i="50"/>
  <c r="BM66" i="50" s="1"/>
  <c r="BO33" i="50"/>
  <c r="BM64" i="50" s="1"/>
  <c r="W82" i="50"/>
  <c r="C128" i="58" s="1"/>
  <c r="W58" i="50"/>
  <c r="C128" i="54" s="1"/>
  <c r="Q58" i="50"/>
  <c r="P128" i="56" s="1"/>
  <c r="AQ58" i="50"/>
  <c r="C128" i="55" s="1"/>
  <c r="D36" i="50"/>
  <c r="C130" i="53" s="1"/>
  <c r="D13" i="50"/>
  <c r="C131" i="51" s="1"/>
  <c r="BR36" i="50"/>
  <c r="BP65" i="50" s="1"/>
  <c r="Q12" i="50"/>
  <c r="P130" i="51" s="1"/>
  <c r="AU33" i="49"/>
  <c r="AJ81" i="50"/>
  <c r="P127" i="58" s="1"/>
  <c r="AC34" i="50"/>
  <c r="AB34" i="50"/>
  <c r="J36" i="50"/>
  <c r="I130" i="53" s="1"/>
  <c r="J13" i="50"/>
  <c r="I131" i="51" s="1"/>
  <c r="I83" i="50"/>
  <c r="H129" i="57" s="1"/>
  <c r="I59" i="50"/>
  <c r="H129" i="56" s="1"/>
  <c r="AQ58" i="49"/>
  <c r="C108" i="55" s="1"/>
  <c r="W82" i="49"/>
  <c r="C108" i="58" s="1"/>
  <c r="Q58" i="49"/>
  <c r="P108" i="56" s="1"/>
  <c r="W58" i="49"/>
  <c r="C108" i="54" s="1"/>
  <c r="Q82" i="50"/>
  <c r="P128" i="57" s="1"/>
  <c r="AF82" i="50"/>
  <c r="L128" i="58" s="1"/>
  <c r="AF58" i="50"/>
  <c r="L128" i="54" s="1"/>
  <c r="AZ58" i="50"/>
  <c r="L128" i="55" s="1"/>
  <c r="D83" i="50"/>
  <c r="C129" i="57" s="1"/>
  <c r="D59" i="50"/>
  <c r="C129" i="56" s="1"/>
  <c r="Q35" i="50"/>
  <c r="BC55" i="49"/>
  <c r="M83" i="50"/>
  <c r="L129" i="57" s="1"/>
  <c r="M59" i="50"/>
  <c r="L129" i="56" s="1"/>
  <c r="AJ57" i="50"/>
  <c r="AC82" i="50"/>
  <c r="I128" i="58" s="1"/>
  <c r="AC58" i="50"/>
  <c r="I128" i="54" s="1"/>
  <c r="AW58" i="50"/>
  <c r="I128" i="55" s="1"/>
  <c r="G36" i="50"/>
  <c r="F130" i="53" s="1"/>
  <c r="G13" i="50"/>
  <c r="F131" i="51" s="1"/>
  <c r="AB82" i="50"/>
  <c r="H128" i="58" s="1"/>
  <c r="AB58" i="50"/>
  <c r="H128" i="54" s="1"/>
  <c r="AV58" i="50"/>
  <c r="H128" i="55" s="1"/>
  <c r="F13" i="50"/>
  <c r="E131" i="51" s="1"/>
  <c r="F36" i="50"/>
  <c r="E130" i="53" s="1"/>
  <c r="J83" i="50"/>
  <c r="I129" i="57" s="1"/>
  <c r="J59" i="50"/>
  <c r="I129" i="56" s="1"/>
  <c r="I36" i="50"/>
  <c r="H130" i="53" s="1"/>
  <c r="I13" i="50"/>
  <c r="H131" i="51" s="1"/>
  <c r="Z34" i="49"/>
  <c r="AE34" i="49"/>
  <c r="BN69" i="49"/>
  <c r="BN68" i="49"/>
  <c r="AT34" i="49"/>
  <c r="BN62" i="49" s="1"/>
  <c r="BJ10" i="49"/>
  <c r="BK10" i="49" s="1"/>
  <c r="BL10" i="49" s="1"/>
  <c r="P10" i="49" s="1"/>
  <c r="O108" i="51" s="1"/>
  <c r="AH34" i="49"/>
  <c r="AR34" i="49"/>
  <c r="BN60" i="49" s="1"/>
  <c r="AG34" i="49"/>
  <c r="P80" i="48"/>
  <c r="O86" i="57" s="1"/>
  <c r="Q35" i="48"/>
  <c r="AD34" i="48"/>
  <c r="AI9" i="48"/>
  <c r="AJ9" i="48" s="1"/>
  <c r="AJ33" i="48"/>
  <c r="AC34" i="48"/>
  <c r="P33" i="48"/>
  <c r="AA34" i="48"/>
  <c r="BN69" i="48"/>
  <c r="AU33" i="48"/>
  <c r="BO33" i="48"/>
  <c r="BM64" i="48" s="1"/>
  <c r="BJ10" i="48"/>
  <c r="BK10" i="48" s="1"/>
  <c r="BL10" i="48" s="1"/>
  <c r="P10" i="48" s="1"/>
  <c r="AF34" i="48"/>
  <c r="AT34" i="48"/>
  <c r="BN62" i="48" s="1"/>
  <c r="X34" i="48"/>
  <c r="AE34" i="48"/>
  <c r="W34" i="48"/>
  <c r="AR34" i="48"/>
  <c r="BN60" i="48" s="1"/>
  <c r="AS34" i="48"/>
  <c r="BN61" i="48" s="1"/>
  <c r="Z34" i="48"/>
  <c r="BN68" i="48"/>
  <c r="AQ34" i="48"/>
  <c r="BN59" i="48" s="1"/>
  <c r="AG34" i="48"/>
  <c r="AB34" i="48"/>
  <c r="Y34" i="48"/>
  <c r="AJ81" i="48"/>
  <c r="P87" i="58" s="1"/>
  <c r="Q82" i="48"/>
  <c r="P88" i="57" s="1"/>
  <c r="AJ57" i="48"/>
  <c r="AU17" i="50"/>
  <c r="BD16" i="50"/>
  <c r="AG86" i="50"/>
  <c r="M132" i="58" s="1"/>
  <c r="AG62" i="50"/>
  <c r="M132" i="54" s="1"/>
  <c r="BA62" i="50"/>
  <c r="M132" i="55" s="1"/>
  <c r="C63" i="50"/>
  <c r="V63" i="50" s="1"/>
  <c r="AP63" i="50" s="1"/>
  <c r="C39" i="50"/>
  <c r="C16" i="50"/>
  <c r="V15" i="50"/>
  <c r="AP15" i="50" s="1"/>
  <c r="BI15" i="50" s="1"/>
  <c r="O40" i="50"/>
  <c r="N134" i="53" s="1"/>
  <c r="O17" i="50"/>
  <c r="L41" i="50"/>
  <c r="L18" i="50"/>
  <c r="AP38" i="50"/>
  <c r="AX37" i="50"/>
  <c r="AZ37" i="50"/>
  <c r="AW37" i="50"/>
  <c r="BA37" i="50" s="1"/>
  <c r="B87" i="50"/>
  <c r="U39" i="50"/>
  <c r="U87" i="50" s="1"/>
  <c r="AH86" i="50"/>
  <c r="N132" i="58" s="1"/>
  <c r="AH62" i="50"/>
  <c r="N132" i="54" s="1"/>
  <c r="BB62" i="50"/>
  <c r="N132" i="55" s="1"/>
  <c r="O87" i="50"/>
  <c r="N133" i="57" s="1"/>
  <c r="O63" i="50"/>
  <c r="N133" i="56" s="1"/>
  <c r="N40" i="50"/>
  <c r="BX40" i="50"/>
  <c r="N17" i="50"/>
  <c r="AE87" i="50"/>
  <c r="K133" i="58" s="1"/>
  <c r="AE63" i="50"/>
  <c r="K133" i="54" s="1"/>
  <c r="AY63" i="50"/>
  <c r="K133" i="55" s="1"/>
  <c r="C86" i="50"/>
  <c r="V38" i="50"/>
  <c r="V86" i="50" s="1"/>
  <c r="L88" i="50"/>
  <c r="K134" i="57" s="1"/>
  <c r="B64" i="50"/>
  <c r="U64" i="50" s="1"/>
  <c r="AO64" i="50" s="1"/>
  <c r="B40" i="50"/>
  <c r="U16" i="50"/>
  <c r="AO16" i="50" s="1"/>
  <c r="BH16" i="50" s="1"/>
  <c r="B17" i="50"/>
  <c r="BA36" i="50"/>
  <c r="N87" i="50"/>
  <c r="M133" i="57" s="1"/>
  <c r="BA36" i="49"/>
  <c r="O16" i="49"/>
  <c r="O39" i="49"/>
  <c r="N113" i="53" s="1"/>
  <c r="B64" i="49"/>
  <c r="U64" i="49" s="1"/>
  <c r="AO64" i="49" s="1"/>
  <c r="B40" i="49"/>
  <c r="B17" i="49"/>
  <c r="U16" i="49"/>
  <c r="AO16" i="49" s="1"/>
  <c r="BH16" i="49" s="1"/>
  <c r="AH85" i="49"/>
  <c r="N111" i="58" s="1"/>
  <c r="AH61" i="49"/>
  <c r="N111" i="54" s="1"/>
  <c r="BB61" i="49"/>
  <c r="N111" i="55" s="1"/>
  <c r="AP38" i="49"/>
  <c r="AX37" i="49"/>
  <c r="AW37" i="49"/>
  <c r="AZ37" i="49"/>
  <c r="B87" i="49"/>
  <c r="U39" i="49"/>
  <c r="U87" i="49" s="1"/>
  <c r="L39" i="49"/>
  <c r="L16" i="49"/>
  <c r="O86" i="49"/>
  <c r="N112" i="57" s="1"/>
  <c r="O62" i="49"/>
  <c r="N112" i="56" s="1"/>
  <c r="L86" i="49"/>
  <c r="K112" i="57" s="1"/>
  <c r="AG85" i="49"/>
  <c r="M111" i="58" s="1"/>
  <c r="AG61" i="49"/>
  <c r="M111" i="54" s="1"/>
  <c r="BA61" i="49"/>
  <c r="M111" i="55" s="1"/>
  <c r="C64" i="49"/>
  <c r="V64" i="49" s="1"/>
  <c r="AP64" i="49" s="1"/>
  <c r="C40" i="49"/>
  <c r="C17" i="49"/>
  <c r="V16" i="49"/>
  <c r="AP16" i="49" s="1"/>
  <c r="BI16" i="49" s="1"/>
  <c r="N16" i="49"/>
  <c r="BX39" i="49"/>
  <c r="N39" i="49"/>
  <c r="C87" i="49"/>
  <c r="V39" i="49"/>
  <c r="V87" i="49" s="1"/>
  <c r="BD18" i="49"/>
  <c r="N86" i="49"/>
  <c r="M112" i="57" s="1"/>
  <c r="AE85" i="49"/>
  <c r="K111" i="58" s="1"/>
  <c r="AE61" i="49"/>
  <c r="K111" i="54" s="1"/>
  <c r="AY61" i="49"/>
  <c r="K111" i="55" s="1"/>
  <c r="AF58" i="48"/>
  <c r="L88" i="54" s="1"/>
  <c r="AF82" i="48"/>
  <c r="L88" i="58" s="1"/>
  <c r="AZ58" i="48"/>
  <c r="L88" i="55" s="1"/>
  <c r="G36" i="48"/>
  <c r="F90" i="53" s="1"/>
  <c r="G13" i="48"/>
  <c r="F91" i="51" s="1"/>
  <c r="G83" i="48"/>
  <c r="F89" i="57" s="1"/>
  <c r="G59" i="48"/>
  <c r="F89" i="56" s="1"/>
  <c r="M36" i="48"/>
  <c r="M13" i="48"/>
  <c r="BW36" i="48"/>
  <c r="BP67" i="48" s="1"/>
  <c r="M83" i="48"/>
  <c r="L89" i="57" s="1"/>
  <c r="M59" i="48"/>
  <c r="L89" i="56" s="1"/>
  <c r="F83" i="48"/>
  <c r="E89" i="57" s="1"/>
  <c r="F59" i="48"/>
  <c r="E89" i="56" s="1"/>
  <c r="Q58" i="48"/>
  <c r="P88" i="56" s="1"/>
  <c r="Z58" i="48"/>
  <c r="F88" i="54" s="1"/>
  <c r="AT58" i="48"/>
  <c r="F88" i="55" s="1"/>
  <c r="Z82" i="48"/>
  <c r="F88" i="58" s="1"/>
  <c r="F36" i="48"/>
  <c r="E90" i="53" s="1"/>
  <c r="F13" i="48"/>
  <c r="E91" i="51" s="1"/>
  <c r="BR36" i="48"/>
  <c r="BP65" i="48" s="1"/>
  <c r="Q12" i="48"/>
  <c r="P90" i="51" s="1"/>
  <c r="Y58" i="48"/>
  <c r="E88" i="54" s="1"/>
  <c r="AS58" i="48"/>
  <c r="E88" i="55" s="1"/>
  <c r="Y82" i="48"/>
  <c r="E88" i="58" s="1"/>
  <c r="BA34" i="48"/>
  <c r="O86" i="48"/>
  <c r="N92" i="57" s="1"/>
  <c r="O62" i="48"/>
  <c r="N92" i="56" s="1"/>
  <c r="D84" i="48"/>
  <c r="C90" i="57" s="1"/>
  <c r="D60" i="48"/>
  <c r="C90" i="56" s="1"/>
  <c r="I84" i="48"/>
  <c r="H90" i="57" s="1"/>
  <c r="I60" i="48"/>
  <c r="H90" i="56" s="1"/>
  <c r="O39" i="48"/>
  <c r="N93" i="53" s="1"/>
  <c r="O16" i="48"/>
  <c r="AE83" i="48"/>
  <c r="K89" i="58" s="1"/>
  <c r="AE59" i="48"/>
  <c r="K89" i="54" s="1"/>
  <c r="AY59" i="48"/>
  <c r="K89" i="55" s="1"/>
  <c r="C61" i="48"/>
  <c r="V61" i="48" s="1"/>
  <c r="AP61" i="48" s="1"/>
  <c r="C37" i="48"/>
  <c r="C14" i="48"/>
  <c r="V13" i="48"/>
  <c r="AP13" i="48" s="1"/>
  <c r="BI13" i="48" s="1"/>
  <c r="BC56" i="48"/>
  <c r="J37" i="48"/>
  <c r="I91" i="53" s="1"/>
  <c r="J14" i="48"/>
  <c r="I92" i="51" s="1"/>
  <c r="AX35" i="48"/>
  <c r="AW35" i="48"/>
  <c r="AP36" i="48"/>
  <c r="AZ35" i="48"/>
  <c r="AB83" i="48"/>
  <c r="H89" i="58" s="1"/>
  <c r="AB59" i="48"/>
  <c r="H89" i="54" s="1"/>
  <c r="AV59" i="48"/>
  <c r="H89" i="55" s="1"/>
  <c r="J84" i="48"/>
  <c r="I90" i="57" s="1"/>
  <c r="J60" i="48"/>
  <c r="I90" i="56" s="1"/>
  <c r="L37" i="48"/>
  <c r="L14" i="48"/>
  <c r="AC83" i="48"/>
  <c r="I89" i="58" s="1"/>
  <c r="AC59" i="48"/>
  <c r="I89" i="54" s="1"/>
  <c r="AW59" i="48"/>
  <c r="I89" i="55" s="1"/>
  <c r="AA83" i="48"/>
  <c r="G89" i="58" s="1"/>
  <c r="AU59" i="48"/>
  <c r="G89" i="55" s="1"/>
  <c r="C84" i="48"/>
  <c r="V36" i="48"/>
  <c r="V84" i="48" s="1"/>
  <c r="AG84" i="48"/>
  <c r="M90" i="58" s="1"/>
  <c r="AG60" i="48"/>
  <c r="M90" i="54" s="1"/>
  <c r="BA60" i="48"/>
  <c r="M90" i="55" s="1"/>
  <c r="N38" i="48"/>
  <c r="BX38" i="48"/>
  <c r="N15" i="48"/>
  <c r="L84" i="48"/>
  <c r="K90" i="57" s="1"/>
  <c r="H37" i="48"/>
  <c r="G91" i="53" s="1"/>
  <c r="H14" i="48"/>
  <c r="G92" i="51" s="1"/>
  <c r="B62" i="48"/>
  <c r="U62" i="48" s="1"/>
  <c r="AO62" i="48" s="1"/>
  <c r="B38" i="48"/>
  <c r="B15" i="48"/>
  <c r="U14" i="48"/>
  <c r="AO14" i="48" s="1"/>
  <c r="BH14" i="48" s="1"/>
  <c r="AU14" i="48"/>
  <c r="BD13" i="48"/>
  <c r="N85" i="48"/>
  <c r="M91" i="57" s="1"/>
  <c r="W83" i="48"/>
  <c r="C89" i="58" s="1"/>
  <c r="W59" i="48"/>
  <c r="C89" i="54" s="1"/>
  <c r="AQ59" i="48"/>
  <c r="C89" i="55" s="1"/>
  <c r="H84" i="48"/>
  <c r="G90" i="57" s="1"/>
  <c r="AA60" i="48"/>
  <c r="G90" i="54" s="1"/>
  <c r="H60" i="48"/>
  <c r="G90" i="56" s="1"/>
  <c r="I37" i="48"/>
  <c r="H91" i="53" s="1"/>
  <c r="I14" i="48"/>
  <c r="H92" i="51" s="1"/>
  <c r="AH85" i="48"/>
  <c r="N91" i="58" s="1"/>
  <c r="AH61" i="48"/>
  <c r="N91" i="54" s="1"/>
  <c r="BB61" i="48"/>
  <c r="N91" i="55" s="1"/>
  <c r="D37" i="48"/>
  <c r="C91" i="53" s="1"/>
  <c r="D14" i="48"/>
  <c r="C92" i="51" s="1"/>
  <c r="B85" i="48"/>
  <c r="U37" i="48"/>
  <c r="U85" i="48" s="1"/>
  <c r="M76" i="44"/>
  <c r="L22" i="57" s="1"/>
  <c r="F76" i="46"/>
  <c r="E42" i="57" s="1"/>
  <c r="F52" i="46"/>
  <c r="E42" i="56" s="1"/>
  <c r="M52" i="46"/>
  <c r="L42" i="56" s="1"/>
  <c r="M76" i="46"/>
  <c r="L42" i="57" s="1"/>
  <c r="D76" i="47"/>
  <c r="C62" i="57" s="1"/>
  <c r="D52" i="47"/>
  <c r="C62" i="56" s="1"/>
  <c r="Q28" i="47"/>
  <c r="M6" i="44"/>
  <c r="L24" i="51" s="1"/>
  <c r="M29" i="44"/>
  <c r="E6" i="44"/>
  <c r="D24" i="51" s="1"/>
  <c r="E29" i="44"/>
  <c r="F29" i="46"/>
  <c r="E43" i="53" s="1"/>
  <c r="F6" i="46"/>
  <c r="E44" i="51" s="1"/>
  <c r="H76" i="47"/>
  <c r="G62" i="57" s="1"/>
  <c r="AA52" i="47"/>
  <c r="G62" i="54" s="1"/>
  <c r="H52" i="47"/>
  <c r="G62" i="56" s="1"/>
  <c r="I6" i="46"/>
  <c r="H44" i="51" s="1"/>
  <c r="I29" i="46"/>
  <c r="H43" i="53" s="1"/>
  <c r="J76" i="46"/>
  <c r="I42" i="57" s="1"/>
  <c r="J52" i="46"/>
  <c r="I42" i="56" s="1"/>
  <c r="M6" i="46"/>
  <c r="L44" i="51" s="1"/>
  <c r="M29" i="46"/>
  <c r="L43" i="53" s="1"/>
  <c r="M29" i="47"/>
  <c r="L63" i="53" s="1"/>
  <c r="M6" i="47"/>
  <c r="L64" i="51" s="1"/>
  <c r="E76" i="44"/>
  <c r="D22" i="57" s="1"/>
  <c r="I76" i="46"/>
  <c r="H42" i="57" s="1"/>
  <c r="I52" i="46"/>
  <c r="H42" i="56" s="1"/>
  <c r="BW29" i="46"/>
  <c r="BI67" i="46" s="1"/>
  <c r="H29" i="46"/>
  <c r="H6" i="46"/>
  <c r="G44" i="51" s="1"/>
  <c r="M76" i="47"/>
  <c r="L62" i="57" s="1"/>
  <c r="M52" i="47"/>
  <c r="L62" i="56" s="1"/>
  <c r="BR29" i="44"/>
  <c r="BI65" i="44" s="1"/>
  <c r="D6" i="44"/>
  <c r="C24" i="51" s="1"/>
  <c r="Q5" i="44"/>
  <c r="P23" i="51" s="1"/>
  <c r="D29" i="44"/>
  <c r="G76" i="47"/>
  <c r="F62" i="57" s="1"/>
  <c r="G52" i="47"/>
  <c r="F62" i="56" s="1"/>
  <c r="AA52" i="46"/>
  <c r="H76" i="46"/>
  <c r="G42" i="57" s="1"/>
  <c r="J6" i="46"/>
  <c r="I44" i="51" s="1"/>
  <c r="J29" i="46"/>
  <c r="I43" i="53" s="1"/>
  <c r="D29" i="46"/>
  <c r="C43" i="53" s="1"/>
  <c r="BR29" i="46"/>
  <c r="BI65" i="46" s="1"/>
  <c r="Q5" i="46"/>
  <c r="P43" i="51" s="1"/>
  <c r="D6" i="46"/>
  <c r="C44" i="51" s="1"/>
  <c r="Q5" i="47"/>
  <c r="P63" i="51" s="1"/>
  <c r="BR29" i="47"/>
  <c r="BI65" i="47" s="1"/>
  <c r="D29" i="47"/>
  <c r="C63" i="53" s="1"/>
  <c r="D6" i="47"/>
  <c r="C64" i="51" s="1"/>
  <c r="H6" i="47"/>
  <c r="G64" i="51" s="1"/>
  <c r="BW29" i="47"/>
  <c r="BI67" i="47" s="1"/>
  <c r="H29" i="47"/>
  <c r="G63" i="53" s="1"/>
  <c r="J76" i="44"/>
  <c r="I22" i="57" s="1"/>
  <c r="G29" i="47"/>
  <c r="F63" i="53" s="1"/>
  <c r="G6" i="47"/>
  <c r="F64" i="51" s="1"/>
  <c r="F76" i="44"/>
  <c r="E22" i="57" s="1"/>
  <c r="J76" i="47"/>
  <c r="I62" i="57" s="1"/>
  <c r="J52" i="47"/>
  <c r="I62" i="56" s="1"/>
  <c r="K6" i="47"/>
  <c r="J64" i="51" s="1"/>
  <c r="K29" i="47"/>
  <c r="E76" i="47"/>
  <c r="D62" i="57" s="1"/>
  <c r="E52" i="47"/>
  <c r="D62" i="56" s="1"/>
  <c r="AA52" i="44"/>
  <c r="G22" i="54" s="1"/>
  <c r="H76" i="44"/>
  <c r="G22" i="57" s="1"/>
  <c r="J6" i="44"/>
  <c r="I24" i="51" s="1"/>
  <c r="J29" i="44"/>
  <c r="E6" i="46"/>
  <c r="D44" i="51" s="1"/>
  <c r="E29" i="46"/>
  <c r="D43" i="53" s="1"/>
  <c r="F6" i="44"/>
  <c r="E24" i="51" s="1"/>
  <c r="F29" i="44"/>
  <c r="I76" i="47"/>
  <c r="H62" i="57" s="1"/>
  <c r="I52" i="47"/>
  <c r="H62" i="56" s="1"/>
  <c r="G76" i="44"/>
  <c r="F22" i="57" s="1"/>
  <c r="J6" i="47"/>
  <c r="I64" i="51" s="1"/>
  <c r="J29" i="47"/>
  <c r="I63" i="53" s="1"/>
  <c r="K76" i="47"/>
  <c r="J62" i="57" s="1"/>
  <c r="CA28" i="47"/>
  <c r="E6" i="47"/>
  <c r="D64" i="51" s="1"/>
  <c r="E29" i="47"/>
  <c r="D63" i="53" s="1"/>
  <c r="CA28" i="46"/>
  <c r="K76" i="46"/>
  <c r="J42" i="57" s="1"/>
  <c r="Q28" i="46"/>
  <c r="E76" i="46"/>
  <c r="D42" i="57" s="1"/>
  <c r="E52" i="46"/>
  <c r="D42" i="56" s="1"/>
  <c r="F52" i="47"/>
  <c r="E62" i="56" s="1"/>
  <c r="F76" i="47"/>
  <c r="E62" i="57" s="1"/>
  <c r="G52" i="46"/>
  <c r="F42" i="56" s="1"/>
  <c r="G76" i="46"/>
  <c r="F42" i="57" s="1"/>
  <c r="I6" i="47"/>
  <c r="H64" i="51" s="1"/>
  <c r="I29" i="47"/>
  <c r="H63" i="53" s="1"/>
  <c r="G6" i="44"/>
  <c r="F24" i="51" s="1"/>
  <c r="G29" i="44"/>
  <c r="I76" i="44"/>
  <c r="H22" i="57" s="1"/>
  <c r="D76" i="46"/>
  <c r="C42" i="57" s="1"/>
  <c r="D52" i="46"/>
  <c r="C42" i="56" s="1"/>
  <c r="BW29" i="44"/>
  <c r="BI67" i="44" s="1"/>
  <c r="H29" i="44"/>
  <c r="H6" i="44"/>
  <c r="G24" i="51" s="1"/>
  <c r="K29" i="46"/>
  <c r="K6" i="46"/>
  <c r="J44" i="51" s="1"/>
  <c r="K76" i="44"/>
  <c r="J22" i="57" s="1"/>
  <c r="CA28" i="44"/>
  <c r="D76" i="44"/>
  <c r="C22" i="57" s="1"/>
  <c r="Q28" i="44"/>
  <c r="F6" i="47"/>
  <c r="E64" i="51" s="1"/>
  <c r="F29" i="47"/>
  <c r="E63" i="53" s="1"/>
  <c r="G6" i="46"/>
  <c r="F44" i="51" s="1"/>
  <c r="G29" i="46"/>
  <c r="F43" i="53" s="1"/>
  <c r="I6" i="44"/>
  <c r="H24" i="51" s="1"/>
  <c r="I29" i="44"/>
  <c r="K6" i="44"/>
  <c r="J24" i="51" s="1"/>
  <c r="K29" i="44"/>
  <c r="C84" i="47"/>
  <c r="V36" i="47"/>
  <c r="V84" i="47" s="1"/>
  <c r="BX35" i="47"/>
  <c r="N35" i="47"/>
  <c r="N12" i="47"/>
  <c r="L35" i="47"/>
  <c r="L12" i="47"/>
  <c r="N82" i="47"/>
  <c r="M68" i="57" s="1"/>
  <c r="L82" i="47"/>
  <c r="K68" i="57" s="1"/>
  <c r="AG81" i="47"/>
  <c r="M67" i="58" s="1"/>
  <c r="AG57" i="47"/>
  <c r="M67" i="54" s="1"/>
  <c r="BA57" i="47"/>
  <c r="M67" i="55" s="1"/>
  <c r="C61" i="47"/>
  <c r="V61" i="47" s="1"/>
  <c r="AP61" i="47" s="1"/>
  <c r="C37" i="47"/>
  <c r="V13" i="47"/>
  <c r="AP13" i="47" s="1"/>
  <c r="BI13" i="47" s="1"/>
  <c r="C14" i="47"/>
  <c r="B61" i="47"/>
  <c r="U61" i="47" s="1"/>
  <c r="AO61" i="47" s="1"/>
  <c r="B37" i="47"/>
  <c r="U13" i="47"/>
  <c r="AO13" i="47" s="1"/>
  <c r="BH13" i="47" s="1"/>
  <c r="B14" i="47"/>
  <c r="O35" i="47"/>
  <c r="N69" i="53" s="1"/>
  <c r="O12" i="47"/>
  <c r="B84" i="47"/>
  <c r="U36" i="47"/>
  <c r="U84" i="47" s="1"/>
  <c r="O82" i="47"/>
  <c r="N68" i="57" s="1"/>
  <c r="N8" i="57" s="1"/>
  <c r="O58" i="47"/>
  <c r="N68" i="56" s="1"/>
  <c r="N8" i="56" s="1"/>
  <c r="AE81" i="47"/>
  <c r="K67" i="58" s="1"/>
  <c r="AE57" i="47"/>
  <c r="K67" i="54" s="1"/>
  <c r="AY57" i="47"/>
  <c r="K67" i="55" s="1"/>
  <c r="AH81" i="47"/>
  <c r="N67" i="58" s="1"/>
  <c r="N7" i="58" s="1"/>
  <c r="AH57" i="47"/>
  <c r="N67" i="54" s="1"/>
  <c r="BB57" i="47"/>
  <c r="N67" i="55" s="1"/>
  <c r="N7" i="55" s="1"/>
  <c r="AZ33" i="47"/>
  <c r="AX33" i="47"/>
  <c r="AP34" i="47"/>
  <c r="BD12" i="47"/>
  <c r="AU13" i="47"/>
  <c r="BT33" i="46"/>
  <c r="BQ33" i="46"/>
  <c r="O36" i="46"/>
  <c r="N50" i="53" s="1"/>
  <c r="O13" i="46"/>
  <c r="C60" i="46"/>
  <c r="V60" i="46" s="1"/>
  <c r="AP60" i="46" s="1"/>
  <c r="C36" i="46"/>
  <c r="V12" i="46"/>
  <c r="AP12" i="46" s="1"/>
  <c r="BI12" i="46" s="1"/>
  <c r="C13" i="46"/>
  <c r="C83" i="46"/>
  <c r="V35" i="46"/>
  <c r="V83" i="46" s="1"/>
  <c r="BX35" i="46"/>
  <c r="N35" i="46"/>
  <c r="N12" i="46"/>
  <c r="B82" i="46"/>
  <c r="U34" i="46"/>
  <c r="U82" i="46" s="1"/>
  <c r="AU12" i="46"/>
  <c r="BD11" i="46"/>
  <c r="O83" i="46"/>
  <c r="N49" i="57" s="1"/>
  <c r="O59" i="46"/>
  <c r="N49" i="56" s="1"/>
  <c r="AP34" i="46"/>
  <c r="AZ33" i="46"/>
  <c r="AX33" i="46"/>
  <c r="B59" i="46"/>
  <c r="U59" i="46" s="1"/>
  <c r="AO59" i="46" s="1"/>
  <c r="B35" i="46"/>
  <c r="U11" i="46"/>
  <c r="AO11" i="46" s="1"/>
  <c r="BH11" i="46" s="1"/>
  <c r="B12" i="46"/>
  <c r="AE82" i="46"/>
  <c r="K48" i="58" s="1"/>
  <c r="AE58" i="46"/>
  <c r="AY58" i="46"/>
  <c r="N82" i="46"/>
  <c r="M48" i="57" s="1"/>
  <c r="AH82" i="46"/>
  <c r="N48" i="58" s="1"/>
  <c r="AH58" i="46"/>
  <c r="BB58" i="46"/>
  <c r="AG81" i="46"/>
  <c r="M47" i="58" s="1"/>
  <c r="AG57" i="46"/>
  <c r="BA57" i="46"/>
  <c r="L13" i="46"/>
  <c r="L36" i="46"/>
  <c r="BL35" i="46"/>
  <c r="BN34" i="46"/>
  <c r="L83" i="46"/>
  <c r="K49" i="57" s="1"/>
  <c r="U39" i="44"/>
  <c r="U87" i="44" s="1"/>
  <c r="B87" i="44"/>
  <c r="B15" i="44"/>
  <c r="B62" i="44"/>
  <c r="AO62" i="44" s="1"/>
  <c r="U14" i="44"/>
  <c r="AO14" i="44" s="1"/>
  <c r="BH14" i="44" s="1"/>
  <c r="C15" i="44"/>
  <c r="V14" i="44"/>
  <c r="AP14" i="44" s="1"/>
  <c r="BI14" i="44" s="1"/>
  <c r="C62" i="44"/>
  <c r="AP62" i="44" s="1"/>
  <c r="AH82" i="44"/>
  <c r="N28" i="58" s="1"/>
  <c r="AH58" i="44"/>
  <c r="N28" i="54" s="1"/>
  <c r="BB58" i="44"/>
  <c r="N28" i="55" s="1"/>
  <c r="BN34" i="44"/>
  <c r="BL35" i="44"/>
  <c r="O36" i="44"/>
  <c r="O13" i="44"/>
  <c r="N84" i="44"/>
  <c r="M30" i="57" s="1"/>
  <c r="O83" i="44"/>
  <c r="N29" i="57" s="1"/>
  <c r="AZ35" i="44"/>
  <c r="AP36" i="44"/>
  <c r="AX35" i="44"/>
  <c r="AW35" i="44"/>
  <c r="BX37" i="44"/>
  <c r="N37" i="44"/>
  <c r="N14" i="44"/>
  <c r="BQ33" i="44"/>
  <c r="BT33" i="44"/>
  <c r="L82" i="44"/>
  <c r="K28" i="57" s="1"/>
  <c r="K8" i="57" s="1"/>
  <c r="AE81" i="44"/>
  <c r="K27" i="58" s="1"/>
  <c r="K7" i="58" s="1"/>
  <c r="AE57" i="44"/>
  <c r="K27" i="54" s="1"/>
  <c r="AY57" i="44"/>
  <c r="K27" i="55" s="1"/>
  <c r="K7" i="55" s="1"/>
  <c r="L35" i="44"/>
  <c r="L12" i="44"/>
  <c r="AG83" i="44"/>
  <c r="M29" i="58" s="1"/>
  <c r="AG59" i="44"/>
  <c r="M29" i="54" s="1"/>
  <c r="BA59" i="44"/>
  <c r="M29" i="55" s="1"/>
  <c r="BD12" i="44"/>
  <c r="AU13" i="44"/>
  <c r="L28" i="43"/>
  <c r="L52" i="43" s="1"/>
  <c r="L5" i="43"/>
  <c r="BQ31" i="43"/>
  <c r="BT31" i="43"/>
  <c r="N28" i="43"/>
  <c r="N52" i="43" s="1"/>
  <c r="N5" i="43"/>
  <c r="O28" i="43"/>
  <c r="O5" i="43"/>
  <c r="BL33" i="43"/>
  <c r="BM32" i="43"/>
  <c r="BN32" i="43" s="1"/>
  <c r="E4" i="43"/>
  <c r="D4" i="43"/>
  <c r="F4" i="43"/>
  <c r="M4" i="43"/>
  <c r="I4" i="43"/>
  <c r="H4" i="43"/>
  <c r="G4" i="43"/>
  <c r="J4" i="43"/>
  <c r="K4" i="43"/>
  <c r="AZ34" i="43"/>
  <c r="AP35" i="43"/>
  <c r="AW35" i="43" s="1"/>
  <c r="F79" i="31"/>
  <c r="F20" i="31"/>
  <c r="E21" i="31"/>
  <c r="F21" i="31" s="1"/>
  <c r="E121" i="31"/>
  <c r="F121" i="31" s="1"/>
  <c r="F120" i="31"/>
  <c r="P2" i="26"/>
  <c r="A3" i="26"/>
  <c r="A4" i="26"/>
  <c r="A2" i="26"/>
  <c r="C2" i="28"/>
  <c r="P3" i="28"/>
  <c r="D2" i="28"/>
  <c r="E2" i="28"/>
  <c r="F2" i="28"/>
  <c r="G2" i="28"/>
  <c r="H2" i="28"/>
  <c r="I2" i="28"/>
  <c r="J2" i="28"/>
  <c r="K2" i="28"/>
  <c r="L2" i="28"/>
  <c r="M2" i="28"/>
  <c r="N2" i="28"/>
  <c r="O2" i="28"/>
  <c r="B3" i="28"/>
  <c r="B4" i="28" s="1"/>
  <c r="A2" i="28"/>
  <c r="M7" i="58" l="1"/>
  <c r="M8" i="56"/>
  <c r="M8" i="53"/>
  <c r="K7" i="54"/>
  <c r="K8" i="53"/>
  <c r="N7" i="54"/>
  <c r="BK55" i="48"/>
  <c r="BK63" i="48"/>
  <c r="K48" i="54"/>
  <c r="K48" i="55"/>
  <c r="M47" i="55"/>
  <c r="M7" i="55" s="1"/>
  <c r="M47" i="54"/>
  <c r="M7" i="54" s="1"/>
  <c r="M49" i="53"/>
  <c r="M9" i="53" s="1"/>
  <c r="N59" i="46"/>
  <c r="M49" i="56" s="1"/>
  <c r="F2" i="57"/>
  <c r="K8" i="56"/>
  <c r="L65" i="50"/>
  <c r="K135" i="56" s="1"/>
  <c r="K135" i="53"/>
  <c r="N48" i="55"/>
  <c r="N48" i="54"/>
  <c r="K69" i="53"/>
  <c r="L59" i="47"/>
  <c r="K69" i="56" s="1"/>
  <c r="L59" i="44"/>
  <c r="K29" i="56" s="1"/>
  <c r="K29" i="53"/>
  <c r="M31" i="53"/>
  <c r="N61" i="44"/>
  <c r="M31" i="56" s="1"/>
  <c r="M113" i="53"/>
  <c r="N63" i="49"/>
  <c r="M113" i="56" s="1"/>
  <c r="N30" i="53"/>
  <c r="O60" i="44"/>
  <c r="N30" i="56" s="1"/>
  <c r="M69" i="53"/>
  <c r="N59" i="47"/>
  <c r="M69" i="56" s="1"/>
  <c r="K91" i="53"/>
  <c r="L61" i="48"/>
  <c r="K91" i="56" s="1"/>
  <c r="L60" i="46"/>
  <c r="K50" i="56" s="1"/>
  <c r="K50" i="53"/>
  <c r="M8" i="57"/>
  <c r="M92" i="53"/>
  <c r="N62" i="48"/>
  <c r="M92" i="56" s="1"/>
  <c r="M134" i="53"/>
  <c r="N64" i="50"/>
  <c r="M134" i="56" s="1"/>
  <c r="N9" i="53"/>
  <c r="K113" i="53"/>
  <c r="L63" i="49"/>
  <c r="K113" i="56" s="1"/>
  <c r="I4" i="51"/>
  <c r="D4" i="51"/>
  <c r="J4" i="51"/>
  <c r="C2" i="57"/>
  <c r="W52" i="44"/>
  <c r="C22" i="54" s="1"/>
  <c r="P3" i="51"/>
  <c r="G4" i="51"/>
  <c r="G2" i="57"/>
  <c r="E2" i="57"/>
  <c r="D2" i="57"/>
  <c r="Y28" i="44"/>
  <c r="P22" i="53"/>
  <c r="M53" i="44"/>
  <c r="L23" i="56" s="1"/>
  <c r="L23" i="53"/>
  <c r="L3" i="53" s="1"/>
  <c r="J91" i="51"/>
  <c r="K14" i="48"/>
  <c r="K37" i="48"/>
  <c r="L4" i="51"/>
  <c r="L2" i="57"/>
  <c r="BD55" i="49"/>
  <c r="P105" i="55" s="1"/>
  <c r="O105" i="55"/>
  <c r="K60" i="50"/>
  <c r="J130" i="56" s="1"/>
  <c r="J130" i="53"/>
  <c r="BK63" i="50"/>
  <c r="G2" i="53"/>
  <c r="K53" i="44"/>
  <c r="J23" i="56" s="1"/>
  <c r="J23" i="53"/>
  <c r="X35" i="49"/>
  <c r="P109" i="53"/>
  <c r="I53" i="44"/>
  <c r="H23" i="56" s="1"/>
  <c r="H23" i="53"/>
  <c r="H3" i="53" s="1"/>
  <c r="F53" i="44"/>
  <c r="E23" i="56" s="1"/>
  <c r="E23" i="53"/>
  <c r="E3" i="53" s="1"/>
  <c r="AQ28" i="47"/>
  <c r="P62" i="53"/>
  <c r="W35" i="50"/>
  <c r="P129" i="53"/>
  <c r="Y35" i="49"/>
  <c r="AK57" i="49"/>
  <c r="BM58" i="49" s="1"/>
  <c r="P107" i="54"/>
  <c r="G2" i="56"/>
  <c r="I2" i="56"/>
  <c r="L2" i="56"/>
  <c r="H53" i="44"/>
  <c r="G23" i="56" s="1"/>
  <c r="G23" i="53"/>
  <c r="K60" i="48"/>
  <c r="J90" i="53"/>
  <c r="K84" i="48"/>
  <c r="J90" i="57" s="1"/>
  <c r="H4" i="51"/>
  <c r="J2" i="57"/>
  <c r="H2" i="57"/>
  <c r="E4" i="51"/>
  <c r="I2" i="57"/>
  <c r="AK57" i="48"/>
  <c r="BM58" i="48" s="1"/>
  <c r="P87" i="54"/>
  <c r="AI10" i="48"/>
  <c r="AJ10" i="48" s="1"/>
  <c r="O88" i="51"/>
  <c r="D89" i="56"/>
  <c r="AR59" i="48"/>
  <c r="D89" i="55" s="1"/>
  <c r="X83" i="48"/>
  <c r="D89" i="58" s="1"/>
  <c r="X59" i="48"/>
  <c r="D89" i="54" s="1"/>
  <c r="J2" i="53"/>
  <c r="C2" i="56"/>
  <c r="C4" i="51"/>
  <c r="D91" i="51"/>
  <c r="E37" i="48"/>
  <c r="E14" i="48"/>
  <c r="G53" i="44"/>
  <c r="F23" i="56" s="1"/>
  <c r="F23" i="53"/>
  <c r="F3" i="53" s="1"/>
  <c r="K53" i="47"/>
  <c r="J63" i="56" s="1"/>
  <c r="J63" i="53"/>
  <c r="H53" i="46"/>
  <c r="G43" i="56" s="1"/>
  <c r="G43" i="53"/>
  <c r="Q52" i="44"/>
  <c r="P22" i="56" s="1"/>
  <c r="H2" i="56"/>
  <c r="J2" i="56"/>
  <c r="P81" i="48"/>
  <c r="O87" i="57" s="1"/>
  <c r="O87" i="53"/>
  <c r="K53" i="46"/>
  <c r="J43" i="56" s="1"/>
  <c r="J43" i="53"/>
  <c r="F4" i="51"/>
  <c r="D53" i="44"/>
  <c r="C23" i="56" s="1"/>
  <c r="C23" i="53"/>
  <c r="C3" i="53" s="1"/>
  <c r="BW37" i="48"/>
  <c r="BQ67" i="48" s="1"/>
  <c r="L91" i="51"/>
  <c r="AB35" i="48"/>
  <c r="P89" i="53"/>
  <c r="BD56" i="50"/>
  <c r="P126" i="55" s="1"/>
  <c r="O126" i="55"/>
  <c r="J89" i="56"/>
  <c r="AX59" i="48"/>
  <c r="J89" i="55" s="1"/>
  <c r="AD59" i="48"/>
  <c r="J89" i="54" s="1"/>
  <c r="AD83" i="48"/>
  <c r="J89" i="58" s="1"/>
  <c r="BD56" i="48"/>
  <c r="P86" i="55" s="1"/>
  <c r="O86" i="55"/>
  <c r="E2" i="56"/>
  <c r="AC28" i="46"/>
  <c r="P42" i="53"/>
  <c r="J53" i="44"/>
  <c r="I23" i="56" s="1"/>
  <c r="I23" i="53"/>
  <c r="I3" i="53" s="1"/>
  <c r="E53" i="44"/>
  <c r="D23" i="56" s="1"/>
  <c r="D23" i="53"/>
  <c r="D3" i="53" s="1"/>
  <c r="CA36" i="48"/>
  <c r="L90" i="53"/>
  <c r="AK57" i="50"/>
  <c r="BM58" i="50" s="1"/>
  <c r="P127" i="54"/>
  <c r="K60" i="49"/>
  <c r="J110" i="56" s="1"/>
  <c r="J110" i="53"/>
  <c r="D90" i="53"/>
  <c r="E84" i="48"/>
  <c r="D90" i="57" s="1"/>
  <c r="E60" i="48"/>
  <c r="F2" i="56"/>
  <c r="D2" i="56"/>
  <c r="AF35" i="50"/>
  <c r="AB35" i="50"/>
  <c r="AJ34" i="49"/>
  <c r="AC35" i="50"/>
  <c r="AS35" i="50"/>
  <c r="BO61" i="50" s="1"/>
  <c r="X35" i="50"/>
  <c r="AQ35" i="50"/>
  <c r="BO59" i="50" s="1"/>
  <c r="AJ34" i="50"/>
  <c r="AA35" i="50"/>
  <c r="AJ58" i="49"/>
  <c r="AJ82" i="50"/>
  <c r="P128" i="58" s="1"/>
  <c r="G37" i="50"/>
  <c r="F131" i="53" s="1"/>
  <c r="G14" i="50"/>
  <c r="F132" i="51" s="1"/>
  <c r="G84" i="50"/>
  <c r="F130" i="57" s="1"/>
  <c r="G60" i="50"/>
  <c r="F130" i="56" s="1"/>
  <c r="AS59" i="49"/>
  <c r="E109" i="55" s="1"/>
  <c r="Y83" i="49"/>
  <c r="E109" i="58" s="1"/>
  <c r="Y59" i="49"/>
  <c r="E109" i="54" s="1"/>
  <c r="D37" i="49"/>
  <c r="C111" i="53" s="1"/>
  <c r="BR37" i="49"/>
  <c r="BQ65" i="49" s="1"/>
  <c r="D14" i="49"/>
  <c r="C112" i="51" s="1"/>
  <c r="Q13" i="49"/>
  <c r="P111" i="51" s="1"/>
  <c r="AU34" i="50"/>
  <c r="Q59" i="49"/>
  <c r="P109" i="56" s="1"/>
  <c r="AQ59" i="49"/>
  <c r="C109" i="55" s="1"/>
  <c r="W59" i="49"/>
  <c r="C109" i="54" s="1"/>
  <c r="W83" i="49"/>
  <c r="C109" i="58" s="1"/>
  <c r="AD35" i="49"/>
  <c r="AB83" i="49"/>
  <c r="H109" i="58" s="1"/>
  <c r="AB59" i="49"/>
  <c r="H109" i="54" s="1"/>
  <c r="AV59" i="49"/>
  <c r="H109" i="55" s="1"/>
  <c r="E84" i="49"/>
  <c r="D110" i="57" s="1"/>
  <c r="E60" i="49"/>
  <c r="D110" i="56" s="1"/>
  <c r="Z83" i="50"/>
  <c r="F129" i="58" s="1"/>
  <c r="Z59" i="50"/>
  <c r="F129" i="54" s="1"/>
  <c r="AT59" i="50"/>
  <c r="F129" i="55" s="1"/>
  <c r="P81" i="49"/>
  <c r="O107" i="57" s="1"/>
  <c r="AI33" i="49"/>
  <c r="F84" i="50"/>
  <c r="E130" i="57" s="1"/>
  <c r="F60" i="50"/>
  <c r="E130" i="56" s="1"/>
  <c r="J14" i="50"/>
  <c r="I132" i="51" s="1"/>
  <c r="J37" i="50"/>
  <c r="I131" i="53" s="1"/>
  <c r="E37" i="50"/>
  <c r="D131" i="53" s="1"/>
  <c r="E14" i="50"/>
  <c r="D132" i="51" s="1"/>
  <c r="AD83" i="49"/>
  <c r="J109" i="58" s="1"/>
  <c r="AD59" i="49"/>
  <c r="J109" i="54" s="1"/>
  <c r="AX59" i="49"/>
  <c r="J109" i="55" s="1"/>
  <c r="AF35" i="49"/>
  <c r="E14" i="49"/>
  <c r="D112" i="51" s="1"/>
  <c r="E37" i="49"/>
  <c r="D111" i="53" s="1"/>
  <c r="F37" i="50"/>
  <c r="E131" i="53" s="1"/>
  <c r="F14" i="50"/>
  <c r="E132" i="51" s="1"/>
  <c r="J84" i="50"/>
  <c r="I130" i="57" s="1"/>
  <c r="J60" i="50"/>
  <c r="I130" i="56" s="1"/>
  <c r="D37" i="50"/>
  <c r="C131" i="53" s="1"/>
  <c r="D14" i="50"/>
  <c r="C132" i="51" s="1"/>
  <c r="BR37" i="50"/>
  <c r="BQ65" i="50" s="1"/>
  <c r="Q13" i="50"/>
  <c r="P131" i="51" s="1"/>
  <c r="AJ9" i="50"/>
  <c r="Z35" i="49"/>
  <c r="E84" i="50"/>
  <c r="D130" i="57" s="1"/>
  <c r="E60" i="50"/>
  <c r="D130" i="56" s="1"/>
  <c r="M84" i="49"/>
  <c r="L110" i="57" s="1"/>
  <c r="M60" i="49"/>
  <c r="L110" i="56" s="1"/>
  <c r="AF83" i="49"/>
  <c r="L109" i="58" s="1"/>
  <c r="AF59" i="49"/>
  <c r="L109" i="54" s="1"/>
  <c r="AZ59" i="49"/>
  <c r="L109" i="55" s="1"/>
  <c r="AB59" i="50"/>
  <c r="H129" i="54" s="1"/>
  <c r="AB83" i="50"/>
  <c r="H129" i="58" s="1"/>
  <c r="AV59" i="50"/>
  <c r="H129" i="55" s="1"/>
  <c r="H84" i="50"/>
  <c r="G130" i="57" s="1"/>
  <c r="AA60" i="50"/>
  <c r="G130" i="54" s="1"/>
  <c r="H60" i="50"/>
  <c r="G130" i="56" s="1"/>
  <c r="I37" i="50"/>
  <c r="H131" i="53" s="1"/>
  <c r="I14" i="50"/>
  <c r="H132" i="51" s="1"/>
  <c r="AD35" i="50"/>
  <c r="AE35" i="50"/>
  <c r="BO68" i="50"/>
  <c r="BO69" i="50"/>
  <c r="AH35" i="50"/>
  <c r="AT35" i="50"/>
  <c r="BO62" i="50" s="1"/>
  <c r="AR35" i="50"/>
  <c r="BO60" i="50" s="1"/>
  <c r="BJ11" i="50"/>
  <c r="BK11" i="50" s="1"/>
  <c r="BL11" i="50" s="1"/>
  <c r="P11" i="50" s="1"/>
  <c r="O129" i="51" s="1"/>
  <c r="AG35" i="50"/>
  <c r="D84" i="50"/>
  <c r="C130" i="57" s="1"/>
  <c r="D60" i="50"/>
  <c r="C130" i="56" s="1"/>
  <c r="Q36" i="50"/>
  <c r="AF36" i="50" s="1"/>
  <c r="P81" i="50"/>
  <c r="O127" i="57" s="1"/>
  <c r="AI33" i="50"/>
  <c r="AS35" i="49"/>
  <c r="BO61" i="49" s="1"/>
  <c r="J37" i="49"/>
  <c r="I111" i="53" s="1"/>
  <c r="J14" i="49"/>
  <c r="I112" i="51" s="1"/>
  <c r="BC56" i="49"/>
  <c r="AA83" i="50"/>
  <c r="G129" i="58" s="1"/>
  <c r="AU59" i="50"/>
  <c r="G129" i="55" s="1"/>
  <c r="X83" i="50"/>
  <c r="D129" i="58" s="1"/>
  <c r="X59" i="50"/>
  <c r="D129" i="54" s="1"/>
  <c r="AR59" i="50"/>
  <c r="D129" i="55" s="1"/>
  <c r="M14" i="49"/>
  <c r="L112" i="51" s="1"/>
  <c r="M37" i="49"/>
  <c r="L111" i="53" s="1"/>
  <c r="Y35" i="50"/>
  <c r="AB35" i="49"/>
  <c r="P34" i="49"/>
  <c r="O108" i="53" s="1"/>
  <c r="AI10" i="49"/>
  <c r="BO34" i="49"/>
  <c r="BN64" i="49" s="1"/>
  <c r="BU34" i="49"/>
  <c r="BN66" i="49" s="1"/>
  <c r="I84" i="50"/>
  <c r="H130" i="57" s="1"/>
  <c r="I60" i="50"/>
  <c r="H130" i="56" s="1"/>
  <c r="W83" i="50"/>
  <c r="C129" i="58" s="1"/>
  <c r="W59" i="50"/>
  <c r="C129" i="54" s="1"/>
  <c r="Q59" i="50"/>
  <c r="P129" i="56" s="1"/>
  <c r="AQ59" i="50"/>
  <c r="C129" i="55" s="1"/>
  <c r="AJ82" i="49"/>
  <c r="P108" i="58" s="1"/>
  <c r="AC35" i="49"/>
  <c r="J60" i="49"/>
  <c r="I110" i="56" s="1"/>
  <c r="J84" i="49"/>
  <c r="I110" i="57" s="1"/>
  <c r="F37" i="49"/>
  <c r="E111" i="53" s="1"/>
  <c r="F14" i="49"/>
  <c r="E112" i="51" s="1"/>
  <c r="AQ35" i="49"/>
  <c r="Y59" i="50"/>
  <c r="E129" i="54" s="1"/>
  <c r="Y83" i="50"/>
  <c r="E129" i="58" s="1"/>
  <c r="AS59" i="50"/>
  <c r="E129" i="55" s="1"/>
  <c r="M60" i="50"/>
  <c r="L130" i="56" s="1"/>
  <c r="M84" i="50"/>
  <c r="L130" i="57" s="1"/>
  <c r="G14" i="49"/>
  <c r="F112" i="51" s="1"/>
  <c r="G37" i="49"/>
  <c r="F111" i="53" s="1"/>
  <c r="AG35" i="49"/>
  <c r="AR35" i="49"/>
  <c r="BO60" i="49" s="1"/>
  <c r="AT35" i="49"/>
  <c r="BO62" i="49" s="1"/>
  <c r="BJ11" i="49"/>
  <c r="BK11" i="49" s="1"/>
  <c r="BL11" i="49" s="1"/>
  <c r="P11" i="49" s="1"/>
  <c r="O109" i="51" s="1"/>
  <c r="BO68" i="49"/>
  <c r="AH35" i="49"/>
  <c r="AE35" i="49"/>
  <c r="BO69" i="49"/>
  <c r="H84" i="49"/>
  <c r="G110" i="57" s="1"/>
  <c r="AA60" i="49"/>
  <c r="G110" i="54" s="1"/>
  <c r="H60" i="49"/>
  <c r="G110" i="56" s="1"/>
  <c r="Q83" i="50"/>
  <c r="P129" i="57" s="1"/>
  <c r="K37" i="50"/>
  <c r="K14" i="50"/>
  <c r="J132" i="51" s="1"/>
  <c r="Z59" i="49"/>
  <c r="F109" i="54" s="1"/>
  <c r="AT59" i="49"/>
  <c r="F109" i="55" s="1"/>
  <c r="Z83" i="49"/>
  <c r="F109" i="58" s="1"/>
  <c r="P34" i="50"/>
  <c r="O128" i="53" s="1"/>
  <c r="AI10" i="50"/>
  <c r="BU34" i="50"/>
  <c r="BN66" i="50" s="1"/>
  <c r="BO34" i="50"/>
  <c r="BN64" i="50" s="1"/>
  <c r="D84" i="49"/>
  <c r="C110" i="57" s="1"/>
  <c r="D60" i="49"/>
  <c r="C110" i="56" s="1"/>
  <c r="Q36" i="49"/>
  <c r="AD36" i="49" s="1"/>
  <c r="F84" i="49"/>
  <c r="E110" i="57" s="1"/>
  <c r="F60" i="49"/>
  <c r="E110" i="56" s="1"/>
  <c r="W35" i="49"/>
  <c r="I37" i="49"/>
  <c r="H111" i="53" s="1"/>
  <c r="I14" i="49"/>
  <c r="H112" i="51" s="1"/>
  <c r="AA35" i="49"/>
  <c r="K37" i="49"/>
  <c r="K14" i="49"/>
  <c r="J112" i="51" s="1"/>
  <c r="M37" i="50"/>
  <c r="L131" i="53" s="1"/>
  <c r="M14" i="50"/>
  <c r="L132" i="51" s="1"/>
  <c r="AC83" i="50"/>
  <c r="I129" i="58" s="1"/>
  <c r="AC59" i="50"/>
  <c r="I129" i="54" s="1"/>
  <c r="AW59" i="50"/>
  <c r="I129" i="55" s="1"/>
  <c r="AF83" i="50"/>
  <c r="L129" i="58" s="1"/>
  <c r="AF59" i="50"/>
  <c r="L129" i="54" s="1"/>
  <c r="AZ59" i="50"/>
  <c r="L129" i="55" s="1"/>
  <c r="AJ58" i="50"/>
  <c r="AC83" i="49"/>
  <c r="I109" i="58" s="1"/>
  <c r="AC59" i="49"/>
  <c r="I109" i="54" s="1"/>
  <c r="AW59" i="49"/>
  <c r="I109" i="55" s="1"/>
  <c r="K84" i="50"/>
  <c r="J130" i="57" s="1"/>
  <c r="CA36" i="50"/>
  <c r="AD59" i="50"/>
  <c r="J129" i="54" s="1"/>
  <c r="AX59" i="50"/>
  <c r="J129" i="55" s="1"/>
  <c r="AD83" i="50"/>
  <c r="J129" i="58" s="1"/>
  <c r="G84" i="49"/>
  <c r="F110" i="57" s="1"/>
  <c r="G60" i="49"/>
  <c r="F110" i="56" s="1"/>
  <c r="Q83" i="49"/>
  <c r="P109" i="57" s="1"/>
  <c r="I84" i="49"/>
  <c r="H110" i="57" s="1"/>
  <c r="I60" i="49"/>
  <c r="H110" i="56" s="1"/>
  <c r="H37" i="50"/>
  <c r="G131" i="53" s="1"/>
  <c r="H14" i="50"/>
  <c r="G132" i="51" s="1"/>
  <c r="BW37" i="50"/>
  <c r="BQ67" i="50" s="1"/>
  <c r="X83" i="49"/>
  <c r="D109" i="58" s="1"/>
  <c r="X59" i="49"/>
  <c r="D109" i="54" s="1"/>
  <c r="AR59" i="49"/>
  <c r="D109" i="55" s="1"/>
  <c r="AA83" i="49"/>
  <c r="G109" i="58" s="1"/>
  <c r="AU59" i="49"/>
  <c r="G109" i="55" s="1"/>
  <c r="AJ9" i="49"/>
  <c r="BC57" i="49"/>
  <c r="K84" i="49"/>
  <c r="J110" i="57" s="1"/>
  <c r="CA36" i="49"/>
  <c r="H37" i="49"/>
  <c r="G111" i="53" s="1"/>
  <c r="H14" i="49"/>
  <c r="G112" i="51" s="1"/>
  <c r="BW37" i="49"/>
  <c r="BQ67" i="49" s="1"/>
  <c r="Z35" i="50"/>
  <c r="AU34" i="49"/>
  <c r="BX29" i="43"/>
  <c r="AS35" i="48"/>
  <c r="BO61" i="48" s="1"/>
  <c r="AE35" i="48"/>
  <c r="AG35" i="48"/>
  <c r="BJ11" i="48"/>
  <c r="BK11" i="48" s="1"/>
  <c r="BL11" i="48" s="1"/>
  <c r="P11" i="48" s="1"/>
  <c r="W35" i="48"/>
  <c r="AR35" i="48"/>
  <c r="BO60" i="48" s="1"/>
  <c r="AC35" i="48"/>
  <c r="BO69" i="48"/>
  <c r="BO68" i="48"/>
  <c r="AQ35" i="48"/>
  <c r="BO59" i="48" s="1"/>
  <c r="Z35" i="48"/>
  <c r="AD35" i="48"/>
  <c r="X35" i="48"/>
  <c r="Y35" i="48"/>
  <c r="AA35" i="48"/>
  <c r="BR37" i="48"/>
  <c r="BQ65" i="48" s="1"/>
  <c r="AH35" i="48"/>
  <c r="AJ58" i="48"/>
  <c r="AF35" i="48"/>
  <c r="AT35" i="48"/>
  <c r="BO62" i="48" s="1"/>
  <c r="Q13" i="48"/>
  <c r="P91" i="51" s="1"/>
  <c r="BO34" i="48"/>
  <c r="BN64" i="48" s="1"/>
  <c r="AI33" i="48"/>
  <c r="P34" i="48"/>
  <c r="AU34" i="48"/>
  <c r="Q36" i="48"/>
  <c r="AJ34" i="48"/>
  <c r="BU34" i="48"/>
  <c r="BN66" i="48" s="1"/>
  <c r="Q83" i="48"/>
  <c r="P89" i="57" s="1"/>
  <c r="AJ82" i="48"/>
  <c r="P88" i="58" s="1"/>
  <c r="AE88" i="50"/>
  <c r="K134" i="58" s="1"/>
  <c r="AE64" i="50"/>
  <c r="K134" i="54" s="1"/>
  <c r="AY64" i="50"/>
  <c r="K134" i="55" s="1"/>
  <c r="AH87" i="50"/>
  <c r="N133" i="58" s="1"/>
  <c r="AH63" i="50"/>
  <c r="N133" i="54" s="1"/>
  <c r="BB63" i="50"/>
  <c r="N133" i="55" s="1"/>
  <c r="AG87" i="50"/>
  <c r="M133" i="58" s="1"/>
  <c r="AG63" i="50"/>
  <c r="M133" i="54" s="1"/>
  <c r="BA63" i="50"/>
  <c r="M133" i="55" s="1"/>
  <c r="L42" i="50"/>
  <c r="L19" i="50"/>
  <c r="BX41" i="50"/>
  <c r="N41" i="50"/>
  <c r="N18" i="50"/>
  <c r="AW38" i="50"/>
  <c r="AP39" i="50"/>
  <c r="AZ38" i="50"/>
  <c r="AX38" i="50"/>
  <c r="L89" i="50"/>
  <c r="K135" i="57" s="1"/>
  <c r="B65" i="50"/>
  <c r="U65" i="50" s="1"/>
  <c r="AO65" i="50" s="1"/>
  <c r="B41" i="50"/>
  <c r="U17" i="50"/>
  <c r="AO17" i="50" s="1"/>
  <c r="BH17" i="50" s="1"/>
  <c r="B18" i="50"/>
  <c r="C64" i="50"/>
  <c r="V64" i="50" s="1"/>
  <c r="AP64" i="50" s="1"/>
  <c r="C40" i="50"/>
  <c r="C17" i="50"/>
  <c r="V16" i="50"/>
  <c r="AP16" i="50" s="1"/>
  <c r="BI16" i="50" s="1"/>
  <c r="N88" i="50"/>
  <c r="M134" i="57" s="1"/>
  <c r="O41" i="50"/>
  <c r="N135" i="53" s="1"/>
  <c r="O18" i="50"/>
  <c r="C87" i="50"/>
  <c r="V39" i="50"/>
  <c r="V87" i="50" s="1"/>
  <c r="B88" i="50"/>
  <c r="U40" i="50"/>
  <c r="U88" i="50" s="1"/>
  <c r="O88" i="50"/>
  <c r="N134" i="57" s="1"/>
  <c r="O64" i="50"/>
  <c r="N134" i="56" s="1"/>
  <c r="BD17" i="50"/>
  <c r="AU18" i="50"/>
  <c r="BA37" i="49"/>
  <c r="AG86" i="49"/>
  <c r="M112" i="58" s="1"/>
  <c r="AG62" i="49"/>
  <c r="M112" i="54" s="1"/>
  <c r="BA62" i="49"/>
  <c r="M112" i="55" s="1"/>
  <c r="B65" i="49"/>
  <c r="U65" i="49" s="1"/>
  <c r="AO65" i="49" s="1"/>
  <c r="B41" i="49"/>
  <c r="U17" i="49"/>
  <c r="AO17" i="49" s="1"/>
  <c r="BH17" i="49" s="1"/>
  <c r="B18" i="49"/>
  <c r="N87" i="49"/>
  <c r="M113" i="57" s="1"/>
  <c r="AE86" i="49"/>
  <c r="K112" i="58" s="1"/>
  <c r="AE62" i="49"/>
  <c r="K112" i="54" s="1"/>
  <c r="AY62" i="49"/>
  <c r="K112" i="55" s="1"/>
  <c r="B88" i="49"/>
  <c r="U40" i="49"/>
  <c r="U88" i="49" s="1"/>
  <c r="BD19" i="49"/>
  <c r="AP39" i="49"/>
  <c r="AW38" i="49"/>
  <c r="AZ38" i="49"/>
  <c r="AX38" i="49"/>
  <c r="L87" i="49"/>
  <c r="K113" i="57" s="1"/>
  <c r="N40" i="49"/>
  <c r="BX40" i="49"/>
  <c r="N17" i="49"/>
  <c r="AH86" i="49"/>
  <c r="N112" i="58" s="1"/>
  <c r="AH62" i="49"/>
  <c r="N112" i="54" s="1"/>
  <c r="BB62" i="49"/>
  <c r="N112" i="55" s="1"/>
  <c r="C88" i="49"/>
  <c r="V40" i="49"/>
  <c r="V88" i="49" s="1"/>
  <c r="O87" i="49"/>
  <c r="N113" i="57" s="1"/>
  <c r="O63" i="49"/>
  <c r="N113" i="56" s="1"/>
  <c r="C65" i="49"/>
  <c r="V65" i="49" s="1"/>
  <c r="AP65" i="49" s="1"/>
  <c r="V17" i="49"/>
  <c r="AP17" i="49" s="1"/>
  <c r="BI17" i="49" s="1"/>
  <c r="C18" i="49"/>
  <c r="C41" i="49"/>
  <c r="L17" i="49"/>
  <c r="L40" i="49"/>
  <c r="O17" i="49"/>
  <c r="O40" i="49"/>
  <c r="N114" i="53" s="1"/>
  <c r="G14" i="48"/>
  <c r="F92" i="51" s="1"/>
  <c r="G37" i="48"/>
  <c r="F91" i="53" s="1"/>
  <c r="M84" i="48"/>
  <c r="L90" i="57" s="1"/>
  <c r="M60" i="48"/>
  <c r="L90" i="56" s="1"/>
  <c r="Y59" i="48"/>
  <c r="E89" i="54" s="1"/>
  <c r="AS59" i="48"/>
  <c r="E89" i="55" s="1"/>
  <c r="Y83" i="48"/>
  <c r="E89" i="58" s="1"/>
  <c r="Z83" i="48"/>
  <c r="F89" i="58" s="1"/>
  <c r="Z59" i="48"/>
  <c r="F89" i="54" s="1"/>
  <c r="AT59" i="48"/>
  <c r="F89" i="55" s="1"/>
  <c r="F37" i="48"/>
  <c r="E91" i="53" s="1"/>
  <c r="F14" i="48"/>
  <c r="E92" i="51" s="1"/>
  <c r="AF83" i="48"/>
  <c r="L89" i="58" s="1"/>
  <c r="AF59" i="48"/>
  <c r="L89" i="54" s="1"/>
  <c r="AZ59" i="48"/>
  <c r="L89" i="55" s="1"/>
  <c r="F84" i="48"/>
  <c r="E90" i="57" s="1"/>
  <c r="F60" i="48"/>
  <c r="E90" i="56" s="1"/>
  <c r="G84" i="48"/>
  <c r="F90" i="57" s="1"/>
  <c r="G60" i="48"/>
  <c r="F90" i="56" s="1"/>
  <c r="Q59" i="48"/>
  <c r="P89" i="56" s="1"/>
  <c r="M14" i="48"/>
  <c r="M37" i="48"/>
  <c r="B63" i="48"/>
  <c r="U63" i="48" s="1"/>
  <c r="AO63" i="48" s="1"/>
  <c r="U15" i="48"/>
  <c r="AO15" i="48" s="1"/>
  <c r="BH15" i="48" s="1"/>
  <c r="B39" i="48"/>
  <c r="B16" i="48"/>
  <c r="J38" i="48"/>
  <c r="I92" i="53" s="1"/>
  <c r="J15" i="48"/>
  <c r="I93" i="51" s="1"/>
  <c r="C85" i="48"/>
  <c r="V37" i="48"/>
  <c r="V85" i="48" s="1"/>
  <c r="O40" i="48"/>
  <c r="N94" i="53" s="1"/>
  <c r="O17" i="48"/>
  <c r="W84" i="48"/>
  <c r="C90" i="58" s="1"/>
  <c r="W60" i="48"/>
  <c r="C90" i="54" s="1"/>
  <c r="AQ60" i="48"/>
  <c r="C90" i="55" s="1"/>
  <c r="AA84" i="48"/>
  <c r="G90" i="58" s="1"/>
  <c r="AU60" i="48"/>
  <c r="G90" i="55" s="1"/>
  <c r="AG85" i="48"/>
  <c r="M91" i="58" s="1"/>
  <c r="AG61" i="48"/>
  <c r="M91" i="54" s="1"/>
  <c r="BA61" i="48"/>
  <c r="M91" i="55" s="1"/>
  <c r="H38" i="48"/>
  <c r="G92" i="53" s="1"/>
  <c r="H15" i="48"/>
  <c r="G93" i="51" s="1"/>
  <c r="L38" i="48"/>
  <c r="L15" i="48"/>
  <c r="J85" i="48"/>
  <c r="I91" i="57" s="1"/>
  <c r="J61" i="48"/>
  <c r="I91" i="56" s="1"/>
  <c r="O87" i="48"/>
  <c r="N93" i="57" s="1"/>
  <c r="O63" i="48"/>
  <c r="N93" i="56" s="1"/>
  <c r="AB84" i="48"/>
  <c r="H90" i="58" s="1"/>
  <c r="AB60" i="48"/>
  <c r="H90" i="54" s="1"/>
  <c r="AV60" i="48"/>
  <c r="H90" i="55" s="1"/>
  <c r="C62" i="48"/>
  <c r="V62" i="48" s="1"/>
  <c r="AP62" i="48" s="1"/>
  <c r="C38" i="48"/>
  <c r="V14" i="48"/>
  <c r="AP14" i="48" s="1"/>
  <c r="BI14" i="48" s="1"/>
  <c r="C15" i="48"/>
  <c r="H85" i="48"/>
  <c r="G91" i="57" s="1"/>
  <c r="AA61" i="48"/>
  <c r="G91" i="54" s="1"/>
  <c r="H61" i="48"/>
  <c r="G91" i="56" s="1"/>
  <c r="L85" i="48"/>
  <c r="K91" i="57" s="1"/>
  <c r="B86" i="48"/>
  <c r="U38" i="48"/>
  <c r="U86" i="48" s="1"/>
  <c r="D38" i="48"/>
  <c r="C92" i="53" s="1"/>
  <c r="D15" i="48"/>
  <c r="C93" i="51" s="1"/>
  <c r="AH86" i="48"/>
  <c r="N92" i="58" s="1"/>
  <c r="AH62" i="48"/>
  <c r="N92" i="54" s="1"/>
  <c r="BB62" i="48"/>
  <c r="N92" i="55" s="1"/>
  <c r="D85" i="48"/>
  <c r="C91" i="57" s="1"/>
  <c r="D61" i="48"/>
  <c r="C91" i="56" s="1"/>
  <c r="BC57" i="48"/>
  <c r="AE84" i="48"/>
  <c r="K90" i="58" s="1"/>
  <c r="AE60" i="48"/>
  <c r="K90" i="54" s="1"/>
  <c r="AY60" i="48"/>
  <c r="K90" i="55" s="1"/>
  <c r="I38" i="48"/>
  <c r="H92" i="53" s="1"/>
  <c r="I15" i="48"/>
  <c r="H93" i="51" s="1"/>
  <c r="AU15" i="48"/>
  <c r="BD14" i="48"/>
  <c r="AC84" i="48"/>
  <c r="I90" i="58" s="1"/>
  <c r="AC60" i="48"/>
  <c r="I90" i="54" s="1"/>
  <c r="AW60" i="48"/>
  <c r="I90" i="55" s="1"/>
  <c r="AP37" i="48"/>
  <c r="AX36" i="48"/>
  <c r="AZ36" i="48"/>
  <c r="AW36" i="48"/>
  <c r="N86" i="48"/>
  <c r="M92" i="57" s="1"/>
  <c r="I85" i="48"/>
  <c r="H91" i="57" s="1"/>
  <c r="I61" i="48"/>
  <c r="H91" i="56" s="1"/>
  <c r="BX39" i="48"/>
  <c r="N39" i="48"/>
  <c r="N16" i="48"/>
  <c r="BA35" i="48"/>
  <c r="BL63" i="48"/>
  <c r="BL55" i="48"/>
  <c r="BJ4" i="47"/>
  <c r="BK4" i="47" s="1"/>
  <c r="BL4" i="47" s="1"/>
  <c r="X28" i="47"/>
  <c r="AQ28" i="46"/>
  <c r="BD29" i="46" s="1"/>
  <c r="AW34" i="46" s="1"/>
  <c r="Q76" i="46"/>
  <c r="P42" i="57" s="1"/>
  <c r="W28" i="44"/>
  <c r="AT28" i="44"/>
  <c r="Q76" i="44"/>
  <c r="P22" i="57" s="1"/>
  <c r="AC28" i="47"/>
  <c r="AA28" i="47"/>
  <c r="BJ4" i="44"/>
  <c r="BK4" i="44" s="1"/>
  <c r="BL4" i="44" s="1"/>
  <c r="W28" i="47"/>
  <c r="Z28" i="47"/>
  <c r="AF28" i="47"/>
  <c r="Y28" i="47"/>
  <c r="AR28" i="47"/>
  <c r="AS28" i="47"/>
  <c r="BF29" i="47" s="1"/>
  <c r="AY28" i="47" s="1"/>
  <c r="AY29" i="47" s="1"/>
  <c r="AY30" i="47" s="1"/>
  <c r="AY31" i="47" s="1"/>
  <c r="AY32" i="47" s="1"/>
  <c r="AY33" i="47" s="1"/>
  <c r="AY34" i="47" s="1"/>
  <c r="AY35" i="47" s="1"/>
  <c r="AY36" i="47" s="1"/>
  <c r="AY37" i="47" s="1"/>
  <c r="AY38" i="47" s="1"/>
  <c r="AY39" i="47" s="1"/>
  <c r="AY40" i="47" s="1"/>
  <c r="AY41" i="47" s="1"/>
  <c r="AY42" i="47" s="1"/>
  <c r="AY43" i="47" s="1"/>
  <c r="AY44" i="47" s="1"/>
  <c r="AY45" i="47" s="1"/>
  <c r="AY46" i="47" s="1"/>
  <c r="AY47" i="47" s="1"/>
  <c r="AT28" i="47"/>
  <c r="AD28" i="47"/>
  <c r="AQ28" i="44"/>
  <c r="BD29" i="44" s="1"/>
  <c r="AS28" i="44"/>
  <c r="BF29" i="44" s="1"/>
  <c r="AY28" i="44" s="1"/>
  <c r="AY29" i="44" s="1"/>
  <c r="AY30" i="44" s="1"/>
  <c r="AY31" i="44" s="1"/>
  <c r="AY32" i="44" s="1"/>
  <c r="AY33" i="44" s="1"/>
  <c r="AY34" i="44" s="1"/>
  <c r="AY35" i="44" s="1"/>
  <c r="AY36" i="44" s="1"/>
  <c r="AY37" i="44" s="1"/>
  <c r="AY38" i="44" s="1"/>
  <c r="AY39" i="44" s="1"/>
  <c r="AY40" i="44" s="1"/>
  <c r="AY41" i="44" s="1"/>
  <c r="AY42" i="44" s="1"/>
  <c r="AY43" i="44" s="1"/>
  <c r="AY44" i="44" s="1"/>
  <c r="AY45" i="44" s="1"/>
  <c r="AY46" i="44" s="1"/>
  <c r="AY47" i="44" s="1"/>
  <c r="Y28" i="46"/>
  <c r="AD28" i="46"/>
  <c r="AA28" i="46"/>
  <c r="AB28" i="44"/>
  <c r="BD29" i="47"/>
  <c r="AW34" i="47" s="1"/>
  <c r="I77" i="47"/>
  <c r="H63" i="57" s="1"/>
  <c r="I53" i="47"/>
  <c r="H63" i="56" s="1"/>
  <c r="CA29" i="47"/>
  <c r="K77" i="47"/>
  <c r="J63" i="57" s="1"/>
  <c r="J7" i="46"/>
  <c r="I45" i="51" s="1"/>
  <c r="J30" i="46"/>
  <c r="I44" i="53" s="1"/>
  <c r="M30" i="47"/>
  <c r="L64" i="53" s="1"/>
  <c r="M7" i="47"/>
  <c r="L65" i="51" s="1"/>
  <c r="M7" i="44"/>
  <c r="L25" i="51" s="1"/>
  <c r="M30" i="44"/>
  <c r="CA29" i="44"/>
  <c r="K77" i="44"/>
  <c r="J23" i="57" s="1"/>
  <c r="I7" i="47"/>
  <c r="H65" i="51" s="1"/>
  <c r="I30" i="47"/>
  <c r="H64" i="53" s="1"/>
  <c r="AA76" i="44"/>
  <c r="G22" i="58" s="1"/>
  <c r="AU52" i="44"/>
  <c r="G22" i="55" s="1"/>
  <c r="K30" i="47"/>
  <c r="K7" i="47"/>
  <c r="J65" i="51" s="1"/>
  <c r="G7" i="47"/>
  <c r="F65" i="51" s="1"/>
  <c r="G30" i="47"/>
  <c r="F64" i="53" s="1"/>
  <c r="H7" i="47"/>
  <c r="G65" i="51" s="1"/>
  <c r="H30" i="47"/>
  <c r="G64" i="53" s="1"/>
  <c r="BW30" i="47"/>
  <c r="BJ67" i="47" s="1"/>
  <c r="AF76" i="47"/>
  <c r="L62" i="58" s="1"/>
  <c r="AF52" i="47"/>
  <c r="L62" i="54" s="1"/>
  <c r="AZ52" i="47"/>
  <c r="L62" i="55" s="1"/>
  <c r="I30" i="46"/>
  <c r="H44" i="53" s="1"/>
  <c r="I7" i="46"/>
  <c r="H45" i="51" s="1"/>
  <c r="K30" i="44"/>
  <c r="K7" i="44"/>
  <c r="J25" i="51" s="1"/>
  <c r="F7" i="47"/>
  <c r="E65" i="51" s="1"/>
  <c r="F30" i="47"/>
  <c r="E64" i="53" s="1"/>
  <c r="AD28" i="44"/>
  <c r="H30" i="44"/>
  <c r="H7" i="44"/>
  <c r="G25" i="51" s="1"/>
  <c r="BW30" i="44"/>
  <c r="BJ67" i="44" s="1"/>
  <c r="AV52" i="44"/>
  <c r="H22" i="55" s="1"/>
  <c r="AB76" i="44"/>
  <c r="H22" i="58" s="1"/>
  <c r="AB52" i="44"/>
  <c r="H22" i="54" s="1"/>
  <c r="Z28" i="46"/>
  <c r="X28" i="46"/>
  <c r="E30" i="46"/>
  <c r="D44" i="53" s="1"/>
  <c r="E7" i="46"/>
  <c r="D45" i="51" s="1"/>
  <c r="G77" i="47"/>
  <c r="F63" i="57" s="1"/>
  <c r="G53" i="47"/>
  <c r="F63" i="56" s="1"/>
  <c r="Q6" i="46"/>
  <c r="P44" i="51" s="1"/>
  <c r="D30" i="46"/>
  <c r="C44" i="53" s="1"/>
  <c r="D7" i="46"/>
  <c r="C45" i="51" s="1"/>
  <c r="BR30" i="46"/>
  <c r="BJ65" i="46" s="1"/>
  <c r="AT28" i="46"/>
  <c r="X28" i="44"/>
  <c r="M77" i="46"/>
  <c r="L43" i="57" s="1"/>
  <c r="M53" i="46"/>
  <c r="L43" i="56" s="1"/>
  <c r="Y76" i="46"/>
  <c r="E42" i="58" s="1"/>
  <c r="Y52" i="46"/>
  <c r="AS52" i="46"/>
  <c r="Z76" i="47"/>
  <c r="F62" i="58" s="1"/>
  <c r="Z52" i="47"/>
  <c r="F62" i="54" s="1"/>
  <c r="AT52" i="47"/>
  <c r="F62" i="55" s="1"/>
  <c r="F7" i="46"/>
  <c r="E45" i="51" s="1"/>
  <c r="F30" i="46"/>
  <c r="E44" i="53" s="1"/>
  <c r="X76" i="46"/>
  <c r="D42" i="58" s="1"/>
  <c r="X52" i="46"/>
  <c r="AR52" i="46"/>
  <c r="Z76" i="44"/>
  <c r="F22" i="58" s="1"/>
  <c r="Z52" i="44"/>
  <c r="F22" i="54" s="1"/>
  <c r="AT52" i="44"/>
  <c r="F22" i="55" s="1"/>
  <c r="M53" i="47"/>
  <c r="L63" i="56" s="1"/>
  <c r="M77" i="47"/>
  <c r="L63" i="57" s="1"/>
  <c r="H77" i="44"/>
  <c r="G23" i="57" s="1"/>
  <c r="AA53" i="44"/>
  <c r="G23" i="54" s="1"/>
  <c r="AS28" i="46"/>
  <c r="BF29" i="46" s="1"/>
  <c r="AY28" i="46" s="1"/>
  <c r="AY29" i="46" s="1"/>
  <c r="AY30" i="46" s="1"/>
  <c r="AY31" i="46" s="1"/>
  <c r="AY32" i="46" s="1"/>
  <c r="AY33" i="46" s="1"/>
  <c r="AY34" i="46" s="1"/>
  <c r="AY35" i="46" s="1"/>
  <c r="AY36" i="46" s="1"/>
  <c r="AY37" i="46" s="1"/>
  <c r="AY38" i="46" s="1"/>
  <c r="AY39" i="46" s="1"/>
  <c r="AY40" i="46" s="1"/>
  <c r="AY41" i="46" s="1"/>
  <c r="AY42" i="46" s="1"/>
  <c r="AY43" i="46" s="1"/>
  <c r="AY44" i="46" s="1"/>
  <c r="AY45" i="46" s="1"/>
  <c r="AY46" i="46" s="1"/>
  <c r="AY47" i="46" s="1"/>
  <c r="AB76" i="47"/>
  <c r="H62" i="58" s="1"/>
  <c r="AB52" i="47"/>
  <c r="H62" i="54" s="1"/>
  <c r="AV52" i="47"/>
  <c r="H62" i="55" s="1"/>
  <c r="AC76" i="47"/>
  <c r="I62" i="58" s="1"/>
  <c r="AC52" i="47"/>
  <c r="I62" i="54" s="1"/>
  <c r="AW52" i="47"/>
  <c r="I62" i="55" s="1"/>
  <c r="AC28" i="44"/>
  <c r="AR28" i="44"/>
  <c r="M30" i="46"/>
  <c r="L44" i="53" s="1"/>
  <c r="M7" i="46"/>
  <c r="L45" i="51" s="1"/>
  <c r="AB28" i="47"/>
  <c r="AE28" i="47"/>
  <c r="AI28" i="47"/>
  <c r="AH28" i="47"/>
  <c r="AG28" i="47"/>
  <c r="F53" i="47"/>
  <c r="E63" i="56" s="1"/>
  <c r="F77" i="47"/>
  <c r="E63" i="57" s="1"/>
  <c r="AS52" i="47"/>
  <c r="E62" i="55" s="1"/>
  <c r="Y76" i="47"/>
  <c r="E62" i="58" s="1"/>
  <c r="Y52" i="47"/>
  <c r="E62" i="54" s="1"/>
  <c r="E77" i="46"/>
  <c r="D43" i="57" s="1"/>
  <c r="E53" i="46"/>
  <c r="D43" i="56" s="1"/>
  <c r="AX52" i="46"/>
  <c r="AD52" i="46"/>
  <c r="AD76" i="46"/>
  <c r="J42" i="58" s="1"/>
  <c r="F77" i="46"/>
  <c r="E43" i="57" s="1"/>
  <c r="F53" i="46"/>
  <c r="E43" i="56" s="1"/>
  <c r="I77" i="44"/>
  <c r="H23" i="57" s="1"/>
  <c r="AD76" i="44"/>
  <c r="J22" i="58" s="1"/>
  <c r="AD52" i="44"/>
  <c r="J22" i="54" s="1"/>
  <c r="AX52" i="44"/>
  <c r="J22" i="55" s="1"/>
  <c r="AR28" i="46"/>
  <c r="AD52" i="47"/>
  <c r="J62" i="54" s="1"/>
  <c r="AD76" i="47"/>
  <c r="J62" i="58" s="1"/>
  <c r="AX52" i="47"/>
  <c r="J62" i="55" s="1"/>
  <c r="J77" i="44"/>
  <c r="I23" i="57" s="1"/>
  <c r="Q6" i="47"/>
  <c r="P64" i="51" s="1"/>
  <c r="D30" i="47"/>
  <c r="C64" i="53" s="1"/>
  <c r="BR30" i="47"/>
  <c r="BJ65" i="47" s="1"/>
  <c r="D7" i="47"/>
  <c r="C65" i="51" s="1"/>
  <c r="Q29" i="44"/>
  <c r="D77" i="44"/>
  <c r="C23" i="57" s="1"/>
  <c r="BW30" i="46"/>
  <c r="BJ67" i="46" s="1"/>
  <c r="H30" i="46"/>
  <c r="H7" i="46"/>
  <c r="G45" i="51" s="1"/>
  <c r="X52" i="44"/>
  <c r="D22" i="54" s="1"/>
  <c r="X76" i="44"/>
  <c r="D22" i="58" s="1"/>
  <c r="AR52" i="44"/>
  <c r="D22" i="55" s="1"/>
  <c r="AA76" i="47"/>
  <c r="G62" i="58" s="1"/>
  <c r="AU52" i="47"/>
  <c r="G62" i="55" s="1"/>
  <c r="E77" i="44"/>
  <c r="D23" i="57" s="1"/>
  <c r="W52" i="47"/>
  <c r="C62" i="54" s="1"/>
  <c r="W76" i="47"/>
  <c r="C62" i="58" s="1"/>
  <c r="Q52" i="47"/>
  <c r="P62" i="56" s="1"/>
  <c r="AQ52" i="47"/>
  <c r="C62" i="55" s="1"/>
  <c r="AF28" i="44"/>
  <c r="AB52" i="46"/>
  <c r="AB76" i="46"/>
  <c r="H42" i="58" s="1"/>
  <c r="AV52" i="46"/>
  <c r="G77" i="44"/>
  <c r="F23" i="57" s="1"/>
  <c r="AT52" i="46"/>
  <c r="Z76" i="46"/>
  <c r="F42" i="58" s="1"/>
  <c r="Z52" i="46"/>
  <c r="AH28" i="46"/>
  <c r="AE28" i="46"/>
  <c r="AI28" i="46"/>
  <c r="AG28" i="46"/>
  <c r="F77" i="44"/>
  <c r="E23" i="57" s="1"/>
  <c r="J30" i="44"/>
  <c r="J7" i="44"/>
  <c r="I25" i="51" s="1"/>
  <c r="X76" i="47"/>
  <c r="D62" i="58" s="1"/>
  <c r="X52" i="47"/>
  <c r="D62" i="54" s="1"/>
  <c r="AR52" i="47"/>
  <c r="D62" i="55" s="1"/>
  <c r="AC76" i="44"/>
  <c r="I22" i="58" s="1"/>
  <c r="AC52" i="44"/>
  <c r="I22" i="54" s="1"/>
  <c r="AW52" i="44"/>
  <c r="I22" i="55" s="1"/>
  <c r="D53" i="47"/>
  <c r="C63" i="56" s="1"/>
  <c r="Q29" i="47"/>
  <c r="D77" i="47"/>
  <c r="C63" i="57" s="1"/>
  <c r="D77" i="46"/>
  <c r="C43" i="57" s="1"/>
  <c r="D53" i="46"/>
  <c r="C43" i="56" s="1"/>
  <c r="Q29" i="46"/>
  <c r="AA76" i="46"/>
  <c r="G42" i="58" s="1"/>
  <c r="AU52" i="46"/>
  <c r="H77" i="46"/>
  <c r="G43" i="57" s="1"/>
  <c r="AA53" i="46"/>
  <c r="AC76" i="46"/>
  <c r="I42" i="58" s="1"/>
  <c r="AC52" i="46"/>
  <c r="AW52" i="46"/>
  <c r="E7" i="44"/>
  <c r="D25" i="51" s="1"/>
  <c r="D5" i="51" s="1"/>
  <c r="E30" i="44"/>
  <c r="Q76" i="47"/>
  <c r="P62" i="57" s="1"/>
  <c r="AF76" i="44"/>
  <c r="L22" i="58" s="1"/>
  <c r="AF52" i="44"/>
  <c r="L22" i="54" s="1"/>
  <c r="AZ52" i="44"/>
  <c r="L22" i="55" s="1"/>
  <c r="AF76" i="46"/>
  <c r="L42" i="58" s="1"/>
  <c r="AF52" i="46"/>
  <c r="AZ52" i="46"/>
  <c r="AE76" i="43"/>
  <c r="L76" i="43"/>
  <c r="I30" i="44"/>
  <c r="I7" i="44"/>
  <c r="H25" i="51" s="1"/>
  <c r="BW28" i="43"/>
  <c r="G53" i="46"/>
  <c r="F43" i="56" s="1"/>
  <c r="G77" i="46"/>
  <c r="F43" i="57" s="1"/>
  <c r="Z28" i="44"/>
  <c r="AI28" i="44"/>
  <c r="AE28" i="44"/>
  <c r="AH28" i="44"/>
  <c r="AG28" i="44"/>
  <c r="W28" i="46"/>
  <c r="G30" i="44"/>
  <c r="G7" i="44"/>
  <c r="F25" i="51" s="1"/>
  <c r="E77" i="47"/>
  <c r="D63" i="57" s="1"/>
  <c r="E53" i="47"/>
  <c r="D63" i="56" s="1"/>
  <c r="J53" i="47"/>
  <c r="I63" i="56" s="1"/>
  <c r="J77" i="47"/>
  <c r="I63" i="57" s="1"/>
  <c r="F7" i="44"/>
  <c r="E25" i="51" s="1"/>
  <c r="F30" i="44"/>
  <c r="AA28" i="44"/>
  <c r="Y76" i="44"/>
  <c r="E22" i="58" s="1"/>
  <c r="E2" i="58" s="1"/>
  <c r="Y52" i="44"/>
  <c r="E22" i="54" s="1"/>
  <c r="AS52" i="44"/>
  <c r="E22" i="55" s="1"/>
  <c r="Q6" i="44"/>
  <c r="P24" i="51" s="1"/>
  <c r="D30" i="44"/>
  <c r="D7" i="44"/>
  <c r="C25" i="51" s="1"/>
  <c r="BR30" i="44"/>
  <c r="BJ65" i="44" s="1"/>
  <c r="AF28" i="46"/>
  <c r="K77" i="46"/>
  <c r="J43" i="57" s="1"/>
  <c r="CA29" i="46"/>
  <c r="AG76" i="43"/>
  <c r="N76" i="43"/>
  <c r="O52" i="43"/>
  <c r="AH76" i="43" s="1"/>
  <c r="O76" i="43"/>
  <c r="G30" i="46"/>
  <c r="F44" i="53" s="1"/>
  <c r="G7" i="46"/>
  <c r="F45" i="51" s="1"/>
  <c r="W76" i="44"/>
  <c r="C22" i="58" s="1"/>
  <c r="AQ52" i="44"/>
  <c r="C22" i="55" s="1"/>
  <c r="K30" i="46"/>
  <c r="K7" i="46"/>
  <c r="J45" i="51" s="1"/>
  <c r="AQ52" i="46"/>
  <c r="W76" i="46"/>
  <c r="C42" i="58" s="1"/>
  <c r="W52" i="46"/>
  <c r="Q52" i="46"/>
  <c r="P42" i="56" s="1"/>
  <c r="BJ4" i="46"/>
  <c r="BK4" i="46" s="1"/>
  <c r="BL4" i="46" s="1"/>
  <c r="E30" i="47"/>
  <c r="D64" i="53" s="1"/>
  <c r="E7" i="47"/>
  <c r="D65" i="51" s="1"/>
  <c r="J7" i="47"/>
  <c r="I65" i="51" s="1"/>
  <c r="J30" i="47"/>
  <c r="I64" i="53" s="1"/>
  <c r="H77" i="47"/>
  <c r="G63" i="57" s="1"/>
  <c r="AA53" i="47"/>
  <c r="G63" i="54" s="1"/>
  <c r="H53" i="47"/>
  <c r="G63" i="56" s="1"/>
  <c r="J77" i="46"/>
  <c r="I43" i="57" s="1"/>
  <c r="J53" i="46"/>
  <c r="I43" i="56" s="1"/>
  <c r="AB28" i="46"/>
  <c r="I77" i="46"/>
  <c r="H43" i="57" s="1"/>
  <c r="I53" i="46"/>
  <c r="H43" i="56" s="1"/>
  <c r="M77" i="44"/>
  <c r="L23" i="57" s="1"/>
  <c r="AU14" i="47"/>
  <c r="BD13" i="47"/>
  <c r="C62" i="47"/>
  <c r="V62" i="47" s="1"/>
  <c r="AP62" i="47" s="1"/>
  <c r="C38" i="47"/>
  <c r="V14" i="47"/>
  <c r="AP14" i="47" s="1"/>
  <c r="BI14" i="47" s="1"/>
  <c r="C15" i="47"/>
  <c r="B62" i="47"/>
  <c r="U62" i="47" s="1"/>
  <c r="AO62" i="47" s="1"/>
  <c r="B38" i="47"/>
  <c r="U14" i="47"/>
  <c r="AO14" i="47" s="1"/>
  <c r="BH14" i="47" s="1"/>
  <c r="B15" i="47"/>
  <c r="AG82" i="47"/>
  <c r="M68" i="58" s="1"/>
  <c r="AG58" i="47"/>
  <c r="M68" i="54" s="1"/>
  <c r="BA58" i="47"/>
  <c r="M68" i="55" s="1"/>
  <c r="N36" i="47"/>
  <c r="BX36" i="47"/>
  <c r="N13" i="47"/>
  <c r="C85" i="47"/>
  <c r="V37" i="47"/>
  <c r="V85" i="47" s="1"/>
  <c r="N83" i="47"/>
  <c r="M69" i="57" s="1"/>
  <c r="O36" i="47"/>
  <c r="N70" i="53" s="1"/>
  <c r="O13" i="47"/>
  <c r="B85" i="47"/>
  <c r="U37" i="47"/>
  <c r="U85" i="47" s="1"/>
  <c r="L36" i="47"/>
  <c r="L13" i="47"/>
  <c r="L83" i="47"/>
  <c r="K69" i="57" s="1"/>
  <c r="O83" i="47"/>
  <c r="N69" i="57" s="1"/>
  <c r="N9" i="57" s="1"/>
  <c r="O59" i="47"/>
  <c r="N69" i="56" s="1"/>
  <c r="N9" i="56" s="1"/>
  <c r="AH82" i="47"/>
  <c r="N68" i="58" s="1"/>
  <c r="N8" i="58" s="1"/>
  <c r="AH58" i="47"/>
  <c r="N68" i="54" s="1"/>
  <c r="N8" i="54" s="1"/>
  <c r="BB58" i="47"/>
  <c r="N68" i="55" s="1"/>
  <c r="AX34" i="47"/>
  <c r="AZ34" i="47"/>
  <c r="AP35" i="47"/>
  <c r="AE82" i="47"/>
  <c r="K68" i="58" s="1"/>
  <c r="AE58" i="47"/>
  <c r="K68" i="54" s="1"/>
  <c r="AY58" i="47"/>
  <c r="K68" i="55" s="1"/>
  <c r="BD12" i="46"/>
  <c r="AU13" i="46"/>
  <c r="O37" i="46"/>
  <c r="N51" i="53" s="1"/>
  <c r="O14" i="46"/>
  <c r="AE83" i="46"/>
  <c r="K49" i="58" s="1"/>
  <c r="AE59" i="46"/>
  <c r="AY59" i="46"/>
  <c r="BN35" i="46"/>
  <c r="BL36" i="46"/>
  <c r="B60" i="46"/>
  <c r="U60" i="46" s="1"/>
  <c r="AO60" i="46" s="1"/>
  <c r="B13" i="46"/>
  <c r="B36" i="46"/>
  <c r="U12" i="46"/>
  <c r="AO12" i="46" s="1"/>
  <c r="BH12" i="46" s="1"/>
  <c r="O84" i="46"/>
  <c r="N50" i="57" s="1"/>
  <c r="O60" i="46"/>
  <c r="N50" i="56" s="1"/>
  <c r="N36" i="46"/>
  <c r="N13" i="46"/>
  <c r="BX36" i="46"/>
  <c r="B83" i="46"/>
  <c r="U35" i="46"/>
  <c r="U83" i="46" s="1"/>
  <c r="AX34" i="46"/>
  <c r="AP35" i="46"/>
  <c r="AZ34" i="46"/>
  <c r="AH83" i="46"/>
  <c r="N49" i="58" s="1"/>
  <c r="AH59" i="46"/>
  <c r="BB59" i="46"/>
  <c r="N83" i="46"/>
  <c r="M49" i="57" s="1"/>
  <c r="C61" i="46"/>
  <c r="V61" i="46" s="1"/>
  <c r="AP61" i="46" s="1"/>
  <c r="C37" i="46"/>
  <c r="C14" i="46"/>
  <c r="V13" i="46"/>
  <c r="AP13" i="46" s="1"/>
  <c r="BI13" i="46" s="1"/>
  <c r="L84" i="46"/>
  <c r="K50" i="57" s="1"/>
  <c r="BT34" i="46"/>
  <c r="BQ34" i="46"/>
  <c r="AG82" i="46"/>
  <c r="M48" i="58" s="1"/>
  <c r="AG58" i="46"/>
  <c r="BA58" i="46"/>
  <c r="C84" i="46"/>
  <c r="V36" i="46"/>
  <c r="V84" i="46" s="1"/>
  <c r="L37" i="46"/>
  <c r="L14" i="46"/>
  <c r="U40" i="44"/>
  <c r="U88" i="44" s="1"/>
  <c r="B88" i="44"/>
  <c r="U15" i="44"/>
  <c r="AO15" i="44" s="1"/>
  <c r="BH15" i="44" s="1"/>
  <c r="B16" i="44"/>
  <c r="B63" i="44"/>
  <c r="AO63" i="44" s="1"/>
  <c r="C16" i="44"/>
  <c r="C63" i="44"/>
  <c r="AP63" i="44" s="1"/>
  <c r="V15" i="44"/>
  <c r="AP15" i="44" s="1"/>
  <c r="BI15" i="44" s="1"/>
  <c r="AG84" i="44"/>
  <c r="M30" i="58" s="1"/>
  <c r="AG60" i="44"/>
  <c r="M30" i="54" s="1"/>
  <c r="BA60" i="44"/>
  <c r="M30" i="55" s="1"/>
  <c r="BN35" i="44"/>
  <c r="BL36" i="44"/>
  <c r="BQ34" i="44"/>
  <c r="BT34" i="44"/>
  <c r="L36" i="44"/>
  <c r="L13" i="44"/>
  <c r="AX36" i="44"/>
  <c r="AW36" i="44"/>
  <c r="AP37" i="44"/>
  <c r="AZ36" i="44"/>
  <c r="AU14" i="44"/>
  <c r="BD13" i="44"/>
  <c r="L83" i="44"/>
  <c r="K29" i="57" s="1"/>
  <c r="O37" i="44"/>
  <c r="O14" i="44"/>
  <c r="O84" i="44"/>
  <c r="N30" i="57" s="1"/>
  <c r="AH83" i="44"/>
  <c r="N29" i="58" s="1"/>
  <c r="AH59" i="44"/>
  <c r="N29" i="54" s="1"/>
  <c r="BB59" i="44"/>
  <c r="N29" i="55" s="1"/>
  <c r="AE82" i="44"/>
  <c r="K28" i="58" s="1"/>
  <c r="AE58" i="44"/>
  <c r="K28" i="54" s="1"/>
  <c r="AY58" i="44"/>
  <c r="K28" i="55" s="1"/>
  <c r="K8" i="55" s="1"/>
  <c r="N38" i="44"/>
  <c r="BX38" i="44"/>
  <c r="N15" i="44"/>
  <c r="N85" i="44"/>
  <c r="M31" i="57" s="1"/>
  <c r="BR28" i="43"/>
  <c r="F28" i="43"/>
  <c r="F5" i="43"/>
  <c r="O6" i="43"/>
  <c r="O29" i="43"/>
  <c r="H28" i="43"/>
  <c r="H5" i="43"/>
  <c r="D28" i="43"/>
  <c r="N6" i="43"/>
  <c r="N29" i="43"/>
  <c r="N53" i="43" s="1"/>
  <c r="K5" i="43"/>
  <c r="K28" i="43"/>
  <c r="I5" i="43"/>
  <c r="I28" i="43"/>
  <c r="E28" i="43"/>
  <c r="E5" i="43"/>
  <c r="G28" i="43"/>
  <c r="G5" i="43"/>
  <c r="J5" i="43"/>
  <c r="J28" i="43"/>
  <c r="M28" i="43"/>
  <c r="M5" i="43"/>
  <c r="BQ32" i="43"/>
  <c r="BT32" i="43"/>
  <c r="L6" i="43"/>
  <c r="L29" i="43"/>
  <c r="L53" i="43" s="1"/>
  <c r="BL34" i="43"/>
  <c r="BM33" i="43"/>
  <c r="BN33" i="43" s="1"/>
  <c r="Q4" i="43"/>
  <c r="AW4" i="43"/>
  <c r="AV4" i="43"/>
  <c r="AU4" i="43"/>
  <c r="B6" i="28"/>
  <c r="B8" i="28" s="1"/>
  <c r="B5" i="28"/>
  <c r="B7" i="28" s="1"/>
  <c r="BA4" i="43"/>
  <c r="AX4" i="43"/>
  <c r="AZ4" i="43"/>
  <c r="AY4" i="43"/>
  <c r="AZ35" i="43"/>
  <c r="AP36" i="43"/>
  <c r="AW36" i="43" s="1"/>
  <c r="AX35" i="43"/>
  <c r="F81" i="31"/>
  <c r="F80" i="31"/>
  <c r="P2" i="28"/>
  <c r="BK55" i="49" l="1"/>
  <c r="F2" i="58"/>
  <c r="BK63" i="49"/>
  <c r="C2" i="58"/>
  <c r="E5" i="51"/>
  <c r="H5" i="51"/>
  <c r="I5" i="51"/>
  <c r="K9" i="53"/>
  <c r="W53" i="44"/>
  <c r="C23" i="54" s="1"/>
  <c r="L3" i="57"/>
  <c r="N8" i="55"/>
  <c r="L5" i="51"/>
  <c r="P4" i="51"/>
  <c r="W36" i="50"/>
  <c r="K49" i="55"/>
  <c r="K49" i="54"/>
  <c r="M93" i="53"/>
  <c r="N63" i="48"/>
  <c r="M93" i="56" s="1"/>
  <c r="M135" i="53"/>
  <c r="N65" i="50"/>
  <c r="M135" i="56" s="1"/>
  <c r="M9" i="56"/>
  <c r="M114" i="53"/>
  <c r="N64" i="49"/>
  <c r="M114" i="56" s="1"/>
  <c r="K9" i="56"/>
  <c r="K114" i="53"/>
  <c r="L64" i="49"/>
  <c r="K114" i="56" s="1"/>
  <c r="K136" i="53"/>
  <c r="L66" i="50"/>
  <c r="K136" i="56" s="1"/>
  <c r="BL55" i="50"/>
  <c r="N10" i="53"/>
  <c r="M48" i="55"/>
  <c r="M8" i="55" s="1"/>
  <c r="M48" i="54"/>
  <c r="M8" i="54" s="1"/>
  <c r="M32" i="53"/>
  <c r="N62" i="44"/>
  <c r="M32" i="56" s="1"/>
  <c r="M8" i="58"/>
  <c r="M9" i="57"/>
  <c r="K70" i="53"/>
  <c r="L60" i="47"/>
  <c r="K70" i="56" s="1"/>
  <c r="BL63" i="50"/>
  <c r="K92" i="53"/>
  <c r="L62" i="48"/>
  <c r="K92" i="56" s="1"/>
  <c r="N31" i="53"/>
  <c r="O61" i="44"/>
  <c r="N31" i="56" s="1"/>
  <c r="N49" i="55"/>
  <c r="N49" i="54"/>
  <c r="K8" i="54"/>
  <c r="K9" i="57"/>
  <c r="L60" i="44"/>
  <c r="K30" i="56" s="1"/>
  <c r="K30" i="53"/>
  <c r="K10" i="53" s="1"/>
  <c r="N60" i="47"/>
  <c r="M70" i="56" s="1"/>
  <c r="M70" i="53"/>
  <c r="K8" i="58"/>
  <c r="K51" i="53"/>
  <c r="L61" i="46"/>
  <c r="K51" i="56" s="1"/>
  <c r="M50" i="53"/>
  <c r="M10" i="53" s="1"/>
  <c r="N60" i="46"/>
  <c r="M50" i="56" s="1"/>
  <c r="M10" i="56" s="1"/>
  <c r="D90" i="56"/>
  <c r="X84" i="48"/>
  <c r="D90" i="58" s="1"/>
  <c r="X60" i="48"/>
  <c r="D90" i="54" s="1"/>
  <c r="AR60" i="48"/>
  <c r="D90" i="55" s="1"/>
  <c r="C5" i="51"/>
  <c r="AD29" i="47"/>
  <c r="P63" i="53"/>
  <c r="D2" i="58"/>
  <c r="J42" i="55"/>
  <c r="J2" i="55" s="1"/>
  <c r="J42" i="54"/>
  <c r="J2" i="54" s="1"/>
  <c r="G2" i="58"/>
  <c r="BU35" i="48"/>
  <c r="BO66" i="48" s="1"/>
  <c r="O89" i="51"/>
  <c r="K61" i="50"/>
  <c r="J131" i="56" s="1"/>
  <c r="J131" i="53"/>
  <c r="AB36" i="50"/>
  <c r="BD56" i="49"/>
  <c r="P106" i="55" s="1"/>
  <c r="O106" i="55"/>
  <c r="AU35" i="50"/>
  <c r="J92" i="51"/>
  <c r="K38" i="48"/>
  <c r="K15" i="48"/>
  <c r="E3" i="56"/>
  <c r="C42" i="55"/>
  <c r="C2" i="55" s="1"/>
  <c r="C42" i="54"/>
  <c r="C2" i="54" s="1"/>
  <c r="L2" i="58"/>
  <c r="F42" i="54"/>
  <c r="F2" i="54" s="1"/>
  <c r="F42" i="55"/>
  <c r="F2" i="55" s="1"/>
  <c r="G3" i="57"/>
  <c r="H2" i="58"/>
  <c r="J5" i="51"/>
  <c r="P2" i="57"/>
  <c r="AK58" i="49"/>
  <c r="BN58" i="49" s="1"/>
  <c r="P108" i="54"/>
  <c r="D3" i="56"/>
  <c r="J90" i="56"/>
  <c r="AD84" i="48"/>
  <c r="J90" i="58" s="1"/>
  <c r="AD60" i="48"/>
  <c r="J90" i="54" s="1"/>
  <c r="AX60" i="48"/>
  <c r="J90" i="55" s="1"/>
  <c r="H3" i="56"/>
  <c r="K61" i="49"/>
  <c r="J111" i="56" s="1"/>
  <c r="J111" i="53"/>
  <c r="E42" i="55"/>
  <c r="E42" i="54"/>
  <c r="D54" i="44"/>
  <c r="C24" i="56" s="1"/>
  <c r="C24" i="53"/>
  <c r="C4" i="53" s="1"/>
  <c r="J54" i="44"/>
  <c r="I24" i="56" s="1"/>
  <c r="I24" i="53"/>
  <c r="I4" i="53" s="1"/>
  <c r="G42" i="55"/>
  <c r="G2" i="55" s="1"/>
  <c r="G42" i="54"/>
  <c r="G2" i="54" s="1"/>
  <c r="E3" i="57"/>
  <c r="F3" i="57"/>
  <c r="J2" i="58"/>
  <c r="K54" i="44"/>
  <c r="J24" i="56" s="1"/>
  <c r="J24" i="53"/>
  <c r="AE36" i="48"/>
  <c r="P90" i="53"/>
  <c r="AK58" i="48"/>
  <c r="BN58" i="48" s="1"/>
  <c r="P88" i="54"/>
  <c r="Q53" i="44"/>
  <c r="P23" i="56" s="1"/>
  <c r="G3" i="53"/>
  <c r="BJ5" i="44"/>
  <c r="BK5" i="44" s="1"/>
  <c r="BL5" i="44" s="1"/>
  <c r="P5" i="44" s="1"/>
  <c r="O23" i="51" s="1"/>
  <c r="P23" i="53"/>
  <c r="K54" i="47"/>
  <c r="J64" i="56" s="1"/>
  <c r="J64" i="53"/>
  <c r="K61" i="48"/>
  <c r="J91" i="53"/>
  <c r="K85" i="48"/>
  <c r="J91" i="57" s="1"/>
  <c r="I54" i="44"/>
  <c r="H24" i="56" s="1"/>
  <c r="H24" i="53"/>
  <c r="H4" i="53" s="1"/>
  <c r="K54" i="46"/>
  <c r="J44" i="56" s="1"/>
  <c r="J44" i="53"/>
  <c r="E2" i="55"/>
  <c r="E54" i="44"/>
  <c r="D24" i="56" s="1"/>
  <c r="D24" i="53"/>
  <c r="D4" i="53" s="1"/>
  <c r="H54" i="46"/>
  <c r="G44" i="56" s="1"/>
  <c r="G44" i="53"/>
  <c r="I3" i="57"/>
  <c r="H3" i="57"/>
  <c r="J3" i="57"/>
  <c r="BD57" i="48"/>
  <c r="P87" i="55" s="1"/>
  <c r="O87" i="55"/>
  <c r="I3" i="56"/>
  <c r="F3" i="56"/>
  <c r="G3" i="56"/>
  <c r="L3" i="56"/>
  <c r="G54" i="44"/>
  <c r="F24" i="56" s="1"/>
  <c r="F24" i="53"/>
  <c r="F4" i="53" s="1"/>
  <c r="F54" i="44"/>
  <c r="E24" i="56" s="1"/>
  <c r="E24" i="53"/>
  <c r="E4" i="53" s="1"/>
  <c r="D42" i="55"/>
  <c r="D2" i="55" s="1"/>
  <c r="D42" i="54"/>
  <c r="D2" i="54" s="1"/>
  <c r="AA36" i="50"/>
  <c r="P130" i="53"/>
  <c r="E2" i="54"/>
  <c r="L42" i="55"/>
  <c r="L2" i="55" s="1"/>
  <c r="L42" i="54"/>
  <c r="L2" i="54" s="1"/>
  <c r="AR29" i="46"/>
  <c r="BI60" i="46" s="1"/>
  <c r="P43" i="53"/>
  <c r="I2" i="58"/>
  <c r="H42" i="55"/>
  <c r="H2" i="55" s="1"/>
  <c r="H42" i="54"/>
  <c r="H2" i="54" s="1"/>
  <c r="D3" i="57"/>
  <c r="G5" i="51"/>
  <c r="CA37" i="48"/>
  <c r="L91" i="53"/>
  <c r="P82" i="48"/>
  <c r="O88" i="57" s="1"/>
  <c r="O88" i="53"/>
  <c r="AK58" i="50"/>
  <c r="BN58" i="50" s="1"/>
  <c r="P128" i="54"/>
  <c r="D92" i="51"/>
  <c r="E38" i="48"/>
  <c r="E15" i="48"/>
  <c r="J3" i="53"/>
  <c r="P2" i="53"/>
  <c r="F5" i="51"/>
  <c r="I42" i="55"/>
  <c r="I2" i="55" s="1"/>
  <c r="I42" i="54"/>
  <c r="I2" i="54" s="1"/>
  <c r="C3" i="57"/>
  <c r="H54" i="44"/>
  <c r="G24" i="56" s="1"/>
  <c r="G24" i="53"/>
  <c r="M54" i="44"/>
  <c r="L24" i="56" s="1"/>
  <c r="L24" i="53"/>
  <c r="L4" i="53" s="1"/>
  <c r="BW38" i="48"/>
  <c r="BR67" i="48" s="1"/>
  <c r="L92" i="51"/>
  <c r="BD57" i="49"/>
  <c r="P107" i="55" s="1"/>
  <c r="O107" i="55"/>
  <c r="X36" i="49"/>
  <c r="P110" i="53"/>
  <c r="C3" i="56"/>
  <c r="P2" i="56"/>
  <c r="D91" i="53"/>
  <c r="E85" i="48"/>
  <c r="D91" i="57" s="1"/>
  <c r="E61" i="48"/>
  <c r="J3" i="56"/>
  <c r="H76" i="43"/>
  <c r="H52" i="43"/>
  <c r="AB36" i="49"/>
  <c r="AA36" i="49"/>
  <c r="AJ35" i="50"/>
  <c r="AF36" i="49"/>
  <c r="W36" i="49"/>
  <c r="K76" i="43"/>
  <c r="K52" i="43"/>
  <c r="AD76" i="43" s="1"/>
  <c r="Z36" i="49"/>
  <c r="AS36" i="49"/>
  <c r="BP61" i="49" s="1"/>
  <c r="Q84" i="49"/>
  <c r="P110" i="57" s="1"/>
  <c r="Z36" i="50"/>
  <c r="Y36" i="49"/>
  <c r="AC36" i="49"/>
  <c r="K38" i="50"/>
  <c r="K15" i="50"/>
  <c r="J133" i="51" s="1"/>
  <c r="F15" i="49"/>
  <c r="E113" i="51" s="1"/>
  <c r="F38" i="49"/>
  <c r="E112" i="53" s="1"/>
  <c r="H38" i="49"/>
  <c r="G112" i="53" s="1"/>
  <c r="H15" i="49"/>
  <c r="G113" i="51" s="1"/>
  <c r="BW38" i="49"/>
  <c r="BR67" i="49" s="1"/>
  <c r="H61" i="50"/>
  <c r="G131" i="56" s="1"/>
  <c r="H85" i="50"/>
  <c r="G131" i="57" s="1"/>
  <c r="AA61" i="50"/>
  <c r="G131" i="54" s="1"/>
  <c r="I15" i="49"/>
  <c r="H113" i="51" s="1"/>
  <c r="I38" i="49"/>
  <c r="H112" i="53" s="1"/>
  <c r="Q60" i="49"/>
  <c r="P110" i="56" s="1"/>
  <c r="W84" i="49"/>
  <c r="C110" i="58" s="1"/>
  <c r="W60" i="49"/>
  <c r="C110" i="54" s="1"/>
  <c r="AQ60" i="49"/>
  <c r="C110" i="55" s="1"/>
  <c r="G61" i="49"/>
  <c r="F111" i="56" s="1"/>
  <c r="G85" i="49"/>
  <c r="F111" i="57" s="1"/>
  <c r="BO59" i="49"/>
  <c r="AU35" i="49"/>
  <c r="J61" i="49"/>
  <c r="I111" i="56" s="1"/>
  <c r="J85" i="49"/>
  <c r="I111" i="57" s="1"/>
  <c r="Q84" i="50"/>
  <c r="P130" i="57" s="1"/>
  <c r="BC57" i="50"/>
  <c r="AC84" i="50"/>
  <c r="I130" i="58" s="1"/>
  <c r="AC60" i="50"/>
  <c r="I130" i="54" s="1"/>
  <c r="AW60" i="50"/>
  <c r="I130" i="55" s="1"/>
  <c r="E15" i="49"/>
  <c r="D113" i="51" s="1"/>
  <c r="E38" i="49"/>
  <c r="D112" i="53" s="1"/>
  <c r="J38" i="50"/>
  <c r="I132" i="53" s="1"/>
  <c r="J15" i="50"/>
  <c r="I133" i="51" s="1"/>
  <c r="BR38" i="49"/>
  <c r="BR65" i="49" s="1"/>
  <c r="Q14" i="49"/>
  <c r="P112" i="51" s="1"/>
  <c r="D15" i="49"/>
  <c r="C113" i="51" s="1"/>
  <c r="D38" i="49"/>
  <c r="C112" i="53" s="1"/>
  <c r="AS36" i="50"/>
  <c r="BP61" i="50" s="1"/>
  <c r="G38" i="49"/>
  <c r="F112" i="53" s="1"/>
  <c r="G15" i="49"/>
  <c r="F113" i="51" s="1"/>
  <c r="AB84" i="49"/>
  <c r="H110" i="58" s="1"/>
  <c r="AB60" i="49"/>
  <c r="H110" i="54" s="1"/>
  <c r="AV60" i="49"/>
  <c r="H110" i="55" s="1"/>
  <c r="M38" i="50"/>
  <c r="L132" i="53" s="1"/>
  <c r="M15" i="50"/>
  <c r="L133" i="51" s="1"/>
  <c r="AJ35" i="49"/>
  <c r="K85" i="50"/>
  <c r="J131" i="57" s="1"/>
  <c r="CA37" i="50"/>
  <c r="F85" i="49"/>
  <c r="E111" i="57" s="1"/>
  <c r="F61" i="49"/>
  <c r="E111" i="56" s="1"/>
  <c r="AJ59" i="50"/>
  <c r="P82" i="49"/>
  <c r="O108" i="57" s="1"/>
  <c r="AI34" i="49"/>
  <c r="P35" i="50"/>
  <c r="O129" i="53" s="1"/>
  <c r="AI11" i="50"/>
  <c r="BO35" i="50"/>
  <c r="BO64" i="50" s="1"/>
  <c r="BU35" i="50"/>
  <c r="BO66" i="50" s="1"/>
  <c r="AF84" i="49"/>
  <c r="L110" i="58" s="1"/>
  <c r="AF60" i="49"/>
  <c r="L110" i="54" s="1"/>
  <c r="AZ60" i="49"/>
  <c r="L110" i="55" s="1"/>
  <c r="AJ83" i="49"/>
  <c r="P109" i="58" s="1"/>
  <c r="D85" i="49"/>
  <c r="C111" i="57" s="1"/>
  <c r="D61" i="49"/>
  <c r="C111" i="56" s="1"/>
  <c r="Q37" i="49"/>
  <c r="AA37" i="49" s="1"/>
  <c r="Z84" i="50"/>
  <c r="F130" i="58" s="1"/>
  <c r="Z60" i="50"/>
  <c r="F130" i="54" s="1"/>
  <c r="AT60" i="50"/>
  <c r="F130" i="55" s="1"/>
  <c r="AX60" i="49"/>
  <c r="J110" i="55" s="1"/>
  <c r="AD84" i="49"/>
  <c r="J110" i="58" s="1"/>
  <c r="AD60" i="49"/>
  <c r="J110" i="54" s="1"/>
  <c r="M85" i="50"/>
  <c r="L131" i="57" s="1"/>
  <c r="M61" i="50"/>
  <c r="L131" i="56" s="1"/>
  <c r="AJ83" i="50"/>
  <c r="P129" i="58" s="1"/>
  <c r="I38" i="50"/>
  <c r="H132" i="53" s="1"/>
  <c r="I15" i="50"/>
  <c r="H133" i="51" s="1"/>
  <c r="Y36" i="50"/>
  <c r="AJ59" i="49"/>
  <c r="AA61" i="49"/>
  <c r="G111" i="54" s="1"/>
  <c r="H85" i="49"/>
  <c r="G111" i="57" s="1"/>
  <c r="H61" i="49"/>
  <c r="G111" i="56" s="1"/>
  <c r="K38" i="49"/>
  <c r="K15" i="49"/>
  <c r="J113" i="51" s="1"/>
  <c r="AS60" i="49"/>
  <c r="E110" i="55" s="1"/>
  <c r="Y84" i="49"/>
  <c r="E110" i="58" s="1"/>
  <c r="Y60" i="49"/>
  <c r="E110" i="54" s="1"/>
  <c r="AJ10" i="50"/>
  <c r="P35" i="49"/>
  <c r="O109" i="53" s="1"/>
  <c r="AI11" i="49"/>
  <c r="BU35" i="49"/>
  <c r="BO66" i="49" s="1"/>
  <c r="BO35" i="49"/>
  <c r="BO64" i="49" s="1"/>
  <c r="AF84" i="50"/>
  <c r="L130" i="58" s="1"/>
  <c r="AF60" i="50"/>
  <c r="L130" i="54" s="1"/>
  <c r="AZ60" i="50"/>
  <c r="L130" i="55" s="1"/>
  <c r="I85" i="50"/>
  <c r="H131" i="57" s="1"/>
  <c r="I61" i="50"/>
  <c r="H131" i="56" s="1"/>
  <c r="X36" i="50"/>
  <c r="F38" i="50"/>
  <c r="E132" i="53" s="1"/>
  <c r="F15" i="50"/>
  <c r="E133" i="51" s="1"/>
  <c r="Y60" i="50"/>
  <c r="E130" i="54" s="1"/>
  <c r="Y84" i="50"/>
  <c r="E130" i="58" s="1"/>
  <c r="AS60" i="50"/>
  <c r="E130" i="55" s="1"/>
  <c r="X84" i="49"/>
  <c r="D110" i="58" s="1"/>
  <c r="X60" i="49"/>
  <c r="D110" i="54" s="1"/>
  <c r="AR60" i="49"/>
  <c r="D110" i="55" s="1"/>
  <c r="I85" i="49"/>
  <c r="H111" i="57" s="1"/>
  <c r="I61" i="49"/>
  <c r="H111" i="56" s="1"/>
  <c r="AJ10" i="49"/>
  <c r="BC58" i="49"/>
  <c r="AD84" i="50"/>
  <c r="J130" i="58" s="1"/>
  <c r="AD60" i="50"/>
  <c r="J130" i="54" s="1"/>
  <c r="AX60" i="50"/>
  <c r="J130" i="55" s="1"/>
  <c r="K85" i="49"/>
  <c r="J111" i="57" s="1"/>
  <c r="CA37" i="49"/>
  <c r="P82" i="50"/>
  <c r="O128" i="57" s="1"/>
  <c r="AI34" i="50"/>
  <c r="AA84" i="49"/>
  <c r="G110" i="58" s="1"/>
  <c r="AU60" i="49"/>
  <c r="G110" i="55" s="1"/>
  <c r="AC60" i="49"/>
  <c r="I110" i="54" s="1"/>
  <c r="AC84" i="49"/>
  <c r="I110" i="58" s="1"/>
  <c r="AW60" i="49"/>
  <c r="I110" i="55" s="1"/>
  <c r="AB84" i="50"/>
  <c r="H130" i="58" s="1"/>
  <c r="AB60" i="50"/>
  <c r="H130" i="54" s="1"/>
  <c r="AV60" i="50"/>
  <c r="H130" i="55" s="1"/>
  <c r="BL63" i="49"/>
  <c r="BL55" i="49"/>
  <c r="AQ36" i="50"/>
  <c r="X60" i="50"/>
  <c r="D130" i="54" s="1"/>
  <c r="AR60" i="50"/>
  <c r="D130" i="55" s="1"/>
  <c r="X84" i="50"/>
  <c r="D130" i="58" s="1"/>
  <c r="D38" i="50"/>
  <c r="C132" i="53" s="1"/>
  <c r="D15" i="50"/>
  <c r="C133" i="51" s="1"/>
  <c r="BR38" i="50"/>
  <c r="BR65" i="50" s="1"/>
  <c r="Q14" i="50"/>
  <c r="P132" i="51" s="1"/>
  <c r="F61" i="50"/>
  <c r="E131" i="56" s="1"/>
  <c r="F85" i="50"/>
  <c r="E131" i="57" s="1"/>
  <c r="E38" i="50"/>
  <c r="D132" i="53" s="1"/>
  <c r="E15" i="50"/>
  <c r="D133" i="51" s="1"/>
  <c r="G38" i="50"/>
  <c r="F132" i="53" s="1"/>
  <c r="G15" i="50"/>
  <c r="F133" i="51" s="1"/>
  <c r="M85" i="49"/>
  <c r="L111" i="57" s="1"/>
  <c r="M61" i="49"/>
  <c r="L111" i="56" s="1"/>
  <c r="AD36" i="50"/>
  <c r="AE36" i="50"/>
  <c r="AR36" i="50"/>
  <c r="BP60" i="50" s="1"/>
  <c r="BP68" i="50"/>
  <c r="AH36" i="50"/>
  <c r="BP69" i="50"/>
  <c r="AT36" i="50"/>
  <c r="BP62" i="50" s="1"/>
  <c r="BJ12" i="50"/>
  <c r="BK12" i="50" s="1"/>
  <c r="BL12" i="50" s="1"/>
  <c r="P12" i="50" s="1"/>
  <c r="O130" i="51" s="1"/>
  <c r="AG36" i="50"/>
  <c r="AA84" i="50"/>
  <c r="G130" i="58" s="1"/>
  <c r="AU60" i="50"/>
  <c r="G130" i="55" s="1"/>
  <c r="D61" i="50"/>
  <c r="C131" i="56" s="1"/>
  <c r="D85" i="50"/>
  <c r="C131" i="57" s="1"/>
  <c r="Q37" i="50"/>
  <c r="Y37" i="50" s="1"/>
  <c r="E85" i="50"/>
  <c r="D131" i="57" s="1"/>
  <c r="E61" i="50"/>
  <c r="D131" i="56" s="1"/>
  <c r="G61" i="50"/>
  <c r="F131" i="56" s="1"/>
  <c r="G85" i="50"/>
  <c r="F131" i="57" s="1"/>
  <c r="H15" i="50"/>
  <c r="G133" i="51" s="1"/>
  <c r="H38" i="50"/>
  <c r="G132" i="53" s="1"/>
  <c r="BW38" i="50"/>
  <c r="BR67" i="50" s="1"/>
  <c r="AT60" i="49"/>
  <c r="F110" i="55" s="1"/>
  <c r="Z84" i="49"/>
  <c r="F110" i="58" s="1"/>
  <c r="Z60" i="49"/>
  <c r="F110" i="54" s="1"/>
  <c r="AQ36" i="49"/>
  <c r="AT36" i="49"/>
  <c r="BP62" i="49" s="1"/>
  <c r="BP69" i="49"/>
  <c r="AR36" i="49"/>
  <c r="BP60" i="49" s="1"/>
  <c r="BJ12" i="49"/>
  <c r="BK12" i="49" s="1"/>
  <c r="BL12" i="49" s="1"/>
  <c r="P12" i="49" s="1"/>
  <c r="O110" i="51" s="1"/>
  <c r="AE36" i="49"/>
  <c r="AH36" i="49"/>
  <c r="AG36" i="49"/>
  <c r="BP68" i="49"/>
  <c r="M38" i="49"/>
  <c r="L112" i="53" s="1"/>
  <c r="M15" i="49"/>
  <c r="L113" i="51" s="1"/>
  <c r="J38" i="49"/>
  <c r="I112" i="53" s="1"/>
  <c r="J15" i="49"/>
  <c r="I113" i="51" s="1"/>
  <c r="W84" i="50"/>
  <c r="C130" i="58" s="1"/>
  <c r="W60" i="50"/>
  <c r="C130" i="54" s="1"/>
  <c r="Q60" i="50"/>
  <c r="P130" i="56" s="1"/>
  <c r="AQ60" i="50"/>
  <c r="C130" i="55" s="1"/>
  <c r="AC36" i="50"/>
  <c r="E85" i="49"/>
  <c r="D111" i="57" s="1"/>
  <c r="E61" i="49"/>
  <c r="D111" i="56" s="1"/>
  <c r="J85" i="50"/>
  <c r="I131" i="57" s="1"/>
  <c r="J61" i="50"/>
  <c r="I131" i="56" s="1"/>
  <c r="BX30" i="43"/>
  <c r="BO35" i="48"/>
  <c r="BO64" i="48" s="1"/>
  <c r="BP69" i="48"/>
  <c r="Z36" i="48"/>
  <c r="AI11" i="48"/>
  <c r="AJ11" i="48" s="1"/>
  <c r="P35" i="48"/>
  <c r="AJ35" i="48"/>
  <c r="AU35" i="48"/>
  <c r="Q37" i="48"/>
  <c r="AB36" i="48"/>
  <c r="AQ36" i="48"/>
  <c r="BP59" i="48" s="1"/>
  <c r="AF36" i="48"/>
  <c r="AH36" i="48"/>
  <c r="AC36" i="48"/>
  <c r="AG36" i="48"/>
  <c r="AI34" i="48"/>
  <c r="Y36" i="48"/>
  <c r="AT36" i="48"/>
  <c r="BP62" i="48" s="1"/>
  <c r="X36" i="48"/>
  <c r="AA36" i="48"/>
  <c r="BJ12" i="48"/>
  <c r="BK12" i="48" s="1"/>
  <c r="BL12" i="48" s="1"/>
  <c r="P12" i="48" s="1"/>
  <c r="W36" i="48"/>
  <c r="AS36" i="48"/>
  <c r="BP61" i="48" s="1"/>
  <c r="AR36" i="48"/>
  <c r="BP60" i="48" s="1"/>
  <c r="AD36" i="48"/>
  <c r="BP68" i="48"/>
  <c r="AJ59" i="48"/>
  <c r="Q84" i="48"/>
  <c r="P90" i="57" s="1"/>
  <c r="AJ83" i="48"/>
  <c r="P89" i="58" s="1"/>
  <c r="Y29" i="44"/>
  <c r="BA38" i="50"/>
  <c r="AG88" i="50"/>
  <c r="M134" i="58" s="1"/>
  <c r="AG64" i="50"/>
  <c r="M134" i="54" s="1"/>
  <c r="BA64" i="50"/>
  <c r="M134" i="55" s="1"/>
  <c r="B66" i="50"/>
  <c r="U66" i="50" s="1"/>
  <c r="AO66" i="50" s="1"/>
  <c r="B42" i="50"/>
  <c r="B19" i="50"/>
  <c r="U18" i="50"/>
  <c r="AO18" i="50" s="1"/>
  <c r="BH18" i="50" s="1"/>
  <c r="AZ39" i="50"/>
  <c r="AX39" i="50"/>
  <c r="AW39" i="50"/>
  <c r="BA39" i="50" s="1"/>
  <c r="AP40" i="50"/>
  <c r="AH88" i="50"/>
  <c r="N134" i="58" s="1"/>
  <c r="AH64" i="50"/>
  <c r="N134" i="54" s="1"/>
  <c r="BB64" i="50"/>
  <c r="N134" i="55" s="1"/>
  <c r="B89" i="50"/>
  <c r="U41" i="50"/>
  <c r="U89" i="50" s="1"/>
  <c r="C65" i="50"/>
  <c r="V65" i="50" s="1"/>
  <c r="AP65" i="50" s="1"/>
  <c r="C41" i="50"/>
  <c r="V17" i="50"/>
  <c r="AP17" i="50" s="1"/>
  <c r="BI17" i="50" s="1"/>
  <c r="C18" i="50"/>
  <c r="O42" i="50"/>
  <c r="N136" i="53" s="1"/>
  <c r="O19" i="50"/>
  <c r="BX42" i="50"/>
  <c r="N42" i="50"/>
  <c r="N19" i="50"/>
  <c r="O89" i="50"/>
  <c r="N135" i="57" s="1"/>
  <c r="O65" i="50"/>
  <c r="N135" i="56" s="1"/>
  <c r="C88" i="50"/>
  <c r="V40" i="50"/>
  <c r="V88" i="50" s="1"/>
  <c r="AE89" i="50"/>
  <c r="K135" i="58" s="1"/>
  <c r="AE65" i="50"/>
  <c r="K135" i="54" s="1"/>
  <c r="AY65" i="50"/>
  <c r="K135" i="55" s="1"/>
  <c r="N89" i="50"/>
  <c r="M135" i="57" s="1"/>
  <c r="L43" i="50"/>
  <c r="L20" i="50"/>
  <c r="AU19" i="50"/>
  <c r="BD18" i="50"/>
  <c r="L90" i="50"/>
  <c r="K136" i="57" s="1"/>
  <c r="C66" i="49"/>
  <c r="V66" i="49" s="1"/>
  <c r="AP66" i="49" s="1"/>
  <c r="C42" i="49"/>
  <c r="C19" i="49"/>
  <c r="V18" i="49"/>
  <c r="AP18" i="49" s="1"/>
  <c r="BI18" i="49" s="1"/>
  <c r="N41" i="49"/>
  <c r="BX41" i="49"/>
  <c r="N18" i="49"/>
  <c r="AH87" i="49"/>
  <c r="N113" i="58" s="1"/>
  <c r="AH63" i="49"/>
  <c r="N113" i="54" s="1"/>
  <c r="BB63" i="49"/>
  <c r="N113" i="55" s="1"/>
  <c r="C89" i="49"/>
  <c r="V41" i="49"/>
  <c r="V89" i="49" s="1"/>
  <c r="L88" i="49"/>
  <c r="K114" i="57" s="1"/>
  <c r="N88" i="49"/>
  <c r="M114" i="57" s="1"/>
  <c r="BD20" i="49"/>
  <c r="O88" i="49"/>
  <c r="N114" i="57" s="1"/>
  <c r="O64" i="49"/>
  <c r="N114" i="56" s="1"/>
  <c r="L41" i="49"/>
  <c r="L18" i="49"/>
  <c r="BA38" i="49"/>
  <c r="B66" i="49"/>
  <c r="U66" i="49" s="1"/>
  <c r="AO66" i="49" s="1"/>
  <c r="B42" i="49"/>
  <c r="B19" i="49"/>
  <c r="U18" i="49"/>
  <c r="AO18" i="49" s="1"/>
  <c r="BH18" i="49" s="1"/>
  <c r="O41" i="49"/>
  <c r="N115" i="53" s="1"/>
  <c r="O18" i="49"/>
  <c r="AW39" i="49"/>
  <c r="AX39" i="49"/>
  <c r="AZ39" i="49"/>
  <c r="AP40" i="49"/>
  <c r="AE87" i="49"/>
  <c r="K113" i="58" s="1"/>
  <c r="AE63" i="49"/>
  <c r="K113" i="54" s="1"/>
  <c r="AY63" i="49"/>
  <c r="K113" i="55" s="1"/>
  <c r="AG87" i="49"/>
  <c r="M113" i="58" s="1"/>
  <c r="AG63" i="49"/>
  <c r="M113" i="54" s="1"/>
  <c r="BA63" i="49"/>
  <c r="M113" i="55" s="1"/>
  <c r="B89" i="49"/>
  <c r="U41" i="49"/>
  <c r="U89" i="49" s="1"/>
  <c r="AF84" i="48"/>
  <c r="L90" i="58" s="1"/>
  <c r="AZ60" i="48"/>
  <c r="L90" i="55" s="1"/>
  <c r="AF60" i="48"/>
  <c r="L90" i="54" s="1"/>
  <c r="Z84" i="48"/>
  <c r="F90" i="58" s="1"/>
  <c r="AT60" i="48"/>
  <c r="F90" i="55" s="1"/>
  <c r="Z60" i="48"/>
  <c r="F90" i="54" s="1"/>
  <c r="F85" i="48"/>
  <c r="E91" i="57" s="1"/>
  <c r="F61" i="48"/>
  <c r="E91" i="56" s="1"/>
  <c r="F38" i="48"/>
  <c r="E92" i="53" s="1"/>
  <c r="F15" i="48"/>
  <c r="E93" i="51" s="1"/>
  <c r="G61" i="48"/>
  <c r="F91" i="56" s="1"/>
  <c r="G85" i="48"/>
  <c r="F91" i="57" s="1"/>
  <c r="Y84" i="48"/>
  <c r="E90" i="58" s="1"/>
  <c r="Y60" i="48"/>
  <c r="E90" i="54" s="1"/>
  <c r="AS60" i="48"/>
  <c r="E90" i="55" s="1"/>
  <c r="Q14" i="48"/>
  <c r="P92" i="51" s="1"/>
  <c r="Q60" i="48"/>
  <c r="P90" i="56" s="1"/>
  <c r="M85" i="48"/>
  <c r="L91" i="57" s="1"/>
  <c r="M61" i="48"/>
  <c r="L91" i="56" s="1"/>
  <c r="G15" i="48"/>
  <c r="F93" i="51" s="1"/>
  <c r="G38" i="48"/>
  <c r="F92" i="53" s="1"/>
  <c r="BR38" i="48"/>
  <c r="BR65" i="48" s="1"/>
  <c r="M38" i="48"/>
  <c r="L92" i="53" s="1"/>
  <c r="M15" i="48"/>
  <c r="BA36" i="48"/>
  <c r="BX40" i="48"/>
  <c r="N40" i="48"/>
  <c r="N17" i="48"/>
  <c r="AU16" i="48"/>
  <c r="BD15" i="48"/>
  <c r="D39" i="48"/>
  <c r="C93" i="53" s="1"/>
  <c r="D16" i="48"/>
  <c r="C94" i="51" s="1"/>
  <c r="AC85" i="48"/>
  <c r="I91" i="58" s="1"/>
  <c r="AC61" i="48"/>
  <c r="I91" i="54" s="1"/>
  <c r="AW61" i="48"/>
  <c r="I91" i="55" s="1"/>
  <c r="H86" i="48"/>
  <c r="G92" i="57" s="1"/>
  <c r="AA62" i="48"/>
  <c r="G92" i="54" s="1"/>
  <c r="H62" i="48"/>
  <c r="G92" i="56" s="1"/>
  <c r="AG86" i="48"/>
  <c r="M92" i="58" s="1"/>
  <c r="AG62" i="48"/>
  <c r="M92" i="54" s="1"/>
  <c r="BA62" i="48"/>
  <c r="M92" i="55" s="1"/>
  <c r="N87" i="48"/>
  <c r="M93" i="57" s="1"/>
  <c r="H39" i="48"/>
  <c r="G93" i="53" s="1"/>
  <c r="H16" i="48"/>
  <c r="G94" i="51" s="1"/>
  <c r="O88" i="48"/>
  <c r="N94" i="57" s="1"/>
  <c r="O64" i="48"/>
  <c r="N94" i="56" s="1"/>
  <c r="W85" i="48"/>
  <c r="C91" i="58" s="1"/>
  <c r="W61" i="48"/>
  <c r="C91" i="54" s="1"/>
  <c r="AQ61" i="48"/>
  <c r="C91" i="55" s="1"/>
  <c r="AA85" i="48"/>
  <c r="G91" i="58" s="1"/>
  <c r="AU61" i="48"/>
  <c r="G91" i="55" s="1"/>
  <c r="C63" i="48"/>
  <c r="V63" i="48" s="1"/>
  <c r="AP63" i="48" s="1"/>
  <c r="C39" i="48"/>
  <c r="C16" i="48"/>
  <c r="V15" i="48"/>
  <c r="AP15" i="48" s="1"/>
  <c r="BI15" i="48" s="1"/>
  <c r="O41" i="48"/>
  <c r="N95" i="53" s="1"/>
  <c r="O18" i="48"/>
  <c r="AZ37" i="48"/>
  <c r="AP38" i="48"/>
  <c r="AX37" i="48"/>
  <c r="AW37" i="48"/>
  <c r="I39" i="48"/>
  <c r="H93" i="53" s="1"/>
  <c r="I16" i="48"/>
  <c r="H94" i="51" s="1"/>
  <c r="D86" i="48"/>
  <c r="C92" i="57" s="1"/>
  <c r="D62" i="48"/>
  <c r="C92" i="56" s="1"/>
  <c r="B64" i="48"/>
  <c r="U64" i="48" s="1"/>
  <c r="AO64" i="48" s="1"/>
  <c r="B40" i="48"/>
  <c r="B17" i="48"/>
  <c r="U16" i="48"/>
  <c r="AO16" i="48" s="1"/>
  <c r="BH16" i="48" s="1"/>
  <c r="AB85" i="48"/>
  <c r="H91" i="58" s="1"/>
  <c r="AB61" i="48"/>
  <c r="H91" i="54" s="1"/>
  <c r="AV61" i="48"/>
  <c r="H91" i="55" s="1"/>
  <c r="I86" i="48"/>
  <c r="H92" i="57" s="1"/>
  <c r="I62" i="48"/>
  <c r="H92" i="56" s="1"/>
  <c r="C86" i="48"/>
  <c r="V38" i="48"/>
  <c r="V86" i="48" s="1"/>
  <c r="L39" i="48"/>
  <c r="L16" i="48"/>
  <c r="J39" i="48"/>
  <c r="I93" i="53" s="1"/>
  <c r="J16" i="48"/>
  <c r="I94" i="51" s="1"/>
  <c r="B87" i="48"/>
  <c r="U39" i="48"/>
  <c r="U87" i="48" s="1"/>
  <c r="L86" i="48"/>
  <c r="K92" i="57" s="1"/>
  <c r="J86" i="48"/>
  <c r="I92" i="57" s="1"/>
  <c r="J62" i="48"/>
  <c r="I92" i="56" s="1"/>
  <c r="AE85" i="48"/>
  <c r="K91" i="58" s="1"/>
  <c r="AE61" i="48"/>
  <c r="K91" i="54" s="1"/>
  <c r="AY61" i="48"/>
  <c r="K91" i="55" s="1"/>
  <c r="BC58" i="48"/>
  <c r="AH87" i="48"/>
  <c r="N93" i="58" s="1"/>
  <c r="AH63" i="48"/>
  <c r="N93" i="54" s="1"/>
  <c r="BB63" i="48"/>
  <c r="N93" i="55" s="1"/>
  <c r="AT29" i="47"/>
  <c r="BI62" i="47" s="1"/>
  <c r="AU28" i="47"/>
  <c r="AA29" i="47"/>
  <c r="AC29" i="47"/>
  <c r="AU28" i="46"/>
  <c r="AS29" i="46"/>
  <c r="BI61" i="46" s="1"/>
  <c r="Z29" i="46"/>
  <c r="AJ52" i="44"/>
  <c r="P22" i="54" s="1"/>
  <c r="AB29" i="46"/>
  <c r="BJ5" i="46"/>
  <c r="BK5" i="46" s="1"/>
  <c r="BL5" i="46" s="1"/>
  <c r="P5" i="46" s="1"/>
  <c r="AA29" i="46"/>
  <c r="AR29" i="47"/>
  <c r="BI60" i="47" s="1"/>
  <c r="BD52" i="47"/>
  <c r="P62" i="55" s="1"/>
  <c r="AJ28" i="47"/>
  <c r="BD52" i="46"/>
  <c r="X29" i="47"/>
  <c r="AS29" i="47"/>
  <c r="BI61" i="47" s="1"/>
  <c r="AB29" i="47"/>
  <c r="AS29" i="44"/>
  <c r="BI61" i="44" s="1"/>
  <c r="X29" i="44"/>
  <c r="Z29" i="44"/>
  <c r="AQ29" i="44"/>
  <c r="AU28" i="44"/>
  <c r="BA35" i="44"/>
  <c r="AF29" i="44"/>
  <c r="W29" i="44"/>
  <c r="AB29" i="44"/>
  <c r="AR29" i="44"/>
  <c r="BI60" i="44" s="1"/>
  <c r="AJ52" i="47"/>
  <c r="P62" i="54" s="1"/>
  <c r="AD29" i="46"/>
  <c r="X29" i="46"/>
  <c r="AQ29" i="46"/>
  <c r="AC29" i="46"/>
  <c r="AT29" i="46"/>
  <c r="BI62" i="46" s="1"/>
  <c r="W29" i="46"/>
  <c r="AF29" i="46"/>
  <c r="AA29" i="44"/>
  <c r="AD29" i="44"/>
  <c r="AG77" i="43"/>
  <c r="N77" i="43"/>
  <c r="M31" i="46"/>
  <c r="L45" i="53" s="1"/>
  <c r="M8" i="46"/>
  <c r="L46" i="51" s="1"/>
  <c r="AE77" i="43"/>
  <c r="L77" i="43"/>
  <c r="G31" i="44"/>
  <c r="G8" i="44"/>
  <c r="F26" i="51" s="1"/>
  <c r="G31" i="46"/>
  <c r="F45" i="53" s="1"/>
  <c r="G8" i="46"/>
  <c r="F46" i="51" s="1"/>
  <c r="J8" i="44"/>
  <c r="I26" i="51" s="1"/>
  <c r="J31" i="44"/>
  <c r="W53" i="47"/>
  <c r="C63" i="54" s="1"/>
  <c r="Q53" i="47"/>
  <c r="P63" i="56" s="1"/>
  <c r="W77" i="47"/>
  <c r="C63" i="58" s="1"/>
  <c r="AQ53" i="47"/>
  <c r="C63" i="55" s="1"/>
  <c r="AB77" i="46"/>
  <c r="H43" i="58" s="1"/>
  <c r="AB53" i="46"/>
  <c r="AV53" i="46"/>
  <c r="AA77" i="47"/>
  <c r="G63" i="58" s="1"/>
  <c r="AU53" i="47"/>
  <c r="G63" i="55" s="1"/>
  <c r="AJ28" i="44"/>
  <c r="G52" i="43"/>
  <c r="Z76" i="43" s="1"/>
  <c r="G76" i="43"/>
  <c r="K78" i="47"/>
  <c r="J64" i="57" s="1"/>
  <c r="CA30" i="47"/>
  <c r="E31" i="47"/>
  <c r="D65" i="53" s="1"/>
  <c r="E8" i="47"/>
  <c r="D66" i="51" s="1"/>
  <c r="K31" i="46"/>
  <c r="K8" i="46"/>
  <c r="J46" i="51" s="1"/>
  <c r="J52" i="43"/>
  <c r="AC76" i="43" s="1"/>
  <c r="J76" i="43"/>
  <c r="AB77" i="44"/>
  <c r="H23" i="58" s="1"/>
  <c r="AB53" i="44"/>
  <c r="H23" i="54" s="1"/>
  <c r="AV53" i="44"/>
  <c r="H23" i="55" s="1"/>
  <c r="D78" i="44"/>
  <c r="C24" i="57" s="1"/>
  <c r="Q30" i="44"/>
  <c r="I78" i="44"/>
  <c r="H24" i="57" s="1"/>
  <c r="H78" i="44"/>
  <c r="G24" i="57" s="1"/>
  <c r="AA54" i="44"/>
  <c r="G24" i="54" s="1"/>
  <c r="F52" i="43"/>
  <c r="Y76" i="43" s="1"/>
  <c r="F76" i="43"/>
  <c r="BR31" i="44"/>
  <c r="BK65" i="44" s="1"/>
  <c r="Q7" i="44"/>
  <c r="P25" i="51" s="1"/>
  <c r="D31" i="44"/>
  <c r="D8" i="44"/>
  <c r="C26" i="51" s="1"/>
  <c r="F8" i="44"/>
  <c r="E26" i="51" s="1"/>
  <c r="F31" i="44"/>
  <c r="BR31" i="47"/>
  <c r="BK65" i="47" s="1"/>
  <c r="D8" i="47"/>
  <c r="C66" i="51" s="1"/>
  <c r="D31" i="47"/>
  <c r="C65" i="53" s="1"/>
  <c r="Q7" i="47"/>
  <c r="P65" i="51" s="1"/>
  <c r="AC53" i="44"/>
  <c r="I23" i="54" s="1"/>
  <c r="AC77" i="44"/>
  <c r="I23" i="58" s="1"/>
  <c r="AW53" i="44"/>
  <c r="I23" i="55" s="1"/>
  <c r="AF77" i="47"/>
  <c r="L63" i="58" s="1"/>
  <c r="AF53" i="47"/>
  <c r="L63" i="54" s="1"/>
  <c r="AZ53" i="47"/>
  <c r="L63" i="55" s="1"/>
  <c r="G31" i="47"/>
  <c r="F65" i="53" s="1"/>
  <c r="G8" i="47"/>
  <c r="F66" i="51" s="1"/>
  <c r="I52" i="43"/>
  <c r="AB76" i="43" s="1"/>
  <c r="I76" i="43"/>
  <c r="AC77" i="46"/>
  <c r="I43" i="58" s="1"/>
  <c r="AC53" i="46"/>
  <c r="AW53" i="46"/>
  <c r="X77" i="47"/>
  <c r="D63" i="58" s="1"/>
  <c r="X53" i="47"/>
  <c r="D63" i="54" s="1"/>
  <c r="AR53" i="47"/>
  <c r="D63" i="55" s="1"/>
  <c r="AQ29" i="47"/>
  <c r="X53" i="44"/>
  <c r="D23" i="54" s="1"/>
  <c r="X77" i="44"/>
  <c r="D23" i="58" s="1"/>
  <c r="AR53" i="44"/>
  <c r="D23" i="55" s="1"/>
  <c r="H31" i="46"/>
  <c r="BW31" i="46"/>
  <c r="BK67" i="46" s="1"/>
  <c r="H8" i="46"/>
  <c r="G46" i="51" s="1"/>
  <c r="F31" i="46"/>
  <c r="E45" i="53" s="1"/>
  <c r="F8" i="46"/>
  <c r="E46" i="51" s="1"/>
  <c r="AZ53" i="46"/>
  <c r="AF77" i="46"/>
  <c r="L43" i="58" s="1"/>
  <c r="AF53" i="46"/>
  <c r="Q30" i="46"/>
  <c r="D54" i="46"/>
  <c r="C44" i="56" s="1"/>
  <c r="D78" i="46"/>
  <c r="C44" i="57" s="1"/>
  <c r="E31" i="46"/>
  <c r="D45" i="53" s="1"/>
  <c r="E8" i="46"/>
  <c r="D46" i="51" s="1"/>
  <c r="K8" i="44"/>
  <c r="J26" i="51" s="1"/>
  <c r="K31" i="44"/>
  <c r="M31" i="47"/>
  <c r="L65" i="53" s="1"/>
  <c r="M8" i="47"/>
  <c r="L66" i="51" s="1"/>
  <c r="E52" i="43"/>
  <c r="X76" i="43" s="1"/>
  <c r="E76" i="43"/>
  <c r="J78" i="47"/>
  <c r="I64" i="57" s="1"/>
  <c r="J54" i="47"/>
  <c r="I64" i="56" s="1"/>
  <c r="E31" i="44"/>
  <c r="E8" i="44"/>
  <c r="D26" i="51" s="1"/>
  <c r="Q77" i="47"/>
  <c r="P63" i="57" s="1"/>
  <c r="W77" i="44"/>
  <c r="C23" i="58" s="1"/>
  <c r="AQ53" i="44"/>
  <c r="C23" i="55" s="1"/>
  <c r="F78" i="46"/>
  <c r="E44" i="57" s="1"/>
  <c r="F54" i="46"/>
  <c r="E44" i="56" s="1"/>
  <c r="D31" i="46"/>
  <c r="C45" i="53" s="1"/>
  <c r="D8" i="46"/>
  <c r="C46" i="51" s="1"/>
  <c r="Q7" i="46"/>
  <c r="P45" i="51" s="1"/>
  <c r="BR31" i="46"/>
  <c r="BK65" i="46" s="1"/>
  <c r="M52" i="43"/>
  <c r="AF76" i="43" s="1"/>
  <c r="M76" i="43"/>
  <c r="O53" i="43"/>
  <c r="AH77" i="43" s="1"/>
  <c r="O77" i="43"/>
  <c r="AF77" i="44"/>
  <c r="L23" i="58" s="1"/>
  <c r="AF53" i="44"/>
  <c r="L23" i="54" s="1"/>
  <c r="AZ53" i="44"/>
  <c r="L23" i="55" s="1"/>
  <c r="J31" i="47"/>
  <c r="I65" i="53" s="1"/>
  <c r="J8" i="47"/>
  <c r="I66" i="51" s="1"/>
  <c r="AJ76" i="44"/>
  <c r="P22" i="58" s="1"/>
  <c r="F78" i="44"/>
  <c r="E24" i="57" s="1"/>
  <c r="I31" i="44"/>
  <c r="I8" i="44"/>
  <c r="H26" i="51" s="1"/>
  <c r="W29" i="47"/>
  <c r="AE29" i="47"/>
  <c r="AH29" i="47"/>
  <c r="BI69" i="47"/>
  <c r="BI68" i="47"/>
  <c r="AG29" i="47"/>
  <c r="Z77" i="44"/>
  <c r="F23" i="58" s="1"/>
  <c r="Z53" i="44"/>
  <c r="F23" i="54" s="1"/>
  <c r="AT53" i="44"/>
  <c r="F23" i="55" s="1"/>
  <c r="AA54" i="46"/>
  <c r="H78" i="46"/>
  <c r="G44" i="57" s="1"/>
  <c r="Y29" i="47"/>
  <c r="AA77" i="44"/>
  <c r="G23" i="58" s="1"/>
  <c r="AU53" i="44"/>
  <c r="G23" i="55" s="1"/>
  <c r="E78" i="46"/>
  <c r="D44" i="57" s="1"/>
  <c r="E54" i="46"/>
  <c r="D44" i="56" s="1"/>
  <c r="H31" i="44"/>
  <c r="H8" i="44"/>
  <c r="G26" i="51" s="1"/>
  <c r="BW31" i="44"/>
  <c r="BK67" i="44" s="1"/>
  <c r="K78" i="44"/>
  <c r="J24" i="57" s="1"/>
  <c r="CA30" i="44"/>
  <c r="K31" i="47"/>
  <c r="K8" i="47"/>
  <c r="J66" i="51" s="1"/>
  <c r="M54" i="47"/>
  <c r="L64" i="56" s="1"/>
  <c r="M78" i="47"/>
  <c r="L64" i="57" s="1"/>
  <c r="AD53" i="47"/>
  <c r="J63" i="54" s="1"/>
  <c r="AD77" i="47"/>
  <c r="J63" i="58" s="1"/>
  <c r="AX53" i="47"/>
  <c r="J63" i="55" s="1"/>
  <c r="J78" i="44"/>
  <c r="I24" i="57" s="1"/>
  <c r="AW28" i="46"/>
  <c r="BA28" i="46" s="1"/>
  <c r="BH29" i="46"/>
  <c r="AW30" i="46"/>
  <c r="BA30" i="46" s="1"/>
  <c r="AW29" i="46"/>
  <c r="BA29" i="46" s="1"/>
  <c r="AW31" i="46"/>
  <c r="BA31" i="46" s="1"/>
  <c r="AW32" i="46"/>
  <c r="BA32" i="46" s="1"/>
  <c r="AW33" i="46"/>
  <c r="BA33" i="46" s="1"/>
  <c r="AJ76" i="47"/>
  <c r="P62" i="58" s="1"/>
  <c r="Y77" i="47"/>
  <c r="E63" i="58" s="1"/>
  <c r="Y53" i="47"/>
  <c r="E63" i="54" s="1"/>
  <c r="AS53" i="47"/>
  <c r="E63" i="55" s="1"/>
  <c r="M78" i="46"/>
  <c r="L44" i="57" s="1"/>
  <c r="M54" i="46"/>
  <c r="L44" i="56" s="1"/>
  <c r="Z29" i="47"/>
  <c r="H54" i="47"/>
  <c r="G64" i="56" s="1"/>
  <c r="H78" i="47"/>
  <c r="G64" i="57" s="1"/>
  <c r="AA54" i="47"/>
  <c r="G64" i="54" s="1"/>
  <c r="AD53" i="44"/>
  <c r="J23" i="54" s="1"/>
  <c r="AD77" i="44"/>
  <c r="J23" i="58" s="1"/>
  <c r="AX53" i="44"/>
  <c r="J23" i="55" s="1"/>
  <c r="J78" i="46"/>
  <c r="I44" i="57" s="1"/>
  <c r="J54" i="46"/>
  <c r="I44" i="56" s="1"/>
  <c r="AB77" i="47"/>
  <c r="H63" i="58" s="1"/>
  <c r="AB53" i="47"/>
  <c r="H63" i="54" s="1"/>
  <c r="AV53" i="47"/>
  <c r="H63" i="55" s="1"/>
  <c r="G78" i="46"/>
  <c r="F44" i="57" s="1"/>
  <c r="G54" i="46"/>
  <c r="F44" i="56" s="1"/>
  <c r="AD77" i="46"/>
  <c r="J43" i="58" s="1"/>
  <c r="AD53" i="46"/>
  <c r="AX53" i="46"/>
  <c r="G78" i="44"/>
  <c r="F24" i="57" s="1"/>
  <c r="AA77" i="46"/>
  <c r="G43" i="58" s="1"/>
  <c r="AU53" i="46"/>
  <c r="AG29" i="46"/>
  <c r="BI69" i="46"/>
  <c r="BI68" i="46"/>
  <c r="AE29" i="46"/>
  <c r="AH29" i="46"/>
  <c r="D78" i="47"/>
  <c r="C64" i="57" s="1"/>
  <c r="Q30" i="47"/>
  <c r="D54" i="47"/>
  <c r="C64" i="56" s="1"/>
  <c r="Y29" i="46"/>
  <c r="X53" i="46"/>
  <c r="X77" i="46"/>
  <c r="D43" i="58" s="1"/>
  <c r="AR53" i="46"/>
  <c r="AJ52" i="46"/>
  <c r="Z53" i="47"/>
  <c r="F63" i="54" s="1"/>
  <c r="Z77" i="47"/>
  <c r="F63" i="58" s="1"/>
  <c r="AT53" i="47"/>
  <c r="F63" i="55" s="1"/>
  <c r="I8" i="46"/>
  <c r="H46" i="51" s="1"/>
  <c r="I31" i="46"/>
  <c r="H45" i="53" s="1"/>
  <c r="H31" i="47"/>
  <c r="G65" i="53" s="1"/>
  <c r="H8" i="47"/>
  <c r="G66" i="51" s="1"/>
  <c r="BW31" i="47"/>
  <c r="BK67" i="47" s="1"/>
  <c r="J31" i="46"/>
  <c r="I45" i="53" s="1"/>
  <c r="J8" i="46"/>
  <c r="I46" i="51" s="1"/>
  <c r="E78" i="47"/>
  <c r="D64" i="57" s="1"/>
  <c r="E54" i="47"/>
  <c r="D64" i="56" s="1"/>
  <c r="K78" i="46"/>
  <c r="J44" i="57" s="1"/>
  <c r="CA30" i="46"/>
  <c r="AC53" i="47"/>
  <c r="I63" i="54" s="1"/>
  <c r="AC77" i="47"/>
  <c r="I63" i="58" s="1"/>
  <c r="AW53" i="47"/>
  <c r="I63" i="55" s="1"/>
  <c r="AJ28" i="46"/>
  <c r="W77" i="46"/>
  <c r="C43" i="58" s="1"/>
  <c r="Q53" i="46"/>
  <c r="P43" i="56" s="1"/>
  <c r="W53" i="46"/>
  <c r="AQ53" i="46"/>
  <c r="AS53" i="44"/>
  <c r="E23" i="55" s="1"/>
  <c r="Y77" i="44"/>
  <c r="E23" i="58" s="1"/>
  <c r="Y53" i="44"/>
  <c r="E23" i="54" s="1"/>
  <c r="BH29" i="44"/>
  <c r="AW28" i="44"/>
  <c r="BA28" i="44" s="1"/>
  <c r="AW29" i="44"/>
  <c r="BA29" i="44" s="1"/>
  <c r="AW30" i="44"/>
  <c r="BA30" i="44" s="1"/>
  <c r="AW32" i="44"/>
  <c r="BA32" i="44" s="1"/>
  <c r="AW31" i="44"/>
  <c r="BA31" i="44" s="1"/>
  <c r="AW33" i="44"/>
  <c r="BA33" i="44" s="1"/>
  <c r="AW34" i="44"/>
  <c r="BA34" i="44" s="1"/>
  <c r="Q77" i="44"/>
  <c r="P23" i="57" s="1"/>
  <c r="Y77" i="46"/>
  <c r="E43" i="58" s="1"/>
  <c r="Y53" i="46"/>
  <c r="AS53" i="46"/>
  <c r="AJ76" i="46"/>
  <c r="P42" i="58" s="1"/>
  <c r="F78" i="47"/>
  <c r="E64" i="57" s="1"/>
  <c r="F54" i="47"/>
  <c r="E64" i="56" s="1"/>
  <c r="I78" i="46"/>
  <c r="H44" i="57" s="1"/>
  <c r="I54" i="46"/>
  <c r="H44" i="56" s="1"/>
  <c r="I78" i="47"/>
  <c r="H64" i="57" s="1"/>
  <c r="I54" i="47"/>
  <c r="H64" i="56" s="1"/>
  <c r="M78" i="44"/>
  <c r="L24" i="57" s="1"/>
  <c r="BJ5" i="47"/>
  <c r="BK5" i="47" s="1"/>
  <c r="BL5" i="47" s="1"/>
  <c r="P5" i="47" s="1"/>
  <c r="O63" i="51" s="1"/>
  <c r="D52" i="43"/>
  <c r="W76" i="43" s="1"/>
  <c r="D76" i="43"/>
  <c r="BD52" i="44"/>
  <c r="P22" i="55" s="1"/>
  <c r="AT53" i="46"/>
  <c r="Z77" i="46"/>
  <c r="F43" i="58" s="1"/>
  <c r="Z53" i="46"/>
  <c r="E78" i="44"/>
  <c r="D24" i="57" s="1"/>
  <c r="Q77" i="46"/>
  <c r="P43" i="57" s="1"/>
  <c r="BI68" i="44"/>
  <c r="BI69" i="44"/>
  <c r="AG29" i="44"/>
  <c r="AH29" i="44"/>
  <c r="AE29" i="44"/>
  <c r="AC29" i="44"/>
  <c r="AT29" i="44"/>
  <c r="BI62" i="44" s="1"/>
  <c r="AF29" i="47"/>
  <c r="F31" i="47"/>
  <c r="E65" i="53" s="1"/>
  <c r="F8" i="47"/>
  <c r="E66" i="51" s="1"/>
  <c r="G78" i="47"/>
  <c r="F64" i="57" s="1"/>
  <c r="G54" i="47"/>
  <c r="F64" i="56" s="1"/>
  <c r="I31" i="47"/>
  <c r="H65" i="53" s="1"/>
  <c r="I8" i="47"/>
  <c r="H66" i="51" s="1"/>
  <c r="M31" i="44"/>
  <c r="M8" i="44"/>
  <c r="L26" i="51" s="1"/>
  <c r="AW31" i="47"/>
  <c r="BA31" i="47" s="1"/>
  <c r="AW29" i="47"/>
  <c r="BA29" i="47" s="1"/>
  <c r="BH29" i="47"/>
  <c r="AW30" i="47"/>
  <c r="BA30" i="47" s="1"/>
  <c r="AW28" i="47"/>
  <c r="BA28" i="47" s="1"/>
  <c r="AW32" i="47"/>
  <c r="BA32" i="47" s="1"/>
  <c r="AW33" i="47"/>
  <c r="BA33" i="47" s="1"/>
  <c r="BA34" i="47"/>
  <c r="AP36" i="47"/>
  <c r="AZ35" i="47"/>
  <c r="AX35" i="47"/>
  <c r="AW35" i="47"/>
  <c r="O84" i="47"/>
  <c r="N70" i="57" s="1"/>
  <c r="N10" i="57" s="1"/>
  <c r="O60" i="47"/>
  <c r="N70" i="56" s="1"/>
  <c r="N10" i="56" s="1"/>
  <c r="N84" i="47"/>
  <c r="M70" i="57" s="1"/>
  <c r="C86" i="47"/>
  <c r="V38" i="47"/>
  <c r="V86" i="47" s="1"/>
  <c r="AU15" i="47"/>
  <c r="BD14" i="47"/>
  <c r="B63" i="47"/>
  <c r="U63" i="47" s="1"/>
  <c r="AO63" i="47" s="1"/>
  <c r="B39" i="47"/>
  <c r="B16" i="47"/>
  <c r="U15" i="47"/>
  <c r="AO15" i="47" s="1"/>
  <c r="BH15" i="47" s="1"/>
  <c r="L37" i="47"/>
  <c r="L14" i="47"/>
  <c r="AH83" i="47"/>
  <c r="N69" i="58" s="1"/>
  <c r="N9" i="58" s="1"/>
  <c r="AH59" i="47"/>
  <c r="N69" i="54" s="1"/>
  <c r="BB59" i="47"/>
  <c r="N69" i="55" s="1"/>
  <c r="N9" i="55" s="1"/>
  <c r="AE83" i="47"/>
  <c r="K69" i="58" s="1"/>
  <c r="AE59" i="47"/>
  <c r="K69" i="54" s="1"/>
  <c r="AY59" i="47"/>
  <c r="K69" i="55" s="1"/>
  <c r="L84" i="47"/>
  <c r="K70" i="57" s="1"/>
  <c r="B86" i="47"/>
  <c r="U38" i="47"/>
  <c r="U86" i="47" s="1"/>
  <c r="AG83" i="47"/>
  <c r="M69" i="58" s="1"/>
  <c r="AG59" i="47"/>
  <c r="M69" i="54" s="1"/>
  <c r="BA59" i="47"/>
  <c r="M69" i="55" s="1"/>
  <c r="BX37" i="47"/>
  <c r="N37" i="47"/>
  <c r="N14" i="47"/>
  <c r="C63" i="47"/>
  <c r="V63" i="47" s="1"/>
  <c r="AP63" i="47" s="1"/>
  <c r="C39" i="47"/>
  <c r="C16" i="47"/>
  <c r="V15" i="47"/>
  <c r="AP15" i="47" s="1"/>
  <c r="BI15" i="47" s="1"/>
  <c r="O37" i="47"/>
  <c r="N71" i="53" s="1"/>
  <c r="O14" i="47"/>
  <c r="BA34" i="46"/>
  <c r="C85" i="46"/>
  <c r="V37" i="46"/>
  <c r="V85" i="46" s="1"/>
  <c r="L85" i="46"/>
  <c r="K51" i="57" s="1"/>
  <c r="AE84" i="46"/>
  <c r="K50" i="58" s="1"/>
  <c r="AE60" i="46"/>
  <c r="AY60" i="46"/>
  <c r="AX35" i="46"/>
  <c r="AW35" i="46"/>
  <c r="AZ35" i="46"/>
  <c r="AP36" i="46"/>
  <c r="B84" i="46"/>
  <c r="U36" i="46"/>
  <c r="U84" i="46" s="1"/>
  <c r="O38" i="46"/>
  <c r="N52" i="53" s="1"/>
  <c r="O15" i="46"/>
  <c r="L38" i="46"/>
  <c r="L15" i="46"/>
  <c r="AG83" i="46"/>
  <c r="M49" i="58" s="1"/>
  <c r="AG59" i="46"/>
  <c r="BA59" i="46"/>
  <c r="B61" i="46"/>
  <c r="U61" i="46" s="1"/>
  <c r="AO61" i="46" s="1"/>
  <c r="B37" i="46"/>
  <c r="B14" i="46"/>
  <c r="U13" i="46"/>
  <c r="AO13" i="46" s="1"/>
  <c r="BH13" i="46" s="1"/>
  <c r="O85" i="46"/>
  <c r="N51" i="57" s="1"/>
  <c r="O61" i="46"/>
  <c r="N51" i="56" s="1"/>
  <c r="C62" i="46"/>
  <c r="V62" i="46" s="1"/>
  <c r="AP62" i="46" s="1"/>
  <c r="C38" i="46"/>
  <c r="V14" i="46"/>
  <c r="AP14" i="46" s="1"/>
  <c r="BI14" i="46" s="1"/>
  <c r="C15" i="46"/>
  <c r="BX37" i="46"/>
  <c r="N37" i="46"/>
  <c r="N14" i="46"/>
  <c r="AH84" i="46"/>
  <c r="N50" i="58" s="1"/>
  <c r="AH60" i="46"/>
  <c r="BB60" i="46"/>
  <c r="BL37" i="46"/>
  <c r="BN36" i="46"/>
  <c r="AU14" i="46"/>
  <c r="BD13" i="46"/>
  <c r="N84" i="46"/>
  <c r="M50" i="57" s="1"/>
  <c r="M10" i="57" s="1"/>
  <c r="BQ35" i="46"/>
  <c r="BT35" i="46"/>
  <c r="BA36" i="44"/>
  <c r="B89" i="44"/>
  <c r="U41" i="44"/>
  <c r="U89" i="44" s="1"/>
  <c r="B17" i="44"/>
  <c r="B64" i="44"/>
  <c r="AO64" i="44" s="1"/>
  <c r="U16" i="44"/>
  <c r="AO16" i="44" s="1"/>
  <c r="BH16" i="44" s="1"/>
  <c r="C17" i="44"/>
  <c r="V16" i="44"/>
  <c r="AP16" i="44" s="1"/>
  <c r="BI16" i="44" s="1"/>
  <c r="C64" i="44"/>
  <c r="AP64" i="44" s="1"/>
  <c r="AG85" i="44"/>
  <c r="M31" i="58" s="1"/>
  <c r="AG61" i="44"/>
  <c r="M31" i="54" s="1"/>
  <c r="BA61" i="44"/>
  <c r="M31" i="55" s="1"/>
  <c r="AE83" i="44"/>
  <c r="K29" i="58" s="1"/>
  <c r="AE59" i="44"/>
  <c r="K29" i="54" s="1"/>
  <c r="K9" i="54" s="1"/>
  <c r="AY59" i="44"/>
  <c r="K29" i="55" s="1"/>
  <c r="BX39" i="44"/>
  <c r="N39" i="44"/>
  <c r="N16" i="44"/>
  <c r="O38" i="44"/>
  <c r="O15" i="44"/>
  <c r="O85" i="44"/>
  <c r="N31" i="57" s="1"/>
  <c r="N86" i="44"/>
  <c r="M32" i="57" s="1"/>
  <c r="BD14" i="44"/>
  <c r="AU15" i="44"/>
  <c r="L37" i="44"/>
  <c r="L14" i="44"/>
  <c r="AW37" i="44"/>
  <c r="AP38" i="44"/>
  <c r="AZ37" i="44"/>
  <c r="AX37" i="44"/>
  <c r="L84" i="44"/>
  <c r="K30" i="57" s="1"/>
  <c r="K10" i="57" s="1"/>
  <c r="AH84" i="44"/>
  <c r="N30" i="58" s="1"/>
  <c r="AH60" i="44"/>
  <c r="N30" i="54" s="1"/>
  <c r="BB60" i="44"/>
  <c r="N30" i="55" s="1"/>
  <c r="BL37" i="44"/>
  <c r="BN36" i="44"/>
  <c r="BQ35" i="44"/>
  <c r="BT35" i="44"/>
  <c r="CA28" i="43"/>
  <c r="BW29" i="43"/>
  <c r="BI67" i="43" s="1"/>
  <c r="AA52" i="43"/>
  <c r="E6" i="43"/>
  <c r="E29" i="43"/>
  <c r="BQ33" i="43"/>
  <c r="BT33" i="43"/>
  <c r="M6" i="43"/>
  <c r="M29" i="43"/>
  <c r="H6" i="43"/>
  <c r="H29" i="43"/>
  <c r="H53" i="43" s="1"/>
  <c r="I6" i="43"/>
  <c r="I29" i="43"/>
  <c r="J6" i="43"/>
  <c r="J29" i="43"/>
  <c r="K6" i="43"/>
  <c r="K29" i="43"/>
  <c r="K53" i="43" s="1"/>
  <c r="O7" i="43"/>
  <c r="O30" i="43"/>
  <c r="G6" i="43"/>
  <c r="G29" i="43"/>
  <c r="F6" i="43"/>
  <c r="F29" i="43"/>
  <c r="L7" i="43"/>
  <c r="L30" i="43"/>
  <c r="L54" i="43" s="1"/>
  <c r="N7" i="43"/>
  <c r="N30" i="43"/>
  <c r="N54" i="43" s="1"/>
  <c r="AY5" i="43"/>
  <c r="BL35" i="43"/>
  <c r="BM34" i="43"/>
  <c r="BN34" i="43" s="1"/>
  <c r="AX5" i="43"/>
  <c r="AZ5" i="43"/>
  <c r="BA5" i="43"/>
  <c r="AW5" i="43"/>
  <c r="AV5" i="43"/>
  <c r="BD4" i="43"/>
  <c r="AZ36" i="43"/>
  <c r="AP37" i="43"/>
  <c r="AW37" i="43" s="1"/>
  <c r="AX36" i="43"/>
  <c r="G13" i="27"/>
  <c r="N4" i="27"/>
  <c r="N3" i="27" s="1"/>
  <c r="M4" i="27"/>
  <c r="M15" i="27"/>
  <c r="N15" i="27"/>
  <c r="L15" i="27"/>
  <c r="L14" i="27"/>
  <c r="N5" i="27"/>
  <c r="M5" i="27"/>
  <c r="L5" i="27"/>
  <c r="N13" i="27"/>
  <c r="M13" i="27"/>
  <c r="L13" i="27"/>
  <c r="N11" i="27"/>
  <c r="M11" i="27"/>
  <c r="L11" i="27"/>
  <c r="L4" i="27"/>
  <c r="N2" i="27"/>
  <c r="M3" i="27"/>
  <c r="L3" i="27"/>
  <c r="M2" i="27"/>
  <c r="L9" i="27"/>
  <c r="L2" i="27"/>
  <c r="N12" i="27"/>
  <c r="M12" i="27"/>
  <c r="L12" i="27"/>
  <c r="M10" i="27"/>
  <c r="L10" i="27"/>
  <c r="M9" i="27"/>
  <c r="L6" i="27"/>
  <c r="N8" i="27"/>
  <c r="M8" i="27"/>
  <c r="L8" i="27"/>
  <c r="N7" i="27"/>
  <c r="M7" i="27"/>
  <c r="L7" i="27"/>
  <c r="N6" i="27"/>
  <c r="M6" i="27"/>
  <c r="B14" i="21"/>
  <c r="B15" i="21"/>
  <c r="B16" i="21"/>
  <c r="B17" i="21"/>
  <c r="H9" i="27"/>
  <c r="H12" i="27"/>
  <c r="B10" i="21"/>
  <c r="I2" i="27"/>
  <c r="J15" i="27"/>
  <c r="I15" i="27"/>
  <c r="E15" i="27"/>
  <c r="F15" i="27"/>
  <c r="J14" i="27"/>
  <c r="H14" i="27" s="1"/>
  <c r="J5" i="27"/>
  <c r="E5" i="27"/>
  <c r="J13" i="27"/>
  <c r="F13" i="27"/>
  <c r="E13" i="27"/>
  <c r="J11" i="27"/>
  <c r="J4" i="27"/>
  <c r="E4" i="27"/>
  <c r="J3" i="27"/>
  <c r="E3" i="27"/>
  <c r="J10" i="27"/>
  <c r="J8" i="27"/>
  <c r="H8" i="27" s="1"/>
  <c r="J7" i="27"/>
  <c r="J6" i="27"/>
  <c r="J2" i="27"/>
  <c r="B12" i="21"/>
  <c r="F2" i="27"/>
  <c r="E2" i="27"/>
  <c r="I6" i="27"/>
  <c r="G6" i="27"/>
  <c r="F6" i="27"/>
  <c r="E6" i="27"/>
  <c r="G12" i="27"/>
  <c r="F12" i="27"/>
  <c r="E12" i="27"/>
  <c r="I10" i="27"/>
  <c r="G10" i="27"/>
  <c r="G9" i="27"/>
  <c r="I7" i="27"/>
  <c r="H7" i="27" s="1"/>
  <c r="G7" i="27"/>
  <c r="F7" i="27"/>
  <c r="E7" i="27"/>
  <c r="N9" i="54" l="1"/>
  <c r="K9" i="58"/>
  <c r="J4" i="56"/>
  <c r="BM55" i="49"/>
  <c r="BM63" i="49"/>
  <c r="AS37" i="50"/>
  <c r="BQ61" i="50" s="1"/>
  <c r="K9" i="55"/>
  <c r="M9" i="58"/>
  <c r="K71" i="53"/>
  <c r="L61" i="47"/>
  <c r="K71" i="56" s="1"/>
  <c r="BM63" i="48"/>
  <c r="K52" i="53"/>
  <c r="L62" i="46"/>
  <c r="K52" i="56" s="1"/>
  <c r="K50" i="55"/>
  <c r="K50" i="54"/>
  <c r="M115" i="53"/>
  <c r="N65" i="49"/>
  <c r="M115" i="56" s="1"/>
  <c r="M51" i="53"/>
  <c r="N61" i="46"/>
  <c r="M51" i="56" s="1"/>
  <c r="O62" i="44"/>
  <c r="N32" i="56" s="1"/>
  <c r="N32" i="53"/>
  <c r="K137" i="53"/>
  <c r="L67" i="50"/>
  <c r="K137" i="56" s="1"/>
  <c r="N11" i="53"/>
  <c r="M71" i="53"/>
  <c r="N61" i="47"/>
  <c r="M71" i="56" s="1"/>
  <c r="K93" i="53"/>
  <c r="L63" i="48"/>
  <c r="K93" i="56" s="1"/>
  <c r="K31" i="53"/>
  <c r="L61" i="44"/>
  <c r="K31" i="56" s="1"/>
  <c r="K11" i="56" s="1"/>
  <c r="M33" i="53"/>
  <c r="N63" i="44"/>
  <c r="M33" i="56" s="1"/>
  <c r="N50" i="55"/>
  <c r="N50" i="54"/>
  <c r="M49" i="55"/>
  <c r="M9" i="55" s="1"/>
  <c r="M49" i="54"/>
  <c r="M9" i="54" s="1"/>
  <c r="K115" i="53"/>
  <c r="L65" i="49"/>
  <c r="K115" i="56" s="1"/>
  <c r="M136" i="53"/>
  <c r="N66" i="50"/>
  <c r="M136" i="56" s="1"/>
  <c r="K10" i="56"/>
  <c r="BM55" i="48"/>
  <c r="M94" i="53"/>
  <c r="N64" i="48"/>
  <c r="M94" i="56" s="1"/>
  <c r="Z37" i="50"/>
  <c r="G4" i="56"/>
  <c r="P3" i="57"/>
  <c r="I4" i="57"/>
  <c r="J4" i="57"/>
  <c r="C3" i="58"/>
  <c r="W54" i="44"/>
  <c r="C24" i="54" s="1"/>
  <c r="E3" i="58"/>
  <c r="D6" i="51"/>
  <c r="AQ37" i="50"/>
  <c r="BQ59" i="50" s="1"/>
  <c r="I4" i="56"/>
  <c r="H3" i="58"/>
  <c r="W37" i="49"/>
  <c r="P111" i="53"/>
  <c r="J43" i="55"/>
  <c r="J3" i="55" s="1"/>
  <c r="J43" i="54"/>
  <c r="F55" i="44"/>
  <c r="E25" i="56" s="1"/>
  <c r="E25" i="53"/>
  <c r="E5" i="53" s="1"/>
  <c r="BO29" i="44"/>
  <c r="BI64" i="44" s="1"/>
  <c r="J55" i="44"/>
  <c r="I25" i="56" s="1"/>
  <c r="I25" i="53"/>
  <c r="I5" i="53" s="1"/>
  <c r="AI5" i="46"/>
  <c r="AJ5" i="46" s="1"/>
  <c r="O43" i="51"/>
  <c r="O3" i="51" s="1"/>
  <c r="D91" i="56"/>
  <c r="AR61" i="48"/>
  <c r="D91" i="55" s="1"/>
  <c r="X85" i="48"/>
  <c r="D91" i="58" s="1"/>
  <c r="X61" i="48"/>
  <c r="D91" i="54" s="1"/>
  <c r="D92" i="53"/>
  <c r="E86" i="48"/>
  <c r="D92" i="57" s="1"/>
  <c r="E62" i="48"/>
  <c r="P3" i="56"/>
  <c r="AC37" i="49"/>
  <c r="D93" i="51"/>
  <c r="E39" i="48"/>
  <c r="E16" i="48"/>
  <c r="G6" i="51"/>
  <c r="K55" i="44"/>
  <c r="J25" i="56" s="1"/>
  <c r="J25" i="53"/>
  <c r="D3" i="58"/>
  <c r="E6" i="51"/>
  <c r="G4" i="57"/>
  <c r="BU29" i="44"/>
  <c r="BI66" i="44" s="1"/>
  <c r="H43" i="55"/>
  <c r="H3" i="55" s="1"/>
  <c r="H43" i="54"/>
  <c r="H3" i="54" s="1"/>
  <c r="I6" i="51"/>
  <c r="BD58" i="48"/>
  <c r="P88" i="55" s="1"/>
  <c r="O88" i="55"/>
  <c r="BD58" i="49"/>
  <c r="P108" i="55" s="1"/>
  <c r="O108" i="55"/>
  <c r="E4" i="56"/>
  <c r="C4" i="56"/>
  <c r="F43" i="54"/>
  <c r="F3" i="54" s="1"/>
  <c r="F43" i="55"/>
  <c r="F3" i="55" s="1"/>
  <c r="P2" i="58"/>
  <c r="F4" i="57"/>
  <c r="K55" i="46"/>
  <c r="J45" i="56" s="1"/>
  <c r="J45" i="53"/>
  <c r="H55" i="44"/>
  <c r="G25" i="56" s="1"/>
  <c r="G25" i="53"/>
  <c r="E55" i="44"/>
  <c r="D25" i="56" s="1"/>
  <c r="D25" i="53"/>
  <c r="D5" i="53" s="1"/>
  <c r="J6" i="51"/>
  <c r="L43" i="55"/>
  <c r="L3" i="55" s="1"/>
  <c r="L43" i="54"/>
  <c r="L3" i="54" s="1"/>
  <c r="I3" i="58"/>
  <c r="C6" i="51"/>
  <c r="H4" i="57"/>
  <c r="AI5" i="44"/>
  <c r="AJ5" i="44" s="1"/>
  <c r="P83" i="48"/>
  <c r="O89" i="57" s="1"/>
  <c r="O89" i="53"/>
  <c r="X37" i="49"/>
  <c r="AK59" i="49"/>
  <c r="BO58" i="49" s="1"/>
  <c r="P109" i="54"/>
  <c r="D4" i="56"/>
  <c r="J91" i="56"/>
  <c r="AX61" i="48"/>
  <c r="J91" i="55" s="1"/>
  <c r="AD85" i="48"/>
  <c r="J91" i="58" s="1"/>
  <c r="AD61" i="48"/>
  <c r="J91" i="54" s="1"/>
  <c r="AQ30" i="47"/>
  <c r="P64" i="53"/>
  <c r="G3" i="58"/>
  <c r="H55" i="46"/>
  <c r="G45" i="56" s="1"/>
  <c r="G45" i="53"/>
  <c r="D43" i="55"/>
  <c r="D3" i="55" s="1"/>
  <c r="D43" i="54"/>
  <c r="D3" i="54" s="1"/>
  <c r="D4" i="57"/>
  <c r="E43" i="55"/>
  <c r="E3" i="55" s="1"/>
  <c r="E43" i="54"/>
  <c r="J3" i="58"/>
  <c r="H6" i="51"/>
  <c r="L3" i="58"/>
  <c r="D55" i="44"/>
  <c r="C25" i="56" s="1"/>
  <c r="C25" i="53"/>
  <c r="C5" i="53" s="1"/>
  <c r="AB30" i="44"/>
  <c r="P24" i="53"/>
  <c r="P29" i="44"/>
  <c r="O23" i="53" s="1"/>
  <c r="P42" i="55"/>
  <c r="P2" i="55" s="1"/>
  <c r="P42" i="54"/>
  <c r="P2" i="54" s="1"/>
  <c r="BU36" i="48"/>
  <c r="BP66" i="48" s="1"/>
  <c r="O90" i="51"/>
  <c r="AF37" i="49"/>
  <c r="AD37" i="49"/>
  <c r="AB37" i="49"/>
  <c r="F4" i="56"/>
  <c r="J93" i="51"/>
  <c r="K39" i="48"/>
  <c r="K16" i="48"/>
  <c r="E3" i="54"/>
  <c r="AC30" i="46"/>
  <c r="P44" i="53"/>
  <c r="H4" i="56"/>
  <c r="L6" i="51"/>
  <c r="C43" i="55"/>
  <c r="C3" i="55" s="1"/>
  <c r="C43" i="54"/>
  <c r="C3" i="54" s="1"/>
  <c r="M55" i="44"/>
  <c r="L25" i="56" s="1"/>
  <c r="L25" i="53"/>
  <c r="L5" i="53" s="1"/>
  <c r="L4" i="57"/>
  <c r="J3" i="54"/>
  <c r="F3" i="58"/>
  <c r="I55" i="44"/>
  <c r="H25" i="56" s="1"/>
  <c r="H25" i="53"/>
  <c r="H5" i="53" s="1"/>
  <c r="P5" i="51"/>
  <c r="C4" i="57"/>
  <c r="F6" i="51"/>
  <c r="W37" i="50"/>
  <c r="AK59" i="50"/>
  <c r="BO58" i="50" s="1"/>
  <c r="P129" i="54"/>
  <c r="L4" i="56"/>
  <c r="K62" i="48"/>
  <c r="J92" i="53"/>
  <c r="K86" i="48"/>
  <c r="J92" i="57" s="1"/>
  <c r="I43" i="55"/>
  <c r="I3" i="55" s="1"/>
  <c r="I43" i="54"/>
  <c r="I3" i="54" s="1"/>
  <c r="AC37" i="48"/>
  <c r="P91" i="53"/>
  <c r="Q54" i="44"/>
  <c r="P24" i="56" s="1"/>
  <c r="G43" i="55"/>
  <c r="G3" i="55" s="1"/>
  <c r="G43" i="54"/>
  <c r="G3" i="54" s="1"/>
  <c r="K55" i="47"/>
  <c r="J65" i="56" s="1"/>
  <c r="J65" i="53"/>
  <c r="E4" i="57"/>
  <c r="G55" i="44"/>
  <c r="F25" i="56" s="1"/>
  <c r="F25" i="53"/>
  <c r="F5" i="53" s="1"/>
  <c r="BW39" i="48"/>
  <c r="BS67" i="48" s="1"/>
  <c r="L93" i="51"/>
  <c r="AK59" i="48"/>
  <c r="BO58" i="48" s="1"/>
  <c r="P89" i="54"/>
  <c r="AA37" i="50"/>
  <c r="P131" i="53"/>
  <c r="K62" i="49"/>
  <c r="J112" i="56" s="1"/>
  <c r="J112" i="53"/>
  <c r="BD57" i="50"/>
  <c r="P127" i="55" s="1"/>
  <c r="O127" i="55"/>
  <c r="K62" i="50"/>
  <c r="J132" i="56" s="1"/>
  <c r="J132" i="53"/>
  <c r="G4" i="53"/>
  <c r="P3" i="53"/>
  <c r="J4" i="53"/>
  <c r="AJ36" i="50"/>
  <c r="AC37" i="50"/>
  <c r="AF37" i="50"/>
  <c r="Y37" i="49"/>
  <c r="AJ84" i="50"/>
  <c r="P130" i="58" s="1"/>
  <c r="AJ36" i="49"/>
  <c r="AD37" i="50"/>
  <c r="AC85" i="50"/>
  <c r="I131" i="58" s="1"/>
  <c r="AC61" i="50"/>
  <c r="I131" i="54" s="1"/>
  <c r="AW61" i="50"/>
  <c r="I131" i="55" s="1"/>
  <c r="AJ60" i="50"/>
  <c r="Q85" i="50"/>
  <c r="P131" i="57" s="1"/>
  <c r="E86" i="50"/>
  <c r="D132" i="57" s="1"/>
  <c r="E62" i="50"/>
  <c r="D132" i="56" s="1"/>
  <c r="D86" i="50"/>
  <c r="C132" i="57" s="1"/>
  <c r="D62" i="50"/>
  <c r="C132" i="56" s="1"/>
  <c r="Q38" i="50"/>
  <c r="W38" i="50" s="1"/>
  <c r="BN55" i="49"/>
  <c r="AB85" i="50"/>
  <c r="H131" i="58" s="1"/>
  <c r="AB61" i="50"/>
  <c r="H131" i="54" s="1"/>
  <c r="AV61" i="50"/>
  <c r="H131" i="55" s="1"/>
  <c r="AJ11" i="49"/>
  <c r="BC59" i="49"/>
  <c r="K86" i="49"/>
  <c r="J112" i="57" s="1"/>
  <c r="CA38" i="49"/>
  <c r="Z37" i="49"/>
  <c r="BQ69" i="49"/>
  <c r="BQ68" i="49"/>
  <c r="AE37" i="49"/>
  <c r="AT37" i="49"/>
  <c r="BQ62" i="49" s="1"/>
  <c r="AR37" i="49"/>
  <c r="BQ60" i="49" s="1"/>
  <c r="AH37" i="49"/>
  <c r="BJ13" i="49"/>
  <c r="BK13" i="49" s="1"/>
  <c r="BL13" i="49" s="1"/>
  <c r="P13" i="49" s="1"/>
  <c r="O111" i="51" s="1"/>
  <c r="AG37" i="49"/>
  <c r="M86" i="50"/>
  <c r="L132" i="57" s="1"/>
  <c r="M62" i="50"/>
  <c r="L132" i="56" s="1"/>
  <c r="Q15" i="49"/>
  <c r="P113" i="51" s="1"/>
  <c r="BR39" i="49"/>
  <c r="BS65" i="49" s="1"/>
  <c r="D16" i="49"/>
  <c r="C114" i="51" s="1"/>
  <c r="D39" i="49"/>
  <c r="C113" i="53" s="1"/>
  <c r="AI35" i="49"/>
  <c r="P83" i="49"/>
  <c r="O109" i="57" s="1"/>
  <c r="Z85" i="50"/>
  <c r="F131" i="58" s="1"/>
  <c r="Z61" i="50"/>
  <c r="F131" i="54" s="1"/>
  <c r="AT61" i="50"/>
  <c r="F131" i="55" s="1"/>
  <c r="BC58" i="50"/>
  <c r="I39" i="50"/>
  <c r="H133" i="53" s="1"/>
  <c r="I16" i="50"/>
  <c r="H134" i="51" s="1"/>
  <c r="Q85" i="49"/>
  <c r="P111" i="57" s="1"/>
  <c r="P83" i="50"/>
  <c r="O129" i="57" s="1"/>
  <c r="AI35" i="50"/>
  <c r="AS37" i="49"/>
  <c r="BQ61" i="49" s="1"/>
  <c r="I86" i="49"/>
  <c r="H112" i="57" s="1"/>
  <c r="I62" i="49"/>
  <c r="H112" i="56" s="1"/>
  <c r="H39" i="49"/>
  <c r="G113" i="53" s="1"/>
  <c r="H16" i="49"/>
  <c r="G114" i="51" s="1"/>
  <c r="BW39" i="49"/>
  <c r="BS67" i="49" s="1"/>
  <c r="X85" i="49"/>
  <c r="D111" i="58" s="1"/>
  <c r="X61" i="49"/>
  <c r="D111" i="54" s="1"/>
  <c r="AR61" i="49"/>
  <c r="D111" i="55" s="1"/>
  <c r="J39" i="49"/>
  <c r="I113" i="53" s="1"/>
  <c r="J16" i="49"/>
  <c r="I114" i="51" s="1"/>
  <c r="AI12" i="49"/>
  <c r="P36" i="49"/>
  <c r="O110" i="53" s="1"/>
  <c r="BO36" i="49"/>
  <c r="BP64" i="49" s="1"/>
  <c r="BU36" i="49"/>
  <c r="BP66" i="49" s="1"/>
  <c r="X85" i="50"/>
  <c r="D131" i="58" s="1"/>
  <c r="X61" i="50"/>
  <c r="D131" i="54" s="1"/>
  <c r="AR61" i="50"/>
  <c r="D131" i="55" s="1"/>
  <c r="Y61" i="50"/>
  <c r="E131" i="54" s="1"/>
  <c r="Y85" i="50"/>
  <c r="E131" i="58" s="1"/>
  <c r="AS61" i="50"/>
  <c r="E131" i="55" s="1"/>
  <c r="AD61" i="49"/>
  <c r="J111" i="54" s="1"/>
  <c r="AX61" i="49"/>
  <c r="J111" i="55" s="1"/>
  <c r="AD85" i="49"/>
  <c r="J111" i="58" s="1"/>
  <c r="AB85" i="49"/>
  <c r="H111" i="58" s="1"/>
  <c r="AB61" i="49"/>
  <c r="H111" i="54" s="1"/>
  <c r="AV61" i="49"/>
  <c r="H111" i="55" s="1"/>
  <c r="I86" i="50"/>
  <c r="H132" i="57" s="1"/>
  <c r="I62" i="50"/>
  <c r="H132" i="56" s="1"/>
  <c r="J39" i="50"/>
  <c r="I133" i="53" s="1"/>
  <c r="J16" i="50"/>
  <c r="I134" i="51" s="1"/>
  <c r="I39" i="49"/>
  <c r="H113" i="53" s="1"/>
  <c r="I16" i="49"/>
  <c r="H114" i="51" s="1"/>
  <c r="H86" i="49"/>
  <c r="G112" i="57" s="1"/>
  <c r="AA62" i="49"/>
  <c r="G112" i="54" s="1"/>
  <c r="H62" i="49"/>
  <c r="G112" i="56" s="1"/>
  <c r="W61" i="50"/>
  <c r="C131" i="54" s="1"/>
  <c r="W85" i="50"/>
  <c r="C131" i="58" s="1"/>
  <c r="Q61" i="50"/>
  <c r="P131" i="56" s="1"/>
  <c r="AQ61" i="50"/>
  <c r="C131" i="55" s="1"/>
  <c r="AJ11" i="50"/>
  <c r="BC59" i="50"/>
  <c r="J86" i="49"/>
  <c r="I112" i="57" s="1"/>
  <c r="J62" i="49"/>
  <c r="I112" i="56" s="1"/>
  <c r="BP59" i="50"/>
  <c r="AU36" i="50"/>
  <c r="F39" i="50"/>
  <c r="E133" i="53" s="1"/>
  <c r="F16" i="50"/>
  <c r="E134" i="51" s="1"/>
  <c r="AA85" i="49"/>
  <c r="G111" i="58" s="1"/>
  <c r="AU61" i="49"/>
  <c r="G111" i="55" s="1"/>
  <c r="AD85" i="50"/>
  <c r="J131" i="58" s="1"/>
  <c r="AD61" i="50"/>
  <c r="J131" i="54" s="1"/>
  <c r="AX61" i="50"/>
  <c r="J131" i="55" s="1"/>
  <c r="G39" i="49"/>
  <c r="F113" i="53" s="1"/>
  <c r="G16" i="49"/>
  <c r="F114" i="51" s="1"/>
  <c r="J86" i="50"/>
  <c r="I132" i="57" s="1"/>
  <c r="J62" i="50"/>
  <c r="I132" i="56" s="1"/>
  <c r="Z85" i="49"/>
  <c r="F111" i="58" s="1"/>
  <c r="Z61" i="49"/>
  <c r="F111" i="54" s="1"/>
  <c r="AT61" i="49"/>
  <c r="F111" i="55" s="1"/>
  <c r="F86" i="49"/>
  <c r="E112" i="57" s="1"/>
  <c r="F62" i="49"/>
  <c r="E112" i="56" s="1"/>
  <c r="Q61" i="49"/>
  <c r="P111" i="56" s="1"/>
  <c r="AQ61" i="49"/>
  <c r="C111" i="55" s="1"/>
  <c r="W61" i="49"/>
  <c r="C111" i="54" s="1"/>
  <c r="W85" i="49"/>
  <c r="C111" i="58" s="1"/>
  <c r="M16" i="49"/>
  <c r="L114" i="51" s="1"/>
  <c r="M39" i="49"/>
  <c r="L113" i="53" s="1"/>
  <c r="AA62" i="50"/>
  <c r="G132" i="54" s="1"/>
  <c r="H62" i="50"/>
  <c r="G132" i="56" s="1"/>
  <c r="H86" i="50"/>
  <c r="G132" i="57" s="1"/>
  <c r="BO36" i="50"/>
  <c r="BP64" i="50" s="1"/>
  <c r="BU36" i="50"/>
  <c r="BP66" i="50" s="1"/>
  <c r="P36" i="50"/>
  <c r="O130" i="53" s="1"/>
  <c r="AI12" i="50"/>
  <c r="G39" i="50"/>
  <c r="F133" i="53" s="1"/>
  <c r="G16" i="50"/>
  <c r="F134" i="51" s="1"/>
  <c r="F86" i="50"/>
  <c r="E132" i="57" s="1"/>
  <c r="F62" i="50"/>
  <c r="E132" i="56" s="1"/>
  <c r="G86" i="49"/>
  <c r="F112" i="57" s="1"/>
  <c r="G62" i="49"/>
  <c r="F112" i="56" s="1"/>
  <c r="F39" i="49"/>
  <c r="E113" i="53" s="1"/>
  <c r="F16" i="49"/>
  <c r="E114" i="51" s="1"/>
  <c r="M62" i="49"/>
  <c r="L112" i="56" s="1"/>
  <c r="M86" i="49"/>
  <c r="L112" i="57" s="1"/>
  <c r="H39" i="50"/>
  <c r="G133" i="53" s="1"/>
  <c r="H16" i="50"/>
  <c r="G134" i="51" s="1"/>
  <c r="BW39" i="50"/>
  <c r="BS67" i="50" s="1"/>
  <c r="AF61" i="49"/>
  <c r="L111" i="54" s="1"/>
  <c r="AZ61" i="49"/>
  <c r="L111" i="55" s="1"/>
  <c r="AF85" i="49"/>
  <c r="L111" i="58" s="1"/>
  <c r="G62" i="50"/>
  <c r="F132" i="56" s="1"/>
  <c r="G86" i="50"/>
  <c r="F132" i="57" s="1"/>
  <c r="AF85" i="50"/>
  <c r="L131" i="58" s="1"/>
  <c r="AF61" i="50"/>
  <c r="L131" i="54" s="1"/>
  <c r="AZ61" i="50"/>
  <c r="L131" i="55" s="1"/>
  <c r="E86" i="49"/>
  <c r="D112" i="57" s="1"/>
  <c r="E62" i="49"/>
  <c r="D112" i="56" s="1"/>
  <c r="AJ60" i="49"/>
  <c r="K39" i="50"/>
  <c r="K16" i="50"/>
  <c r="J134" i="51" s="1"/>
  <c r="AU36" i="49"/>
  <c r="BP59" i="49"/>
  <c r="X37" i="50"/>
  <c r="AR37" i="50"/>
  <c r="BQ60" i="50" s="1"/>
  <c r="AG37" i="50"/>
  <c r="BJ13" i="50"/>
  <c r="BK13" i="50" s="1"/>
  <c r="BL13" i="50" s="1"/>
  <c r="P13" i="50" s="1"/>
  <c r="O131" i="51" s="1"/>
  <c r="AT37" i="50"/>
  <c r="BQ62" i="50" s="1"/>
  <c r="AE37" i="50"/>
  <c r="BQ68" i="50"/>
  <c r="BQ69" i="50"/>
  <c r="AH37" i="50"/>
  <c r="E39" i="50"/>
  <c r="D133" i="53" s="1"/>
  <c r="E16" i="50"/>
  <c r="D134" i="51" s="1"/>
  <c r="D39" i="50"/>
  <c r="C133" i="53" s="1"/>
  <c r="D16" i="50"/>
  <c r="C134" i="51" s="1"/>
  <c r="BR39" i="50"/>
  <c r="BS65" i="50" s="1"/>
  <c r="Q15" i="50"/>
  <c r="P133" i="51" s="1"/>
  <c r="AB37" i="50"/>
  <c r="K16" i="49"/>
  <c r="J114" i="51" s="1"/>
  <c r="K39" i="49"/>
  <c r="AQ37" i="49"/>
  <c r="Y85" i="49"/>
  <c r="E111" i="58" s="1"/>
  <c r="Y61" i="49"/>
  <c r="E111" i="54" s="1"/>
  <c r="AS61" i="49"/>
  <c r="E111" i="55" s="1"/>
  <c r="M39" i="50"/>
  <c r="L133" i="53" s="1"/>
  <c r="M16" i="50"/>
  <c r="L134" i="51" s="1"/>
  <c r="D86" i="49"/>
  <c r="C112" i="57" s="1"/>
  <c r="D62" i="49"/>
  <c r="C112" i="56" s="1"/>
  <c r="Q38" i="49"/>
  <c r="W38" i="49" s="1"/>
  <c r="E39" i="49"/>
  <c r="D113" i="53" s="1"/>
  <c r="E16" i="49"/>
  <c r="D114" i="51" s="1"/>
  <c r="AC61" i="49"/>
  <c r="I111" i="54" s="1"/>
  <c r="AC85" i="49"/>
  <c r="I111" i="58" s="1"/>
  <c r="AW61" i="49"/>
  <c r="I111" i="55" s="1"/>
  <c r="AJ84" i="49"/>
  <c r="P110" i="58" s="1"/>
  <c r="AA85" i="50"/>
  <c r="G131" i="58" s="1"/>
  <c r="AU61" i="50"/>
  <c r="G131" i="55" s="1"/>
  <c r="CA38" i="50"/>
  <c r="K86" i="50"/>
  <c r="J132" i="57" s="1"/>
  <c r="AD38" i="50"/>
  <c r="H77" i="43"/>
  <c r="BX31" i="43"/>
  <c r="K77" i="43"/>
  <c r="AI35" i="48"/>
  <c r="X37" i="48"/>
  <c r="BQ69" i="48"/>
  <c r="BQ68" i="48"/>
  <c r="AS37" i="48"/>
  <c r="BQ61" i="48" s="1"/>
  <c r="W37" i="48"/>
  <c r="AD37" i="48"/>
  <c r="AQ37" i="48"/>
  <c r="BQ59" i="48" s="1"/>
  <c r="AR37" i="48"/>
  <c r="BQ60" i="48" s="1"/>
  <c r="AG37" i="48"/>
  <c r="Z37" i="48"/>
  <c r="AE37" i="48"/>
  <c r="AB37" i="48"/>
  <c r="AF37" i="48"/>
  <c r="AT37" i="48"/>
  <c r="BQ62" i="48" s="1"/>
  <c r="AH37" i="48"/>
  <c r="Y37" i="48"/>
  <c r="BJ13" i="48"/>
  <c r="BK13" i="48" s="1"/>
  <c r="BL13" i="48" s="1"/>
  <c r="P13" i="48" s="1"/>
  <c r="AJ60" i="48"/>
  <c r="AA37" i="48"/>
  <c r="BR39" i="48"/>
  <c r="BS65" i="48" s="1"/>
  <c r="AU36" i="48"/>
  <c r="AJ36" i="48"/>
  <c r="AI12" i="48"/>
  <c r="AJ12" i="48" s="1"/>
  <c r="P36" i="48"/>
  <c r="BO36" i="48"/>
  <c r="BP64" i="48" s="1"/>
  <c r="Q38" i="48"/>
  <c r="Q15" i="48"/>
  <c r="P93" i="51" s="1"/>
  <c r="Q85" i="48"/>
  <c r="P91" i="57" s="1"/>
  <c r="Q61" i="48"/>
  <c r="P91" i="56" s="1"/>
  <c r="AJ84" i="48"/>
  <c r="P90" i="58" s="1"/>
  <c r="N90" i="50"/>
  <c r="M136" i="57" s="1"/>
  <c r="B67" i="50"/>
  <c r="U67" i="50" s="1"/>
  <c r="AO67" i="50" s="1"/>
  <c r="B43" i="50"/>
  <c r="U19" i="50"/>
  <c r="AO19" i="50" s="1"/>
  <c r="BH19" i="50" s="1"/>
  <c r="B20" i="50"/>
  <c r="AE90" i="50"/>
  <c r="K136" i="58" s="1"/>
  <c r="AE66" i="50"/>
  <c r="K136" i="54" s="1"/>
  <c r="AY66" i="50"/>
  <c r="K136" i="55" s="1"/>
  <c r="BX43" i="50"/>
  <c r="N20" i="50"/>
  <c r="N43" i="50"/>
  <c r="C89" i="50"/>
  <c r="V41" i="50"/>
  <c r="V89" i="50" s="1"/>
  <c r="B90" i="50"/>
  <c r="U42" i="50"/>
  <c r="U90" i="50" s="1"/>
  <c r="AG89" i="50"/>
  <c r="M135" i="58" s="1"/>
  <c r="AG65" i="50"/>
  <c r="M135" i="54" s="1"/>
  <c r="BA65" i="50"/>
  <c r="M135" i="55" s="1"/>
  <c r="AP41" i="50"/>
  <c r="AZ40" i="50"/>
  <c r="AW40" i="50"/>
  <c r="AX40" i="50"/>
  <c r="BD19" i="50"/>
  <c r="AU20" i="50"/>
  <c r="O43" i="50"/>
  <c r="N137" i="53" s="1"/>
  <c r="O20" i="50"/>
  <c r="L91" i="50"/>
  <c r="K137" i="57" s="1"/>
  <c r="O90" i="50"/>
  <c r="N136" i="57" s="1"/>
  <c r="O66" i="50"/>
  <c r="N136" i="56" s="1"/>
  <c r="C66" i="50"/>
  <c r="V66" i="50" s="1"/>
  <c r="AP66" i="50" s="1"/>
  <c r="C42" i="50"/>
  <c r="C19" i="50"/>
  <c r="V18" i="50"/>
  <c r="AP18" i="50" s="1"/>
  <c r="BI18" i="50" s="1"/>
  <c r="L44" i="50"/>
  <c r="L21" i="50"/>
  <c r="AH89" i="50"/>
  <c r="N135" i="58" s="1"/>
  <c r="AH65" i="50"/>
  <c r="N135" i="54" s="1"/>
  <c r="BB65" i="50"/>
  <c r="N135" i="55" s="1"/>
  <c r="B67" i="49"/>
  <c r="U67" i="49" s="1"/>
  <c r="AO67" i="49" s="1"/>
  <c r="B43" i="49"/>
  <c r="B20" i="49"/>
  <c r="U19" i="49"/>
  <c r="AO19" i="49" s="1"/>
  <c r="BH19" i="49" s="1"/>
  <c r="L42" i="49"/>
  <c r="L19" i="49"/>
  <c r="BD21" i="49"/>
  <c r="N89" i="49"/>
  <c r="M115" i="57" s="1"/>
  <c r="AW40" i="49"/>
  <c r="AP41" i="49"/>
  <c r="AZ40" i="49"/>
  <c r="AX40" i="49"/>
  <c r="B90" i="49"/>
  <c r="U42" i="49"/>
  <c r="U90" i="49" s="1"/>
  <c r="L89" i="49"/>
  <c r="K115" i="57" s="1"/>
  <c r="AG88" i="49"/>
  <c r="M114" i="58" s="1"/>
  <c r="AG64" i="49"/>
  <c r="M114" i="54" s="1"/>
  <c r="BA64" i="49"/>
  <c r="M114" i="55" s="1"/>
  <c r="AE88" i="49"/>
  <c r="K114" i="58" s="1"/>
  <c r="AE64" i="49"/>
  <c r="K114" i="54" s="1"/>
  <c r="AY64" i="49"/>
  <c r="K114" i="55" s="1"/>
  <c r="AH88" i="49"/>
  <c r="N114" i="58" s="1"/>
  <c r="AH64" i="49"/>
  <c r="N114" i="54" s="1"/>
  <c r="BB64" i="49"/>
  <c r="N114" i="55" s="1"/>
  <c r="BA39" i="49"/>
  <c r="C67" i="49"/>
  <c r="V67" i="49" s="1"/>
  <c r="AP67" i="49" s="1"/>
  <c r="C43" i="49"/>
  <c r="C20" i="49"/>
  <c r="V19" i="49"/>
  <c r="AP19" i="49" s="1"/>
  <c r="BI19" i="49" s="1"/>
  <c r="O42" i="49"/>
  <c r="N116" i="53" s="1"/>
  <c r="O19" i="49"/>
  <c r="C90" i="49"/>
  <c r="V42" i="49"/>
  <c r="V90" i="49" s="1"/>
  <c r="O89" i="49"/>
  <c r="N115" i="57" s="1"/>
  <c r="O65" i="49"/>
  <c r="N115" i="56" s="1"/>
  <c r="N42" i="49"/>
  <c r="BX42" i="49"/>
  <c r="N19" i="49"/>
  <c r="M86" i="48"/>
  <c r="L92" i="57" s="1"/>
  <c r="M62" i="48"/>
  <c r="L92" i="56" s="1"/>
  <c r="Y85" i="48"/>
  <c r="E91" i="58" s="1"/>
  <c r="Y61" i="48"/>
  <c r="E91" i="54" s="1"/>
  <c r="AS61" i="48"/>
  <c r="E91" i="55" s="1"/>
  <c r="G86" i="48"/>
  <c r="F92" i="57" s="1"/>
  <c r="G62" i="48"/>
  <c r="F92" i="56" s="1"/>
  <c r="AF85" i="48"/>
  <c r="L91" i="58" s="1"/>
  <c r="AF61" i="48"/>
  <c r="L91" i="54" s="1"/>
  <c r="AZ61" i="48"/>
  <c r="L91" i="55" s="1"/>
  <c r="Z61" i="48"/>
  <c r="F91" i="54" s="1"/>
  <c r="AT61" i="48"/>
  <c r="F91" i="55" s="1"/>
  <c r="Z85" i="48"/>
  <c r="F91" i="58" s="1"/>
  <c r="CA38" i="48"/>
  <c r="F16" i="48"/>
  <c r="E94" i="51" s="1"/>
  <c r="F39" i="48"/>
  <c r="E93" i="53" s="1"/>
  <c r="G16" i="48"/>
  <c r="F94" i="51" s="1"/>
  <c r="G39" i="48"/>
  <c r="F93" i="53" s="1"/>
  <c r="M16" i="48"/>
  <c r="M39" i="48"/>
  <c r="F86" i="48"/>
  <c r="E92" i="57" s="1"/>
  <c r="F62" i="48"/>
  <c r="E92" i="56" s="1"/>
  <c r="H40" i="48"/>
  <c r="G94" i="53" s="1"/>
  <c r="H17" i="48"/>
  <c r="G95" i="51" s="1"/>
  <c r="H87" i="48"/>
  <c r="G93" i="57" s="1"/>
  <c r="AA63" i="48"/>
  <c r="G93" i="54" s="1"/>
  <c r="H63" i="48"/>
  <c r="G93" i="56" s="1"/>
  <c r="L17" i="48"/>
  <c r="L40" i="48"/>
  <c r="W86" i="48"/>
  <c r="C92" i="58" s="1"/>
  <c r="W62" i="48"/>
  <c r="C92" i="54" s="1"/>
  <c r="AQ62" i="48"/>
  <c r="C92" i="55" s="1"/>
  <c r="L87" i="48"/>
  <c r="K93" i="57" s="1"/>
  <c r="AB86" i="48"/>
  <c r="H92" i="58" s="1"/>
  <c r="AB62" i="48"/>
  <c r="H92" i="54" s="1"/>
  <c r="AV62" i="48"/>
  <c r="H92" i="55" s="1"/>
  <c r="B65" i="48"/>
  <c r="U65" i="48" s="1"/>
  <c r="AO65" i="48" s="1"/>
  <c r="B41" i="48"/>
  <c r="U17" i="48"/>
  <c r="AO17" i="48" s="1"/>
  <c r="BH17" i="48" s="1"/>
  <c r="B18" i="48"/>
  <c r="I40" i="48"/>
  <c r="H94" i="53" s="1"/>
  <c r="I17" i="48"/>
  <c r="H95" i="51" s="1"/>
  <c r="BC59" i="48"/>
  <c r="AA86" i="48"/>
  <c r="G92" i="58" s="1"/>
  <c r="AU62" i="48"/>
  <c r="G92" i="55" s="1"/>
  <c r="AC86" i="48"/>
  <c r="I92" i="58" s="1"/>
  <c r="AC62" i="48"/>
  <c r="I92" i="54" s="1"/>
  <c r="AW62" i="48"/>
  <c r="I92" i="55" s="1"/>
  <c r="AE86" i="48"/>
  <c r="K92" i="58" s="1"/>
  <c r="AE62" i="48"/>
  <c r="K92" i="54" s="1"/>
  <c r="AY62" i="48"/>
  <c r="K92" i="55" s="1"/>
  <c r="B88" i="48"/>
  <c r="U40" i="48"/>
  <c r="U88" i="48" s="1"/>
  <c r="I87" i="48"/>
  <c r="H93" i="57" s="1"/>
  <c r="I63" i="48"/>
  <c r="H93" i="56" s="1"/>
  <c r="AG87" i="48"/>
  <c r="M93" i="58" s="1"/>
  <c r="AG63" i="48"/>
  <c r="M93" i="54" s="1"/>
  <c r="BA63" i="48"/>
  <c r="M93" i="55" s="1"/>
  <c r="D40" i="48"/>
  <c r="C94" i="53" s="1"/>
  <c r="D17" i="48"/>
  <c r="C95" i="51" s="1"/>
  <c r="BA37" i="48"/>
  <c r="C64" i="48"/>
  <c r="V64" i="48" s="1"/>
  <c r="AP64" i="48" s="1"/>
  <c r="C40" i="48"/>
  <c r="V16" i="48"/>
  <c r="AP16" i="48" s="1"/>
  <c r="BI16" i="48" s="1"/>
  <c r="C17" i="48"/>
  <c r="AH88" i="48"/>
  <c r="N94" i="58" s="1"/>
  <c r="AH64" i="48"/>
  <c r="N94" i="54" s="1"/>
  <c r="BB64" i="48"/>
  <c r="N94" i="55" s="1"/>
  <c r="BD16" i="48"/>
  <c r="AU17" i="48"/>
  <c r="N41" i="48"/>
  <c r="BX41" i="48"/>
  <c r="N18" i="48"/>
  <c r="J87" i="48"/>
  <c r="I93" i="57" s="1"/>
  <c r="J63" i="48"/>
  <c r="I93" i="56" s="1"/>
  <c r="O42" i="48"/>
  <c r="N96" i="53" s="1"/>
  <c r="O19" i="48"/>
  <c r="C87" i="48"/>
  <c r="V39" i="48"/>
  <c r="V87" i="48" s="1"/>
  <c r="D87" i="48"/>
  <c r="C93" i="57" s="1"/>
  <c r="D63" i="48"/>
  <c r="C93" i="56" s="1"/>
  <c r="N88" i="48"/>
  <c r="M94" i="57" s="1"/>
  <c r="J40" i="48"/>
  <c r="I94" i="53" s="1"/>
  <c r="J17" i="48"/>
  <c r="I95" i="51" s="1"/>
  <c r="AX38" i="48"/>
  <c r="AW38" i="48"/>
  <c r="AP39" i="48"/>
  <c r="AZ38" i="48"/>
  <c r="O89" i="48"/>
  <c r="N95" i="57" s="1"/>
  <c r="O65" i="48"/>
  <c r="N95" i="56" s="1"/>
  <c r="AU29" i="46"/>
  <c r="BO29" i="46"/>
  <c r="BI64" i="46" s="1"/>
  <c r="P29" i="46"/>
  <c r="BU29" i="46"/>
  <c r="BI66" i="46" s="1"/>
  <c r="AR30" i="44"/>
  <c r="BJ60" i="44" s="1"/>
  <c r="AT30" i="44"/>
  <c r="BJ62" i="44" s="1"/>
  <c r="W30" i="47"/>
  <c r="Y30" i="46"/>
  <c r="AS30" i="46"/>
  <c r="BJ61" i="46" s="1"/>
  <c r="AF30" i="46"/>
  <c r="AD30" i="46"/>
  <c r="AT30" i="46"/>
  <c r="BJ62" i="46" s="1"/>
  <c r="W30" i="46"/>
  <c r="Z30" i="46"/>
  <c r="AR30" i="46"/>
  <c r="BJ60" i="46" s="1"/>
  <c r="AA30" i="46"/>
  <c r="AB30" i="46"/>
  <c r="X30" i="46"/>
  <c r="AC30" i="44"/>
  <c r="AQ30" i="44"/>
  <c r="BJ59" i="44" s="1"/>
  <c r="AR30" i="47"/>
  <c r="BJ60" i="47" s="1"/>
  <c r="AT30" i="47"/>
  <c r="BJ62" i="47" s="1"/>
  <c r="AJ29" i="47"/>
  <c r="Y30" i="47"/>
  <c r="X30" i="47"/>
  <c r="AA30" i="47"/>
  <c r="AC30" i="47"/>
  <c r="AS30" i="47"/>
  <c r="BJ61" i="47" s="1"/>
  <c r="AJ29" i="46"/>
  <c r="BJ6" i="46"/>
  <c r="BK6" i="46" s="1"/>
  <c r="BL6" i="46" s="1"/>
  <c r="P6" i="46" s="1"/>
  <c r="AJ29" i="44"/>
  <c r="I32" i="46"/>
  <c r="H46" i="53" s="1"/>
  <c r="I9" i="46"/>
  <c r="H47" i="51" s="1"/>
  <c r="AA78" i="46"/>
  <c r="G44" i="58" s="1"/>
  <c r="AU54" i="46"/>
  <c r="E9" i="44"/>
  <c r="D27" i="51" s="1"/>
  <c r="E32" i="44"/>
  <c r="E32" i="46"/>
  <c r="D46" i="53" s="1"/>
  <c r="E9" i="46"/>
  <c r="D47" i="51" s="1"/>
  <c r="AI5" i="47"/>
  <c r="P29" i="47"/>
  <c r="O63" i="53" s="1"/>
  <c r="BU29" i="47"/>
  <c r="BI66" i="47" s="1"/>
  <c r="BO29" i="47"/>
  <c r="BI64" i="47" s="1"/>
  <c r="J55" i="46"/>
  <c r="I45" i="56" s="1"/>
  <c r="J79" i="46"/>
  <c r="I45" i="57" s="1"/>
  <c r="BJ59" i="47"/>
  <c r="M32" i="47"/>
  <c r="L66" i="53" s="1"/>
  <c r="M9" i="47"/>
  <c r="L67" i="51" s="1"/>
  <c r="J9" i="44"/>
  <c r="I27" i="51" s="1"/>
  <c r="J32" i="44"/>
  <c r="Z78" i="47"/>
  <c r="F64" i="58" s="1"/>
  <c r="Z54" i="47"/>
  <c r="F64" i="54" s="1"/>
  <c r="AT54" i="47"/>
  <c r="F64" i="55" s="1"/>
  <c r="X78" i="44"/>
  <c r="D24" i="58" s="1"/>
  <c r="X54" i="44"/>
  <c r="D24" i="54" s="1"/>
  <c r="AR54" i="44"/>
  <c r="D24" i="55" s="1"/>
  <c r="AF30" i="44"/>
  <c r="AC78" i="44"/>
  <c r="I24" i="58" s="1"/>
  <c r="AC54" i="44"/>
  <c r="I24" i="54" s="1"/>
  <c r="AW54" i="44"/>
  <c r="I24" i="55" s="1"/>
  <c r="AJ77" i="44"/>
  <c r="P23" i="58" s="1"/>
  <c r="M79" i="47"/>
  <c r="L65" i="57" s="1"/>
  <c r="M55" i="47"/>
  <c r="L65" i="56" s="1"/>
  <c r="F9" i="46"/>
  <c r="E47" i="51" s="1"/>
  <c r="F32" i="46"/>
  <c r="E46" i="53" s="1"/>
  <c r="Q8" i="47"/>
  <c r="P66" i="51" s="1"/>
  <c r="D32" i="47"/>
  <c r="C66" i="53" s="1"/>
  <c r="BR32" i="47"/>
  <c r="BL65" i="47" s="1"/>
  <c r="D9" i="47"/>
  <c r="C67" i="51" s="1"/>
  <c r="Q31" i="44"/>
  <c r="D79" i="44"/>
  <c r="C25" i="57" s="1"/>
  <c r="W78" i="44"/>
  <c r="C24" i="58" s="1"/>
  <c r="AQ54" i="44"/>
  <c r="C24" i="55" s="1"/>
  <c r="P77" i="44"/>
  <c r="O23" i="57" s="1"/>
  <c r="E32" i="47"/>
  <c r="D66" i="53" s="1"/>
  <c r="E9" i="47"/>
  <c r="D67" i="51" s="1"/>
  <c r="I55" i="47"/>
  <c r="H65" i="56" s="1"/>
  <c r="I79" i="47"/>
  <c r="H65" i="57" s="1"/>
  <c r="AD78" i="44"/>
  <c r="J24" i="58" s="1"/>
  <c r="AD54" i="44"/>
  <c r="J24" i="54" s="1"/>
  <c r="AX54" i="44"/>
  <c r="J24" i="55" s="1"/>
  <c r="J53" i="43"/>
  <c r="AC77" i="43" s="1"/>
  <c r="J77" i="43"/>
  <c r="I53" i="43"/>
  <c r="AB77" i="43" s="1"/>
  <c r="I77" i="43"/>
  <c r="M32" i="44"/>
  <c r="M9" i="44"/>
  <c r="L27" i="51" s="1"/>
  <c r="AF54" i="44"/>
  <c r="L24" i="54" s="1"/>
  <c r="AF78" i="44"/>
  <c r="L24" i="58" s="1"/>
  <c r="AZ54" i="44"/>
  <c r="L24" i="55" s="1"/>
  <c r="Y78" i="47"/>
  <c r="E64" i="58" s="1"/>
  <c r="Y54" i="47"/>
  <c r="E64" i="54" s="1"/>
  <c r="AS54" i="47"/>
  <c r="E64" i="55" s="1"/>
  <c r="H32" i="47"/>
  <c r="G66" i="53" s="1"/>
  <c r="H9" i="47"/>
  <c r="G67" i="51" s="1"/>
  <c r="BW32" i="47"/>
  <c r="BL67" i="47" s="1"/>
  <c r="Z30" i="47"/>
  <c r="AG30" i="47"/>
  <c r="BJ68" i="47"/>
  <c r="BJ69" i="47"/>
  <c r="AH30" i="47"/>
  <c r="AE30" i="47"/>
  <c r="CA31" i="47"/>
  <c r="K79" i="47"/>
  <c r="J65" i="57" s="1"/>
  <c r="H32" i="44"/>
  <c r="H9" i="44"/>
  <c r="G27" i="51" s="1"/>
  <c r="BW32" i="44"/>
  <c r="BL67" i="44" s="1"/>
  <c r="I9" i="44"/>
  <c r="H27" i="51" s="1"/>
  <c r="I32" i="44"/>
  <c r="BR32" i="46"/>
  <c r="BL65" i="46" s="1"/>
  <c r="D32" i="46"/>
  <c r="C46" i="53" s="1"/>
  <c r="Q8" i="46"/>
  <c r="P46" i="51" s="1"/>
  <c r="D9" i="46"/>
  <c r="C47" i="51" s="1"/>
  <c r="AJ53" i="44"/>
  <c r="AC78" i="47"/>
  <c r="I64" i="58" s="1"/>
  <c r="AC54" i="47"/>
  <c r="I64" i="54" s="1"/>
  <c r="AW54" i="47"/>
  <c r="I64" i="55" s="1"/>
  <c r="K79" i="44"/>
  <c r="J25" i="57" s="1"/>
  <c r="CA31" i="44"/>
  <c r="W78" i="46"/>
  <c r="C44" i="58" s="1"/>
  <c r="Q54" i="46"/>
  <c r="P44" i="56" s="1"/>
  <c r="W54" i="46"/>
  <c r="AQ54" i="46"/>
  <c r="BJ6" i="47"/>
  <c r="BK6" i="47" s="1"/>
  <c r="BL6" i="47" s="1"/>
  <c r="P6" i="47" s="1"/>
  <c r="O64" i="51" s="1"/>
  <c r="BI59" i="46"/>
  <c r="AJ77" i="47"/>
  <c r="P63" i="58" s="1"/>
  <c r="G79" i="46"/>
  <c r="F45" i="57" s="1"/>
  <c r="G55" i="46"/>
  <c r="F45" i="56" s="1"/>
  <c r="M79" i="46"/>
  <c r="L45" i="57" s="1"/>
  <c r="M55" i="46"/>
  <c r="L45" i="56" s="1"/>
  <c r="Z78" i="44"/>
  <c r="F24" i="58" s="1"/>
  <c r="Z54" i="44"/>
  <c r="F24" i="54" s="1"/>
  <c r="AT54" i="44"/>
  <c r="F24" i="55" s="1"/>
  <c r="J79" i="47"/>
  <c r="I65" i="57" s="1"/>
  <c r="J55" i="47"/>
  <c r="I65" i="56" s="1"/>
  <c r="F53" i="43"/>
  <c r="Y77" i="43" s="1"/>
  <c r="F77" i="43"/>
  <c r="AJ77" i="46"/>
  <c r="P43" i="58" s="1"/>
  <c r="D79" i="47"/>
  <c r="C65" i="57" s="1"/>
  <c r="D55" i="47"/>
  <c r="C65" i="56" s="1"/>
  <c r="Q31" i="47"/>
  <c r="D32" i="44"/>
  <c r="BR32" i="44"/>
  <c r="BL65" i="44" s="1"/>
  <c r="Q8" i="44"/>
  <c r="P26" i="51" s="1"/>
  <c r="D9" i="44"/>
  <c r="C27" i="51" s="1"/>
  <c r="X30" i="44"/>
  <c r="AH30" i="44"/>
  <c r="AE30" i="44"/>
  <c r="AG30" i="44"/>
  <c r="BJ68" i="44"/>
  <c r="BJ69" i="44"/>
  <c r="G53" i="43"/>
  <c r="Z77" i="43" s="1"/>
  <c r="G77" i="43"/>
  <c r="K9" i="47"/>
  <c r="J67" i="51" s="1"/>
  <c r="K32" i="47"/>
  <c r="F79" i="46"/>
  <c r="E45" i="57" s="1"/>
  <c r="F55" i="46"/>
  <c r="E45" i="56" s="1"/>
  <c r="AU29" i="47"/>
  <c r="BI59" i="47"/>
  <c r="E79" i="47"/>
  <c r="D65" i="57" s="1"/>
  <c r="E55" i="47"/>
  <c r="D65" i="56" s="1"/>
  <c r="G9" i="46"/>
  <c r="F47" i="51" s="1"/>
  <c r="G32" i="46"/>
  <c r="F46" i="53" s="1"/>
  <c r="AG78" i="43"/>
  <c r="N78" i="43"/>
  <c r="Q76" i="43"/>
  <c r="AA76" i="43"/>
  <c r="AJ76" i="43" s="1"/>
  <c r="M79" i="44"/>
  <c r="L25" i="57" s="1"/>
  <c r="L5" i="57" s="1"/>
  <c r="F32" i="47"/>
  <c r="E66" i="53" s="1"/>
  <c r="F9" i="47"/>
  <c r="E67" i="51" s="1"/>
  <c r="AB30" i="47"/>
  <c r="X78" i="47"/>
  <c r="D64" i="58" s="1"/>
  <c r="X54" i="47"/>
  <c r="D64" i="54" s="1"/>
  <c r="AR54" i="47"/>
  <c r="D64" i="55" s="1"/>
  <c r="H79" i="47"/>
  <c r="G65" i="57" s="1"/>
  <c r="AA55" i="47"/>
  <c r="G65" i="54" s="1"/>
  <c r="H55" i="47"/>
  <c r="G65" i="56" s="1"/>
  <c r="Q78" i="47"/>
  <c r="P64" i="57" s="1"/>
  <c r="AC78" i="46"/>
  <c r="I44" i="58" s="1"/>
  <c r="AC54" i="46"/>
  <c r="AW54" i="46"/>
  <c r="AD30" i="44"/>
  <c r="H79" i="44"/>
  <c r="G25" i="57" s="1"/>
  <c r="AA55" i="44"/>
  <c r="G25" i="54" s="1"/>
  <c r="I79" i="44"/>
  <c r="H25" i="57" s="1"/>
  <c r="D55" i="46"/>
  <c r="C45" i="56" s="1"/>
  <c r="Q31" i="46"/>
  <c r="D79" i="46"/>
  <c r="C45" i="57" s="1"/>
  <c r="K32" i="44"/>
  <c r="K9" i="44"/>
  <c r="J27" i="51" s="1"/>
  <c r="AQ30" i="46"/>
  <c r="BJ59" i="46" s="1"/>
  <c r="BJ69" i="46"/>
  <c r="AG30" i="46"/>
  <c r="AH30" i="46"/>
  <c r="BJ68" i="46"/>
  <c r="AE30" i="46"/>
  <c r="BW32" i="46"/>
  <c r="BL67" i="46" s="1"/>
  <c r="H9" i="46"/>
  <c r="G47" i="51" s="1"/>
  <c r="H32" i="46"/>
  <c r="G32" i="47"/>
  <c r="F66" i="53" s="1"/>
  <c r="G9" i="47"/>
  <c r="F67" i="51" s="1"/>
  <c r="F79" i="44"/>
  <c r="E25" i="57" s="1"/>
  <c r="AB78" i="44"/>
  <c r="H24" i="58" s="1"/>
  <c r="AB54" i="44"/>
  <c r="H24" i="54" s="1"/>
  <c r="AV54" i="44"/>
  <c r="H24" i="55" s="1"/>
  <c r="AD30" i="47"/>
  <c r="J32" i="46"/>
  <c r="I46" i="53" s="1"/>
  <c r="J9" i="46"/>
  <c r="I47" i="51" s="1"/>
  <c r="AB78" i="46"/>
  <c r="H44" i="58" s="1"/>
  <c r="AB54" i="46"/>
  <c r="AV54" i="46"/>
  <c r="AD78" i="46"/>
  <c r="J44" i="58" s="1"/>
  <c r="AD54" i="46"/>
  <c r="AX54" i="46"/>
  <c r="AF54" i="46"/>
  <c r="AF78" i="46"/>
  <c r="L44" i="58" s="1"/>
  <c r="AZ54" i="46"/>
  <c r="E79" i="46"/>
  <c r="D45" i="57" s="1"/>
  <c r="E55" i="46"/>
  <c r="D45" i="56" s="1"/>
  <c r="AA78" i="44"/>
  <c r="G24" i="58" s="1"/>
  <c r="AU54" i="44"/>
  <c r="G24" i="55" s="1"/>
  <c r="E53" i="43"/>
  <c r="X77" i="43" s="1"/>
  <c r="E77" i="43"/>
  <c r="W78" i="47"/>
  <c r="C64" i="58" s="1"/>
  <c r="W54" i="47"/>
  <c r="C64" i="54" s="1"/>
  <c r="Q54" i="47"/>
  <c r="P64" i="56" s="1"/>
  <c r="AQ54" i="47"/>
  <c r="C64" i="55" s="1"/>
  <c r="Q78" i="46"/>
  <c r="P44" i="57" s="1"/>
  <c r="Q78" i="44"/>
  <c r="P24" i="57" s="1"/>
  <c r="M32" i="46"/>
  <c r="L46" i="53" s="1"/>
  <c r="M9" i="46"/>
  <c r="L47" i="51" s="1"/>
  <c r="O54" i="43"/>
  <c r="AH78" i="43" s="1"/>
  <c r="O78" i="43"/>
  <c r="F55" i="47"/>
  <c r="E65" i="56" s="1"/>
  <c r="F79" i="47"/>
  <c r="E65" i="57" s="1"/>
  <c r="AV54" i="47"/>
  <c r="H64" i="55" s="1"/>
  <c r="AB78" i="47"/>
  <c r="H64" i="58" s="1"/>
  <c r="AB54" i="47"/>
  <c r="H64" i="54" s="1"/>
  <c r="Z30" i="44"/>
  <c r="AA78" i="47"/>
  <c r="G64" i="58" s="1"/>
  <c r="AU54" i="47"/>
  <c r="G64" i="55" s="1"/>
  <c r="BI59" i="44"/>
  <c r="BJ6" i="44"/>
  <c r="BK6" i="44" s="1"/>
  <c r="BL6" i="44" s="1"/>
  <c r="P6" i="44" s="1"/>
  <c r="O24" i="51" s="1"/>
  <c r="Y30" i="44"/>
  <c r="G55" i="47"/>
  <c r="F65" i="56" s="1"/>
  <c r="G79" i="47"/>
  <c r="F65" i="57" s="1"/>
  <c r="F9" i="44"/>
  <c r="E27" i="51" s="1"/>
  <c r="F32" i="44"/>
  <c r="K32" i="46"/>
  <c r="K9" i="46"/>
  <c r="J47" i="51" s="1"/>
  <c r="AJ53" i="47"/>
  <c r="G9" i="44"/>
  <c r="F27" i="51" s="1"/>
  <c r="G32" i="44"/>
  <c r="X78" i="46"/>
  <c r="D44" i="58" s="1"/>
  <c r="X54" i="46"/>
  <c r="AR54" i="46"/>
  <c r="J79" i="44"/>
  <c r="I25" i="57" s="1"/>
  <c r="AF78" i="47"/>
  <c r="L64" i="58" s="1"/>
  <c r="AF54" i="47"/>
  <c r="L64" i="54" s="1"/>
  <c r="AZ54" i="47"/>
  <c r="L64" i="55" s="1"/>
  <c r="E79" i="44"/>
  <c r="D25" i="57" s="1"/>
  <c r="AE78" i="43"/>
  <c r="L78" i="43"/>
  <c r="M53" i="43"/>
  <c r="AF77" i="43" s="1"/>
  <c r="M77" i="43"/>
  <c r="I32" i="47"/>
  <c r="H66" i="53" s="1"/>
  <c r="I9" i="47"/>
  <c r="H67" i="51" s="1"/>
  <c r="AJ53" i="46"/>
  <c r="AK53" i="46" s="1"/>
  <c r="BI58" i="46" s="1"/>
  <c r="I79" i="46"/>
  <c r="H45" i="57" s="1"/>
  <c r="I55" i="46"/>
  <c r="H45" i="56" s="1"/>
  <c r="AS30" i="44"/>
  <c r="BJ61" i="44" s="1"/>
  <c r="Z78" i="46"/>
  <c r="F44" i="58" s="1"/>
  <c r="Z54" i="46"/>
  <c r="AT54" i="46"/>
  <c r="AU29" i="44"/>
  <c r="AF30" i="47"/>
  <c r="AS54" i="44"/>
  <c r="E24" i="55" s="1"/>
  <c r="Y78" i="44"/>
  <c r="E24" i="58" s="1"/>
  <c r="Y54" i="44"/>
  <c r="E24" i="54" s="1"/>
  <c r="J32" i="47"/>
  <c r="I66" i="53" s="1"/>
  <c r="J9" i="47"/>
  <c r="I67" i="51" s="1"/>
  <c r="Y78" i="46"/>
  <c r="E44" i="58" s="1"/>
  <c r="Y54" i="46"/>
  <c r="AS54" i="46"/>
  <c r="H79" i="46"/>
  <c r="G45" i="57" s="1"/>
  <c r="AA55" i="46"/>
  <c r="AA30" i="44"/>
  <c r="W30" i="44"/>
  <c r="K79" i="46"/>
  <c r="J45" i="57" s="1"/>
  <c r="CA31" i="46"/>
  <c r="AD78" i="47"/>
  <c r="J64" i="58" s="1"/>
  <c r="AD54" i="47"/>
  <c r="J64" i="54" s="1"/>
  <c r="AX54" i="47"/>
  <c r="J64" i="55" s="1"/>
  <c r="G79" i="44"/>
  <c r="F25" i="57" s="1"/>
  <c r="F5" i="57" s="1"/>
  <c r="N85" i="47"/>
  <c r="M71" i="57" s="1"/>
  <c r="C87" i="47"/>
  <c r="V39" i="47"/>
  <c r="V87" i="47" s="1"/>
  <c r="L38" i="47"/>
  <c r="L15" i="47"/>
  <c r="AH84" i="47"/>
  <c r="N70" i="58" s="1"/>
  <c r="N10" i="58" s="1"/>
  <c r="AH60" i="47"/>
  <c r="N70" i="54" s="1"/>
  <c r="BB60" i="47"/>
  <c r="N70" i="55" s="1"/>
  <c r="BA35" i="47"/>
  <c r="C64" i="47"/>
  <c r="V64" i="47" s="1"/>
  <c r="AP64" i="47" s="1"/>
  <c r="C40" i="47"/>
  <c r="V16" i="47"/>
  <c r="AP16" i="47" s="1"/>
  <c r="BI16" i="47" s="1"/>
  <c r="C17" i="47"/>
  <c r="AE84" i="47"/>
  <c r="K70" i="58" s="1"/>
  <c r="AE60" i="47"/>
  <c r="K70" i="54" s="1"/>
  <c r="AY60" i="47"/>
  <c r="K70" i="55" s="1"/>
  <c r="L85" i="47"/>
  <c r="K71" i="57" s="1"/>
  <c r="O38" i="47"/>
  <c r="N72" i="53" s="1"/>
  <c r="O15" i="47"/>
  <c r="O85" i="47"/>
  <c r="N71" i="57" s="1"/>
  <c r="N11" i="57" s="1"/>
  <c r="O61" i="47"/>
  <c r="N71" i="56" s="1"/>
  <c r="N11" i="56" s="1"/>
  <c r="B64" i="47"/>
  <c r="U64" i="47" s="1"/>
  <c r="AO64" i="47" s="1"/>
  <c r="B40" i="47"/>
  <c r="U16" i="47"/>
  <c r="AO16" i="47" s="1"/>
  <c r="BH16" i="47" s="1"/>
  <c r="B17" i="47"/>
  <c r="AX36" i="47"/>
  <c r="AP37" i="47"/>
  <c r="AZ36" i="47"/>
  <c r="AW36" i="47"/>
  <c r="B87" i="47"/>
  <c r="U39" i="47"/>
  <c r="U87" i="47" s="1"/>
  <c r="AG84" i="47"/>
  <c r="M70" i="58" s="1"/>
  <c r="AG60" i="47"/>
  <c r="M70" i="54" s="1"/>
  <c r="BA60" i="47"/>
  <c r="M70" i="55" s="1"/>
  <c r="N38" i="47"/>
  <c r="BX38" i="47"/>
  <c r="N15" i="47"/>
  <c r="BD15" i="47"/>
  <c r="AU16" i="47"/>
  <c r="L39" i="46"/>
  <c r="L16" i="46"/>
  <c r="B62" i="46"/>
  <c r="U62" i="46" s="1"/>
  <c r="AO62" i="46" s="1"/>
  <c r="B38" i="46"/>
  <c r="U14" i="46"/>
  <c r="AO14" i="46" s="1"/>
  <c r="BH14" i="46" s="1"/>
  <c r="B15" i="46"/>
  <c r="L86" i="46"/>
  <c r="K52" i="57" s="1"/>
  <c r="BL38" i="46"/>
  <c r="BN37" i="46"/>
  <c r="BX38" i="46"/>
  <c r="N38" i="46"/>
  <c r="N15" i="46"/>
  <c r="BA35" i="46"/>
  <c r="AG84" i="46"/>
  <c r="M50" i="58" s="1"/>
  <c r="M10" i="58" s="1"/>
  <c r="AG60" i="46"/>
  <c r="BA60" i="46"/>
  <c r="C63" i="46"/>
  <c r="V63" i="46" s="1"/>
  <c r="AP63" i="46" s="1"/>
  <c r="C16" i="46"/>
  <c r="C39" i="46"/>
  <c r="V15" i="46"/>
  <c r="AP15" i="46" s="1"/>
  <c r="BI15" i="46" s="1"/>
  <c r="B85" i="46"/>
  <c r="U37" i="46"/>
  <c r="U85" i="46" s="1"/>
  <c r="AE85" i="46"/>
  <c r="K51" i="58" s="1"/>
  <c r="AE61" i="46"/>
  <c r="AY61" i="46"/>
  <c r="AH85" i="46"/>
  <c r="N51" i="58" s="1"/>
  <c r="AH61" i="46"/>
  <c r="BB61" i="46"/>
  <c r="O39" i="46"/>
  <c r="N53" i="53" s="1"/>
  <c r="O16" i="46"/>
  <c r="BT36" i="46"/>
  <c r="BQ36" i="46"/>
  <c r="C86" i="46"/>
  <c r="V38" i="46"/>
  <c r="V86" i="46" s="1"/>
  <c r="O86" i="46"/>
  <c r="N52" i="57" s="1"/>
  <c r="O62" i="46"/>
  <c r="N52" i="56" s="1"/>
  <c r="BD14" i="46"/>
  <c r="AU15" i="46"/>
  <c r="AP37" i="46"/>
  <c r="AZ36" i="46"/>
  <c r="AX36" i="46"/>
  <c r="AW36" i="46"/>
  <c r="N85" i="46"/>
  <c r="M51" i="57" s="1"/>
  <c r="M11" i="57" s="1"/>
  <c r="B90" i="44"/>
  <c r="U42" i="44"/>
  <c r="U90" i="44" s="1"/>
  <c r="U17" i="44"/>
  <c r="AO17" i="44" s="1"/>
  <c r="BH17" i="44" s="1"/>
  <c r="B18" i="44"/>
  <c r="B65" i="44"/>
  <c r="U65" i="44" s="1"/>
  <c r="AO65" i="44" s="1"/>
  <c r="C18" i="44"/>
  <c r="V17" i="44"/>
  <c r="AP17" i="44" s="1"/>
  <c r="BI17" i="44" s="1"/>
  <c r="C65" i="44"/>
  <c r="V65" i="44" s="1"/>
  <c r="AP65" i="44" s="1"/>
  <c r="BT36" i="44"/>
  <c r="BQ36" i="44"/>
  <c r="AE84" i="44"/>
  <c r="K30" i="58" s="1"/>
  <c r="K10" i="58" s="1"/>
  <c r="AE60" i="44"/>
  <c r="K30" i="54" s="1"/>
  <c r="AY60" i="44"/>
  <c r="K30" i="55" s="1"/>
  <c r="K10" i="55" s="1"/>
  <c r="BA37" i="44"/>
  <c r="L15" i="44"/>
  <c r="L38" i="44"/>
  <c r="BN37" i="44"/>
  <c r="BL38" i="44"/>
  <c r="AX38" i="44"/>
  <c r="AP39" i="44"/>
  <c r="AZ38" i="44"/>
  <c r="AW38" i="44"/>
  <c r="AG86" i="44"/>
  <c r="M32" i="58" s="1"/>
  <c r="AG62" i="44"/>
  <c r="M32" i="54" s="1"/>
  <c r="BA62" i="44"/>
  <c r="M32" i="55" s="1"/>
  <c r="BX40" i="44"/>
  <c r="N40" i="44"/>
  <c r="N17" i="44"/>
  <c r="N87" i="44"/>
  <c r="M33" i="57" s="1"/>
  <c r="L85" i="44"/>
  <c r="K31" i="57" s="1"/>
  <c r="K11" i="57" s="1"/>
  <c r="AH85" i="44"/>
  <c r="N31" i="58" s="1"/>
  <c r="AH61" i="44"/>
  <c r="N31" i="54" s="1"/>
  <c r="BB61" i="44"/>
  <c r="N31" i="55" s="1"/>
  <c r="O39" i="44"/>
  <c r="O16" i="44"/>
  <c r="BD15" i="44"/>
  <c r="AU16" i="44"/>
  <c r="O86" i="44"/>
  <c r="N32" i="57" s="1"/>
  <c r="BW30" i="43"/>
  <c r="BJ67" i="43" s="1"/>
  <c r="AD77" i="43"/>
  <c r="CA29" i="43"/>
  <c r="AA53" i="43"/>
  <c r="AA77" i="43"/>
  <c r="N8" i="43"/>
  <c r="N31" i="43"/>
  <c r="N55" i="43" s="1"/>
  <c r="L8" i="43"/>
  <c r="L31" i="43"/>
  <c r="L55" i="43" s="1"/>
  <c r="K7" i="43"/>
  <c r="K30" i="43"/>
  <c r="K54" i="43" s="1"/>
  <c r="M7" i="43"/>
  <c r="M30" i="43"/>
  <c r="H7" i="43"/>
  <c r="H30" i="43"/>
  <c r="H54" i="43" s="1"/>
  <c r="F7" i="43"/>
  <c r="F30" i="43"/>
  <c r="J7" i="43"/>
  <c r="J30" i="43"/>
  <c r="O8" i="43"/>
  <c r="O31" i="43"/>
  <c r="BQ34" i="43"/>
  <c r="BT34" i="43"/>
  <c r="G7" i="43"/>
  <c r="G30" i="43"/>
  <c r="I7" i="43"/>
  <c r="I30" i="43"/>
  <c r="E7" i="43"/>
  <c r="E30" i="43"/>
  <c r="AU5" i="43"/>
  <c r="AY6" i="43"/>
  <c r="BA6" i="43"/>
  <c r="BL36" i="43"/>
  <c r="BM35" i="43"/>
  <c r="BN35" i="43" s="1"/>
  <c r="AX6" i="43"/>
  <c r="AW6" i="43"/>
  <c r="AV6" i="43"/>
  <c r="AZ6" i="43"/>
  <c r="AX37" i="43"/>
  <c r="AP38" i="43"/>
  <c r="AW38" i="43" s="1"/>
  <c r="AZ37" i="43"/>
  <c r="L1" i="27" a="1"/>
  <c r="L1" i="27" s="1"/>
  <c r="H15" i="27"/>
  <c r="H2" i="27"/>
  <c r="H13" i="27"/>
  <c r="H10" i="27"/>
  <c r="H6" i="27"/>
  <c r="H5" i="27"/>
  <c r="H4" i="27"/>
  <c r="H11" i="27"/>
  <c r="H3" i="27"/>
  <c r="F7" i="51" l="1"/>
  <c r="C7" i="51"/>
  <c r="P6" i="51"/>
  <c r="E4" i="58"/>
  <c r="P4" i="57"/>
  <c r="N10" i="54"/>
  <c r="N10" i="55"/>
  <c r="C5" i="56"/>
  <c r="AS38" i="50"/>
  <c r="BR61" i="50" s="1"/>
  <c r="BM55" i="50"/>
  <c r="J7" i="51"/>
  <c r="Z38" i="50"/>
  <c r="Y38" i="50"/>
  <c r="AC38" i="50"/>
  <c r="AA38" i="50"/>
  <c r="AF38" i="50"/>
  <c r="AI29" i="44"/>
  <c r="AS38" i="49"/>
  <c r="BR61" i="49" s="1"/>
  <c r="M50" i="55"/>
  <c r="M10" i="55" s="1"/>
  <c r="M50" i="54"/>
  <c r="M10" i="54" s="1"/>
  <c r="N64" i="44"/>
  <c r="M34" i="56" s="1"/>
  <c r="M34" i="53"/>
  <c r="O63" i="44"/>
  <c r="N33" i="56" s="1"/>
  <c r="N33" i="53"/>
  <c r="K72" i="53"/>
  <c r="L62" i="47"/>
  <c r="K72" i="56" s="1"/>
  <c r="M95" i="53"/>
  <c r="N65" i="48"/>
  <c r="M95" i="56" s="1"/>
  <c r="K116" i="53"/>
  <c r="L66" i="49"/>
  <c r="K116" i="56" s="1"/>
  <c r="M137" i="53"/>
  <c r="N67" i="50"/>
  <c r="M137" i="56" s="1"/>
  <c r="M11" i="56"/>
  <c r="K94" i="53"/>
  <c r="L64" i="48"/>
  <c r="K94" i="56" s="1"/>
  <c r="K11" i="53"/>
  <c r="M116" i="53"/>
  <c r="N66" i="49"/>
  <c r="M116" i="56" s="1"/>
  <c r="K51" i="55"/>
  <c r="K51" i="54"/>
  <c r="L63" i="46"/>
  <c r="K53" i="56" s="1"/>
  <c r="K53" i="53"/>
  <c r="BN63" i="49"/>
  <c r="M72" i="53"/>
  <c r="N62" i="47"/>
  <c r="M72" i="56" s="1"/>
  <c r="M11" i="53"/>
  <c r="K32" i="53"/>
  <c r="L62" i="44"/>
  <c r="K32" i="56" s="1"/>
  <c r="K12" i="56" s="1"/>
  <c r="N51" i="55"/>
  <c r="N51" i="54"/>
  <c r="K138" i="53"/>
  <c r="L68" i="50"/>
  <c r="K138" i="56" s="1"/>
  <c r="M52" i="53"/>
  <c r="M12" i="53" s="1"/>
  <c r="N62" i="46"/>
  <c r="M52" i="56" s="1"/>
  <c r="K10" i="54"/>
  <c r="N12" i="53"/>
  <c r="I7" i="51"/>
  <c r="AJ37" i="49"/>
  <c r="J5" i="56"/>
  <c r="BN55" i="48"/>
  <c r="AB38" i="50"/>
  <c r="BN63" i="48"/>
  <c r="G5" i="56"/>
  <c r="E7" i="51"/>
  <c r="G5" i="57"/>
  <c r="I4" i="58"/>
  <c r="E5" i="56"/>
  <c r="J44" i="55"/>
  <c r="J4" i="55" s="1"/>
  <c r="J44" i="54"/>
  <c r="J4" i="54"/>
  <c r="I44" i="55"/>
  <c r="I4" i="55" s="1"/>
  <c r="I44" i="54"/>
  <c r="D56" i="44"/>
  <c r="C26" i="56" s="1"/>
  <c r="C26" i="53"/>
  <c r="C6" i="53" s="1"/>
  <c r="J5" i="57"/>
  <c r="M56" i="44"/>
  <c r="L26" i="56" s="1"/>
  <c r="L26" i="53"/>
  <c r="L6" i="53" s="1"/>
  <c r="J4" i="58"/>
  <c r="C4" i="58"/>
  <c r="Q55" i="44"/>
  <c r="P25" i="56" s="1"/>
  <c r="F5" i="56"/>
  <c r="P4" i="56"/>
  <c r="H5" i="56"/>
  <c r="K63" i="48"/>
  <c r="J93" i="53"/>
  <c r="K87" i="48"/>
  <c r="J93" i="57" s="1"/>
  <c r="D92" i="56"/>
  <c r="X86" i="48"/>
  <c r="D92" i="58" s="1"/>
  <c r="X62" i="48"/>
  <c r="D92" i="54" s="1"/>
  <c r="AR62" i="48"/>
  <c r="D92" i="55" s="1"/>
  <c r="L7" i="51"/>
  <c r="BD59" i="48"/>
  <c r="P89" i="55" s="1"/>
  <c r="O89" i="55"/>
  <c r="J94" i="51"/>
  <c r="K17" i="48"/>
  <c r="K40" i="48"/>
  <c r="G56" i="44"/>
  <c r="F26" i="56" s="1"/>
  <c r="F26" i="53"/>
  <c r="F6" i="53" s="1"/>
  <c r="K56" i="44"/>
  <c r="J26" i="56" s="1"/>
  <c r="J26" i="53"/>
  <c r="E44" i="54"/>
  <c r="E4" i="54" s="1"/>
  <c r="E44" i="55"/>
  <c r="E4" i="55" s="1"/>
  <c r="G4" i="58"/>
  <c r="Y31" i="47"/>
  <c r="P65" i="53"/>
  <c r="I56" i="44"/>
  <c r="H26" i="56" s="1"/>
  <c r="H26" i="53"/>
  <c r="H6" i="53" s="1"/>
  <c r="C5" i="57"/>
  <c r="AA38" i="48"/>
  <c r="P92" i="53"/>
  <c r="AK60" i="48"/>
  <c r="BP58" i="48" s="1"/>
  <c r="P90" i="54"/>
  <c r="K63" i="50"/>
  <c r="J133" i="56" s="1"/>
  <c r="J133" i="53"/>
  <c r="W55" i="44"/>
  <c r="C25" i="54" s="1"/>
  <c r="J56" i="44"/>
  <c r="I26" i="56" s="1"/>
  <c r="I26" i="53"/>
  <c r="I6" i="53" s="1"/>
  <c r="J92" i="56"/>
  <c r="AD86" i="48"/>
  <c r="J92" i="58" s="1"/>
  <c r="AD62" i="48"/>
  <c r="J92" i="54" s="1"/>
  <c r="AX62" i="48"/>
  <c r="J92" i="55" s="1"/>
  <c r="H44" i="55"/>
  <c r="H4" i="55" s="1"/>
  <c r="H44" i="54"/>
  <c r="H4" i="54" s="1"/>
  <c r="H4" i="58"/>
  <c r="AD31" i="46"/>
  <c r="P45" i="53"/>
  <c r="K56" i="47"/>
  <c r="J66" i="56" s="1"/>
  <c r="J66" i="53"/>
  <c r="H7" i="51"/>
  <c r="AF31" i="44"/>
  <c r="P25" i="53"/>
  <c r="D4" i="58"/>
  <c r="P30" i="46"/>
  <c r="O44" i="53" s="1"/>
  <c r="O44" i="51"/>
  <c r="O4" i="51" s="1"/>
  <c r="P37" i="48"/>
  <c r="O91" i="53" s="1"/>
  <c r="O91" i="51"/>
  <c r="AK60" i="49"/>
  <c r="BP58" i="49" s="1"/>
  <c r="P110" i="54"/>
  <c r="D5" i="56"/>
  <c r="D94" i="51"/>
  <c r="E17" i="48"/>
  <c r="E40" i="48"/>
  <c r="BW40" i="48"/>
  <c r="BT67" i="48" s="1"/>
  <c r="L94" i="51"/>
  <c r="AK53" i="47"/>
  <c r="BI58" i="47" s="1"/>
  <c r="P63" i="54"/>
  <c r="F44" i="55"/>
  <c r="F4" i="55" s="1"/>
  <c r="F44" i="54"/>
  <c r="F4" i="54" s="1"/>
  <c r="E5" i="57"/>
  <c r="F4" i="58"/>
  <c r="C44" i="55"/>
  <c r="C4" i="55" s="1"/>
  <c r="C44" i="54"/>
  <c r="C4" i="54" s="1"/>
  <c r="P3" i="58"/>
  <c r="E56" i="44"/>
  <c r="D26" i="56" s="1"/>
  <c r="D26" i="53"/>
  <c r="D6" i="53" s="1"/>
  <c r="P84" i="48"/>
  <c r="O90" i="57" s="1"/>
  <c r="O90" i="53"/>
  <c r="AF38" i="49"/>
  <c r="P112" i="53"/>
  <c r="BD59" i="50"/>
  <c r="P129" i="55" s="1"/>
  <c r="O129" i="55"/>
  <c r="AK60" i="50"/>
  <c r="BP58" i="50" s="1"/>
  <c r="P130" i="54"/>
  <c r="P4" i="53"/>
  <c r="D93" i="53"/>
  <c r="E87" i="48"/>
  <c r="D93" i="57" s="1"/>
  <c r="E63" i="48"/>
  <c r="I5" i="56"/>
  <c r="H56" i="46"/>
  <c r="G46" i="56" s="1"/>
  <c r="G46" i="53"/>
  <c r="BM63" i="50"/>
  <c r="D5" i="57"/>
  <c r="I5" i="57"/>
  <c r="K56" i="46"/>
  <c r="J46" i="56" s="1"/>
  <c r="J46" i="53"/>
  <c r="L44" i="55"/>
  <c r="L4" i="55" s="1"/>
  <c r="L44" i="54"/>
  <c r="L4" i="54" s="1"/>
  <c r="H5" i="57"/>
  <c r="AK53" i="44"/>
  <c r="BI58" i="44" s="1"/>
  <c r="P23" i="54"/>
  <c r="G7" i="51"/>
  <c r="D7" i="51"/>
  <c r="K63" i="49"/>
  <c r="J113" i="56" s="1"/>
  <c r="J113" i="53"/>
  <c r="D44" i="55"/>
  <c r="D4" i="55" s="1"/>
  <c r="D44" i="54"/>
  <c r="D4" i="54" s="1"/>
  <c r="F56" i="44"/>
  <c r="E26" i="56" s="1"/>
  <c r="E26" i="53"/>
  <c r="E6" i="53" s="1"/>
  <c r="H56" i="44"/>
  <c r="G26" i="56" s="1"/>
  <c r="G26" i="53"/>
  <c r="L4" i="58"/>
  <c r="I4" i="54"/>
  <c r="G44" i="55"/>
  <c r="G4" i="55" s="1"/>
  <c r="G44" i="54"/>
  <c r="G4" i="54" s="1"/>
  <c r="P77" i="46"/>
  <c r="O43" i="57" s="1"/>
  <c r="O43" i="53"/>
  <c r="O3" i="53" s="1"/>
  <c r="CA39" i="48"/>
  <c r="L93" i="53"/>
  <c r="BD58" i="50"/>
  <c r="P128" i="55" s="1"/>
  <c r="O128" i="55"/>
  <c r="BD59" i="49"/>
  <c r="P109" i="55" s="1"/>
  <c r="O109" i="55"/>
  <c r="AQ38" i="50"/>
  <c r="BR59" i="50" s="1"/>
  <c r="P132" i="53"/>
  <c r="L5" i="56"/>
  <c r="G5" i="53"/>
  <c r="J5" i="53"/>
  <c r="Q86" i="49"/>
  <c r="P112" i="57" s="1"/>
  <c r="AJ37" i="50"/>
  <c r="Y38" i="49"/>
  <c r="AD38" i="49"/>
  <c r="AB38" i="49"/>
  <c r="X38" i="49"/>
  <c r="AA38" i="49"/>
  <c r="J63" i="49"/>
  <c r="I113" i="56" s="1"/>
  <c r="J87" i="49"/>
  <c r="I113" i="57" s="1"/>
  <c r="W62" i="49"/>
  <c r="C112" i="54" s="1"/>
  <c r="W86" i="49"/>
  <c r="C112" i="58" s="1"/>
  <c r="Q62" i="49"/>
  <c r="P112" i="56" s="1"/>
  <c r="AQ62" i="49"/>
  <c r="C112" i="55" s="1"/>
  <c r="AU37" i="49"/>
  <c r="BQ59" i="49"/>
  <c r="D87" i="50"/>
  <c r="C133" i="57" s="1"/>
  <c r="D63" i="50"/>
  <c r="C133" i="56" s="1"/>
  <c r="Q39" i="50"/>
  <c r="AB39" i="50" s="1"/>
  <c r="P37" i="50"/>
  <c r="O131" i="53" s="1"/>
  <c r="AI13" i="50"/>
  <c r="BO37" i="50"/>
  <c r="BQ64" i="50" s="1"/>
  <c r="BU37" i="50"/>
  <c r="BQ66" i="50" s="1"/>
  <c r="F87" i="49"/>
  <c r="E113" i="57" s="1"/>
  <c r="F63" i="49"/>
  <c r="E113" i="56" s="1"/>
  <c r="AJ61" i="49"/>
  <c r="AC38" i="49"/>
  <c r="AJ61" i="50"/>
  <c r="J40" i="49"/>
  <c r="I114" i="53" s="1"/>
  <c r="J17" i="49"/>
  <c r="I115" i="51" s="1"/>
  <c r="AA63" i="49"/>
  <c r="G113" i="54" s="1"/>
  <c r="H63" i="49"/>
  <c r="G113" i="56" s="1"/>
  <c r="H87" i="49"/>
  <c r="G113" i="57" s="1"/>
  <c r="Q86" i="50"/>
  <c r="P132" i="57" s="1"/>
  <c r="AC86" i="49"/>
  <c r="I112" i="58" s="1"/>
  <c r="AC62" i="49"/>
  <c r="I112" i="54" s="1"/>
  <c r="AW62" i="49"/>
  <c r="I112" i="55" s="1"/>
  <c r="D63" i="49"/>
  <c r="C113" i="56" s="1"/>
  <c r="D87" i="49"/>
  <c r="C113" i="57" s="1"/>
  <c r="Q39" i="49"/>
  <c r="AR62" i="50"/>
  <c r="D132" i="55" s="1"/>
  <c r="X62" i="50"/>
  <c r="D132" i="54" s="1"/>
  <c r="X86" i="50"/>
  <c r="D132" i="58" s="1"/>
  <c r="AD86" i="50"/>
  <c r="J132" i="58" s="1"/>
  <c r="AD62" i="50"/>
  <c r="J132" i="54" s="1"/>
  <c r="AX62" i="50"/>
  <c r="J132" i="55" s="1"/>
  <c r="K17" i="49"/>
  <c r="J115" i="51" s="1"/>
  <c r="K40" i="49"/>
  <c r="E87" i="50"/>
  <c r="D133" i="57" s="1"/>
  <c r="E63" i="50"/>
  <c r="D133" i="56" s="1"/>
  <c r="X86" i="49"/>
  <c r="D112" i="58" s="1"/>
  <c r="X62" i="49"/>
  <c r="D112" i="54" s="1"/>
  <c r="AR62" i="49"/>
  <c r="D112" i="55" s="1"/>
  <c r="H40" i="50"/>
  <c r="G134" i="53" s="1"/>
  <c r="H17" i="50"/>
  <c r="G135" i="51" s="1"/>
  <c r="BW40" i="50"/>
  <c r="BT67" i="50" s="1"/>
  <c r="Z38" i="49"/>
  <c r="G63" i="50"/>
  <c r="F133" i="56" s="1"/>
  <c r="G87" i="50"/>
  <c r="F133" i="57" s="1"/>
  <c r="AC86" i="50"/>
  <c r="I132" i="58" s="1"/>
  <c r="AC62" i="50"/>
  <c r="I132" i="54" s="1"/>
  <c r="AW62" i="50"/>
  <c r="I132" i="55" s="1"/>
  <c r="AA86" i="49"/>
  <c r="G112" i="58" s="1"/>
  <c r="AU62" i="49"/>
  <c r="G112" i="55" s="1"/>
  <c r="J40" i="50"/>
  <c r="I134" i="53" s="1"/>
  <c r="J17" i="50"/>
  <c r="I135" i="51" s="1"/>
  <c r="AB86" i="49"/>
  <c r="H112" i="58" s="1"/>
  <c r="AB62" i="49"/>
  <c r="H112" i="54" s="1"/>
  <c r="AV62" i="49"/>
  <c r="H112" i="55" s="1"/>
  <c r="I63" i="50"/>
  <c r="H133" i="56" s="1"/>
  <c r="I87" i="50"/>
  <c r="H133" i="57" s="1"/>
  <c r="BR40" i="49"/>
  <c r="BT65" i="49" s="1"/>
  <c r="D40" i="49"/>
  <c r="C114" i="53" s="1"/>
  <c r="D17" i="49"/>
  <c r="C115" i="51" s="1"/>
  <c r="Q16" i="49"/>
  <c r="P114" i="51" s="1"/>
  <c r="G17" i="50"/>
  <c r="F135" i="51" s="1"/>
  <c r="G40" i="50"/>
  <c r="F134" i="53" s="1"/>
  <c r="I40" i="50"/>
  <c r="H134" i="53" s="1"/>
  <c r="I17" i="50"/>
  <c r="H135" i="51" s="1"/>
  <c r="M40" i="50"/>
  <c r="L134" i="53" s="1"/>
  <c r="M17" i="50"/>
  <c r="L135" i="51" s="1"/>
  <c r="Z62" i="50"/>
  <c r="F132" i="54" s="1"/>
  <c r="Z86" i="50"/>
  <c r="F132" i="58" s="1"/>
  <c r="AT62" i="50"/>
  <c r="F132" i="55" s="1"/>
  <c r="H87" i="50"/>
  <c r="G133" i="57" s="1"/>
  <c r="AA63" i="50"/>
  <c r="G133" i="54" s="1"/>
  <c r="H63" i="50"/>
  <c r="G133" i="56" s="1"/>
  <c r="Z86" i="49"/>
  <c r="F112" i="58" s="1"/>
  <c r="Z62" i="49"/>
  <c r="F112" i="54" s="1"/>
  <c r="AT62" i="49"/>
  <c r="F112" i="55" s="1"/>
  <c r="AJ12" i="50"/>
  <c r="AA86" i="50"/>
  <c r="G132" i="58" s="1"/>
  <c r="AU62" i="50"/>
  <c r="G132" i="55" s="1"/>
  <c r="BO55" i="50"/>
  <c r="J87" i="50"/>
  <c r="I133" i="57" s="1"/>
  <c r="J63" i="50"/>
  <c r="I133" i="56" s="1"/>
  <c r="AD86" i="49"/>
  <c r="J112" i="58" s="1"/>
  <c r="AD62" i="49"/>
  <c r="J112" i="54" s="1"/>
  <c r="AX62" i="49"/>
  <c r="J112" i="55" s="1"/>
  <c r="E40" i="49"/>
  <c r="D114" i="53" s="1"/>
  <c r="E17" i="49"/>
  <c r="D115" i="51" s="1"/>
  <c r="M63" i="50"/>
  <c r="L133" i="56" s="1"/>
  <c r="M87" i="50"/>
  <c r="L133" i="57" s="1"/>
  <c r="P84" i="50"/>
  <c r="O130" i="57" s="1"/>
  <c r="AI36" i="50"/>
  <c r="Y62" i="49"/>
  <c r="E112" i="54" s="1"/>
  <c r="Y86" i="49"/>
  <c r="E112" i="58" s="1"/>
  <c r="AS62" i="49"/>
  <c r="E112" i="55" s="1"/>
  <c r="G40" i="49"/>
  <c r="F114" i="53" s="1"/>
  <c r="G17" i="49"/>
  <c r="F115" i="51" s="1"/>
  <c r="F17" i="50"/>
  <c r="E135" i="51" s="1"/>
  <c r="F40" i="50"/>
  <c r="E134" i="53" s="1"/>
  <c r="K87" i="49"/>
  <c r="J113" i="57" s="1"/>
  <c r="CA39" i="49"/>
  <c r="E63" i="49"/>
  <c r="D113" i="56" s="1"/>
  <c r="E87" i="49"/>
  <c r="D113" i="57" s="1"/>
  <c r="M87" i="49"/>
  <c r="L113" i="57" s="1"/>
  <c r="M63" i="49"/>
  <c r="L113" i="56" s="1"/>
  <c r="G87" i="49"/>
  <c r="F113" i="57" s="1"/>
  <c r="G63" i="49"/>
  <c r="F113" i="56" s="1"/>
  <c r="F87" i="50"/>
  <c r="E133" i="57" s="1"/>
  <c r="F63" i="50"/>
  <c r="E133" i="56" s="1"/>
  <c r="AB62" i="50"/>
  <c r="H132" i="54" s="1"/>
  <c r="AB86" i="50"/>
  <c r="H132" i="58" s="1"/>
  <c r="AV62" i="50"/>
  <c r="H132" i="55" s="1"/>
  <c r="P84" i="49"/>
  <c r="O110" i="57" s="1"/>
  <c r="AI36" i="49"/>
  <c r="E17" i="50"/>
  <c r="D135" i="51" s="1"/>
  <c r="E40" i="50"/>
  <c r="D134" i="53" s="1"/>
  <c r="AI13" i="49"/>
  <c r="BO37" i="49"/>
  <c r="BQ64" i="49" s="1"/>
  <c r="BU37" i="49"/>
  <c r="BQ66" i="49" s="1"/>
  <c r="P37" i="49"/>
  <c r="O111" i="53" s="1"/>
  <c r="K40" i="50"/>
  <c r="K17" i="50"/>
  <c r="J135" i="51" s="1"/>
  <c r="AF62" i="49"/>
  <c r="L112" i="54" s="1"/>
  <c r="AZ62" i="49"/>
  <c r="L112" i="55" s="1"/>
  <c r="AF86" i="49"/>
  <c r="L112" i="58" s="1"/>
  <c r="Y86" i="50"/>
  <c r="E132" i="58" s="1"/>
  <c r="Y62" i="50"/>
  <c r="E132" i="54" s="1"/>
  <c r="AS62" i="50"/>
  <c r="E132" i="55" s="1"/>
  <c r="M17" i="49"/>
  <c r="L115" i="51" s="1"/>
  <c r="M40" i="49"/>
  <c r="L114" i="53" s="1"/>
  <c r="I40" i="49"/>
  <c r="H114" i="53" s="1"/>
  <c r="I17" i="49"/>
  <c r="H115" i="51" s="1"/>
  <c r="AJ12" i="49"/>
  <c r="BC60" i="49"/>
  <c r="AF62" i="50"/>
  <c r="L132" i="54" s="1"/>
  <c r="AF86" i="50"/>
  <c r="L132" i="58" s="1"/>
  <c r="AZ62" i="50"/>
  <c r="L132" i="55" s="1"/>
  <c r="X38" i="50"/>
  <c r="BR68" i="50"/>
  <c r="AT38" i="50"/>
  <c r="BR62" i="50" s="1"/>
  <c r="BJ14" i="50"/>
  <c r="BK14" i="50" s="1"/>
  <c r="BL14" i="50" s="1"/>
  <c r="P14" i="50" s="1"/>
  <c r="O132" i="51" s="1"/>
  <c r="AH38" i="50"/>
  <c r="AR38" i="50"/>
  <c r="BR60" i="50" s="1"/>
  <c r="AE38" i="50"/>
  <c r="AG38" i="50"/>
  <c r="BR69" i="50"/>
  <c r="AQ38" i="49"/>
  <c r="BR68" i="49"/>
  <c r="BR69" i="49"/>
  <c r="AR38" i="49"/>
  <c r="BR60" i="49" s="1"/>
  <c r="AT38" i="49"/>
  <c r="BR62" i="49" s="1"/>
  <c r="BJ14" i="49"/>
  <c r="BK14" i="49" s="1"/>
  <c r="BL14" i="49" s="1"/>
  <c r="P14" i="49" s="1"/>
  <c r="O112" i="51" s="1"/>
  <c r="AE38" i="49"/>
  <c r="AH38" i="49"/>
  <c r="AG38" i="49"/>
  <c r="D17" i="50"/>
  <c r="C135" i="51" s="1"/>
  <c r="D40" i="50"/>
  <c r="C134" i="53" s="1"/>
  <c r="BR40" i="50"/>
  <c r="BT65" i="50" s="1"/>
  <c r="Q16" i="50"/>
  <c r="P134" i="51" s="1"/>
  <c r="K87" i="50"/>
  <c r="J133" i="57" s="1"/>
  <c r="CA39" i="50"/>
  <c r="F40" i="49"/>
  <c r="E114" i="53" s="1"/>
  <c r="F17" i="49"/>
  <c r="E115" i="51" s="1"/>
  <c r="AU37" i="50"/>
  <c r="AJ85" i="49"/>
  <c r="P111" i="58" s="1"/>
  <c r="AJ85" i="50"/>
  <c r="P131" i="58" s="1"/>
  <c r="I87" i="49"/>
  <c r="H113" i="57" s="1"/>
  <c r="I63" i="49"/>
  <c r="H113" i="56" s="1"/>
  <c r="H40" i="49"/>
  <c r="G114" i="53" s="1"/>
  <c r="H17" i="49"/>
  <c r="G115" i="51" s="1"/>
  <c r="BW40" i="49"/>
  <c r="BT67" i="49" s="1"/>
  <c r="W86" i="50"/>
  <c r="C132" i="58" s="1"/>
  <c r="W62" i="50"/>
  <c r="C132" i="54" s="1"/>
  <c r="Q62" i="50"/>
  <c r="P132" i="56" s="1"/>
  <c r="AQ62" i="50"/>
  <c r="C132" i="55" s="1"/>
  <c r="H78" i="43"/>
  <c r="BI57" i="43" a="1"/>
  <c r="BI57" i="43" s="1"/>
  <c r="BX32" i="43"/>
  <c r="K78" i="43"/>
  <c r="AU37" i="48"/>
  <c r="AR38" i="48"/>
  <c r="BR60" i="48" s="1"/>
  <c r="AJ37" i="48"/>
  <c r="AI13" i="48"/>
  <c r="AJ13" i="48" s="1"/>
  <c r="BO37" i="48"/>
  <c r="BQ64" i="48" s="1"/>
  <c r="BU37" i="48"/>
  <c r="BQ66" i="48" s="1"/>
  <c r="Q86" i="48"/>
  <c r="P92" i="57" s="1"/>
  <c r="AI36" i="48"/>
  <c r="X38" i="48"/>
  <c r="Y38" i="48"/>
  <c r="AT38" i="48"/>
  <c r="BR62" i="48" s="1"/>
  <c r="AG38" i="48"/>
  <c r="AF38" i="48"/>
  <c r="Z38" i="48"/>
  <c r="BR68" i="48"/>
  <c r="AS38" i="48"/>
  <c r="BR61" i="48" s="1"/>
  <c r="BR69" i="48"/>
  <c r="AQ38" i="48"/>
  <c r="BR59" i="48" s="1"/>
  <c r="AH38" i="48"/>
  <c r="AD38" i="48"/>
  <c r="BJ14" i="48"/>
  <c r="BK14" i="48" s="1"/>
  <c r="BL14" i="48" s="1"/>
  <c r="P14" i="48" s="1"/>
  <c r="W38" i="48"/>
  <c r="AB38" i="48"/>
  <c r="AC38" i="48"/>
  <c r="AE38" i="48"/>
  <c r="AJ85" i="48"/>
  <c r="P91" i="58" s="1"/>
  <c r="Q62" i="48"/>
  <c r="P92" i="56" s="1"/>
  <c r="AJ61" i="48"/>
  <c r="L92" i="50"/>
  <c r="K138" i="57" s="1"/>
  <c r="AX41" i="50"/>
  <c r="AP42" i="50"/>
  <c r="AZ41" i="50"/>
  <c r="AW41" i="50"/>
  <c r="AU21" i="50"/>
  <c r="BD20" i="50"/>
  <c r="N91" i="50"/>
  <c r="M137" i="57" s="1"/>
  <c r="BX44" i="50"/>
  <c r="N44" i="50"/>
  <c r="N21" i="50"/>
  <c r="B68" i="50"/>
  <c r="U68" i="50" s="1"/>
  <c r="AO68" i="50" s="1"/>
  <c r="B44" i="50"/>
  <c r="B21" i="50"/>
  <c r="U20" i="50"/>
  <c r="AO20" i="50" s="1"/>
  <c r="BH20" i="50" s="1"/>
  <c r="O44" i="50"/>
  <c r="N138" i="53" s="1"/>
  <c r="O21" i="50"/>
  <c r="B91" i="50"/>
  <c r="U43" i="50"/>
  <c r="U91" i="50" s="1"/>
  <c r="C67" i="50"/>
  <c r="V67" i="50" s="1"/>
  <c r="AP67" i="50" s="1"/>
  <c r="C43" i="50"/>
  <c r="C20" i="50"/>
  <c r="V19" i="50"/>
  <c r="AP19" i="50" s="1"/>
  <c r="BI19" i="50" s="1"/>
  <c r="AH90" i="50"/>
  <c r="N136" i="58" s="1"/>
  <c r="AH66" i="50"/>
  <c r="N136" i="54" s="1"/>
  <c r="BB66" i="50"/>
  <c r="N136" i="55" s="1"/>
  <c r="AE91" i="50"/>
  <c r="K137" i="58" s="1"/>
  <c r="AE67" i="50"/>
  <c r="K137" i="54" s="1"/>
  <c r="AY67" i="50"/>
  <c r="K137" i="55" s="1"/>
  <c r="O91" i="50"/>
  <c r="N137" i="57" s="1"/>
  <c r="O67" i="50"/>
  <c r="N137" i="56" s="1"/>
  <c r="L45" i="50"/>
  <c r="L22" i="50"/>
  <c r="C90" i="50"/>
  <c r="V42" i="50"/>
  <c r="V90" i="50" s="1"/>
  <c r="BA40" i="50"/>
  <c r="AG90" i="50"/>
  <c r="M136" i="58" s="1"/>
  <c r="AG66" i="50"/>
  <c r="M136" i="54" s="1"/>
  <c r="BA66" i="50"/>
  <c r="M136" i="55" s="1"/>
  <c r="AE89" i="49"/>
  <c r="K115" i="58" s="1"/>
  <c r="AE65" i="49"/>
  <c r="K115" i="54" s="1"/>
  <c r="AY65" i="49"/>
  <c r="K115" i="55" s="1"/>
  <c r="AG89" i="49"/>
  <c r="M115" i="58" s="1"/>
  <c r="AG65" i="49"/>
  <c r="M115" i="54" s="1"/>
  <c r="BA65" i="49"/>
  <c r="M115" i="55" s="1"/>
  <c r="AH89" i="49"/>
  <c r="N115" i="58" s="1"/>
  <c r="AH65" i="49"/>
  <c r="N115" i="54" s="1"/>
  <c r="BB65" i="49"/>
  <c r="N115" i="55" s="1"/>
  <c r="AP42" i="49"/>
  <c r="AX41" i="49"/>
  <c r="AZ41" i="49"/>
  <c r="AW41" i="49"/>
  <c r="C68" i="49"/>
  <c r="V68" i="49" s="1"/>
  <c r="AP68" i="49" s="1"/>
  <c r="C44" i="49"/>
  <c r="V20" i="49"/>
  <c r="AP20" i="49" s="1"/>
  <c r="BI20" i="49" s="1"/>
  <c r="C21" i="49"/>
  <c r="BA40" i="49"/>
  <c r="B68" i="49"/>
  <c r="U68" i="49" s="1"/>
  <c r="AO68" i="49" s="1"/>
  <c r="B44" i="49"/>
  <c r="U20" i="49"/>
  <c r="AO20" i="49" s="1"/>
  <c r="BH20" i="49" s="1"/>
  <c r="B21" i="49"/>
  <c r="C91" i="49"/>
  <c r="V43" i="49"/>
  <c r="V91" i="49" s="1"/>
  <c r="B91" i="49"/>
  <c r="U43" i="49"/>
  <c r="U91" i="49" s="1"/>
  <c r="O43" i="49"/>
  <c r="N117" i="53" s="1"/>
  <c r="O20" i="49"/>
  <c r="L43" i="49"/>
  <c r="L20" i="49"/>
  <c r="BX43" i="49"/>
  <c r="N43" i="49"/>
  <c r="N20" i="49"/>
  <c r="O90" i="49"/>
  <c r="N116" i="57" s="1"/>
  <c r="O66" i="49"/>
  <c r="N116" i="56" s="1"/>
  <c r="BD23" i="49"/>
  <c r="BD22" i="49"/>
  <c r="L90" i="49"/>
  <c r="K116" i="57" s="1"/>
  <c r="N90" i="49"/>
  <c r="M116" i="57" s="1"/>
  <c r="Q16" i="48"/>
  <c r="P94" i="51" s="1"/>
  <c r="M40" i="48"/>
  <c r="M17" i="48"/>
  <c r="Y86" i="48"/>
  <c r="E92" i="58" s="1"/>
  <c r="Y62" i="48"/>
  <c r="E92" i="54" s="1"/>
  <c r="AS62" i="48"/>
  <c r="E92" i="55" s="1"/>
  <c r="Z86" i="48"/>
  <c r="F92" i="58" s="1"/>
  <c r="Z62" i="48"/>
  <c r="F92" i="54" s="1"/>
  <c r="AT62" i="48"/>
  <c r="F92" i="55" s="1"/>
  <c r="AD31" i="44"/>
  <c r="M63" i="48"/>
  <c r="L93" i="56" s="1"/>
  <c r="M87" i="48"/>
  <c r="L93" i="57" s="1"/>
  <c r="G40" i="48"/>
  <c r="F94" i="53" s="1"/>
  <c r="G17" i="48"/>
  <c r="F95" i="51" s="1"/>
  <c r="BR40" i="48"/>
  <c r="BT65" i="48" s="1"/>
  <c r="F87" i="48"/>
  <c r="E93" i="57" s="1"/>
  <c r="F63" i="48"/>
  <c r="E93" i="56" s="1"/>
  <c r="AF86" i="48"/>
  <c r="L92" i="58" s="1"/>
  <c r="AF62" i="48"/>
  <c r="L92" i="54" s="1"/>
  <c r="AZ62" i="48"/>
  <c r="L92" i="55" s="1"/>
  <c r="G87" i="48"/>
  <c r="F93" i="57" s="1"/>
  <c r="G63" i="48"/>
  <c r="F93" i="56" s="1"/>
  <c r="Q39" i="48"/>
  <c r="F40" i="48"/>
  <c r="E94" i="53" s="1"/>
  <c r="F17" i="48"/>
  <c r="E95" i="51" s="1"/>
  <c r="J41" i="48"/>
  <c r="I95" i="53" s="1"/>
  <c r="J18" i="48"/>
  <c r="I96" i="51" s="1"/>
  <c r="I88" i="48"/>
  <c r="H94" i="57" s="1"/>
  <c r="I64" i="48"/>
  <c r="H94" i="56" s="1"/>
  <c r="AA87" i="48"/>
  <c r="G93" i="58" s="1"/>
  <c r="AU63" i="48"/>
  <c r="G93" i="55" s="1"/>
  <c r="AH89" i="48"/>
  <c r="N95" i="58" s="1"/>
  <c r="AH65" i="48"/>
  <c r="N95" i="54" s="1"/>
  <c r="BB65" i="48"/>
  <c r="N95" i="55" s="1"/>
  <c r="AC87" i="48"/>
  <c r="I93" i="58" s="1"/>
  <c r="AC63" i="48"/>
  <c r="I93" i="54" s="1"/>
  <c r="AW63" i="48"/>
  <c r="I93" i="55" s="1"/>
  <c r="N89" i="48"/>
  <c r="M95" i="57" s="1"/>
  <c r="D41" i="48"/>
  <c r="C95" i="53" s="1"/>
  <c r="D18" i="48"/>
  <c r="C96" i="51" s="1"/>
  <c r="BC60" i="48"/>
  <c r="AG88" i="48"/>
  <c r="M94" i="58" s="1"/>
  <c r="AG64" i="48"/>
  <c r="M94" i="54" s="1"/>
  <c r="BA64" i="48"/>
  <c r="M94" i="55" s="1"/>
  <c r="BO63" i="48"/>
  <c r="BO55" i="48"/>
  <c r="B66" i="48"/>
  <c r="U66" i="48" s="1"/>
  <c r="AO66" i="48" s="1"/>
  <c r="B42" i="48"/>
  <c r="B19" i="48"/>
  <c r="U18" i="48"/>
  <c r="AO18" i="48" s="1"/>
  <c r="BH18" i="48" s="1"/>
  <c r="AE87" i="48"/>
  <c r="K93" i="58" s="1"/>
  <c r="AE63" i="48"/>
  <c r="K93" i="54" s="1"/>
  <c r="AY63" i="48"/>
  <c r="K93" i="55" s="1"/>
  <c r="BD17" i="48"/>
  <c r="AU18" i="48"/>
  <c r="C88" i="48"/>
  <c r="V40" i="48"/>
  <c r="V88" i="48" s="1"/>
  <c r="O43" i="48"/>
  <c r="N97" i="53" s="1"/>
  <c r="O20" i="48"/>
  <c r="O90" i="48"/>
  <c r="N96" i="57" s="1"/>
  <c r="O66" i="48"/>
  <c r="N96" i="56" s="1"/>
  <c r="I41" i="48"/>
  <c r="H95" i="53" s="1"/>
  <c r="I18" i="48"/>
  <c r="H96" i="51" s="1"/>
  <c r="AB87" i="48"/>
  <c r="H93" i="58" s="1"/>
  <c r="AB63" i="48"/>
  <c r="H93" i="54" s="1"/>
  <c r="AV63" i="48"/>
  <c r="H93" i="55" s="1"/>
  <c r="AZ39" i="48"/>
  <c r="AX39" i="48"/>
  <c r="AW39" i="48"/>
  <c r="AP40" i="48"/>
  <c r="BX42" i="48"/>
  <c r="N42" i="48"/>
  <c r="N19" i="48"/>
  <c r="B89" i="48"/>
  <c r="U41" i="48"/>
  <c r="U89" i="48" s="1"/>
  <c r="L88" i="48"/>
  <c r="K94" i="57" s="1"/>
  <c r="H41" i="48"/>
  <c r="G95" i="53" s="1"/>
  <c r="H18" i="48"/>
  <c r="G96" i="51" s="1"/>
  <c r="D88" i="48"/>
  <c r="C94" i="57" s="1"/>
  <c r="D64" i="48"/>
  <c r="C94" i="56" s="1"/>
  <c r="J88" i="48"/>
  <c r="I94" i="57" s="1"/>
  <c r="J64" i="48"/>
  <c r="I94" i="56" s="1"/>
  <c r="BA38" i="48"/>
  <c r="W87" i="48"/>
  <c r="C93" i="58" s="1"/>
  <c r="W63" i="48"/>
  <c r="C93" i="54" s="1"/>
  <c r="AQ63" i="48"/>
  <c r="C93" i="55" s="1"/>
  <c r="C65" i="48"/>
  <c r="V65" i="48" s="1"/>
  <c r="AP65" i="48" s="1"/>
  <c r="C41" i="48"/>
  <c r="C18" i="48"/>
  <c r="V17" i="48"/>
  <c r="AP17" i="48" s="1"/>
  <c r="BI17" i="48" s="1"/>
  <c r="P85" i="48"/>
  <c r="O91" i="57" s="1"/>
  <c r="AI37" i="48"/>
  <c r="L41" i="48"/>
  <c r="L18" i="48"/>
  <c r="H88" i="48"/>
  <c r="G94" i="57" s="1"/>
  <c r="AA64" i="48"/>
  <c r="G94" i="54" s="1"/>
  <c r="H64" i="48"/>
  <c r="G94" i="56" s="1"/>
  <c r="X31" i="44"/>
  <c r="BC53" i="44"/>
  <c r="AI29" i="46"/>
  <c r="AJ30" i="46"/>
  <c r="AJ54" i="47"/>
  <c r="BU30" i="46"/>
  <c r="BJ66" i="46" s="1"/>
  <c r="AI6" i="46"/>
  <c r="AJ6" i="46" s="1"/>
  <c r="BO30" i="46"/>
  <c r="BJ64" i="46" s="1"/>
  <c r="AJ30" i="47"/>
  <c r="AU30" i="47"/>
  <c r="BJ7" i="47"/>
  <c r="BK7" i="47" s="1"/>
  <c r="BL7" i="47" s="1"/>
  <c r="P7" i="47" s="1"/>
  <c r="AT31" i="47"/>
  <c r="BK62" i="47" s="1"/>
  <c r="AB31" i="47"/>
  <c r="AA31" i="46"/>
  <c r="AJ30" i="44"/>
  <c r="J54" i="43"/>
  <c r="AC78" i="43" s="1"/>
  <c r="J78" i="43"/>
  <c r="F10" i="44"/>
  <c r="E28" i="51" s="1"/>
  <c r="F33" i="44"/>
  <c r="X79" i="46"/>
  <c r="D45" i="58" s="1"/>
  <c r="X55" i="46"/>
  <c r="AR55" i="46"/>
  <c r="AC31" i="46"/>
  <c r="BK68" i="46"/>
  <c r="AH31" i="46"/>
  <c r="BK69" i="46"/>
  <c r="AG31" i="46"/>
  <c r="AE31" i="46"/>
  <c r="K33" i="47"/>
  <c r="K10" i="47"/>
  <c r="J68" i="51" s="1"/>
  <c r="AQ31" i="44"/>
  <c r="BK69" i="44"/>
  <c r="AH31" i="44"/>
  <c r="AG31" i="44"/>
  <c r="AE31" i="44"/>
  <c r="BK68" i="44"/>
  <c r="AJ5" i="47"/>
  <c r="AC31" i="44"/>
  <c r="Z31" i="47"/>
  <c r="AJ78" i="47"/>
  <c r="P64" i="58" s="1"/>
  <c r="H80" i="46"/>
  <c r="G46" i="57" s="1"/>
  <c r="AA56" i="46"/>
  <c r="W55" i="46"/>
  <c r="Q55" i="46"/>
  <c r="P45" i="56" s="1"/>
  <c r="W79" i="46"/>
  <c r="C45" i="58" s="1"/>
  <c r="AQ55" i="46"/>
  <c r="AA79" i="47"/>
  <c r="G65" i="58" s="1"/>
  <c r="AU55" i="47"/>
  <c r="G65" i="55" s="1"/>
  <c r="F33" i="47"/>
  <c r="E67" i="53" s="1"/>
  <c r="F10" i="47"/>
  <c r="E68" i="51" s="1"/>
  <c r="AQ31" i="47"/>
  <c r="AF31" i="46"/>
  <c r="I80" i="44"/>
  <c r="H26" i="57" s="1"/>
  <c r="F33" i="46"/>
  <c r="E47" i="53" s="1"/>
  <c r="F10" i="46"/>
  <c r="E48" i="51" s="1"/>
  <c r="AU30" i="44"/>
  <c r="E80" i="44"/>
  <c r="D26" i="57" s="1"/>
  <c r="P30" i="44"/>
  <c r="O24" i="53" s="1"/>
  <c r="AI6" i="44"/>
  <c r="BU30" i="44"/>
  <c r="BJ66" i="44" s="1"/>
  <c r="BO30" i="44"/>
  <c r="BJ64" i="44" s="1"/>
  <c r="D80" i="44"/>
  <c r="C26" i="57" s="1"/>
  <c r="Q32" i="44"/>
  <c r="F56" i="46"/>
  <c r="E46" i="56" s="1"/>
  <c r="F80" i="46"/>
  <c r="E46" i="57" s="1"/>
  <c r="M80" i="47"/>
  <c r="L66" i="57" s="1"/>
  <c r="M56" i="47"/>
  <c r="L66" i="56" s="1"/>
  <c r="G33" i="44"/>
  <c r="G10" i="44"/>
  <c r="F28" i="51" s="1"/>
  <c r="G54" i="43"/>
  <c r="Z78" i="43" s="1"/>
  <c r="G78" i="43"/>
  <c r="F54" i="43"/>
  <c r="Y78" i="43" s="1"/>
  <c r="F78" i="43"/>
  <c r="AE79" i="43"/>
  <c r="L79" i="43"/>
  <c r="AT31" i="46"/>
  <c r="BK62" i="46" s="1"/>
  <c r="AR31" i="44"/>
  <c r="BK60" i="44" s="1"/>
  <c r="AC79" i="44"/>
  <c r="I25" i="58" s="1"/>
  <c r="AC55" i="44"/>
  <c r="I25" i="54" s="1"/>
  <c r="AW55" i="44"/>
  <c r="I25" i="55" s="1"/>
  <c r="AS31" i="47"/>
  <c r="BK61" i="47" s="1"/>
  <c r="M33" i="46"/>
  <c r="L47" i="53" s="1"/>
  <c r="M10" i="46"/>
  <c r="L48" i="51" s="1"/>
  <c r="Y31" i="44"/>
  <c r="H33" i="46"/>
  <c r="H10" i="46"/>
  <c r="G48" i="51" s="1"/>
  <c r="BW33" i="46"/>
  <c r="BM67" i="46" s="1"/>
  <c r="AB31" i="44"/>
  <c r="F80" i="47"/>
  <c r="E66" i="57" s="1"/>
  <c r="F56" i="47"/>
  <c r="E66" i="56" s="1"/>
  <c r="W31" i="47"/>
  <c r="AC31" i="47"/>
  <c r="AF79" i="46"/>
  <c r="L45" i="58" s="1"/>
  <c r="AF55" i="46"/>
  <c r="AZ55" i="46"/>
  <c r="P30" i="47"/>
  <c r="O64" i="53" s="1"/>
  <c r="AI6" i="47"/>
  <c r="BO30" i="47"/>
  <c r="BJ64" i="47" s="1"/>
  <c r="BU30" i="47"/>
  <c r="BJ66" i="47" s="1"/>
  <c r="AD55" i="44"/>
  <c r="J25" i="54" s="1"/>
  <c r="AD79" i="44"/>
  <c r="J25" i="58" s="1"/>
  <c r="AX55" i="44"/>
  <c r="J25" i="55" s="1"/>
  <c r="BR33" i="46"/>
  <c r="BM65" i="46" s="1"/>
  <c r="D33" i="46"/>
  <c r="C47" i="53" s="1"/>
  <c r="Q9" i="46"/>
  <c r="P47" i="51" s="1"/>
  <c r="D10" i="46"/>
  <c r="C48" i="51" s="1"/>
  <c r="I33" i="44"/>
  <c r="I10" i="44"/>
  <c r="H28" i="51" s="1"/>
  <c r="AB55" i="47"/>
  <c r="H65" i="54" s="1"/>
  <c r="AB79" i="47"/>
  <c r="H65" i="58" s="1"/>
  <c r="AV55" i="47"/>
  <c r="H65" i="55" s="1"/>
  <c r="E10" i="44"/>
  <c r="D28" i="51" s="1"/>
  <c r="E33" i="44"/>
  <c r="AG79" i="43"/>
  <c r="N79" i="43"/>
  <c r="AS31" i="44"/>
  <c r="BK61" i="44" s="1"/>
  <c r="J80" i="47"/>
  <c r="I66" i="57" s="1"/>
  <c r="J56" i="47"/>
  <c r="I66" i="56" s="1"/>
  <c r="I80" i="47"/>
  <c r="H66" i="57" s="1"/>
  <c r="I56" i="47"/>
  <c r="H66" i="56" s="1"/>
  <c r="K33" i="46"/>
  <c r="K10" i="46"/>
  <c r="J48" i="51" s="1"/>
  <c r="Z79" i="47"/>
  <c r="F65" i="58" s="1"/>
  <c r="Z55" i="47"/>
  <c r="F65" i="54" s="1"/>
  <c r="AT55" i="47"/>
  <c r="F65" i="55" s="1"/>
  <c r="J33" i="46"/>
  <c r="I47" i="53" s="1"/>
  <c r="J10" i="46"/>
  <c r="I48" i="51" s="1"/>
  <c r="K80" i="44"/>
  <c r="J26" i="57" s="1"/>
  <c r="CA32" i="44"/>
  <c r="AB55" i="44"/>
  <c r="H25" i="54" s="1"/>
  <c r="AB79" i="44"/>
  <c r="H25" i="58" s="1"/>
  <c r="AV55" i="44"/>
  <c r="H25" i="55" s="1"/>
  <c r="AF79" i="44"/>
  <c r="L25" i="58" s="1"/>
  <c r="AF55" i="44"/>
  <c r="L25" i="54" s="1"/>
  <c r="AZ55" i="44"/>
  <c r="L25" i="55" s="1"/>
  <c r="G33" i="46"/>
  <c r="F47" i="53" s="1"/>
  <c r="G10" i="46"/>
  <c r="F48" i="51" s="1"/>
  <c r="Y79" i="46"/>
  <c r="E45" i="58" s="1"/>
  <c r="Y55" i="46"/>
  <c r="AS55" i="46"/>
  <c r="W79" i="47"/>
  <c r="C65" i="58" s="1"/>
  <c r="Q55" i="47"/>
  <c r="P65" i="56" s="1"/>
  <c r="W55" i="47"/>
  <c r="C65" i="54" s="1"/>
  <c r="AQ55" i="47"/>
  <c r="C65" i="55" s="1"/>
  <c r="AS31" i="46"/>
  <c r="BK61" i="46" s="1"/>
  <c r="AJ54" i="46"/>
  <c r="AK54" i="46" s="1"/>
  <c r="BJ58" i="46" s="1"/>
  <c r="D80" i="46"/>
  <c r="C46" i="57" s="1"/>
  <c r="D56" i="46"/>
  <c r="C46" i="56" s="1"/>
  <c r="Q32" i="46"/>
  <c r="H33" i="47"/>
  <c r="G67" i="53" s="1"/>
  <c r="H10" i="47"/>
  <c r="G68" i="51" s="1"/>
  <c r="BW33" i="47"/>
  <c r="BM67" i="47" s="1"/>
  <c r="AJ78" i="44"/>
  <c r="P24" i="58" s="1"/>
  <c r="AF79" i="47"/>
  <c r="L65" i="58" s="1"/>
  <c r="AF55" i="47"/>
  <c r="L65" i="54" s="1"/>
  <c r="AZ55" i="47"/>
  <c r="L65" i="55" s="1"/>
  <c r="J80" i="44"/>
  <c r="I26" i="57" s="1"/>
  <c r="AC55" i="46"/>
  <c r="AC79" i="46"/>
  <c r="I45" i="58" s="1"/>
  <c r="AW55" i="46"/>
  <c r="Y55" i="44"/>
  <c r="E25" i="54" s="1"/>
  <c r="Y79" i="44"/>
  <c r="E25" i="58" s="1"/>
  <c r="AS55" i="44"/>
  <c r="E25" i="55" s="1"/>
  <c r="K33" i="44"/>
  <c r="K10" i="44"/>
  <c r="J28" i="51" s="1"/>
  <c r="Y31" i="46"/>
  <c r="AH31" i="47"/>
  <c r="AG31" i="47"/>
  <c r="AE31" i="47"/>
  <c r="BK68" i="47"/>
  <c r="BK69" i="47"/>
  <c r="AJ54" i="44"/>
  <c r="D10" i="47"/>
  <c r="C68" i="51" s="1"/>
  <c r="Q9" i="47"/>
  <c r="P67" i="51" s="1"/>
  <c r="BR33" i="47"/>
  <c r="BM65" i="47" s="1"/>
  <c r="D33" i="47"/>
  <c r="C67" i="53" s="1"/>
  <c r="BJ7" i="46"/>
  <c r="BK7" i="46" s="1"/>
  <c r="BL7" i="46" s="1"/>
  <c r="P7" i="46" s="1"/>
  <c r="O45" i="51" s="1"/>
  <c r="AA79" i="46"/>
  <c r="G45" i="58" s="1"/>
  <c r="AU55" i="46"/>
  <c r="Z31" i="44"/>
  <c r="X55" i="44"/>
  <c r="D25" i="54" s="1"/>
  <c r="X79" i="44"/>
  <c r="D25" i="58" s="1"/>
  <c r="AR55" i="44"/>
  <c r="D25" i="55" s="1"/>
  <c r="K80" i="46"/>
  <c r="J46" i="57" s="1"/>
  <c r="CA32" i="46"/>
  <c r="J56" i="46"/>
  <c r="I46" i="56" s="1"/>
  <c r="J80" i="46"/>
  <c r="I46" i="57" s="1"/>
  <c r="AQ31" i="46"/>
  <c r="AA31" i="44"/>
  <c r="AR31" i="47"/>
  <c r="BK60" i="47" s="1"/>
  <c r="D33" i="44"/>
  <c r="Q9" i="44"/>
  <c r="P27" i="51" s="1"/>
  <c r="D10" i="44"/>
  <c r="C28" i="51" s="1"/>
  <c r="BR33" i="44"/>
  <c r="BM65" i="44" s="1"/>
  <c r="Q79" i="47"/>
  <c r="P65" i="57" s="1"/>
  <c r="Z31" i="46"/>
  <c r="H33" i="44"/>
  <c r="H10" i="44"/>
  <c r="G28" i="51" s="1"/>
  <c r="BW33" i="44"/>
  <c r="BM67" i="44" s="1"/>
  <c r="H80" i="47"/>
  <c r="G66" i="57" s="1"/>
  <c r="H56" i="47"/>
  <c r="G66" i="56" s="1"/>
  <c r="AA56" i="47"/>
  <c r="G66" i="54" s="1"/>
  <c r="M33" i="44"/>
  <c r="M10" i="44"/>
  <c r="L28" i="51" s="1"/>
  <c r="E33" i="47"/>
  <c r="D67" i="53" s="1"/>
  <c r="E10" i="47"/>
  <c r="D68" i="51" s="1"/>
  <c r="W31" i="44"/>
  <c r="D56" i="47"/>
  <c r="C66" i="56" s="1"/>
  <c r="Q32" i="47"/>
  <c r="D80" i="47"/>
  <c r="C66" i="57" s="1"/>
  <c r="J33" i="44"/>
  <c r="J10" i="44"/>
  <c r="I28" i="51" s="1"/>
  <c r="E33" i="46"/>
  <c r="D47" i="53" s="1"/>
  <c r="E10" i="46"/>
  <c r="D48" i="51" s="1"/>
  <c r="I54" i="43"/>
  <c r="AB78" i="43" s="1"/>
  <c r="I78" i="43"/>
  <c r="M80" i="46"/>
  <c r="L46" i="57" s="1"/>
  <c r="M56" i="46"/>
  <c r="L46" i="56" s="1"/>
  <c r="G80" i="46"/>
  <c r="F46" i="57" s="1"/>
  <c r="G56" i="46"/>
  <c r="F46" i="56" s="1"/>
  <c r="O55" i="43"/>
  <c r="AH79" i="43" s="1"/>
  <c r="O79" i="43"/>
  <c r="M54" i="43"/>
  <c r="AF78" i="43" s="1"/>
  <c r="M78" i="43"/>
  <c r="Z79" i="44"/>
  <c r="F25" i="58" s="1"/>
  <c r="Z55" i="44"/>
  <c r="F25" i="54" s="1"/>
  <c r="AT55" i="44"/>
  <c r="F25" i="55" s="1"/>
  <c r="AD79" i="46"/>
  <c r="J45" i="58" s="1"/>
  <c r="AD55" i="46"/>
  <c r="AX55" i="46"/>
  <c r="AB31" i="46"/>
  <c r="Y79" i="47"/>
  <c r="E65" i="58" s="1"/>
  <c r="Y55" i="47"/>
  <c r="E65" i="54" s="1"/>
  <c r="AS55" i="47"/>
  <c r="E65" i="55" s="1"/>
  <c r="X31" i="46"/>
  <c r="G33" i="47"/>
  <c r="F67" i="53" s="1"/>
  <c r="G10" i="47"/>
  <c r="F68" i="51" s="1"/>
  <c r="W31" i="46"/>
  <c r="AT31" i="44"/>
  <c r="BK62" i="44" s="1"/>
  <c r="X31" i="47"/>
  <c r="Z79" i="46"/>
  <c r="F45" i="58" s="1"/>
  <c r="Z55" i="46"/>
  <c r="AT55" i="46"/>
  <c r="AJ78" i="46"/>
  <c r="P44" i="58" s="1"/>
  <c r="H80" i="44"/>
  <c r="G26" i="57" s="1"/>
  <c r="AA56" i="44"/>
  <c r="G26" i="54" s="1"/>
  <c r="M80" i="44"/>
  <c r="L26" i="57" s="1"/>
  <c r="E56" i="47"/>
  <c r="D66" i="56" s="1"/>
  <c r="E80" i="47"/>
  <c r="D66" i="57" s="1"/>
  <c r="W79" i="44"/>
  <c r="C25" i="58" s="1"/>
  <c r="AQ55" i="44"/>
  <c r="C25" i="55" s="1"/>
  <c r="E56" i="46"/>
  <c r="D46" i="56" s="1"/>
  <c r="E80" i="46"/>
  <c r="D46" i="57" s="1"/>
  <c r="I33" i="46"/>
  <c r="H47" i="53" s="1"/>
  <c r="I10" i="46"/>
  <c r="H48" i="51" s="1"/>
  <c r="G80" i="44"/>
  <c r="F26" i="57" s="1"/>
  <c r="J33" i="47"/>
  <c r="I67" i="53" s="1"/>
  <c r="J10" i="47"/>
  <c r="I68" i="51" s="1"/>
  <c r="I33" i="47"/>
  <c r="H67" i="53" s="1"/>
  <c r="I10" i="47"/>
  <c r="H68" i="51" s="1"/>
  <c r="AC55" i="47"/>
  <c r="I65" i="54" s="1"/>
  <c r="AC79" i="47"/>
  <c r="I65" i="58" s="1"/>
  <c r="AW55" i="47"/>
  <c r="I65" i="55" s="1"/>
  <c r="AD79" i="47"/>
  <c r="J65" i="58" s="1"/>
  <c r="AD55" i="47"/>
  <c r="J65" i="54" s="1"/>
  <c r="AX55" i="47"/>
  <c r="J65" i="55" s="1"/>
  <c r="AF31" i="47"/>
  <c r="E54" i="43"/>
  <c r="X78" i="43" s="1"/>
  <c r="E78" i="43"/>
  <c r="AB79" i="46"/>
  <c r="H45" i="58" s="1"/>
  <c r="AB55" i="46"/>
  <c r="AV55" i="46"/>
  <c r="F80" i="44"/>
  <c r="E26" i="57" s="1"/>
  <c r="E6" i="57" s="1"/>
  <c r="AU30" i="46"/>
  <c r="P78" i="46"/>
  <c r="O44" i="57" s="1"/>
  <c r="AR31" i="46"/>
  <c r="BK60" i="46" s="1"/>
  <c r="G80" i="47"/>
  <c r="F66" i="57" s="1"/>
  <c r="G56" i="47"/>
  <c r="F66" i="56" s="1"/>
  <c r="Q79" i="46"/>
  <c r="P45" i="57" s="1"/>
  <c r="AA79" i="44"/>
  <c r="G25" i="58" s="1"/>
  <c r="AU55" i="44"/>
  <c r="G25" i="55" s="1"/>
  <c r="AA31" i="47"/>
  <c r="X79" i="47"/>
  <c r="D65" i="58" s="1"/>
  <c r="X55" i="47"/>
  <c r="D65" i="54" s="1"/>
  <c r="AR55" i="47"/>
  <c r="D65" i="55" s="1"/>
  <c r="K80" i="47"/>
  <c r="J66" i="57" s="1"/>
  <c r="CA32" i="47"/>
  <c r="BJ7" i="44"/>
  <c r="BK7" i="44" s="1"/>
  <c r="BL7" i="44" s="1"/>
  <c r="P7" i="44" s="1"/>
  <c r="O25" i="51" s="1"/>
  <c r="AD31" i="47"/>
  <c r="BC53" i="46"/>
  <c r="Q79" i="44"/>
  <c r="P25" i="57" s="1"/>
  <c r="M33" i="47"/>
  <c r="L67" i="53" s="1"/>
  <c r="M10" i="47"/>
  <c r="L68" i="51" s="1"/>
  <c r="P53" i="47"/>
  <c r="AI29" i="47"/>
  <c r="I80" i="46"/>
  <c r="H46" i="57" s="1"/>
  <c r="I56" i="46"/>
  <c r="H46" i="56" s="1"/>
  <c r="AW37" i="47"/>
  <c r="AP38" i="47"/>
  <c r="AZ37" i="47"/>
  <c r="AX37" i="47"/>
  <c r="O39" i="47"/>
  <c r="N73" i="53" s="1"/>
  <c r="O16" i="47"/>
  <c r="N86" i="47"/>
  <c r="M72" i="57" s="1"/>
  <c r="O86" i="47"/>
  <c r="N72" i="57" s="1"/>
  <c r="N12" i="57" s="1"/>
  <c r="O62" i="47"/>
  <c r="N72" i="56" s="1"/>
  <c r="N12" i="56" s="1"/>
  <c r="AE85" i="47"/>
  <c r="K71" i="58" s="1"/>
  <c r="AE61" i="47"/>
  <c r="K71" i="54" s="1"/>
  <c r="AY61" i="47"/>
  <c r="K71" i="55" s="1"/>
  <c r="B65" i="47"/>
  <c r="U65" i="47" s="1"/>
  <c r="AO65" i="47" s="1"/>
  <c r="B41" i="47"/>
  <c r="U17" i="47"/>
  <c r="AO17" i="47" s="1"/>
  <c r="BH17" i="47" s="1"/>
  <c r="B18" i="47"/>
  <c r="AH85" i="47"/>
  <c r="N71" i="58" s="1"/>
  <c r="N11" i="58" s="1"/>
  <c r="AH61" i="47"/>
  <c r="N71" i="54" s="1"/>
  <c r="N11" i="54" s="1"/>
  <c r="BB61" i="47"/>
  <c r="N71" i="55" s="1"/>
  <c r="C65" i="47"/>
  <c r="V65" i="47" s="1"/>
  <c r="AP65" i="47" s="1"/>
  <c r="C41" i="47"/>
  <c r="V17" i="47"/>
  <c r="AP17" i="47" s="1"/>
  <c r="BI17" i="47" s="1"/>
  <c r="C18" i="47"/>
  <c r="AU17" i="47"/>
  <c r="BD16" i="47"/>
  <c r="BA36" i="47"/>
  <c r="B88" i="47"/>
  <c r="U40" i="47"/>
  <c r="U88" i="47" s="1"/>
  <c r="C88" i="47"/>
  <c r="V40" i="47"/>
  <c r="V88" i="47" s="1"/>
  <c r="L39" i="47"/>
  <c r="L16" i="47"/>
  <c r="AG85" i="47"/>
  <c r="M71" i="58" s="1"/>
  <c r="AG61" i="47"/>
  <c r="M71" i="54" s="1"/>
  <c r="BA61" i="47"/>
  <c r="M71" i="55" s="1"/>
  <c r="BX39" i="47"/>
  <c r="N39" i="47"/>
  <c r="N16" i="47"/>
  <c r="L86" i="47"/>
  <c r="K72" i="57" s="1"/>
  <c r="BA36" i="46"/>
  <c r="BQ37" i="46"/>
  <c r="BT37" i="46"/>
  <c r="L87" i="46"/>
  <c r="K53" i="57" s="1"/>
  <c r="BL39" i="46"/>
  <c r="BN38" i="46"/>
  <c r="AZ37" i="46"/>
  <c r="AX37" i="46"/>
  <c r="AW37" i="46"/>
  <c r="BA37" i="46" s="1"/>
  <c r="AP38" i="46"/>
  <c r="AG85" i="46"/>
  <c r="M51" i="58" s="1"/>
  <c r="M11" i="58" s="1"/>
  <c r="AG61" i="46"/>
  <c r="BA61" i="46"/>
  <c r="O40" i="46"/>
  <c r="N54" i="53" s="1"/>
  <c r="O17" i="46"/>
  <c r="B63" i="46"/>
  <c r="U63" i="46" s="1"/>
  <c r="AO63" i="46" s="1"/>
  <c r="B39" i="46"/>
  <c r="B16" i="46"/>
  <c r="U15" i="46"/>
  <c r="AO15" i="46" s="1"/>
  <c r="BH15" i="46" s="1"/>
  <c r="BD15" i="46"/>
  <c r="AU16" i="46"/>
  <c r="O87" i="46"/>
  <c r="N53" i="57" s="1"/>
  <c r="O63" i="46"/>
  <c r="N53" i="56" s="1"/>
  <c r="C87" i="46"/>
  <c r="V39" i="46"/>
  <c r="V87" i="46" s="1"/>
  <c r="BX39" i="46"/>
  <c r="N39" i="46"/>
  <c r="N16" i="46"/>
  <c r="AH86" i="46"/>
  <c r="N52" i="58" s="1"/>
  <c r="AH62" i="46"/>
  <c r="BB62" i="46"/>
  <c r="C64" i="46"/>
  <c r="V64" i="46" s="1"/>
  <c r="AP64" i="46" s="1"/>
  <c r="C40" i="46"/>
  <c r="V16" i="46"/>
  <c r="AP16" i="46" s="1"/>
  <c r="BI16" i="46" s="1"/>
  <c r="C17" i="46"/>
  <c r="N86" i="46"/>
  <c r="M52" i="57" s="1"/>
  <c r="B86" i="46"/>
  <c r="U38" i="46"/>
  <c r="U86" i="46" s="1"/>
  <c r="AE86" i="46"/>
  <c r="K52" i="58" s="1"/>
  <c r="AE62" i="46"/>
  <c r="AY62" i="46"/>
  <c r="L40" i="46"/>
  <c r="L17" i="46"/>
  <c r="U43" i="44"/>
  <c r="U91" i="44" s="1"/>
  <c r="B91" i="44"/>
  <c r="U18" i="44"/>
  <c r="AO18" i="44" s="1"/>
  <c r="BH18" i="44" s="1"/>
  <c r="B66" i="44"/>
  <c r="U66" i="44" s="1"/>
  <c r="AO66" i="44" s="1"/>
  <c r="B19" i="44"/>
  <c r="C66" i="44"/>
  <c r="V66" i="44" s="1"/>
  <c r="AP66" i="44" s="1"/>
  <c r="C19" i="44"/>
  <c r="V18" i="44"/>
  <c r="AP18" i="44" s="1"/>
  <c r="BI18" i="44" s="1"/>
  <c r="BX41" i="44"/>
  <c r="N41" i="44"/>
  <c r="N18" i="44"/>
  <c r="AZ39" i="44"/>
  <c r="AX39" i="44"/>
  <c r="AW39" i="44"/>
  <c r="AP40" i="44"/>
  <c r="L86" i="44"/>
  <c r="K32" i="57" s="1"/>
  <c r="K12" i="57" s="1"/>
  <c r="AH86" i="44"/>
  <c r="N32" i="58" s="1"/>
  <c r="AH62" i="44"/>
  <c r="N32" i="54" s="1"/>
  <c r="BB62" i="44"/>
  <c r="N32" i="55" s="1"/>
  <c r="N88" i="44"/>
  <c r="M34" i="57" s="1"/>
  <c r="L39" i="44"/>
  <c r="L16" i="44"/>
  <c r="AG87" i="44"/>
  <c r="M33" i="58" s="1"/>
  <c r="AG63" i="44"/>
  <c r="M33" i="54" s="1"/>
  <c r="BA63" i="44"/>
  <c r="M33" i="55" s="1"/>
  <c r="BL39" i="44"/>
  <c r="BN38" i="44"/>
  <c r="BT37" i="44"/>
  <c r="BQ37" i="44"/>
  <c r="AE85" i="44"/>
  <c r="K31" i="58" s="1"/>
  <c r="AE61" i="44"/>
  <c r="K31" i="54" s="1"/>
  <c r="AY61" i="44"/>
  <c r="K31" i="55" s="1"/>
  <c r="K11" i="55" s="1"/>
  <c r="O40" i="44"/>
  <c r="O17" i="44"/>
  <c r="BD16" i="44"/>
  <c r="AU17" i="44"/>
  <c r="O87" i="44"/>
  <c r="N33" i="57" s="1"/>
  <c r="BA38" i="44"/>
  <c r="BW31" i="43"/>
  <c r="BK67" i="43" s="1"/>
  <c r="AD78" i="43"/>
  <c r="CA30" i="43"/>
  <c r="AA54" i="43"/>
  <c r="AA78" i="43"/>
  <c r="E8" i="43"/>
  <c r="E31" i="43"/>
  <c r="O9" i="43"/>
  <c r="O32" i="43"/>
  <c r="M8" i="43"/>
  <c r="M31" i="43"/>
  <c r="BQ35" i="43"/>
  <c r="BT35" i="43"/>
  <c r="I8" i="43"/>
  <c r="I31" i="43"/>
  <c r="J8" i="43"/>
  <c r="J31" i="43"/>
  <c r="K8" i="43"/>
  <c r="K31" i="43"/>
  <c r="K55" i="43" s="1"/>
  <c r="G8" i="43"/>
  <c r="G31" i="43"/>
  <c r="F8" i="43"/>
  <c r="F31" i="43"/>
  <c r="L9" i="43"/>
  <c r="L32" i="43"/>
  <c r="L56" i="43" s="1"/>
  <c r="H8" i="43"/>
  <c r="H31" i="43"/>
  <c r="H55" i="43" s="1"/>
  <c r="N9" i="43"/>
  <c r="N32" i="43"/>
  <c r="N56" i="43" s="1"/>
  <c r="BD5" i="43"/>
  <c r="AU6" i="43"/>
  <c r="BA7" i="43"/>
  <c r="AY7" i="43"/>
  <c r="AW7" i="43"/>
  <c r="AZ7" i="43"/>
  <c r="AV7" i="43"/>
  <c r="AX7" i="43"/>
  <c r="BL37" i="43"/>
  <c r="BM36" i="43"/>
  <c r="BN36" i="43" s="1"/>
  <c r="AZ38" i="43"/>
  <c r="AX38" i="43"/>
  <c r="AP39" i="43"/>
  <c r="AW39" i="43" s="1"/>
  <c r="M1" i="27"/>
  <c r="N1" i="27"/>
  <c r="O1" i="27"/>
  <c r="B7" i="21"/>
  <c r="B8" i="21"/>
  <c r="B9" i="21"/>
  <c r="B11" i="21"/>
  <c r="B13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AC39" i="50" l="1"/>
  <c r="G6" i="53"/>
  <c r="N11" i="55"/>
  <c r="M12" i="57"/>
  <c r="C5" i="58"/>
  <c r="W56" i="44"/>
  <c r="C26" i="54" s="1"/>
  <c r="L63" i="47"/>
  <c r="K73" i="56" s="1"/>
  <c r="K73" i="53"/>
  <c r="M35" i="53"/>
  <c r="N65" i="44"/>
  <c r="M35" i="56" s="1"/>
  <c r="M51" i="55"/>
  <c r="M11" i="55" s="1"/>
  <c r="M51" i="54"/>
  <c r="M11" i="54" s="1"/>
  <c r="K117" i="53"/>
  <c r="L67" i="49"/>
  <c r="K117" i="56" s="1"/>
  <c r="N63" i="46"/>
  <c r="M53" i="56" s="1"/>
  <c r="M53" i="53"/>
  <c r="M138" i="53"/>
  <c r="N68" i="50"/>
  <c r="M138" i="56" s="1"/>
  <c r="N13" i="53"/>
  <c r="K11" i="54"/>
  <c r="K54" i="53"/>
  <c r="L64" i="46"/>
  <c r="K54" i="56" s="1"/>
  <c r="K11" i="58"/>
  <c r="K52" i="55"/>
  <c r="K52" i="54"/>
  <c r="K139" i="53"/>
  <c r="L69" i="50"/>
  <c r="K139" i="56" s="1"/>
  <c r="BO63" i="50"/>
  <c r="N34" i="53"/>
  <c r="O64" i="44"/>
  <c r="N34" i="56" s="1"/>
  <c r="K95" i="53"/>
  <c r="L65" i="48"/>
  <c r="K95" i="56" s="1"/>
  <c r="K33" i="53"/>
  <c r="L63" i="44"/>
  <c r="K33" i="56" s="1"/>
  <c r="K13" i="56" s="1"/>
  <c r="M117" i="53"/>
  <c r="N67" i="49"/>
  <c r="M117" i="56" s="1"/>
  <c r="K12" i="53"/>
  <c r="N52" i="55"/>
  <c r="N52" i="54"/>
  <c r="M96" i="53"/>
  <c r="N66" i="48"/>
  <c r="M96" i="56" s="1"/>
  <c r="M12" i="56"/>
  <c r="M73" i="53"/>
  <c r="N63" i="47"/>
  <c r="M73" i="56" s="1"/>
  <c r="D5" i="58"/>
  <c r="G8" i="51"/>
  <c r="BN55" i="50"/>
  <c r="P5" i="53"/>
  <c r="P5" i="57"/>
  <c r="BN63" i="50"/>
  <c r="AI30" i="46"/>
  <c r="E5" i="58"/>
  <c r="O4" i="53"/>
  <c r="E8" i="51"/>
  <c r="F6" i="56"/>
  <c r="P4" i="58"/>
  <c r="AC39" i="49"/>
  <c r="P113" i="53"/>
  <c r="K57" i="46"/>
  <c r="J47" i="56" s="1"/>
  <c r="J47" i="53"/>
  <c r="D6" i="57"/>
  <c r="AQ39" i="48"/>
  <c r="BS59" i="48" s="1"/>
  <c r="P93" i="53"/>
  <c r="AF39" i="49"/>
  <c r="H45" i="55"/>
  <c r="H45" i="54"/>
  <c r="F6" i="57"/>
  <c r="P7" i="51"/>
  <c r="I45" i="55"/>
  <c r="I5" i="55" s="1"/>
  <c r="I45" i="54"/>
  <c r="I5" i="54" s="1"/>
  <c r="J6" i="57"/>
  <c r="D8" i="51"/>
  <c r="I6" i="56"/>
  <c r="K64" i="48"/>
  <c r="J94" i="53"/>
  <c r="K88" i="48"/>
  <c r="J94" i="57" s="1"/>
  <c r="P5" i="56"/>
  <c r="C6" i="56"/>
  <c r="BD60" i="49"/>
  <c r="P110" i="55" s="1"/>
  <c r="O110" i="55"/>
  <c r="E6" i="56"/>
  <c r="P77" i="47"/>
  <c r="O63" i="57" s="1"/>
  <c r="O3" i="57" s="1"/>
  <c r="O63" i="56"/>
  <c r="O3" i="56" s="1"/>
  <c r="L6" i="57"/>
  <c r="D57" i="44"/>
  <c r="C27" i="56" s="1"/>
  <c r="C27" i="53"/>
  <c r="C7" i="53" s="1"/>
  <c r="L45" i="55"/>
  <c r="L5" i="55" s="1"/>
  <c r="L45" i="54"/>
  <c r="W32" i="44"/>
  <c r="P26" i="53"/>
  <c r="J95" i="51"/>
  <c r="K18" i="48"/>
  <c r="K41" i="48"/>
  <c r="H5" i="54"/>
  <c r="G5" i="58"/>
  <c r="D45" i="55"/>
  <c r="D5" i="55" s="1"/>
  <c r="D45" i="54"/>
  <c r="D5" i="54" s="1"/>
  <c r="AJ38" i="50"/>
  <c r="BO55" i="49"/>
  <c r="X39" i="49"/>
  <c r="D94" i="53"/>
  <c r="E88" i="48"/>
  <c r="D94" i="57" s="1"/>
  <c r="E64" i="48"/>
  <c r="BD53" i="44"/>
  <c r="O23" i="55"/>
  <c r="D93" i="56"/>
  <c r="X87" i="48"/>
  <c r="D93" i="58" s="1"/>
  <c r="X63" i="48"/>
  <c r="D93" i="54" s="1"/>
  <c r="AR63" i="48"/>
  <c r="D93" i="55" s="1"/>
  <c r="F5" i="58"/>
  <c r="AT32" i="47"/>
  <c r="BL62" i="47" s="1"/>
  <c r="P66" i="53"/>
  <c r="C8" i="51"/>
  <c r="E57" i="44"/>
  <c r="D27" i="56" s="1"/>
  <c r="D27" i="53"/>
  <c r="D7" i="53" s="1"/>
  <c r="L5" i="54"/>
  <c r="J5" i="55"/>
  <c r="I5" i="58"/>
  <c r="C6" i="57"/>
  <c r="C45" i="55"/>
  <c r="C45" i="54"/>
  <c r="C5" i="54" s="1"/>
  <c r="BD60" i="48"/>
  <c r="P90" i="55" s="1"/>
  <c r="O90" i="55"/>
  <c r="G6" i="57"/>
  <c r="H57" i="44"/>
  <c r="G27" i="56" s="1"/>
  <c r="G27" i="53"/>
  <c r="J8" i="51"/>
  <c r="I6" i="57"/>
  <c r="X32" i="46"/>
  <c r="P46" i="53"/>
  <c r="L5" i="58"/>
  <c r="J5" i="58"/>
  <c r="H57" i="46"/>
  <c r="G47" i="56" s="1"/>
  <c r="G47" i="53"/>
  <c r="F8" i="51"/>
  <c r="H6" i="57"/>
  <c r="K57" i="47"/>
  <c r="J67" i="56" s="1"/>
  <c r="J67" i="53"/>
  <c r="AK54" i="47"/>
  <c r="BJ58" i="47" s="1"/>
  <c r="P64" i="54"/>
  <c r="BW41" i="48"/>
  <c r="BU67" i="48" s="1"/>
  <c r="L95" i="51"/>
  <c r="P38" i="48"/>
  <c r="O92" i="53" s="1"/>
  <c r="O92" i="51"/>
  <c r="AB39" i="49"/>
  <c r="K64" i="50"/>
  <c r="J134" i="56" s="1"/>
  <c r="J134" i="53"/>
  <c r="BO63" i="49"/>
  <c r="Z39" i="49"/>
  <c r="AK61" i="50"/>
  <c r="BQ58" i="50" s="1"/>
  <c r="P131" i="54"/>
  <c r="Q56" i="44"/>
  <c r="P26" i="56" s="1"/>
  <c r="G6" i="56"/>
  <c r="D6" i="56"/>
  <c r="D95" i="51"/>
  <c r="E41" i="48"/>
  <c r="E18" i="48"/>
  <c r="H6" i="56"/>
  <c r="J6" i="53"/>
  <c r="J45" i="55"/>
  <c r="J45" i="54"/>
  <c r="J5" i="54" s="1"/>
  <c r="I8" i="51"/>
  <c r="L8" i="51"/>
  <c r="AK54" i="44"/>
  <c r="BJ58" i="44" s="1"/>
  <c r="P24" i="54"/>
  <c r="K57" i="44"/>
  <c r="J27" i="56" s="1"/>
  <c r="J27" i="53"/>
  <c r="E45" i="54"/>
  <c r="E5" i="54" s="1"/>
  <c r="E45" i="55"/>
  <c r="H5" i="55"/>
  <c r="H8" i="51"/>
  <c r="G57" i="44"/>
  <c r="F27" i="56" s="1"/>
  <c r="F27" i="53"/>
  <c r="F7" i="53" s="1"/>
  <c r="CA40" i="48"/>
  <c r="L94" i="53"/>
  <c r="AK61" i="48"/>
  <c r="BQ58" i="48" s="1"/>
  <c r="P91" i="54"/>
  <c r="AS39" i="49"/>
  <c r="BS61" i="49" s="1"/>
  <c r="K64" i="49"/>
  <c r="J114" i="56" s="1"/>
  <c r="J114" i="53"/>
  <c r="AQ39" i="49"/>
  <c r="X39" i="50"/>
  <c r="P133" i="53"/>
  <c r="J6" i="56"/>
  <c r="J93" i="56"/>
  <c r="AX63" i="48"/>
  <c r="J93" i="55" s="1"/>
  <c r="AD63" i="48"/>
  <c r="J93" i="54" s="1"/>
  <c r="AD87" i="48"/>
  <c r="J93" i="58" s="1"/>
  <c r="BD53" i="46"/>
  <c r="O43" i="55"/>
  <c r="O43" i="54"/>
  <c r="O3" i="54" s="1"/>
  <c r="C5" i="55"/>
  <c r="F45" i="55"/>
  <c r="F5" i="55" s="1"/>
  <c r="F45" i="54"/>
  <c r="F5" i="54" s="1"/>
  <c r="J57" i="44"/>
  <c r="I27" i="56" s="1"/>
  <c r="I27" i="53"/>
  <c r="I7" i="53" s="1"/>
  <c r="M57" i="44"/>
  <c r="L27" i="56" s="1"/>
  <c r="L27" i="53"/>
  <c r="L7" i="53" s="1"/>
  <c r="G45" i="55"/>
  <c r="G5" i="55" s="1"/>
  <c r="G45" i="54"/>
  <c r="G5" i="54" s="1"/>
  <c r="E5" i="55"/>
  <c r="H5" i="58"/>
  <c r="I57" i="44"/>
  <c r="H27" i="56" s="1"/>
  <c r="H27" i="53"/>
  <c r="H7" i="53" s="1"/>
  <c r="F57" i="44"/>
  <c r="E27" i="56" s="1"/>
  <c r="E27" i="53"/>
  <c r="E7" i="53" s="1"/>
  <c r="BU31" i="47"/>
  <c r="BK66" i="47" s="1"/>
  <c r="O65" i="51"/>
  <c r="O5" i="51" s="1"/>
  <c r="W39" i="49"/>
  <c r="AA39" i="49"/>
  <c r="AK61" i="49"/>
  <c r="BQ58" i="49" s="1"/>
  <c r="P111" i="54"/>
  <c r="L6" i="56"/>
  <c r="Y39" i="49"/>
  <c r="AJ38" i="49"/>
  <c r="AJ62" i="49"/>
  <c r="I41" i="49"/>
  <c r="H115" i="53" s="1"/>
  <c r="I18" i="49"/>
  <c r="H116" i="51" s="1"/>
  <c r="AJ13" i="49"/>
  <c r="H88" i="49"/>
  <c r="G114" i="57" s="1"/>
  <c r="AA64" i="49"/>
  <c r="G114" i="54" s="1"/>
  <c r="H64" i="49"/>
  <c r="G114" i="56" s="1"/>
  <c r="F88" i="49"/>
  <c r="E114" i="57" s="1"/>
  <c r="F64" i="49"/>
  <c r="E114" i="56" s="1"/>
  <c r="D41" i="50"/>
  <c r="C135" i="53" s="1"/>
  <c r="D18" i="50"/>
  <c r="C136" i="51" s="1"/>
  <c r="BR41" i="50"/>
  <c r="BU65" i="50" s="1"/>
  <c r="Q17" i="50"/>
  <c r="P135" i="51" s="1"/>
  <c r="X87" i="49"/>
  <c r="D113" i="58" s="1"/>
  <c r="X63" i="49"/>
  <c r="D113" i="54" s="1"/>
  <c r="AR63" i="49"/>
  <c r="D113" i="55" s="1"/>
  <c r="G88" i="49"/>
  <c r="F114" i="57" s="1"/>
  <c r="G64" i="49"/>
  <c r="F114" i="56" s="1"/>
  <c r="AF63" i="50"/>
  <c r="L133" i="54" s="1"/>
  <c r="AF87" i="50"/>
  <c r="L133" i="58" s="1"/>
  <c r="AZ63" i="50"/>
  <c r="L133" i="55" s="1"/>
  <c r="BC60" i="50"/>
  <c r="I18" i="50"/>
  <c r="H136" i="51" s="1"/>
  <c r="I41" i="50"/>
  <c r="H135" i="53" s="1"/>
  <c r="J88" i="50"/>
  <c r="I134" i="57" s="1"/>
  <c r="J64" i="50"/>
  <c r="I134" i="56" s="1"/>
  <c r="Q87" i="49"/>
  <c r="P113" i="57" s="1"/>
  <c r="AA87" i="49"/>
  <c r="G113" i="58" s="1"/>
  <c r="AU63" i="49"/>
  <c r="G113" i="55" s="1"/>
  <c r="AQ39" i="50"/>
  <c r="AJ86" i="49"/>
  <c r="P112" i="58" s="1"/>
  <c r="Q63" i="49"/>
  <c r="P113" i="56" s="1"/>
  <c r="AQ63" i="49"/>
  <c r="C113" i="55" s="1"/>
  <c r="W87" i="49"/>
  <c r="C113" i="58" s="1"/>
  <c r="W63" i="49"/>
  <c r="C113" i="54" s="1"/>
  <c r="AB87" i="49"/>
  <c r="H113" i="58" s="1"/>
  <c r="AB63" i="49"/>
  <c r="H113" i="54" s="1"/>
  <c r="AV63" i="49"/>
  <c r="H113" i="55" s="1"/>
  <c r="AD87" i="50"/>
  <c r="J133" i="58" s="1"/>
  <c r="AD63" i="50"/>
  <c r="J133" i="54" s="1"/>
  <c r="AX63" i="50"/>
  <c r="J133" i="55" s="1"/>
  <c r="I88" i="49"/>
  <c r="H114" i="57" s="1"/>
  <c r="I64" i="49"/>
  <c r="H114" i="56" s="1"/>
  <c r="E88" i="50"/>
  <c r="D134" i="57" s="1"/>
  <c r="E64" i="50"/>
  <c r="D134" i="56" s="1"/>
  <c r="AD63" i="49"/>
  <c r="J113" i="54" s="1"/>
  <c r="AX63" i="49"/>
  <c r="J113" i="55" s="1"/>
  <c r="AD87" i="49"/>
  <c r="J113" i="58" s="1"/>
  <c r="E41" i="49"/>
  <c r="D115" i="53" s="1"/>
  <c r="E18" i="49"/>
  <c r="D116" i="51" s="1"/>
  <c r="AC63" i="50"/>
  <c r="I133" i="54" s="1"/>
  <c r="AW63" i="50"/>
  <c r="I133" i="55" s="1"/>
  <c r="AC87" i="50"/>
  <c r="I133" i="58" s="1"/>
  <c r="W87" i="50"/>
  <c r="C133" i="58" s="1"/>
  <c r="W63" i="50"/>
  <c r="C133" i="54" s="1"/>
  <c r="Q63" i="50"/>
  <c r="P133" i="56" s="1"/>
  <c r="AQ63" i="50"/>
  <c r="C133" i="55" s="1"/>
  <c r="BR59" i="49"/>
  <c r="AU38" i="49"/>
  <c r="AJ62" i="50"/>
  <c r="M88" i="49"/>
  <c r="L114" i="57" s="1"/>
  <c r="M64" i="49"/>
  <c r="L114" i="56" s="1"/>
  <c r="K41" i="50"/>
  <c r="K18" i="50"/>
  <c r="J136" i="51" s="1"/>
  <c r="E18" i="50"/>
  <c r="D136" i="51" s="1"/>
  <c r="E41" i="50"/>
  <c r="D135" i="53" s="1"/>
  <c r="E88" i="49"/>
  <c r="D114" i="57" s="1"/>
  <c r="E64" i="49"/>
  <c r="D114" i="56" s="1"/>
  <c r="G88" i="50"/>
  <c r="F134" i="57" s="1"/>
  <c r="G64" i="50"/>
  <c r="F134" i="56" s="1"/>
  <c r="AB87" i="50"/>
  <c r="H133" i="58" s="1"/>
  <c r="AB63" i="50"/>
  <c r="H133" i="54" s="1"/>
  <c r="AV63" i="50"/>
  <c r="H133" i="55" s="1"/>
  <c r="X63" i="50"/>
  <c r="D133" i="54" s="1"/>
  <c r="AR63" i="50"/>
  <c r="D133" i="55" s="1"/>
  <c r="X87" i="50"/>
  <c r="D133" i="58" s="1"/>
  <c r="J41" i="49"/>
  <c r="I115" i="53" s="1"/>
  <c r="J18" i="49"/>
  <c r="I116" i="51" s="1"/>
  <c r="Q87" i="50"/>
  <c r="P133" i="57" s="1"/>
  <c r="I64" i="50"/>
  <c r="H134" i="56" s="1"/>
  <c r="I88" i="50"/>
  <c r="H134" i="57" s="1"/>
  <c r="AD39" i="50"/>
  <c r="AE39" i="50"/>
  <c r="AR39" i="50"/>
  <c r="BS60" i="50" s="1"/>
  <c r="BS69" i="50"/>
  <c r="AH39" i="50"/>
  <c r="BS68" i="50"/>
  <c r="AT39" i="50"/>
  <c r="BS62" i="50" s="1"/>
  <c r="BJ15" i="50"/>
  <c r="BK15" i="50" s="1"/>
  <c r="BL15" i="50" s="1"/>
  <c r="P15" i="50" s="1"/>
  <c r="O133" i="51" s="1"/>
  <c r="AG39" i="50"/>
  <c r="AJ86" i="50"/>
  <c r="P132" i="58" s="1"/>
  <c r="BO38" i="49"/>
  <c r="BR64" i="49" s="1"/>
  <c r="P38" i="49"/>
  <c r="O112" i="53" s="1"/>
  <c r="AI14" i="49"/>
  <c r="BU38" i="49"/>
  <c r="BR66" i="49" s="1"/>
  <c r="M41" i="49"/>
  <c r="L115" i="53" s="1"/>
  <c r="M18" i="49"/>
  <c r="L116" i="51" s="1"/>
  <c r="K88" i="50"/>
  <c r="J134" i="57" s="1"/>
  <c r="CA40" i="50"/>
  <c r="Y39" i="50"/>
  <c r="AF87" i="49"/>
  <c r="L113" i="58" s="1"/>
  <c r="AZ63" i="49"/>
  <c r="L113" i="55" s="1"/>
  <c r="AF63" i="49"/>
  <c r="L113" i="54" s="1"/>
  <c r="G41" i="50"/>
  <c r="F135" i="53" s="1"/>
  <c r="G18" i="50"/>
  <c r="F136" i="51" s="1"/>
  <c r="J88" i="49"/>
  <c r="I114" i="57" s="1"/>
  <c r="J64" i="49"/>
  <c r="I114" i="56" s="1"/>
  <c r="AC87" i="49"/>
  <c r="I113" i="58" s="1"/>
  <c r="AC63" i="49"/>
  <c r="I113" i="54" s="1"/>
  <c r="AW63" i="49"/>
  <c r="I113" i="55" s="1"/>
  <c r="Z87" i="50"/>
  <c r="F133" i="58" s="1"/>
  <c r="Z63" i="50"/>
  <c r="F133" i="54" s="1"/>
  <c r="AT63" i="50"/>
  <c r="F133" i="55" s="1"/>
  <c r="Y87" i="50"/>
  <c r="E133" i="58" s="1"/>
  <c r="Y63" i="50"/>
  <c r="E133" i="54" s="1"/>
  <c r="AS63" i="50"/>
  <c r="E133" i="55" s="1"/>
  <c r="F88" i="50"/>
  <c r="E134" i="57" s="1"/>
  <c r="F64" i="50"/>
  <c r="E134" i="56" s="1"/>
  <c r="AA39" i="50"/>
  <c r="M41" i="50"/>
  <c r="L135" i="53" s="1"/>
  <c r="M18" i="50"/>
  <c r="L136" i="51" s="1"/>
  <c r="H41" i="50"/>
  <c r="G135" i="53" s="1"/>
  <c r="H18" i="50"/>
  <c r="G136" i="51" s="1"/>
  <c r="BW41" i="50"/>
  <c r="BU67" i="50" s="1"/>
  <c r="K88" i="49"/>
  <c r="J114" i="57" s="1"/>
  <c r="CA40" i="49"/>
  <c r="BS59" i="49"/>
  <c r="AJ13" i="50"/>
  <c r="BC61" i="50"/>
  <c r="AU38" i="50"/>
  <c r="BP55" i="49"/>
  <c r="BP63" i="49"/>
  <c r="AI37" i="49"/>
  <c r="P85" i="49"/>
  <c r="O111" i="57" s="1"/>
  <c r="F41" i="50"/>
  <c r="E135" i="53" s="1"/>
  <c r="F18" i="50"/>
  <c r="E136" i="51" s="1"/>
  <c r="AF39" i="50"/>
  <c r="AA87" i="50"/>
  <c r="G133" i="58" s="1"/>
  <c r="AU63" i="50"/>
  <c r="G133" i="55" s="1"/>
  <c r="M88" i="50"/>
  <c r="L134" i="57" s="1"/>
  <c r="M64" i="50"/>
  <c r="L134" i="56" s="1"/>
  <c r="D41" i="49"/>
  <c r="C115" i="53" s="1"/>
  <c r="BR41" i="49"/>
  <c r="BU65" i="49" s="1"/>
  <c r="Q17" i="49"/>
  <c r="P115" i="51" s="1"/>
  <c r="D18" i="49"/>
  <c r="C116" i="51" s="1"/>
  <c r="Z39" i="50"/>
  <c r="H88" i="50"/>
  <c r="G134" i="57" s="1"/>
  <c r="H64" i="50"/>
  <c r="G134" i="56" s="1"/>
  <c r="AA64" i="50"/>
  <c r="G134" i="54" s="1"/>
  <c r="K41" i="49"/>
  <c r="K18" i="49"/>
  <c r="J116" i="51" s="1"/>
  <c r="P85" i="50"/>
  <c r="O131" i="57" s="1"/>
  <c r="AI37" i="50"/>
  <c r="Z87" i="49"/>
  <c r="F113" i="58" s="1"/>
  <c r="Z63" i="49"/>
  <c r="F113" i="54" s="1"/>
  <c r="AT63" i="49"/>
  <c r="F113" i="55" s="1"/>
  <c r="Y63" i="49"/>
  <c r="E113" i="54" s="1"/>
  <c r="Y87" i="49"/>
  <c r="E113" i="58" s="1"/>
  <c r="AS63" i="49"/>
  <c r="E113" i="55" s="1"/>
  <c r="H41" i="49"/>
  <c r="G115" i="53" s="1"/>
  <c r="H18" i="49"/>
  <c r="G116" i="51" s="1"/>
  <c r="BW41" i="49"/>
  <c r="BU67" i="49" s="1"/>
  <c r="F41" i="49"/>
  <c r="E115" i="53" s="1"/>
  <c r="F18" i="49"/>
  <c r="E116" i="51" s="1"/>
  <c r="D88" i="50"/>
  <c r="C134" i="57" s="1"/>
  <c r="D64" i="50"/>
  <c r="C134" i="56" s="1"/>
  <c r="Q40" i="50"/>
  <c r="AQ40" i="50" s="1"/>
  <c r="BU38" i="50"/>
  <c r="BR66" i="50" s="1"/>
  <c r="P38" i="50"/>
  <c r="O132" i="53" s="1"/>
  <c r="AI14" i="50"/>
  <c r="BO38" i="50"/>
  <c r="BR64" i="50" s="1"/>
  <c r="G18" i="49"/>
  <c r="F116" i="51" s="1"/>
  <c r="G41" i="49"/>
  <c r="F115" i="53" s="1"/>
  <c r="D64" i="49"/>
  <c r="C114" i="56" s="1"/>
  <c r="Q40" i="49"/>
  <c r="AQ40" i="49" s="1"/>
  <c r="D88" i="49"/>
  <c r="C114" i="57" s="1"/>
  <c r="J41" i="50"/>
  <c r="I135" i="53" s="1"/>
  <c r="J18" i="50"/>
  <c r="I136" i="51" s="1"/>
  <c r="AS39" i="50"/>
  <c r="BS61" i="50" s="1"/>
  <c r="AD39" i="49"/>
  <c r="AE39" i="49"/>
  <c r="BS68" i="49"/>
  <c r="BS69" i="49"/>
  <c r="AG39" i="49"/>
  <c r="AT39" i="49"/>
  <c r="BS62" i="49" s="1"/>
  <c r="BJ15" i="49"/>
  <c r="BK15" i="49" s="1"/>
  <c r="BL15" i="49" s="1"/>
  <c r="P15" i="49" s="1"/>
  <c r="O113" i="51" s="1"/>
  <c r="AH39" i="49"/>
  <c r="AR39" i="49"/>
  <c r="BS60" i="49" s="1"/>
  <c r="W39" i="50"/>
  <c r="BX33" i="43"/>
  <c r="H79" i="43"/>
  <c r="K79" i="43"/>
  <c r="BR41" i="48"/>
  <c r="BU65" i="48" s="1"/>
  <c r="Q63" i="48"/>
  <c r="P93" i="56" s="1"/>
  <c r="Q17" i="48"/>
  <c r="P95" i="51" s="1"/>
  <c r="AU38" i="48"/>
  <c r="AJ38" i="48"/>
  <c r="AS39" i="48"/>
  <c r="BS61" i="48" s="1"/>
  <c r="AD39" i="48"/>
  <c r="AC39" i="48"/>
  <c r="BU38" i="48"/>
  <c r="BR66" i="48" s="1"/>
  <c r="AI14" i="48"/>
  <c r="AJ14" i="48" s="1"/>
  <c r="BO38" i="48"/>
  <c r="BR64" i="48" s="1"/>
  <c r="AJ86" i="48"/>
  <c r="P92" i="58" s="1"/>
  <c r="AR39" i="48"/>
  <c r="BS60" i="48" s="1"/>
  <c r="BJ15" i="48"/>
  <c r="BK15" i="48" s="1"/>
  <c r="BL15" i="48" s="1"/>
  <c r="P15" i="48" s="1"/>
  <c r="AF39" i="48"/>
  <c r="Q87" i="48"/>
  <c r="P93" i="57" s="1"/>
  <c r="AA39" i="48"/>
  <c r="Q40" i="48"/>
  <c r="AJ62" i="48"/>
  <c r="Y32" i="44"/>
  <c r="BI55" i="44"/>
  <c r="AH91" i="50"/>
  <c r="N137" i="58" s="1"/>
  <c r="AH67" i="50"/>
  <c r="N137" i="54" s="1"/>
  <c r="BB67" i="50"/>
  <c r="N137" i="55" s="1"/>
  <c r="C68" i="50"/>
  <c r="V68" i="50" s="1"/>
  <c r="AP68" i="50" s="1"/>
  <c r="C21" i="50"/>
  <c r="C44" i="50"/>
  <c r="V20" i="50"/>
  <c r="AP20" i="50" s="1"/>
  <c r="BI20" i="50" s="1"/>
  <c r="N45" i="50"/>
  <c r="BX45" i="50"/>
  <c r="N22" i="50"/>
  <c r="AZ42" i="50"/>
  <c r="AX42" i="50"/>
  <c r="AW42" i="50"/>
  <c r="BA42" i="50" s="1"/>
  <c r="AP43" i="50"/>
  <c r="C91" i="50"/>
  <c r="V43" i="50"/>
  <c r="V91" i="50" s="1"/>
  <c r="O45" i="50"/>
  <c r="N139" i="53" s="1"/>
  <c r="O22" i="50"/>
  <c r="N92" i="50"/>
  <c r="M138" i="57" s="1"/>
  <c r="O92" i="50"/>
  <c r="N138" i="57" s="1"/>
  <c r="O68" i="50"/>
  <c r="N138" i="56" s="1"/>
  <c r="AU22" i="50"/>
  <c r="BD21" i="50"/>
  <c r="B69" i="50"/>
  <c r="U69" i="50" s="1"/>
  <c r="AO69" i="50" s="1"/>
  <c r="B45" i="50"/>
  <c r="B22" i="50"/>
  <c r="U21" i="50"/>
  <c r="AO21" i="50" s="1"/>
  <c r="BH21" i="50" s="1"/>
  <c r="L46" i="50"/>
  <c r="L23" i="50"/>
  <c r="B92" i="50"/>
  <c r="U44" i="50"/>
  <c r="U92" i="50" s="1"/>
  <c r="AE92" i="50"/>
  <c r="K138" i="58" s="1"/>
  <c r="AE68" i="50"/>
  <c r="K138" i="54" s="1"/>
  <c r="AY68" i="50"/>
  <c r="K138" i="55" s="1"/>
  <c r="L93" i="50"/>
  <c r="K139" i="57" s="1"/>
  <c r="AG91" i="50"/>
  <c r="M137" i="58" s="1"/>
  <c r="AG67" i="50"/>
  <c r="M137" i="54" s="1"/>
  <c r="BA67" i="50"/>
  <c r="M137" i="55" s="1"/>
  <c r="BA41" i="50"/>
  <c r="AH90" i="49"/>
  <c r="N116" i="58" s="1"/>
  <c r="AH66" i="49"/>
  <c r="N116" i="54" s="1"/>
  <c r="BB66" i="49"/>
  <c r="N116" i="55" s="1"/>
  <c r="N44" i="49"/>
  <c r="BX44" i="49"/>
  <c r="N21" i="49"/>
  <c r="L91" i="49"/>
  <c r="K117" i="57" s="1"/>
  <c r="AG90" i="49"/>
  <c r="M116" i="58" s="1"/>
  <c r="AG66" i="49"/>
  <c r="M116" i="54" s="1"/>
  <c r="BA66" i="49"/>
  <c r="M116" i="55" s="1"/>
  <c r="N91" i="49"/>
  <c r="M117" i="57" s="1"/>
  <c r="O44" i="49"/>
  <c r="N118" i="53" s="1"/>
  <c r="O21" i="49"/>
  <c r="AX42" i="49"/>
  <c r="AP43" i="49"/>
  <c r="AZ42" i="49"/>
  <c r="AW42" i="49"/>
  <c r="AE90" i="49"/>
  <c r="K116" i="58" s="1"/>
  <c r="AE66" i="49"/>
  <c r="K116" i="54" s="1"/>
  <c r="AY66" i="49"/>
  <c r="K116" i="55" s="1"/>
  <c r="O91" i="49"/>
  <c r="N117" i="57" s="1"/>
  <c r="O67" i="49"/>
  <c r="N117" i="56" s="1"/>
  <c r="B69" i="49"/>
  <c r="U69" i="49" s="1"/>
  <c r="AO69" i="49" s="1"/>
  <c r="B45" i="49"/>
  <c r="B22" i="49"/>
  <c r="U21" i="49"/>
  <c r="AO21" i="49" s="1"/>
  <c r="BH21" i="49" s="1"/>
  <c r="B92" i="49"/>
  <c r="U44" i="49"/>
  <c r="U92" i="49" s="1"/>
  <c r="C69" i="49"/>
  <c r="V69" i="49" s="1"/>
  <c r="AP69" i="49" s="1"/>
  <c r="C45" i="49"/>
  <c r="C22" i="49"/>
  <c r="V21" i="49"/>
  <c r="AP21" i="49" s="1"/>
  <c r="BI21" i="49" s="1"/>
  <c r="C92" i="49"/>
  <c r="V44" i="49"/>
  <c r="V92" i="49" s="1"/>
  <c r="BA41" i="49"/>
  <c r="L21" i="49"/>
  <c r="L44" i="49"/>
  <c r="Y39" i="48"/>
  <c r="AH39" i="48"/>
  <c r="AB39" i="48"/>
  <c r="Z87" i="48"/>
  <c r="F93" i="58" s="1"/>
  <c r="Z63" i="48"/>
  <c r="F93" i="54" s="1"/>
  <c r="AT63" i="48"/>
  <c r="F93" i="55" s="1"/>
  <c r="G41" i="48"/>
  <c r="F95" i="53" s="1"/>
  <c r="G18" i="48"/>
  <c r="F96" i="51" s="1"/>
  <c r="AG39" i="48"/>
  <c r="AT39" i="48"/>
  <c r="BS62" i="48" s="1"/>
  <c r="AE39" i="48"/>
  <c r="W39" i="48"/>
  <c r="AF87" i="48"/>
  <c r="L93" i="58" s="1"/>
  <c r="AF63" i="48"/>
  <c r="L93" i="54" s="1"/>
  <c r="AZ63" i="48"/>
  <c r="L93" i="55" s="1"/>
  <c r="M18" i="48"/>
  <c r="M41" i="48"/>
  <c r="G64" i="48"/>
  <c r="F94" i="56" s="1"/>
  <c r="G88" i="48"/>
  <c r="F94" i="57" s="1"/>
  <c r="Z39" i="48"/>
  <c r="BS68" i="48"/>
  <c r="F41" i="48"/>
  <c r="E95" i="53" s="1"/>
  <c r="F18" i="48"/>
  <c r="E96" i="51" s="1"/>
  <c r="M88" i="48"/>
  <c r="L94" i="57" s="1"/>
  <c r="M64" i="48"/>
  <c r="L94" i="56" s="1"/>
  <c r="X39" i="48"/>
  <c r="BS69" i="48"/>
  <c r="F88" i="48"/>
  <c r="E94" i="57" s="1"/>
  <c r="F64" i="48"/>
  <c r="E94" i="56" s="1"/>
  <c r="Y63" i="48"/>
  <c r="E93" i="54" s="1"/>
  <c r="Y87" i="48"/>
  <c r="E93" i="58" s="1"/>
  <c r="AS63" i="48"/>
  <c r="E93" i="55" s="1"/>
  <c r="L42" i="48"/>
  <c r="L19" i="48"/>
  <c r="O44" i="48"/>
  <c r="N98" i="53" s="1"/>
  <c r="O21" i="48"/>
  <c r="L89" i="48"/>
  <c r="K95" i="57" s="1"/>
  <c r="AE88" i="48"/>
  <c r="K94" i="58" s="1"/>
  <c r="AE64" i="48"/>
  <c r="K94" i="54" s="1"/>
  <c r="AY64" i="48"/>
  <c r="K94" i="55" s="1"/>
  <c r="N90" i="48"/>
  <c r="M96" i="57" s="1"/>
  <c r="AG89" i="48"/>
  <c r="M95" i="58" s="1"/>
  <c r="AG65" i="48"/>
  <c r="M95" i="54" s="1"/>
  <c r="BA65" i="48"/>
  <c r="M95" i="55" s="1"/>
  <c r="AB88" i="48"/>
  <c r="H94" i="58" s="1"/>
  <c r="AB64" i="48"/>
  <c r="H94" i="54" s="1"/>
  <c r="AV64" i="48"/>
  <c r="H94" i="55" s="1"/>
  <c r="O91" i="48"/>
  <c r="N97" i="57" s="1"/>
  <c r="O67" i="48"/>
  <c r="N97" i="56" s="1"/>
  <c r="B90" i="48"/>
  <c r="U42" i="48"/>
  <c r="U90" i="48" s="1"/>
  <c r="P86" i="48"/>
  <c r="O92" i="57" s="1"/>
  <c r="AI38" i="48"/>
  <c r="D42" i="48"/>
  <c r="C96" i="53" s="1"/>
  <c r="D19" i="48"/>
  <c r="C97" i="51" s="1"/>
  <c r="BX43" i="48"/>
  <c r="N43" i="48"/>
  <c r="N20" i="48"/>
  <c r="AP41" i="48"/>
  <c r="AZ40" i="48"/>
  <c r="AX40" i="48"/>
  <c r="AW40" i="48"/>
  <c r="C66" i="48"/>
  <c r="V66" i="48" s="1"/>
  <c r="AP66" i="48" s="1"/>
  <c r="C42" i="48"/>
  <c r="C19" i="48"/>
  <c r="V18" i="48"/>
  <c r="AP18" i="48" s="1"/>
  <c r="BI18" i="48" s="1"/>
  <c r="BA39" i="48"/>
  <c r="I89" i="48"/>
  <c r="H95" i="57" s="1"/>
  <c r="I65" i="48"/>
  <c r="H95" i="56" s="1"/>
  <c r="J42" i="48"/>
  <c r="I96" i="53" s="1"/>
  <c r="J19" i="48"/>
  <c r="I97" i="51" s="1"/>
  <c r="AC88" i="48"/>
  <c r="I94" i="58" s="1"/>
  <c r="AC64" i="48"/>
  <c r="I94" i="54" s="1"/>
  <c r="AW64" i="48"/>
  <c r="I94" i="55" s="1"/>
  <c r="AH90" i="48"/>
  <c r="N96" i="58" s="1"/>
  <c r="AH66" i="48"/>
  <c r="N96" i="54" s="1"/>
  <c r="BB66" i="48"/>
  <c r="N96" i="55" s="1"/>
  <c r="B67" i="48"/>
  <c r="U67" i="48" s="1"/>
  <c r="AO67" i="48" s="1"/>
  <c r="B43" i="48"/>
  <c r="U19" i="48"/>
  <c r="AO19" i="48" s="1"/>
  <c r="BH19" i="48" s="1"/>
  <c r="B20" i="48"/>
  <c r="AA88" i="48"/>
  <c r="G94" i="58" s="1"/>
  <c r="AU64" i="48"/>
  <c r="G94" i="55" s="1"/>
  <c r="I42" i="48"/>
  <c r="H96" i="53" s="1"/>
  <c r="I19" i="48"/>
  <c r="H97" i="51" s="1"/>
  <c r="C89" i="48"/>
  <c r="V41" i="48"/>
  <c r="V89" i="48" s="1"/>
  <c r="H42" i="48"/>
  <c r="G96" i="53" s="1"/>
  <c r="H19" i="48"/>
  <c r="G97" i="51" s="1"/>
  <c r="BD18" i="48"/>
  <c r="AU19" i="48"/>
  <c r="J89" i="48"/>
  <c r="I95" i="57" s="1"/>
  <c r="J65" i="48"/>
  <c r="I95" i="56" s="1"/>
  <c r="W88" i="48"/>
  <c r="C94" i="58" s="1"/>
  <c r="W64" i="48"/>
  <c r="C94" i="54" s="1"/>
  <c r="AQ64" i="48"/>
  <c r="C94" i="55" s="1"/>
  <c r="H89" i="48"/>
  <c r="G95" i="57" s="1"/>
  <c r="AA65" i="48"/>
  <c r="G95" i="54" s="1"/>
  <c r="H65" i="48"/>
  <c r="G95" i="56" s="1"/>
  <c r="BC61" i="48"/>
  <c r="D89" i="48"/>
  <c r="C95" i="57" s="1"/>
  <c r="D65" i="48"/>
  <c r="C95" i="56" s="1"/>
  <c r="BJ8" i="47"/>
  <c r="BK8" i="47" s="1"/>
  <c r="BL8" i="47" s="1"/>
  <c r="P8" i="47" s="1"/>
  <c r="AD32" i="47"/>
  <c r="AR32" i="46"/>
  <c r="BL60" i="46" s="1"/>
  <c r="AT32" i="44"/>
  <c r="BL62" i="44" s="1"/>
  <c r="AQ32" i="44"/>
  <c r="BL59" i="44" s="1"/>
  <c r="AS32" i="47"/>
  <c r="BL61" i="47" s="1"/>
  <c r="Z32" i="47"/>
  <c r="AR32" i="47"/>
  <c r="BL60" i="47" s="1"/>
  <c r="X32" i="47"/>
  <c r="AQ32" i="47"/>
  <c r="BL59" i="47" s="1"/>
  <c r="AA32" i="47"/>
  <c r="AJ79" i="47"/>
  <c r="P65" i="58" s="1"/>
  <c r="BO31" i="47"/>
  <c r="BK64" i="47" s="1"/>
  <c r="P31" i="47"/>
  <c r="AI7" i="47"/>
  <c r="AJ7" i="47" s="1"/>
  <c r="BJ8" i="46"/>
  <c r="BK8" i="46" s="1"/>
  <c r="BL8" i="46" s="1"/>
  <c r="P8" i="46" s="1"/>
  <c r="AF32" i="47"/>
  <c r="AA32" i="44"/>
  <c r="AC32" i="44"/>
  <c r="AJ31" i="44"/>
  <c r="Z32" i="44"/>
  <c r="AF32" i="44"/>
  <c r="AR32" i="44"/>
  <c r="BL60" i="44" s="1"/>
  <c r="AS32" i="44"/>
  <c r="BL61" i="44" s="1"/>
  <c r="O56" i="43"/>
  <c r="AH80" i="43" s="1"/>
  <c r="O80" i="43"/>
  <c r="Q33" i="44"/>
  <c r="D81" i="44"/>
  <c r="C27" i="57" s="1"/>
  <c r="J81" i="46"/>
  <c r="I47" i="57" s="1"/>
  <c r="J57" i="46"/>
  <c r="I47" i="56" s="1"/>
  <c r="BK59" i="47"/>
  <c r="AU31" i="47"/>
  <c r="AB80" i="47"/>
  <c r="H66" i="58" s="1"/>
  <c r="AB56" i="47"/>
  <c r="H66" i="54" s="1"/>
  <c r="AV56" i="47"/>
  <c r="H66" i="55" s="1"/>
  <c r="BI63" i="46"/>
  <c r="BI55" i="46"/>
  <c r="AB80" i="46"/>
  <c r="H46" i="58" s="1"/>
  <c r="AB56" i="46"/>
  <c r="AV56" i="46"/>
  <c r="AF80" i="46"/>
  <c r="L46" i="58" s="1"/>
  <c r="AF56" i="46"/>
  <c r="AZ56" i="46"/>
  <c r="J55" i="43"/>
  <c r="AC79" i="43" s="1"/>
  <c r="J79" i="43"/>
  <c r="Y80" i="44"/>
  <c r="E26" i="58" s="1"/>
  <c r="Y56" i="44"/>
  <c r="E26" i="54" s="1"/>
  <c r="AS56" i="44"/>
  <c r="E26" i="55" s="1"/>
  <c r="H81" i="44"/>
  <c r="G27" i="57" s="1"/>
  <c r="AA57" i="44"/>
  <c r="G27" i="54" s="1"/>
  <c r="AE80" i="43"/>
  <c r="L80" i="43"/>
  <c r="I11" i="44"/>
  <c r="H29" i="51" s="1"/>
  <c r="I34" i="44"/>
  <c r="Z56" i="44"/>
  <c r="F26" i="54" s="1"/>
  <c r="Z80" i="44"/>
  <c r="F26" i="58" s="1"/>
  <c r="AT56" i="44"/>
  <c r="F26" i="55" s="1"/>
  <c r="BR34" i="47"/>
  <c r="BN65" i="47" s="1"/>
  <c r="D34" i="47"/>
  <c r="C68" i="53" s="1"/>
  <c r="D11" i="47"/>
  <c r="C69" i="51" s="1"/>
  <c r="Q10" i="47"/>
  <c r="P68" i="51" s="1"/>
  <c r="X80" i="46"/>
  <c r="D46" i="58" s="1"/>
  <c r="X56" i="46"/>
  <c r="AR56" i="46"/>
  <c r="X56" i="47"/>
  <c r="D66" i="54" s="1"/>
  <c r="X80" i="47"/>
  <c r="D66" i="58" s="1"/>
  <c r="AR56" i="47"/>
  <c r="D66" i="55" s="1"/>
  <c r="AA80" i="44"/>
  <c r="G26" i="58" s="1"/>
  <c r="AU56" i="44"/>
  <c r="G26" i="55" s="1"/>
  <c r="G34" i="47"/>
  <c r="F68" i="53" s="1"/>
  <c r="G11" i="47"/>
  <c r="F69" i="51" s="1"/>
  <c r="AJ55" i="46"/>
  <c r="AK55" i="46" s="1"/>
  <c r="BK58" i="46" s="1"/>
  <c r="Z80" i="46"/>
  <c r="F46" i="58" s="1"/>
  <c r="Z56" i="46"/>
  <c r="AT56" i="46"/>
  <c r="K34" i="46"/>
  <c r="K11" i="46"/>
  <c r="J49" i="51" s="1"/>
  <c r="BC53" i="47"/>
  <c r="K34" i="47"/>
  <c r="K11" i="47"/>
  <c r="J69" i="51" s="1"/>
  <c r="M55" i="43"/>
  <c r="AF79" i="43" s="1"/>
  <c r="M79" i="43"/>
  <c r="M81" i="47"/>
  <c r="L67" i="57" s="1"/>
  <c r="M57" i="47"/>
  <c r="L67" i="56" s="1"/>
  <c r="AD80" i="47"/>
  <c r="J66" i="58" s="1"/>
  <c r="AD56" i="47"/>
  <c r="J66" i="54" s="1"/>
  <c r="AX56" i="47"/>
  <c r="J66" i="55" s="1"/>
  <c r="E34" i="46"/>
  <c r="D48" i="53" s="1"/>
  <c r="E11" i="46"/>
  <c r="D49" i="51" s="1"/>
  <c r="AH32" i="47"/>
  <c r="AE32" i="47"/>
  <c r="AG32" i="47"/>
  <c r="BL68" i="47"/>
  <c r="BL69" i="47"/>
  <c r="M11" i="44"/>
  <c r="L29" i="51" s="1"/>
  <c r="M34" i="44"/>
  <c r="D34" i="44"/>
  <c r="BR34" i="44"/>
  <c r="BN65" i="44" s="1"/>
  <c r="D11" i="44"/>
  <c r="C29" i="51" s="1"/>
  <c r="Q10" i="44"/>
  <c r="P28" i="51" s="1"/>
  <c r="AC80" i="46"/>
  <c r="I46" i="58" s="1"/>
  <c r="AC56" i="46"/>
  <c r="AW56" i="46"/>
  <c r="Q56" i="46"/>
  <c r="P46" i="56" s="1"/>
  <c r="W56" i="46"/>
  <c r="W80" i="46"/>
  <c r="C46" i="58" s="1"/>
  <c r="AQ56" i="46"/>
  <c r="K81" i="46"/>
  <c r="J47" i="57" s="1"/>
  <c r="CA33" i="46"/>
  <c r="Q33" i="46"/>
  <c r="D57" i="46"/>
  <c r="C47" i="56" s="1"/>
  <c r="D81" i="46"/>
  <c r="C47" i="57" s="1"/>
  <c r="AI30" i="47"/>
  <c r="P54" i="47"/>
  <c r="M34" i="46"/>
  <c r="L48" i="53" s="1"/>
  <c r="M11" i="46"/>
  <c r="L49" i="51" s="1"/>
  <c r="G81" i="44"/>
  <c r="F27" i="57" s="1"/>
  <c r="BC54" i="46"/>
  <c r="X80" i="44"/>
  <c r="D26" i="58" s="1"/>
  <c r="X56" i="44"/>
  <c r="D26" i="54" s="1"/>
  <c r="AR56" i="44"/>
  <c r="D26" i="55" s="1"/>
  <c r="AB56" i="44"/>
  <c r="H26" i="54" s="1"/>
  <c r="AB80" i="44"/>
  <c r="H26" i="58" s="1"/>
  <c r="AV56" i="44"/>
  <c r="H26" i="55" s="1"/>
  <c r="K81" i="47"/>
  <c r="J67" i="57" s="1"/>
  <c r="CA33" i="47"/>
  <c r="M34" i="47"/>
  <c r="L68" i="53" s="1"/>
  <c r="M11" i="47"/>
  <c r="L69" i="51" s="1"/>
  <c r="J81" i="47"/>
  <c r="I67" i="57" s="1"/>
  <c r="J57" i="47"/>
  <c r="I67" i="56" s="1"/>
  <c r="Q80" i="47"/>
  <c r="P66" i="57" s="1"/>
  <c r="D81" i="47"/>
  <c r="C67" i="57" s="1"/>
  <c r="D57" i="47"/>
  <c r="C67" i="56" s="1"/>
  <c r="Q33" i="47"/>
  <c r="AQ32" i="46"/>
  <c r="BL69" i="46"/>
  <c r="AG32" i="46"/>
  <c r="BL68" i="46"/>
  <c r="AE32" i="46"/>
  <c r="AH32" i="46"/>
  <c r="AJ6" i="47"/>
  <c r="Y80" i="47"/>
  <c r="E66" i="58" s="1"/>
  <c r="Y56" i="47"/>
  <c r="E66" i="54" s="1"/>
  <c r="AS56" i="47"/>
  <c r="E66" i="55" s="1"/>
  <c r="G34" i="44"/>
  <c r="G11" i="44"/>
  <c r="F29" i="51" s="1"/>
  <c r="Q80" i="44"/>
  <c r="P26" i="57" s="1"/>
  <c r="AB32" i="46"/>
  <c r="AJ31" i="46"/>
  <c r="AF32" i="46"/>
  <c r="E57" i="46"/>
  <c r="D47" i="56" s="1"/>
  <c r="E81" i="46"/>
  <c r="D47" i="57" s="1"/>
  <c r="W80" i="47"/>
  <c r="C66" i="58" s="1"/>
  <c r="Q56" i="47"/>
  <c r="P66" i="56" s="1"/>
  <c r="W56" i="47"/>
  <c r="C66" i="54" s="1"/>
  <c r="AQ56" i="47"/>
  <c r="C66" i="55" s="1"/>
  <c r="M81" i="44"/>
  <c r="L27" i="57" s="1"/>
  <c r="H34" i="44"/>
  <c r="H11" i="44"/>
  <c r="G29" i="51" s="1"/>
  <c r="BW34" i="44"/>
  <c r="BN67" i="44" s="1"/>
  <c r="AD32" i="46"/>
  <c r="Q80" i="46"/>
  <c r="P46" i="57" s="1"/>
  <c r="J11" i="46"/>
  <c r="I49" i="51" s="1"/>
  <c r="J34" i="46"/>
  <c r="I48" i="53" s="1"/>
  <c r="AB32" i="47"/>
  <c r="M81" i="46"/>
  <c r="L47" i="57" s="1"/>
  <c r="M57" i="46"/>
  <c r="L47" i="56" s="1"/>
  <c r="AF80" i="47"/>
  <c r="L66" i="58" s="1"/>
  <c r="AF56" i="47"/>
  <c r="L66" i="54" s="1"/>
  <c r="AZ56" i="47"/>
  <c r="L66" i="55" s="1"/>
  <c r="AJ79" i="46"/>
  <c r="P45" i="58" s="1"/>
  <c r="J34" i="44"/>
  <c r="J11" i="44"/>
  <c r="I29" i="51" s="1"/>
  <c r="K34" i="44"/>
  <c r="K11" i="44"/>
  <c r="J29" i="51" s="1"/>
  <c r="I81" i="44"/>
  <c r="H27" i="57" s="1"/>
  <c r="F81" i="44"/>
  <c r="E27" i="57" s="1"/>
  <c r="F55" i="43"/>
  <c r="Y79" i="43" s="1"/>
  <c r="F79" i="43"/>
  <c r="I55" i="43"/>
  <c r="AB79" i="43" s="1"/>
  <c r="I79" i="43"/>
  <c r="E55" i="43"/>
  <c r="X79" i="43" s="1"/>
  <c r="E79" i="43"/>
  <c r="AI7" i="44"/>
  <c r="P31" i="44"/>
  <c r="O25" i="53" s="1"/>
  <c r="BO31" i="44"/>
  <c r="BK64" i="44" s="1"/>
  <c r="BU31" i="44"/>
  <c r="BK66" i="44" s="1"/>
  <c r="I81" i="47"/>
  <c r="H67" i="57" s="1"/>
  <c r="I57" i="47"/>
  <c r="H67" i="56" s="1"/>
  <c r="AF80" i="44"/>
  <c r="L26" i="58" s="1"/>
  <c r="AF56" i="44"/>
  <c r="L26" i="54" s="1"/>
  <c r="AZ56" i="44"/>
  <c r="L26" i="55" s="1"/>
  <c r="G81" i="47"/>
  <c r="F67" i="57" s="1"/>
  <c r="G57" i="47"/>
  <c r="F67" i="56" s="1"/>
  <c r="J81" i="44"/>
  <c r="I27" i="57" s="1"/>
  <c r="AD80" i="46"/>
  <c r="J46" i="58" s="1"/>
  <c r="AD56" i="46"/>
  <c r="AX56" i="46"/>
  <c r="AI7" i="46"/>
  <c r="P31" i="46"/>
  <c r="O45" i="53" s="1"/>
  <c r="BU31" i="46"/>
  <c r="BK66" i="46" s="1"/>
  <c r="BO31" i="46"/>
  <c r="BK64" i="46" s="1"/>
  <c r="K81" i="44"/>
  <c r="J27" i="57" s="1"/>
  <c r="CA33" i="44"/>
  <c r="AC80" i="44"/>
  <c r="I26" i="58" s="1"/>
  <c r="AC56" i="44"/>
  <c r="I26" i="54" s="1"/>
  <c r="AW56" i="44"/>
  <c r="I26" i="55" s="1"/>
  <c r="H11" i="47"/>
  <c r="G69" i="51" s="1"/>
  <c r="H34" i="47"/>
  <c r="G68" i="53" s="1"/>
  <c r="BW34" i="47"/>
  <c r="BN67" i="47" s="1"/>
  <c r="G34" i="46"/>
  <c r="F48" i="53" s="1"/>
  <c r="G11" i="46"/>
  <c r="F49" i="51" s="1"/>
  <c r="BJ8" i="44"/>
  <c r="BK8" i="44" s="1"/>
  <c r="BL8" i="44" s="1"/>
  <c r="P8" i="44" s="1"/>
  <c r="O26" i="51" s="1"/>
  <c r="AC32" i="47"/>
  <c r="E81" i="44"/>
  <c r="D27" i="57" s="1"/>
  <c r="H11" i="46"/>
  <c r="G49" i="51" s="1"/>
  <c r="H34" i="46"/>
  <c r="BW34" i="46"/>
  <c r="BN67" i="46" s="1"/>
  <c r="Y32" i="46"/>
  <c r="AJ6" i="44"/>
  <c r="F11" i="46"/>
  <c r="E49" i="51" s="1"/>
  <c r="F34" i="46"/>
  <c r="E48" i="53" s="1"/>
  <c r="F34" i="47"/>
  <c r="E68" i="53" s="1"/>
  <c r="F11" i="47"/>
  <c r="E69" i="51" s="1"/>
  <c r="AT32" i="46"/>
  <c r="BL62" i="46" s="1"/>
  <c r="F34" i="44"/>
  <c r="F11" i="44"/>
  <c r="E29" i="51" s="1"/>
  <c r="AJ79" i="44"/>
  <c r="P25" i="58" s="1"/>
  <c r="AS32" i="46"/>
  <c r="BL61" i="46" s="1"/>
  <c r="E34" i="47"/>
  <c r="D68" i="53" s="1"/>
  <c r="E11" i="47"/>
  <c r="D69" i="51" s="1"/>
  <c r="AA80" i="47"/>
  <c r="G66" i="58" s="1"/>
  <c r="AU56" i="47"/>
  <c r="G66" i="55" s="1"/>
  <c r="BK59" i="46"/>
  <c r="AU31" i="46"/>
  <c r="AA57" i="47"/>
  <c r="G67" i="54" s="1"/>
  <c r="H81" i="47"/>
  <c r="G67" i="57" s="1"/>
  <c r="H57" i="47"/>
  <c r="G67" i="56" s="1"/>
  <c r="AJ55" i="47"/>
  <c r="G57" i="46"/>
  <c r="F47" i="56" s="1"/>
  <c r="G81" i="46"/>
  <c r="F47" i="57" s="1"/>
  <c r="AD80" i="44"/>
  <c r="J26" i="58" s="1"/>
  <c r="AD56" i="44"/>
  <c r="J26" i="54" s="1"/>
  <c r="AX56" i="44"/>
  <c r="J26" i="55" s="1"/>
  <c r="AC80" i="47"/>
  <c r="I66" i="58" s="1"/>
  <c r="AC56" i="47"/>
  <c r="I66" i="54" s="1"/>
  <c r="AW56" i="47"/>
  <c r="I66" i="55" s="1"/>
  <c r="E11" i="44"/>
  <c r="D29" i="51" s="1"/>
  <c r="E34" i="44"/>
  <c r="AJ31" i="47"/>
  <c r="H81" i="46"/>
  <c r="G47" i="57" s="1"/>
  <c r="AA57" i="46"/>
  <c r="AD32" i="44"/>
  <c r="AG32" i="44"/>
  <c r="BL69" i="44"/>
  <c r="AH32" i="44"/>
  <c r="BL68" i="44"/>
  <c r="AE32" i="44"/>
  <c r="P78" i="44"/>
  <c r="O24" i="57" s="1"/>
  <c r="AI30" i="44"/>
  <c r="F81" i="46"/>
  <c r="E47" i="57" s="1"/>
  <c r="F57" i="46"/>
  <c r="E47" i="56" s="1"/>
  <c r="F57" i="47"/>
  <c r="E67" i="56" s="1"/>
  <c r="F81" i="47"/>
  <c r="E67" i="57" s="1"/>
  <c r="AA32" i="46"/>
  <c r="BK59" i="44"/>
  <c r="AU31" i="44"/>
  <c r="Z80" i="47"/>
  <c r="F66" i="58" s="1"/>
  <c r="Z56" i="47"/>
  <c r="F66" i="54" s="1"/>
  <c r="AT56" i="47"/>
  <c r="F66" i="55" s="1"/>
  <c r="I11" i="47"/>
  <c r="H69" i="51" s="1"/>
  <c r="I34" i="47"/>
  <c r="H68" i="53" s="1"/>
  <c r="I34" i="46"/>
  <c r="H48" i="53" s="1"/>
  <c r="I11" i="46"/>
  <c r="H49" i="51" s="1"/>
  <c r="AG80" i="43"/>
  <c r="N80" i="43"/>
  <c r="G55" i="43"/>
  <c r="Z79" i="43" s="1"/>
  <c r="G79" i="43"/>
  <c r="J11" i="47"/>
  <c r="I69" i="51" s="1"/>
  <c r="J34" i="47"/>
  <c r="I68" i="53" s="1"/>
  <c r="I57" i="46"/>
  <c r="H47" i="56" s="1"/>
  <c r="I81" i="46"/>
  <c r="H47" i="57" s="1"/>
  <c r="AJ55" i="44"/>
  <c r="Z32" i="46"/>
  <c r="W32" i="47"/>
  <c r="E81" i="47"/>
  <c r="D67" i="57" s="1"/>
  <c r="E57" i="47"/>
  <c r="D67" i="56" s="1"/>
  <c r="AC32" i="46"/>
  <c r="W32" i="46"/>
  <c r="D11" i="46"/>
  <c r="C49" i="51" s="1"/>
  <c r="BR34" i="46"/>
  <c r="BN65" i="46" s="1"/>
  <c r="D34" i="46"/>
  <c r="C48" i="53" s="1"/>
  <c r="Q10" i="46"/>
  <c r="P48" i="51" s="1"/>
  <c r="Y32" i="47"/>
  <c r="Y80" i="46"/>
  <c r="E46" i="58" s="1"/>
  <c r="Y56" i="46"/>
  <c r="AS56" i="46"/>
  <c r="W80" i="44"/>
  <c r="C26" i="58" s="1"/>
  <c r="AQ56" i="44"/>
  <c r="C26" i="55" s="1"/>
  <c r="X32" i="44"/>
  <c r="AB32" i="44"/>
  <c r="AA80" i="46"/>
  <c r="G46" i="58" s="1"/>
  <c r="AU56" i="46"/>
  <c r="BA37" i="47"/>
  <c r="AH86" i="47"/>
  <c r="N72" i="58" s="1"/>
  <c r="N12" i="58" s="1"/>
  <c r="AH62" i="47"/>
  <c r="N72" i="54" s="1"/>
  <c r="BB62" i="47"/>
  <c r="N72" i="55" s="1"/>
  <c r="AG86" i="47"/>
  <c r="M72" i="58" s="1"/>
  <c r="AG62" i="47"/>
  <c r="M72" i="54" s="1"/>
  <c r="BA62" i="47"/>
  <c r="M72" i="55" s="1"/>
  <c r="BX40" i="47"/>
  <c r="N40" i="47"/>
  <c r="N17" i="47"/>
  <c r="N87" i="47"/>
  <c r="M73" i="57" s="1"/>
  <c r="C66" i="47"/>
  <c r="V66" i="47" s="1"/>
  <c r="AP66" i="47" s="1"/>
  <c r="C42" i="47"/>
  <c r="C19" i="47"/>
  <c r="V18" i="47"/>
  <c r="AP18" i="47" s="1"/>
  <c r="BI18" i="47" s="1"/>
  <c r="L40" i="47"/>
  <c r="L17" i="47"/>
  <c r="O40" i="47"/>
  <c r="N74" i="53" s="1"/>
  <c r="O17" i="47"/>
  <c r="AE86" i="47"/>
  <c r="K72" i="58" s="1"/>
  <c r="AE62" i="47"/>
  <c r="K72" i="54" s="1"/>
  <c r="AY62" i="47"/>
  <c r="K72" i="55" s="1"/>
  <c r="L87" i="47"/>
  <c r="K73" i="57" s="1"/>
  <c r="BD17" i="47"/>
  <c r="AU18" i="47"/>
  <c r="C89" i="47"/>
  <c r="V41" i="47"/>
  <c r="V89" i="47" s="1"/>
  <c r="O87" i="47"/>
  <c r="N73" i="57" s="1"/>
  <c r="N13" i="57" s="1"/>
  <c r="O63" i="47"/>
  <c r="N73" i="56" s="1"/>
  <c r="N13" i="56" s="1"/>
  <c r="B66" i="47"/>
  <c r="U66" i="47" s="1"/>
  <c r="AO66" i="47" s="1"/>
  <c r="B42" i="47"/>
  <c r="B19" i="47"/>
  <c r="U18" i="47"/>
  <c r="AO18" i="47" s="1"/>
  <c r="BH18" i="47" s="1"/>
  <c r="B89" i="47"/>
  <c r="U41" i="47"/>
  <c r="U89" i="47" s="1"/>
  <c r="AW38" i="47"/>
  <c r="AP39" i="47"/>
  <c r="AZ38" i="47"/>
  <c r="AX38" i="47"/>
  <c r="C88" i="46"/>
  <c r="V40" i="46"/>
  <c r="V88" i="46" s="1"/>
  <c r="AE87" i="46"/>
  <c r="K53" i="58" s="1"/>
  <c r="AE63" i="46"/>
  <c r="AY63" i="46"/>
  <c r="AU17" i="46"/>
  <c r="BD16" i="46"/>
  <c r="AX38" i="46"/>
  <c r="AW38" i="46"/>
  <c r="AP39" i="46"/>
  <c r="AZ38" i="46"/>
  <c r="N40" i="46"/>
  <c r="BX40" i="46"/>
  <c r="N17" i="46"/>
  <c r="B64" i="46"/>
  <c r="U64" i="46" s="1"/>
  <c r="AO64" i="46" s="1"/>
  <c r="B40" i="46"/>
  <c r="U16" i="46"/>
  <c r="AO16" i="46" s="1"/>
  <c r="BH16" i="46" s="1"/>
  <c r="B17" i="46"/>
  <c r="BT38" i="46"/>
  <c r="BQ38" i="46"/>
  <c r="L88" i="46"/>
  <c r="K54" i="57" s="1"/>
  <c r="L41" i="46"/>
  <c r="L18" i="46"/>
  <c r="AG86" i="46"/>
  <c r="M52" i="58" s="1"/>
  <c r="M12" i="58" s="1"/>
  <c r="AG62" i="46"/>
  <c r="BA62" i="46"/>
  <c r="N87" i="46"/>
  <c r="M53" i="57" s="1"/>
  <c r="AH87" i="46"/>
  <c r="N53" i="58" s="1"/>
  <c r="AH63" i="46"/>
  <c r="BB63" i="46"/>
  <c r="B87" i="46"/>
  <c r="U39" i="46"/>
  <c r="U87" i="46" s="1"/>
  <c r="BN39" i="46"/>
  <c r="BL40" i="46"/>
  <c r="C65" i="46"/>
  <c r="V65" i="46" s="1"/>
  <c r="AP65" i="46" s="1"/>
  <c r="C41" i="46"/>
  <c r="C18" i="46"/>
  <c r="V17" i="46"/>
  <c r="AP17" i="46" s="1"/>
  <c r="BI17" i="46" s="1"/>
  <c r="O41" i="46"/>
  <c r="N55" i="53" s="1"/>
  <c r="O18" i="46"/>
  <c r="O88" i="46"/>
  <c r="N54" i="57" s="1"/>
  <c r="O64" i="46"/>
  <c r="N54" i="56" s="1"/>
  <c r="BA39" i="44"/>
  <c r="B92" i="44"/>
  <c r="U44" i="44"/>
  <c r="U92" i="44" s="1"/>
  <c r="B20" i="44"/>
  <c r="B67" i="44"/>
  <c r="U67" i="44" s="1"/>
  <c r="AO67" i="44" s="1"/>
  <c r="U19" i="44"/>
  <c r="AO19" i="44" s="1"/>
  <c r="BH19" i="44" s="1"/>
  <c r="C20" i="44"/>
  <c r="C67" i="44"/>
  <c r="V67" i="44" s="1"/>
  <c r="AP67" i="44" s="1"/>
  <c r="V19" i="44"/>
  <c r="AP19" i="44" s="1"/>
  <c r="BI19" i="44" s="1"/>
  <c r="BX42" i="44"/>
  <c r="N42" i="44"/>
  <c r="N19" i="44"/>
  <c r="BD17" i="44"/>
  <c r="AU18" i="44"/>
  <c r="AE86" i="44"/>
  <c r="K32" i="58" s="1"/>
  <c r="K12" i="58" s="1"/>
  <c r="AE62" i="44"/>
  <c r="K32" i="54" s="1"/>
  <c r="K12" i="54" s="1"/>
  <c r="AY62" i="44"/>
  <c r="K32" i="55" s="1"/>
  <c r="K12" i="55" s="1"/>
  <c r="N89" i="44"/>
  <c r="M35" i="57" s="1"/>
  <c r="O41" i="44"/>
  <c r="O18" i="44"/>
  <c r="BT38" i="44"/>
  <c r="BQ38" i="44"/>
  <c r="AG88" i="44"/>
  <c r="M34" i="58" s="1"/>
  <c r="AG64" i="44"/>
  <c r="M34" i="54" s="1"/>
  <c r="BA64" i="44"/>
  <c r="M34" i="55" s="1"/>
  <c r="O88" i="44"/>
  <c r="N34" i="57" s="1"/>
  <c r="BN39" i="44"/>
  <c r="BL40" i="44"/>
  <c r="L40" i="44"/>
  <c r="L17" i="44"/>
  <c r="AX40" i="44"/>
  <c r="AW40" i="44"/>
  <c r="AP41" i="44"/>
  <c r="AZ40" i="44"/>
  <c r="L87" i="44"/>
  <c r="K33" i="57" s="1"/>
  <c r="AH87" i="44"/>
  <c r="N33" i="58" s="1"/>
  <c r="AH63" i="44"/>
  <c r="N33" i="54" s="1"/>
  <c r="BB63" i="44"/>
  <c r="N33" i="55" s="1"/>
  <c r="BW32" i="43"/>
  <c r="BL67" i="43" s="1"/>
  <c r="AD79" i="43"/>
  <c r="CA31" i="43"/>
  <c r="AA55" i="43"/>
  <c r="AA79" i="43"/>
  <c r="H9" i="43"/>
  <c r="H32" i="43"/>
  <c r="H56" i="43" s="1"/>
  <c r="G9" i="43"/>
  <c r="G32" i="43"/>
  <c r="K9" i="43"/>
  <c r="K32" i="43"/>
  <c r="K56" i="43" s="1"/>
  <c r="M9" i="43"/>
  <c r="M32" i="43"/>
  <c r="L10" i="43"/>
  <c r="L33" i="43"/>
  <c r="L57" i="43" s="1"/>
  <c r="J9" i="43"/>
  <c r="J32" i="43"/>
  <c r="O10" i="43"/>
  <c r="O33" i="43"/>
  <c r="BQ36" i="43"/>
  <c r="BT36" i="43"/>
  <c r="N10" i="43"/>
  <c r="N33" i="43"/>
  <c r="N57" i="43" s="1"/>
  <c r="F9" i="43"/>
  <c r="F32" i="43"/>
  <c r="I9" i="43"/>
  <c r="I32" i="43"/>
  <c r="E9" i="43"/>
  <c r="E32" i="43"/>
  <c r="BD6" i="43"/>
  <c r="AU7" i="43"/>
  <c r="BA8" i="43"/>
  <c r="AY8" i="43"/>
  <c r="BL38" i="43"/>
  <c r="BM37" i="43"/>
  <c r="BN37" i="43" s="1"/>
  <c r="AX8" i="43"/>
  <c r="AZ8" i="43"/>
  <c r="AW8" i="43"/>
  <c r="AV8" i="43"/>
  <c r="C1" i="28" a="1"/>
  <c r="E1" i="28" s="1"/>
  <c r="J1" i="28"/>
  <c r="K1" i="28"/>
  <c r="D3" i="43" a="1"/>
  <c r="C1" i="26" a="1"/>
  <c r="AZ39" i="43"/>
  <c r="AX39" i="43"/>
  <c r="AP40" i="43"/>
  <c r="AW40" i="43" s="1"/>
  <c r="E1" i="27" a="1"/>
  <c r="A3" i="21"/>
  <c r="A4" i="21" s="1"/>
  <c r="A5" i="21" s="1"/>
  <c r="A6" i="21" s="1"/>
  <c r="A7" i="21" s="1"/>
  <c r="A8" i="21" s="1"/>
  <c r="A9" i="21" s="1"/>
  <c r="A10" i="21" s="1"/>
  <c r="A11" i="21" s="1"/>
  <c r="B3" i="21"/>
  <c r="B4" i="21"/>
  <c r="B5" i="21"/>
  <c r="B6" i="21"/>
  <c r="C1" i="31" s="1"/>
  <c r="B2" i="21"/>
  <c r="N12" i="54" l="1"/>
  <c r="N12" i="55"/>
  <c r="C6" i="58"/>
  <c r="BP55" i="48"/>
  <c r="BP63" i="48"/>
  <c r="J9" i="51"/>
  <c r="M1" i="28"/>
  <c r="G1" i="28"/>
  <c r="K118" i="53"/>
  <c r="L68" i="49"/>
  <c r="K118" i="56" s="1"/>
  <c r="K74" i="53"/>
  <c r="L64" i="47"/>
  <c r="K74" i="56" s="1"/>
  <c r="M118" i="53"/>
  <c r="N68" i="49"/>
  <c r="M118" i="56" s="1"/>
  <c r="N14" i="53"/>
  <c r="W57" i="44"/>
  <c r="C27" i="54" s="1"/>
  <c r="M13" i="53"/>
  <c r="M52" i="55"/>
  <c r="M12" i="55" s="1"/>
  <c r="M52" i="54"/>
  <c r="M12" i="54" s="1"/>
  <c r="L64" i="44"/>
  <c r="K34" i="56" s="1"/>
  <c r="K34" i="53"/>
  <c r="M13" i="56"/>
  <c r="L65" i="46"/>
  <c r="K55" i="56" s="1"/>
  <c r="K55" i="53"/>
  <c r="M139" i="53"/>
  <c r="N69" i="50"/>
  <c r="M139" i="56" s="1"/>
  <c r="N53" i="55"/>
  <c r="N53" i="54"/>
  <c r="K13" i="57"/>
  <c r="O65" i="44"/>
  <c r="N35" i="56" s="1"/>
  <c r="N35" i="53"/>
  <c r="M36" i="53"/>
  <c r="N66" i="44"/>
  <c r="M36" i="56" s="1"/>
  <c r="K53" i="55"/>
  <c r="K53" i="54"/>
  <c r="G7" i="53"/>
  <c r="K13" i="53"/>
  <c r="M54" i="53"/>
  <c r="M14" i="53" s="1"/>
  <c r="N64" i="46"/>
  <c r="M54" i="56" s="1"/>
  <c r="N64" i="47"/>
  <c r="M74" i="56" s="1"/>
  <c r="M74" i="53"/>
  <c r="K140" i="53"/>
  <c r="L70" i="50"/>
  <c r="K140" i="56" s="1"/>
  <c r="M13" i="57"/>
  <c r="M97" i="53"/>
  <c r="N67" i="48"/>
  <c r="M97" i="56" s="1"/>
  <c r="K96" i="53"/>
  <c r="L66" i="48"/>
  <c r="K96" i="56" s="1"/>
  <c r="C7" i="56"/>
  <c r="J7" i="57"/>
  <c r="J6" i="58"/>
  <c r="F9" i="51"/>
  <c r="P6" i="53"/>
  <c r="E7" i="57"/>
  <c r="G7" i="57"/>
  <c r="D9" i="51"/>
  <c r="AC40" i="49"/>
  <c r="J7" i="56"/>
  <c r="W40" i="49"/>
  <c r="F58" i="44"/>
  <c r="E28" i="56" s="1"/>
  <c r="E28" i="53"/>
  <c r="E8" i="53" s="1"/>
  <c r="P6" i="57"/>
  <c r="H6" i="58"/>
  <c r="C46" i="55"/>
  <c r="C6" i="55" s="1"/>
  <c r="C46" i="54"/>
  <c r="C6" i="54" s="1"/>
  <c r="C9" i="51"/>
  <c r="F46" i="55"/>
  <c r="F46" i="54"/>
  <c r="F6" i="54" s="1"/>
  <c r="L46" i="55"/>
  <c r="L6" i="55" s="1"/>
  <c r="L46" i="54"/>
  <c r="L6" i="54" s="1"/>
  <c r="AC33" i="44"/>
  <c r="P27" i="53"/>
  <c r="BD61" i="48"/>
  <c r="P91" i="55" s="1"/>
  <c r="O91" i="55"/>
  <c r="CA41" i="48"/>
  <c r="L95" i="53"/>
  <c r="AE40" i="48"/>
  <c r="P94" i="53"/>
  <c r="K65" i="50"/>
  <c r="J135" i="56" s="1"/>
  <c r="J135" i="53"/>
  <c r="BI63" i="44"/>
  <c r="P23" i="55"/>
  <c r="E46" i="54"/>
  <c r="E6" i="54" s="1"/>
  <c r="E46" i="55"/>
  <c r="E6" i="55" s="1"/>
  <c r="H58" i="46"/>
  <c r="G48" i="56" s="1"/>
  <c r="G48" i="53"/>
  <c r="P78" i="47"/>
  <c r="O64" i="57" s="1"/>
  <c r="O4" i="57" s="1"/>
  <c r="O64" i="56"/>
  <c r="O4" i="56" s="1"/>
  <c r="F7" i="56"/>
  <c r="F6" i="55"/>
  <c r="Q57" i="44"/>
  <c r="P27" i="56" s="1"/>
  <c r="AK55" i="47"/>
  <c r="BK58" i="47" s="1"/>
  <c r="P65" i="54"/>
  <c r="D7" i="57"/>
  <c r="M58" i="44"/>
  <c r="L28" i="56" s="1"/>
  <c r="L28" i="53"/>
  <c r="L8" i="53" s="1"/>
  <c r="D46" i="55"/>
  <c r="D6" i="55" s="1"/>
  <c r="D46" i="54"/>
  <c r="D6" i="54" s="1"/>
  <c r="F6" i="58"/>
  <c r="H46" i="55"/>
  <c r="H46" i="54"/>
  <c r="H6" i="54" s="1"/>
  <c r="P32" i="46"/>
  <c r="O46" i="53" s="1"/>
  <c r="O46" i="51"/>
  <c r="AK62" i="50"/>
  <c r="BR58" i="50" s="1"/>
  <c r="P132" i="54"/>
  <c r="AI8" i="47"/>
  <c r="O66" i="51"/>
  <c r="D6" i="58"/>
  <c r="I46" i="55"/>
  <c r="I6" i="55" s="1"/>
  <c r="I46" i="54"/>
  <c r="I6" i="54" s="1"/>
  <c r="L9" i="51"/>
  <c r="K58" i="47"/>
  <c r="J68" i="56" s="1"/>
  <c r="J68" i="53"/>
  <c r="P39" i="48"/>
  <c r="O93" i="53" s="1"/>
  <c r="O93" i="51"/>
  <c r="BD61" i="50"/>
  <c r="P131" i="55" s="1"/>
  <c r="O131" i="55"/>
  <c r="E7" i="56"/>
  <c r="L7" i="56"/>
  <c r="K65" i="48"/>
  <c r="J95" i="53"/>
  <c r="K89" i="48"/>
  <c r="J95" i="57" s="1"/>
  <c r="J94" i="56"/>
  <c r="AD88" i="48"/>
  <c r="J94" i="58" s="1"/>
  <c r="AD64" i="48"/>
  <c r="J94" i="54" s="1"/>
  <c r="AX64" i="48"/>
  <c r="J94" i="55" s="1"/>
  <c r="BD60" i="50"/>
  <c r="P130" i="55" s="1"/>
  <c r="O130" i="55"/>
  <c r="D96" i="51"/>
  <c r="E42" i="48"/>
  <c r="E19" i="48"/>
  <c r="D95" i="53"/>
  <c r="E65" i="48"/>
  <c r="E89" i="48"/>
  <c r="D95" i="57" s="1"/>
  <c r="D94" i="56"/>
  <c r="X88" i="48"/>
  <c r="D94" i="58" s="1"/>
  <c r="X64" i="48"/>
  <c r="D94" i="54" s="1"/>
  <c r="AR64" i="48"/>
  <c r="D94" i="55" s="1"/>
  <c r="J46" i="55"/>
  <c r="J6" i="55" s="1"/>
  <c r="J46" i="54"/>
  <c r="J6" i="54" s="1"/>
  <c r="K58" i="44"/>
  <c r="J28" i="56" s="1"/>
  <c r="J28" i="53"/>
  <c r="G9" i="51"/>
  <c r="O6" i="51"/>
  <c r="I6" i="58"/>
  <c r="H58" i="44"/>
  <c r="G28" i="56" s="1"/>
  <c r="G28" i="53"/>
  <c r="AF33" i="47"/>
  <c r="P67" i="53"/>
  <c r="BD54" i="46"/>
  <c r="BJ55" i="46" s="1"/>
  <c r="O44" i="55"/>
  <c r="O44" i="54"/>
  <c r="O4" i="54" s="1"/>
  <c r="BJ9" i="46"/>
  <c r="BK9" i="46" s="1"/>
  <c r="BL9" i="46" s="1"/>
  <c r="P9" i="46" s="1"/>
  <c r="O47" i="51" s="1"/>
  <c r="P47" i="53"/>
  <c r="BD53" i="47"/>
  <c r="P63" i="55" s="1"/>
  <c r="O63" i="55"/>
  <c r="I58" i="44"/>
  <c r="H28" i="56" s="1"/>
  <c r="H28" i="53"/>
  <c r="H8" i="53" s="1"/>
  <c r="E6" i="58"/>
  <c r="P55" i="47"/>
  <c r="O65" i="53"/>
  <c r="O5" i="53" s="1"/>
  <c r="AB40" i="49"/>
  <c r="P114" i="53"/>
  <c r="AS40" i="49"/>
  <c r="BT61" i="49" s="1"/>
  <c r="P43" i="55"/>
  <c r="P43" i="54"/>
  <c r="P3" i="54" s="1"/>
  <c r="J96" i="51"/>
  <c r="K42" i="48"/>
  <c r="K19" i="48"/>
  <c r="E58" i="44"/>
  <c r="D28" i="56" s="1"/>
  <c r="D28" i="53"/>
  <c r="D8" i="53" s="1"/>
  <c r="BW42" i="48"/>
  <c r="BV67" i="48" s="1"/>
  <c r="L96" i="51"/>
  <c r="H7" i="57"/>
  <c r="D58" i="44"/>
  <c r="C28" i="56" s="1"/>
  <c r="C28" i="53"/>
  <c r="C8" i="53" s="1"/>
  <c r="G46" i="55"/>
  <c r="G6" i="55" s="1"/>
  <c r="G46" i="54"/>
  <c r="G6" i="54" s="1"/>
  <c r="L6" i="58"/>
  <c r="P5" i="58"/>
  <c r="I9" i="51"/>
  <c r="L7" i="57"/>
  <c r="F7" i="57"/>
  <c r="H9" i="51"/>
  <c r="W40" i="50"/>
  <c r="P134" i="53"/>
  <c r="H7" i="56"/>
  <c r="I7" i="56"/>
  <c r="P6" i="56"/>
  <c r="D7" i="56"/>
  <c r="G58" i="44"/>
  <c r="F28" i="56" s="1"/>
  <c r="F28" i="53"/>
  <c r="F8" i="53" s="1"/>
  <c r="G7" i="56"/>
  <c r="AK55" i="44"/>
  <c r="BK58" i="44" s="1"/>
  <c r="P25" i="54"/>
  <c r="E9" i="51"/>
  <c r="I7" i="57"/>
  <c r="J58" i="44"/>
  <c r="I28" i="56" s="1"/>
  <c r="I28" i="53"/>
  <c r="I8" i="53" s="1"/>
  <c r="H6" i="55"/>
  <c r="P8" i="51"/>
  <c r="K58" i="46"/>
  <c r="J48" i="56" s="1"/>
  <c r="J48" i="53"/>
  <c r="G6" i="58"/>
  <c r="C7" i="57"/>
  <c r="AK62" i="48"/>
  <c r="BR58" i="48" s="1"/>
  <c r="P92" i="54"/>
  <c r="K65" i="49"/>
  <c r="J115" i="56" s="1"/>
  <c r="J115" i="53"/>
  <c r="Y40" i="50"/>
  <c r="AK62" i="49"/>
  <c r="BR58" i="49" s="1"/>
  <c r="P112" i="54"/>
  <c r="J7" i="53"/>
  <c r="O3" i="55"/>
  <c r="AA40" i="50"/>
  <c r="AD40" i="49"/>
  <c r="AS40" i="50"/>
  <c r="BT61" i="50" s="1"/>
  <c r="AJ39" i="49"/>
  <c r="AJ39" i="50"/>
  <c r="AR40" i="49"/>
  <c r="BT60" i="49" s="1"/>
  <c r="BJ16" i="49"/>
  <c r="BK16" i="49" s="1"/>
  <c r="BL16" i="49" s="1"/>
  <c r="P16" i="49" s="1"/>
  <c r="O114" i="51" s="1"/>
  <c r="AH40" i="49"/>
  <c r="AG40" i="49"/>
  <c r="BT68" i="49"/>
  <c r="BT69" i="49"/>
  <c r="AT40" i="49"/>
  <c r="BT62" i="49" s="1"/>
  <c r="AE40" i="49"/>
  <c r="AA88" i="50"/>
  <c r="G134" i="58" s="1"/>
  <c r="AU64" i="50"/>
  <c r="G134" i="55" s="1"/>
  <c r="AF64" i="50"/>
  <c r="L134" i="54" s="1"/>
  <c r="AF88" i="50"/>
  <c r="L134" i="58" s="1"/>
  <c r="AZ64" i="50"/>
  <c r="L134" i="55" s="1"/>
  <c r="H89" i="50"/>
  <c r="G135" i="57" s="1"/>
  <c r="AA65" i="50"/>
  <c r="G135" i="54" s="1"/>
  <c r="H65" i="50"/>
  <c r="G135" i="56" s="1"/>
  <c r="M89" i="49"/>
  <c r="L115" i="57" s="1"/>
  <c r="M65" i="49"/>
  <c r="L115" i="56" s="1"/>
  <c r="X40" i="49"/>
  <c r="AF64" i="49"/>
  <c r="L114" i="54" s="1"/>
  <c r="AZ64" i="49"/>
  <c r="L114" i="55" s="1"/>
  <c r="AF88" i="49"/>
  <c r="L114" i="58" s="1"/>
  <c r="AJ87" i="50"/>
  <c r="P133" i="58" s="1"/>
  <c r="Z40" i="49"/>
  <c r="AA88" i="49"/>
  <c r="G114" i="58" s="1"/>
  <c r="AU64" i="49"/>
  <c r="G114" i="55" s="1"/>
  <c r="W88" i="49"/>
  <c r="C114" i="58" s="1"/>
  <c r="W64" i="49"/>
  <c r="C114" i="54" s="1"/>
  <c r="Q64" i="49"/>
  <c r="P114" i="56" s="1"/>
  <c r="AQ64" i="49"/>
  <c r="C114" i="55" s="1"/>
  <c r="BT59" i="50"/>
  <c r="H42" i="49"/>
  <c r="G116" i="53" s="1"/>
  <c r="H19" i="49"/>
  <c r="G117" i="51" s="1"/>
  <c r="BW42" i="49"/>
  <c r="BV67" i="49" s="1"/>
  <c r="AB88" i="50"/>
  <c r="H134" i="58" s="1"/>
  <c r="AB64" i="50"/>
  <c r="H134" i="54" s="1"/>
  <c r="AV64" i="50"/>
  <c r="H134" i="55" s="1"/>
  <c r="X88" i="49"/>
  <c r="D114" i="58" s="1"/>
  <c r="X64" i="49"/>
  <c r="D114" i="54" s="1"/>
  <c r="AR64" i="49"/>
  <c r="D114" i="55" s="1"/>
  <c r="G89" i="49"/>
  <c r="F115" i="57" s="1"/>
  <c r="G65" i="49"/>
  <c r="F115" i="56" s="1"/>
  <c r="AC40" i="50"/>
  <c r="AT40" i="50"/>
  <c r="BT62" i="50" s="1"/>
  <c r="AE40" i="50"/>
  <c r="AH40" i="50"/>
  <c r="BT69" i="50"/>
  <c r="AG40" i="50"/>
  <c r="BT68" i="50"/>
  <c r="BJ16" i="50"/>
  <c r="BK16" i="50" s="1"/>
  <c r="BL16" i="50" s="1"/>
  <c r="P16" i="50" s="1"/>
  <c r="O134" i="51" s="1"/>
  <c r="AR40" i="50"/>
  <c r="BT60" i="50" s="1"/>
  <c r="H65" i="49"/>
  <c r="G115" i="56" s="1"/>
  <c r="H89" i="49"/>
  <c r="G115" i="57" s="1"/>
  <c r="AA65" i="49"/>
  <c r="G115" i="54" s="1"/>
  <c r="M42" i="50"/>
  <c r="L136" i="53" s="1"/>
  <c r="M19" i="50"/>
  <c r="L137" i="51" s="1"/>
  <c r="AC88" i="49"/>
  <c r="I114" i="58" s="1"/>
  <c r="AC64" i="49"/>
  <c r="I114" i="54" s="1"/>
  <c r="AW64" i="49"/>
  <c r="I114" i="55" s="1"/>
  <c r="AJ14" i="49"/>
  <c r="BC62" i="49"/>
  <c r="X40" i="50"/>
  <c r="I89" i="50"/>
  <c r="H135" i="57" s="1"/>
  <c r="I65" i="50"/>
  <c r="H135" i="56" s="1"/>
  <c r="Z88" i="49"/>
  <c r="F114" i="58" s="1"/>
  <c r="Z64" i="49"/>
  <c r="F114" i="54" s="1"/>
  <c r="AT64" i="49"/>
  <c r="F114" i="55" s="1"/>
  <c r="D19" i="50"/>
  <c r="C137" i="51" s="1"/>
  <c r="D42" i="50"/>
  <c r="C136" i="53" s="1"/>
  <c r="BR42" i="50"/>
  <c r="BV65" i="50" s="1"/>
  <c r="Q18" i="50"/>
  <c r="P136" i="51" s="1"/>
  <c r="AI15" i="49"/>
  <c r="BU39" i="49"/>
  <c r="BS66" i="49" s="1"/>
  <c r="BO39" i="49"/>
  <c r="BS64" i="49" s="1"/>
  <c r="P39" i="49"/>
  <c r="O113" i="53" s="1"/>
  <c r="J42" i="50"/>
  <c r="I136" i="53" s="1"/>
  <c r="J19" i="50"/>
  <c r="I137" i="51" s="1"/>
  <c r="G42" i="49"/>
  <c r="F116" i="53" s="1"/>
  <c r="G19" i="49"/>
  <c r="F117" i="51" s="1"/>
  <c r="W64" i="50"/>
  <c r="C134" i="54" s="1"/>
  <c r="W88" i="50"/>
  <c r="C134" i="58" s="1"/>
  <c r="Q64" i="50"/>
  <c r="P134" i="56" s="1"/>
  <c r="AQ64" i="50"/>
  <c r="C134" i="55" s="1"/>
  <c r="D19" i="49"/>
  <c r="C117" i="51" s="1"/>
  <c r="BR42" i="49"/>
  <c r="BV65" i="49" s="1"/>
  <c r="D42" i="49"/>
  <c r="C116" i="53" s="1"/>
  <c r="Q18" i="49"/>
  <c r="P116" i="51" s="1"/>
  <c r="M89" i="50"/>
  <c r="L135" i="57" s="1"/>
  <c r="M65" i="50"/>
  <c r="L135" i="56" s="1"/>
  <c r="AD40" i="50"/>
  <c r="P86" i="49"/>
  <c r="O112" i="57" s="1"/>
  <c r="AI38" i="49"/>
  <c r="E65" i="50"/>
  <c r="D135" i="56" s="1"/>
  <c r="E89" i="50"/>
  <c r="D135" i="57" s="1"/>
  <c r="X88" i="50"/>
  <c r="D134" i="58" s="1"/>
  <c r="X64" i="50"/>
  <c r="D134" i="54" s="1"/>
  <c r="AR64" i="50"/>
  <c r="D134" i="55" s="1"/>
  <c r="BS59" i="50"/>
  <c r="AU39" i="50"/>
  <c r="I19" i="50"/>
  <c r="H137" i="51" s="1"/>
  <c r="I42" i="50"/>
  <c r="H136" i="53" s="1"/>
  <c r="D89" i="50"/>
  <c r="C135" i="57" s="1"/>
  <c r="D65" i="50"/>
  <c r="C135" i="56" s="1"/>
  <c r="Q41" i="50"/>
  <c r="P135" i="53" s="1"/>
  <c r="BC61" i="49"/>
  <c r="J65" i="50"/>
  <c r="I135" i="56" s="1"/>
  <c r="J89" i="50"/>
  <c r="I135" i="57" s="1"/>
  <c r="Q88" i="50"/>
  <c r="P134" i="57" s="1"/>
  <c r="K19" i="49"/>
  <c r="J117" i="51" s="1"/>
  <c r="K42" i="49"/>
  <c r="AD88" i="49"/>
  <c r="J114" i="58" s="1"/>
  <c r="AD64" i="49"/>
  <c r="J114" i="54" s="1"/>
  <c r="AX64" i="49"/>
  <c r="J114" i="55" s="1"/>
  <c r="J42" i="49"/>
  <c r="I116" i="53" s="1"/>
  <c r="J19" i="49"/>
  <c r="I117" i="51" s="1"/>
  <c r="Z40" i="50"/>
  <c r="E42" i="50"/>
  <c r="D136" i="53" s="1"/>
  <c r="E19" i="50"/>
  <c r="D137" i="51" s="1"/>
  <c r="Y40" i="49"/>
  <c r="AJ14" i="50"/>
  <c r="F42" i="49"/>
  <c r="E116" i="53" s="1"/>
  <c r="F19" i="49"/>
  <c r="E117" i="51" s="1"/>
  <c r="K89" i="49"/>
  <c r="J115" i="57" s="1"/>
  <c r="CA41" i="49"/>
  <c r="G42" i="50"/>
  <c r="F136" i="53" s="1"/>
  <c r="G19" i="50"/>
  <c r="F137" i="51" s="1"/>
  <c r="AD88" i="50"/>
  <c r="J134" i="58" s="1"/>
  <c r="AD64" i="50"/>
  <c r="J134" i="54" s="1"/>
  <c r="AX64" i="50"/>
  <c r="J134" i="55" s="1"/>
  <c r="J89" i="49"/>
  <c r="I115" i="57" s="1"/>
  <c r="J65" i="49"/>
  <c r="I115" i="56" s="1"/>
  <c r="K42" i="50"/>
  <c r="K19" i="50"/>
  <c r="J137" i="51" s="1"/>
  <c r="E19" i="49"/>
  <c r="D117" i="51" s="1"/>
  <c r="E42" i="49"/>
  <c r="D116" i="53" s="1"/>
  <c r="AS64" i="49"/>
  <c r="E114" i="55" s="1"/>
  <c r="Y88" i="49"/>
  <c r="E114" i="58" s="1"/>
  <c r="Y64" i="49"/>
  <c r="E114" i="54" s="1"/>
  <c r="BT59" i="49"/>
  <c r="AI38" i="50"/>
  <c r="P86" i="50"/>
  <c r="O132" i="57" s="1"/>
  <c r="F89" i="49"/>
  <c r="E115" i="57" s="1"/>
  <c r="F65" i="49"/>
  <c r="E115" i="56" s="1"/>
  <c r="D89" i="49"/>
  <c r="C115" i="57" s="1"/>
  <c r="D65" i="49"/>
  <c r="C115" i="56" s="1"/>
  <c r="Q41" i="49"/>
  <c r="X41" i="49" s="1"/>
  <c r="F42" i="50"/>
  <c r="E136" i="53" s="1"/>
  <c r="F19" i="50"/>
  <c r="E137" i="51" s="1"/>
  <c r="Y64" i="50"/>
  <c r="E134" i="54" s="1"/>
  <c r="Y88" i="50"/>
  <c r="E134" i="58" s="1"/>
  <c r="AS64" i="50"/>
  <c r="E134" i="55" s="1"/>
  <c r="G65" i="50"/>
  <c r="F135" i="56" s="1"/>
  <c r="G89" i="50"/>
  <c r="F135" i="57" s="1"/>
  <c r="Z88" i="50"/>
  <c r="F134" i="58" s="1"/>
  <c r="Z64" i="50"/>
  <c r="F134" i="54" s="1"/>
  <c r="AT64" i="50"/>
  <c r="F134" i="55" s="1"/>
  <c r="K89" i="50"/>
  <c r="J135" i="57" s="1"/>
  <c r="CA41" i="50"/>
  <c r="E65" i="49"/>
  <c r="D115" i="56" s="1"/>
  <c r="E89" i="49"/>
  <c r="D115" i="57" s="1"/>
  <c r="AB88" i="49"/>
  <c r="H114" i="58" s="1"/>
  <c r="AB64" i="49"/>
  <c r="H114" i="54" s="1"/>
  <c r="AV64" i="49"/>
  <c r="H114" i="55" s="1"/>
  <c r="AJ63" i="49"/>
  <c r="I19" i="49"/>
  <c r="H117" i="51" s="1"/>
  <c r="I42" i="49"/>
  <c r="H116" i="53" s="1"/>
  <c r="Q88" i="49"/>
  <c r="P114" i="57" s="1"/>
  <c r="AF40" i="50"/>
  <c r="F89" i="50"/>
  <c r="E135" i="57" s="1"/>
  <c r="F65" i="50"/>
  <c r="E135" i="56" s="1"/>
  <c r="AU39" i="49"/>
  <c r="H42" i="50"/>
  <c r="G136" i="53" s="1"/>
  <c r="H19" i="50"/>
  <c r="G137" i="51" s="1"/>
  <c r="BW42" i="50"/>
  <c r="BV67" i="50" s="1"/>
  <c r="M42" i="49"/>
  <c r="L116" i="53" s="1"/>
  <c r="M19" i="49"/>
  <c r="L117" i="51" s="1"/>
  <c r="P39" i="50"/>
  <c r="O133" i="53" s="1"/>
  <c r="AI15" i="50"/>
  <c r="BU39" i="50"/>
  <c r="BS66" i="50" s="1"/>
  <c r="BO39" i="50"/>
  <c r="BS64" i="50" s="1"/>
  <c r="AB40" i="50"/>
  <c r="AF40" i="49"/>
  <c r="AJ63" i="50"/>
  <c r="AJ87" i="49"/>
  <c r="P113" i="58" s="1"/>
  <c r="AC88" i="50"/>
  <c r="I134" i="58" s="1"/>
  <c r="AC64" i="50"/>
  <c r="I134" i="54" s="1"/>
  <c r="AW64" i="50"/>
  <c r="I134" i="55" s="1"/>
  <c r="AA40" i="49"/>
  <c r="I89" i="49"/>
  <c r="H115" i="57" s="1"/>
  <c r="I65" i="49"/>
  <c r="H115" i="56" s="1"/>
  <c r="BD7" i="43"/>
  <c r="BX34" i="43"/>
  <c r="K80" i="43"/>
  <c r="H80" i="43"/>
  <c r="AB40" i="48"/>
  <c r="Z40" i="48"/>
  <c r="BR42" i="48"/>
  <c r="BV65" i="48" s="1"/>
  <c r="AJ63" i="48"/>
  <c r="BU39" i="48"/>
  <c r="BS66" i="48" s="1"/>
  <c r="AQ40" i="48"/>
  <c r="BT59" i="48" s="1"/>
  <c r="AD40" i="48"/>
  <c r="BT68" i="48"/>
  <c r="W40" i="48"/>
  <c r="BO39" i="48"/>
  <c r="BS64" i="48" s="1"/>
  <c r="AC40" i="48"/>
  <c r="AI15" i="48"/>
  <c r="AJ15" i="48" s="1"/>
  <c r="Q64" i="48"/>
  <c r="P94" i="56" s="1"/>
  <c r="Q18" i="48"/>
  <c r="P96" i="51" s="1"/>
  <c r="Y40" i="48"/>
  <c r="BJ16" i="48"/>
  <c r="BK16" i="48" s="1"/>
  <c r="BL16" i="48" s="1"/>
  <c r="P16" i="48" s="1"/>
  <c r="AF40" i="48"/>
  <c r="AR40" i="48"/>
  <c r="BT60" i="48" s="1"/>
  <c r="X40" i="48"/>
  <c r="AT40" i="48"/>
  <c r="BT62" i="48" s="1"/>
  <c r="AU39" i="48"/>
  <c r="AG40" i="48"/>
  <c r="BT69" i="48"/>
  <c r="AA40" i="48"/>
  <c r="AS40" i="48"/>
  <c r="BT61" i="48" s="1"/>
  <c r="AH40" i="48"/>
  <c r="AJ39" i="48"/>
  <c r="AJ87" i="48"/>
  <c r="P93" i="58" s="1"/>
  <c r="Q88" i="48"/>
  <c r="P94" i="57" s="1"/>
  <c r="P32" i="47"/>
  <c r="N46" i="50"/>
  <c r="BX46" i="50"/>
  <c r="N23" i="50"/>
  <c r="AH92" i="50"/>
  <c r="N138" i="58" s="1"/>
  <c r="AH68" i="50"/>
  <c r="N138" i="54" s="1"/>
  <c r="BB68" i="50"/>
  <c r="N138" i="55" s="1"/>
  <c r="AU23" i="50"/>
  <c r="BD23" i="50" s="1"/>
  <c r="BD22" i="50"/>
  <c r="AG92" i="50"/>
  <c r="M138" i="58" s="1"/>
  <c r="AG68" i="50"/>
  <c r="M138" i="54" s="1"/>
  <c r="BA68" i="50"/>
  <c r="M138" i="55" s="1"/>
  <c r="N93" i="50"/>
  <c r="M139" i="57" s="1"/>
  <c r="L47" i="50"/>
  <c r="B70" i="50"/>
  <c r="U70" i="50" s="1"/>
  <c r="AO70" i="50" s="1"/>
  <c r="B46" i="50"/>
  <c r="U22" i="50"/>
  <c r="AO22" i="50" s="1"/>
  <c r="BH22" i="50" s="1"/>
  <c r="B23" i="50"/>
  <c r="C92" i="50"/>
  <c r="V44" i="50"/>
  <c r="V92" i="50" s="1"/>
  <c r="L94" i="50"/>
  <c r="K140" i="57" s="1"/>
  <c r="B93" i="50"/>
  <c r="U45" i="50"/>
  <c r="U93" i="50" s="1"/>
  <c r="O46" i="50"/>
  <c r="N140" i="53" s="1"/>
  <c r="O23" i="50"/>
  <c r="C69" i="50"/>
  <c r="V69" i="50" s="1"/>
  <c r="AP69" i="50" s="1"/>
  <c r="V21" i="50"/>
  <c r="AP21" i="50" s="1"/>
  <c r="BI21" i="50" s="1"/>
  <c r="C45" i="50"/>
  <c r="C22" i="50"/>
  <c r="AE93" i="50"/>
  <c r="K139" i="58" s="1"/>
  <c r="AE69" i="50"/>
  <c r="K139" i="54" s="1"/>
  <c r="AY69" i="50"/>
  <c r="K139" i="55" s="1"/>
  <c r="O93" i="50"/>
  <c r="N139" i="57" s="1"/>
  <c r="O69" i="50"/>
  <c r="N139" i="56" s="1"/>
  <c r="AX43" i="50"/>
  <c r="AW43" i="50"/>
  <c r="AZ43" i="50"/>
  <c r="AP44" i="50"/>
  <c r="B70" i="49"/>
  <c r="U70" i="49" s="1"/>
  <c r="AO70" i="49" s="1"/>
  <c r="B46" i="49"/>
  <c r="B23" i="49"/>
  <c r="U22" i="49"/>
  <c r="AO22" i="49" s="1"/>
  <c r="BH22" i="49" s="1"/>
  <c r="L92" i="49"/>
  <c r="K118" i="57" s="1"/>
  <c r="B93" i="49"/>
  <c r="U45" i="49"/>
  <c r="U93" i="49" s="1"/>
  <c r="L45" i="49"/>
  <c r="L22" i="49"/>
  <c r="O45" i="49"/>
  <c r="N119" i="53" s="1"/>
  <c r="O22" i="49"/>
  <c r="BX45" i="49"/>
  <c r="N22" i="49"/>
  <c r="N45" i="49"/>
  <c r="BA42" i="49"/>
  <c r="O92" i="49"/>
  <c r="N118" i="57" s="1"/>
  <c r="O68" i="49"/>
  <c r="N118" i="56" s="1"/>
  <c r="C70" i="49"/>
  <c r="V70" i="49" s="1"/>
  <c r="AP70" i="49" s="1"/>
  <c r="C46" i="49"/>
  <c r="C23" i="49"/>
  <c r="V22" i="49"/>
  <c r="AP22" i="49" s="1"/>
  <c r="BI22" i="49" s="1"/>
  <c r="AH91" i="49"/>
  <c r="N117" i="58" s="1"/>
  <c r="AH67" i="49"/>
  <c r="N117" i="54" s="1"/>
  <c r="BB67" i="49"/>
  <c r="N117" i="55" s="1"/>
  <c r="C93" i="49"/>
  <c r="V45" i="49"/>
  <c r="V93" i="49" s="1"/>
  <c r="AZ43" i="49"/>
  <c r="AX43" i="49"/>
  <c r="AW43" i="49"/>
  <c r="AP44" i="49"/>
  <c r="AG91" i="49"/>
  <c r="M117" i="58" s="1"/>
  <c r="AG67" i="49"/>
  <c r="M117" i="54" s="1"/>
  <c r="BA67" i="49"/>
  <c r="M117" i="55" s="1"/>
  <c r="N92" i="49"/>
  <c r="M118" i="57" s="1"/>
  <c r="AE91" i="49"/>
  <c r="K117" i="58" s="1"/>
  <c r="AE67" i="49"/>
  <c r="K117" i="54" s="1"/>
  <c r="AY67" i="49"/>
  <c r="K117" i="55" s="1"/>
  <c r="Y64" i="48"/>
  <c r="E94" i="54" s="1"/>
  <c r="Y88" i="48"/>
  <c r="E94" i="58" s="1"/>
  <c r="AS64" i="48"/>
  <c r="E94" i="55" s="1"/>
  <c r="AT64" i="48"/>
  <c r="F94" i="55" s="1"/>
  <c r="Z64" i="48"/>
  <c r="F94" i="54" s="1"/>
  <c r="Z88" i="48"/>
  <c r="F94" i="58" s="1"/>
  <c r="AF64" i="48"/>
  <c r="L94" i="54" s="1"/>
  <c r="AZ64" i="48"/>
  <c r="L94" i="55" s="1"/>
  <c r="AF88" i="48"/>
  <c r="L94" i="58" s="1"/>
  <c r="M65" i="48"/>
  <c r="L95" i="56" s="1"/>
  <c r="M89" i="48"/>
  <c r="L95" i="57" s="1"/>
  <c r="F65" i="48"/>
  <c r="E95" i="56" s="1"/>
  <c r="F89" i="48"/>
  <c r="E95" i="57" s="1"/>
  <c r="M42" i="48"/>
  <c r="L96" i="53" s="1"/>
  <c r="M19" i="48"/>
  <c r="G19" i="48"/>
  <c r="F97" i="51" s="1"/>
  <c r="G42" i="48"/>
  <c r="F96" i="53" s="1"/>
  <c r="Q41" i="48"/>
  <c r="F19" i="48"/>
  <c r="E97" i="51" s="1"/>
  <c r="F42" i="48"/>
  <c r="E96" i="53" s="1"/>
  <c r="G65" i="48"/>
  <c r="F95" i="56" s="1"/>
  <c r="G89" i="48"/>
  <c r="F95" i="57" s="1"/>
  <c r="BC62" i="48"/>
  <c r="B91" i="48"/>
  <c r="U43" i="48"/>
  <c r="U91" i="48" s="1"/>
  <c r="BX44" i="48"/>
  <c r="N44" i="48"/>
  <c r="N21" i="48"/>
  <c r="AE89" i="48"/>
  <c r="K95" i="58" s="1"/>
  <c r="AE65" i="48"/>
  <c r="K95" i="54" s="1"/>
  <c r="AY65" i="48"/>
  <c r="K95" i="55" s="1"/>
  <c r="BQ63" i="48"/>
  <c r="J43" i="48"/>
  <c r="I97" i="53" s="1"/>
  <c r="J20" i="48"/>
  <c r="I98" i="51" s="1"/>
  <c r="N91" i="48"/>
  <c r="M97" i="57" s="1"/>
  <c r="AG90" i="48"/>
  <c r="M96" i="58" s="1"/>
  <c r="AG66" i="48"/>
  <c r="M96" i="54" s="1"/>
  <c r="BA66" i="48"/>
  <c r="M96" i="55" s="1"/>
  <c r="W89" i="48"/>
  <c r="C95" i="58" s="1"/>
  <c r="W65" i="48"/>
  <c r="C95" i="54" s="1"/>
  <c r="AQ65" i="48"/>
  <c r="C95" i="55" s="1"/>
  <c r="I43" i="48"/>
  <c r="H97" i="53" s="1"/>
  <c r="I20" i="48"/>
  <c r="H98" i="51" s="1"/>
  <c r="J90" i="48"/>
  <c r="I96" i="57" s="1"/>
  <c r="J66" i="48"/>
  <c r="I96" i="56" s="1"/>
  <c r="AP42" i="48"/>
  <c r="AZ41" i="48"/>
  <c r="AX41" i="48"/>
  <c r="AW41" i="48"/>
  <c r="AA89" i="48"/>
  <c r="G95" i="58" s="1"/>
  <c r="AU65" i="48"/>
  <c r="G95" i="55" s="1"/>
  <c r="AC89" i="48"/>
  <c r="I95" i="58" s="1"/>
  <c r="AC65" i="48"/>
  <c r="I95" i="54" s="1"/>
  <c r="AW65" i="48"/>
  <c r="I95" i="55" s="1"/>
  <c r="H43" i="48"/>
  <c r="G97" i="53" s="1"/>
  <c r="H20" i="48"/>
  <c r="G98" i="51" s="1"/>
  <c r="I90" i="48"/>
  <c r="H96" i="57" s="1"/>
  <c r="I66" i="48"/>
  <c r="H96" i="56" s="1"/>
  <c r="O45" i="48"/>
  <c r="N99" i="53" s="1"/>
  <c r="O22" i="48"/>
  <c r="H90" i="48"/>
  <c r="G96" i="57" s="1"/>
  <c r="H66" i="48"/>
  <c r="G96" i="56" s="1"/>
  <c r="AA66" i="48"/>
  <c r="G96" i="54" s="1"/>
  <c r="D43" i="48"/>
  <c r="C97" i="53" s="1"/>
  <c r="D20" i="48"/>
  <c r="C98" i="51" s="1"/>
  <c r="O92" i="48"/>
  <c r="N98" i="57" s="1"/>
  <c r="O68" i="48"/>
  <c r="N98" i="56" s="1"/>
  <c r="C67" i="48"/>
  <c r="V67" i="48" s="1"/>
  <c r="AP67" i="48" s="1"/>
  <c r="C43" i="48"/>
  <c r="C20" i="48"/>
  <c r="V19" i="48"/>
  <c r="AP19" i="48" s="1"/>
  <c r="BI19" i="48" s="1"/>
  <c r="AU20" i="48"/>
  <c r="BD19" i="48"/>
  <c r="P87" i="48"/>
  <c r="O93" i="57" s="1"/>
  <c r="AI39" i="48"/>
  <c r="C90" i="48"/>
  <c r="V42" i="48"/>
  <c r="V90" i="48" s="1"/>
  <c r="B68" i="48"/>
  <c r="U68" i="48" s="1"/>
  <c r="AO68" i="48" s="1"/>
  <c r="B44" i="48"/>
  <c r="U20" i="48"/>
  <c r="AO20" i="48" s="1"/>
  <c r="BH20" i="48" s="1"/>
  <c r="B21" i="48"/>
  <c r="AH91" i="48"/>
  <c r="N97" i="58" s="1"/>
  <c r="AH67" i="48"/>
  <c r="N97" i="54" s="1"/>
  <c r="BB67" i="48"/>
  <c r="N97" i="55" s="1"/>
  <c r="L43" i="48"/>
  <c r="L20" i="48"/>
  <c r="AB89" i="48"/>
  <c r="H95" i="58" s="1"/>
  <c r="AB65" i="48"/>
  <c r="H95" i="54" s="1"/>
  <c r="AV65" i="48"/>
  <c r="H95" i="55" s="1"/>
  <c r="BA40" i="48"/>
  <c r="D90" i="48"/>
  <c r="C96" i="57" s="1"/>
  <c r="D66" i="48"/>
  <c r="C96" i="56" s="1"/>
  <c r="L90" i="48"/>
  <c r="K96" i="57" s="1"/>
  <c r="BO32" i="47"/>
  <c r="BL64" i="47" s="1"/>
  <c r="BU32" i="47"/>
  <c r="BL66" i="47" s="1"/>
  <c r="Y33" i="47"/>
  <c r="AU32" i="47"/>
  <c r="AI31" i="47"/>
  <c r="AA33" i="47"/>
  <c r="AS33" i="47"/>
  <c r="BM61" i="47" s="1"/>
  <c r="BJ9" i="44"/>
  <c r="BK9" i="44" s="1"/>
  <c r="BL9" i="44" s="1"/>
  <c r="P9" i="44" s="1"/>
  <c r="AA33" i="44"/>
  <c r="AQ33" i="44"/>
  <c r="BM59" i="44" s="1"/>
  <c r="AR33" i="44"/>
  <c r="BM60" i="44" s="1"/>
  <c r="AS33" i="44"/>
  <c r="BM61" i="44" s="1"/>
  <c r="AT33" i="44"/>
  <c r="BM62" i="44" s="1"/>
  <c r="Z33" i="47"/>
  <c r="W33" i="47"/>
  <c r="Z33" i="46"/>
  <c r="AA33" i="46"/>
  <c r="AI8" i="46"/>
  <c r="AJ8" i="46" s="1"/>
  <c r="AT33" i="46"/>
  <c r="BM62" i="46" s="1"/>
  <c r="AB33" i="46"/>
  <c r="AB33" i="44"/>
  <c r="AF33" i="44"/>
  <c r="AD33" i="44"/>
  <c r="Y33" i="44"/>
  <c r="Z33" i="44"/>
  <c r="AS33" i="46"/>
  <c r="BM61" i="46" s="1"/>
  <c r="BO32" i="46"/>
  <c r="BL64" i="46" s="1"/>
  <c r="W33" i="44"/>
  <c r="AF33" i="46"/>
  <c r="Q81" i="47"/>
  <c r="P67" i="57" s="1"/>
  <c r="AR33" i="46"/>
  <c r="BM60" i="46" s="1"/>
  <c r="AC33" i="47"/>
  <c r="AQ33" i="46"/>
  <c r="BM59" i="46" s="1"/>
  <c r="AQ33" i="47"/>
  <c r="BM59" i="47" s="1"/>
  <c r="AR33" i="47"/>
  <c r="BM60" i="47" s="1"/>
  <c r="BJ9" i="47"/>
  <c r="BK9" i="47" s="1"/>
  <c r="BL9" i="47" s="1"/>
  <c r="P9" i="47" s="1"/>
  <c r="AT33" i="47"/>
  <c r="BM62" i="47" s="1"/>
  <c r="X33" i="47"/>
  <c r="BU32" i="46"/>
  <c r="BL66" i="46" s="1"/>
  <c r="AJ32" i="44"/>
  <c r="AB33" i="47"/>
  <c r="AD33" i="47"/>
  <c r="W33" i="46"/>
  <c r="X33" i="46"/>
  <c r="AD33" i="46"/>
  <c r="AU32" i="44"/>
  <c r="M56" i="43"/>
  <c r="AF80" i="43" s="1"/>
  <c r="M80" i="43"/>
  <c r="I35" i="46"/>
  <c r="H49" i="53" s="1"/>
  <c r="I12" i="46"/>
  <c r="H50" i="51" s="1"/>
  <c r="I12" i="47"/>
  <c r="H70" i="51" s="1"/>
  <c r="I35" i="47"/>
  <c r="H69" i="53" s="1"/>
  <c r="F82" i="46"/>
  <c r="E48" i="57" s="1"/>
  <c r="F58" i="46"/>
  <c r="E48" i="56" s="1"/>
  <c r="BW35" i="46"/>
  <c r="BO67" i="46" s="1"/>
  <c r="H12" i="46"/>
  <c r="G50" i="51" s="1"/>
  <c r="H35" i="46"/>
  <c r="G82" i="46"/>
  <c r="F48" i="57" s="1"/>
  <c r="G58" i="46"/>
  <c r="F48" i="56" s="1"/>
  <c r="AJ7" i="46"/>
  <c r="AB81" i="44"/>
  <c r="H27" i="58" s="1"/>
  <c r="AB57" i="44"/>
  <c r="H27" i="54" s="1"/>
  <c r="AV57" i="44"/>
  <c r="H27" i="55" s="1"/>
  <c r="J35" i="44"/>
  <c r="J12" i="44"/>
  <c r="I30" i="51" s="1"/>
  <c r="W57" i="46"/>
  <c r="Q57" i="46"/>
  <c r="P47" i="56" s="1"/>
  <c r="W81" i="46"/>
  <c r="C47" i="58" s="1"/>
  <c r="AQ57" i="46"/>
  <c r="AJ80" i="46"/>
  <c r="P46" i="58" s="1"/>
  <c r="P80" i="46"/>
  <c r="O46" i="57" s="1"/>
  <c r="W81" i="44"/>
  <c r="C27" i="58" s="1"/>
  <c r="AQ57" i="44"/>
  <c r="C27" i="55" s="1"/>
  <c r="AG81" i="43"/>
  <c r="N81" i="43"/>
  <c r="I82" i="47"/>
  <c r="H68" i="57" s="1"/>
  <c r="I58" i="47"/>
  <c r="H68" i="56" s="1"/>
  <c r="X81" i="47"/>
  <c r="D67" i="58" s="1"/>
  <c r="X57" i="47"/>
  <c r="D67" i="54" s="1"/>
  <c r="AR57" i="47"/>
  <c r="D67" i="55" s="1"/>
  <c r="D82" i="46"/>
  <c r="C48" i="57" s="1"/>
  <c r="D58" i="46"/>
  <c r="C48" i="56" s="1"/>
  <c r="Q34" i="46"/>
  <c r="J82" i="47"/>
  <c r="I68" i="57" s="1"/>
  <c r="J58" i="47"/>
  <c r="I68" i="56" s="1"/>
  <c r="I82" i="46"/>
  <c r="H48" i="57" s="1"/>
  <c r="I58" i="46"/>
  <c r="H48" i="56" s="1"/>
  <c r="Y81" i="47"/>
  <c r="E67" i="58" s="1"/>
  <c r="Y57" i="47"/>
  <c r="E67" i="54" s="1"/>
  <c r="AS57" i="47"/>
  <c r="E67" i="55" s="1"/>
  <c r="F35" i="44"/>
  <c r="F12" i="44"/>
  <c r="E30" i="51" s="1"/>
  <c r="F12" i="46"/>
  <c r="E50" i="51" s="1"/>
  <c r="F35" i="46"/>
  <c r="E49" i="53" s="1"/>
  <c r="Z57" i="47"/>
  <c r="F67" i="54" s="1"/>
  <c r="Z81" i="47"/>
  <c r="F67" i="58" s="1"/>
  <c r="AT57" i="47"/>
  <c r="F67" i="55" s="1"/>
  <c r="J82" i="44"/>
  <c r="I28" i="57" s="1"/>
  <c r="AF57" i="46"/>
  <c r="AF81" i="46"/>
  <c r="L47" i="58" s="1"/>
  <c r="AZ57" i="46"/>
  <c r="AJ56" i="47"/>
  <c r="AU32" i="46"/>
  <c r="BL59" i="46"/>
  <c r="AC81" i="47"/>
  <c r="I67" i="58" s="1"/>
  <c r="AC57" i="47"/>
  <c r="I67" i="54" s="1"/>
  <c r="AW57" i="47"/>
  <c r="I67" i="55" s="1"/>
  <c r="M35" i="46"/>
  <c r="L49" i="53" s="1"/>
  <c r="M12" i="46"/>
  <c r="L50" i="51" s="1"/>
  <c r="Y33" i="46"/>
  <c r="AG33" i="46"/>
  <c r="BM68" i="46"/>
  <c r="AE33" i="46"/>
  <c r="AH33" i="46"/>
  <c r="BM69" i="46"/>
  <c r="AJ56" i="46"/>
  <c r="AK56" i="46" s="1"/>
  <c r="BL58" i="46" s="1"/>
  <c r="Q11" i="44"/>
  <c r="P29" i="51" s="1"/>
  <c r="D12" i="44"/>
  <c r="C30" i="51" s="1"/>
  <c r="BR35" i="44"/>
  <c r="BO65" i="44" s="1"/>
  <c r="D35" i="44"/>
  <c r="BW35" i="47"/>
  <c r="BO67" i="47" s="1"/>
  <c r="K35" i="47"/>
  <c r="K12" i="47"/>
  <c r="J70" i="51" s="1"/>
  <c r="Q81" i="44"/>
  <c r="P27" i="57" s="1"/>
  <c r="J35" i="46"/>
  <c r="I49" i="53" s="1"/>
  <c r="J12" i="46"/>
  <c r="I50" i="51" s="1"/>
  <c r="AJ80" i="44"/>
  <c r="P26" i="58" s="1"/>
  <c r="AA81" i="46"/>
  <c r="G47" i="58" s="1"/>
  <c r="AU57" i="46"/>
  <c r="P79" i="46"/>
  <c r="O45" i="57" s="1"/>
  <c r="AI31" i="46"/>
  <c r="AB57" i="47"/>
  <c r="H67" i="54" s="1"/>
  <c r="AB81" i="47"/>
  <c r="H67" i="58" s="1"/>
  <c r="AV57" i="47"/>
  <c r="H67" i="55" s="1"/>
  <c r="X81" i="46"/>
  <c r="D47" i="58" s="1"/>
  <c r="X57" i="46"/>
  <c r="AR57" i="46"/>
  <c r="Q81" i="46"/>
  <c r="P47" i="57" s="1"/>
  <c r="E82" i="46"/>
  <c r="D48" i="57" s="1"/>
  <c r="E58" i="46"/>
  <c r="D48" i="56" s="1"/>
  <c r="E56" i="43"/>
  <c r="X80" i="43" s="1"/>
  <c r="E80" i="43"/>
  <c r="AJ56" i="44"/>
  <c r="I56" i="43"/>
  <c r="AB80" i="43" s="1"/>
  <c r="I80" i="43"/>
  <c r="O57" i="43"/>
  <c r="AH81" i="43" s="1"/>
  <c r="O81" i="43"/>
  <c r="AJ32" i="47"/>
  <c r="J35" i="47"/>
  <c r="I69" i="53" s="1"/>
  <c r="J12" i="47"/>
  <c r="I70" i="51" s="1"/>
  <c r="Y57" i="46"/>
  <c r="Y81" i="46"/>
  <c r="E47" i="58" s="1"/>
  <c r="AS57" i="46"/>
  <c r="F82" i="44"/>
  <c r="E28" i="57" s="1"/>
  <c r="BC54" i="44"/>
  <c r="X57" i="44"/>
  <c r="D27" i="54" s="1"/>
  <c r="X81" i="44"/>
  <c r="D27" i="58" s="1"/>
  <c r="AR57" i="44"/>
  <c r="D27" i="55" s="1"/>
  <c r="BC54" i="47"/>
  <c r="M82" i="46"/>
  <c r="L48" i="57" s="1"/>
  <c r="M58" i="46"/>
  <c r="L48" i="56" s="1"/>
  <c r="K82" i="47"/>
  <c r="J68" i="57" s="1"/>
  <c r="CA34" i="47"/>
  <c r="X33" i="44"/>
  <c r="AG33" i="44"/>
  <c r="AE33" i="44"/>
  <c r="BM68" i="44"/>
  <c r="AH33" i="44"/>
  <c r="BM69" i="44"/>
  <c r="G82" i="44"/>
  <c r="F28" i="57" s="1"/>
  <c r="M35" i="44"/>
  <c r="M12" i="44"/>
  <c r="L30" i="51" s="1"/>
  <c r="AB81" i="46"/>
  <c r="H47" i="58" s="1"/>
  <c r="AB57" i="46"/>
  <c r="AV57" i="46"/>
  <c r="H82" i="46"/>
  <c r="G48" i="57" s="1"/>
  <c r="AA58" i="46"/>
  <c r="Q11" i="46"/>
  <c r="P49" i="51" s="1"/>
  <c r="D12" i="46"/>
  <c r="C50" i="51" s="1"/>
  <c r="D35" i="46"/>
  <c r="C49" i="53" s="1"/>
  <c r="BR35" i="46"/>
  <c r="BO65" i="46" s="1"/>
  <c r="AA81" i="47"/>
  <c r="G67" i="58" s="1"/>
  <c r="AU57" i="47"/>
  <c r="G67" i="55" s="1"/>
  <c r="H82" i="47"/>
  <c r="G68" i="57" s="1"/>
  <c r="AA58" i="47"/>
  <c r="G68" i="54" s="1"/>
  <c r="H58" i="47"/>
  <c r="G68" i="56" s="1"/>
  <c r="AD81" i="44"/>
  <c r="J27" i="58" s="1"/>
  <c r="AD57" i="44"/>
  <c r="J27" i="54" s="1"/>
  <c r="AX57" i="44"/>
  <c r="J27" i="55" s="1"/>
  <c r="P79" i="44"/>
  <c r="O25" i="57" s="1"/>
  <c r="AI31" i="44"/>
  <c r="K35" i="44"/>
  <c r="K12" i="44"/>
  <c r="J30" i="51" s="1"/>
  <c r="H12" i="44"/>
  <c r="G30" i="51" s="1"/>
  <c r="H35" i="44"/>
  <c r="BW35" i="44"/>
  <c r="BO67" i="44" s="1"/>
  <c r="AJ80" i="47"/>
  <c r="P66" i="58" s="1"/>
  <c r="AD81" i="47"/>
  <c r="J67" i="58" s="1"/>
  <c r="AD57" i="47"/>
  <c r="J67" i="54" s="1"/>
  <c r="AX57" i="47"/>
  <c r="J67" i="55" s="1"/>
  <c r="BJ63" i="46"/>
  <c r="AI9" i="46"/>
  <c r="P33" i="46"/>
  <c r="O47" i="53" s="1"/>
  <c r="BU33" i="46"/>
  <c r="BM66" i="46" s="1"/>
  <c r="BO33" i="46"/>
  <c r="BM64" i="46" s="1"/>
  <c r="D82" i="44"/>
  <c r="C28" i="57" s="1"/>
  <c r="Q34" i="44"/>
  <c r="BI63" i="47"/>
  <c r="BI55" i="47"/>
  <c r="I82" i="44"/>
  <c r="H28" i="57" s="1"/>
  <c r="AC33" i="46"/>
  <c r="AE81" i="43"/>
  <c r="L81" i="43"/>
  <c r="F82" i="47"/>
  <c r="E68" i="57" s="1"/>
  <c r="F58" i="47"/>
  <c r="E68" i="56" s="1"/>
  <c r="AF81" i="44"/>
  <c r="L27" i="58" s="1"/>
  <c r="AF57" i="44"/>
  <c r="L27" i="54" s="1"/>
  <c r="AZ57" i="44"/>
  <c r="L27" i="55" s="1"/>
  <c r="Z81" i="44"/>
  <c r="F27" i="58" s="1"/>
  <c r="Z57" i="44"/>
  <c r="F27" i="54" s="1"/>
  <c r="AT57" i="44"/>
  <c r="F27" i="55" s="1"/>
  <c r="E12" i="46"/>
  <c r="D50" i="51" s="1"/>
  <c r="E35" i="46"/>
  <c r="D49" i="53" s="1"/>
  <c r="CA34" i="46"/>
  <c r="K82" i="46"/>
  <c r="J48" i="57" s="1"/>
  <c r="Z81" i="46"/>
  <c r="F47" i="58" s="1"/>
  <c r="Z57" i="46"/>
  <c r="AT57" i="46"/>
  <c r="G12" i="46"/>
  <c r="F50" i="51" s="1"/>
  <c r="G35" i="46"/>
  <c r="F49" i="53" s="1"/>
  <c r="F56" i="43"/>
  <c r="Y80" i="43" s="1"/>
  <c r="F80" i="43"/>
  <c r="J56" i="43"/>
  <c r="AC80" i="43" s="1"/>
  <c r="J80" i="43"/>
  <c r="G56" i="43"/>
  <c r="Z80" i="43" s="1"/>
  <c r="G80" i="43"/>
  <c r="AJ32" i="46"/>
  <c r="AJ8" i="47"/>
  <c r="E82" i="44"/>
  <c r="D28" i="57" s="1"/>
  <c r="E12" i="47"/>
  <c r="D70" i="51" s="1"/>
  <c r="E35" i="47"/>
  <c r="D69" i="53" s="1"/>
  <c r="H12" i="47"/>
  <c r="G70" i="51" s="1"/>
  <c r="H35" i="47"/>
  <c r="G69" i="53" s="1"/>
  <c r="AJ7" i="44"/>
  <c r="CA34" i="44"/>
  <c r="K82" i="44"/>
  <c r="J28" i="57" s="1"/>
  <c r="AA58" i="44"/>
  <c r="G28" i="54" s="1"/>
  <c r="H82" i="44"/>
  <c r="G28" i="57" s="1"/>
  <c r="AE33" i="47"/>
  <c r="AH33" i="47"/>
  <c r="BM69" i="47"/>
  <c r="AG33" i="47"/>
  <c r="BM68" i="47"/>
  <c r="M35" i="47"/>
  <c r="L69" i="53" s="1"/>
  <c r="M12" i="47"/>
  <c r="L70" i="51" s="1"/>
  <c r="AF81" i="47"/>
  <c r="L67" i="58" s="1"/>
  <c r="AF57" i="47"/>
  <c r="L67" i="54" s="1"/>
  <c r="AZ57" i="47"/>
  <c r="L67" i="55" s="1"/>
  <c r="G35" i="47"/>
  <c r="F69" i="53" s="1"/>
  <c r="G12" i="47"/>
  <c r="F70" i="51" s="1"/>
  <c r="D12" i="47"/>
  <c r="C70" i="51" s="1"/>
  <c r="BR35" i="47"/>
  <c r="BO65" i="47" s="1"/>
  <c r="Q11" i="47"/>
  <c r="P69" i="51" s="1"/>
  <c r="D35" i="47"/>
  <c r="C69" i="53" s="1"/>
  <c r="I35" i="44"/>
  <c r="I12" i="44"/>
  <c r="H30" i="51" s="1"/>
  <c r="AC81" i="46"/>
  <c r="I47" i="58" s="1"/>
  <c r="AC57" i="46"/>
  <c r="AW57" i="46"/>
  <c r="E35" i="44"/>
  <c r="E12" i="44"/>
  <c r="D30" i="51" s="1"/>
  <c r="E82" i="47"/>
  <c r="D68" i="57" s="1"/>
  <c r="E58" i="47"/>
  <c r="D68" i="56" s="1"/>
  <c r="F35" i="47"/>
  <c r="E69" i="53" s="1"/>
  <c r="F12" i="47"/>
  <c r="E70" i="51" s="1"/>
  <c r="AI8" i="44"/>
  <c r="P32" i="44"/>
  <c r="O26" i="53" s="1"/>
  <c r="BU32" i="44"/>
  <c r="BL66" i="44" s="1"/>
  <c r="BO32" i="44"/>
  <c r="BL64" i="44" s="1"/>
  <c r="AC81" i="44"/>
  <c r="I27" i="58" s="1"/>
  <c r="AC57" i="44"/>
  <c r="I27" i="54" s="1"/>
  <c r="AW57" i="44"/>
  <c r="I27" i="55" s="1"/>
  <c r="Y81" i="44"/>
  <c r="E27" i="58" s="1"/>
  <c r="Y57" i="44"/>
  <c r="E27" i="54" s="1"/>
  <c r="AS57" i="44"/>
  <c r="E27" i="55" s="1"/>
  <c r="J82" i="46"/>
  <c r="I48" i="57" s="1"/>
  <c r="J58" i="46"/>
  <c r="I48" i="56" s="1"/>
  <c r="G35" i="44"/>
  <c r="G12" i="44"/>
  <c r="F30" i="51" s="1"/>
  <c r="W57" i="47"/>
  <c r="C67" i="54" s="1"/>
  <c r="Q57" i="47"/>
  <c r="P67" i="56" s="1"/>
  <c r="W81" i="47"/>
  <c r="C67" i="58" s="1"/>
  <c r="AQ57" i="47"/>
  <c r="C67" i="55" s="1"/>
  <c r="M82" i="47"/>
  <c r="L68" i="57" s="1"/>
  <c r="M58" i="47"/>
  <c r="L68" i="56" s="1"/>
  <c r="AD81" i="46"/>
  <c r="J47" i="58" s="1"/>
  <c r="AD57" i="46"/>
  <c r="AX57" i="46"/>
  <c r="M82" i="44"/>
  <c r="L28" i="57" s="1"/>
  <c r="K35" i="46"/>
  <c r="K12" i="46"/>
  <c r="J50" i="51" s="1"/>
  <c r="G82" i="47"/>
  <c r="F68" i="57" s="1"/>
  <c r="G58" i="47"/>
  <c r="F68" i="56" s="1"/>
  <c r="D82" i="47"/>
  <c r="C68" i="57" s="1"/>
  <c r="D58" i="47"/>
  <c r="C68" i="56" s="1"/>
  <c r="Q34" i="47"/>
  <c r="AA81" i="44"/>
  <c r="G27" i="58" s="1"/>
  <c r="AU57" i="44"/>
  <c r="G27" i="55" s="1"/>
  <c r="BA38" i="47"/>
  <c r="C67" i="47"/>
  <c r="V67" i="47" s="1"/>
  <c r="AP67" i="47" s="1"/>
  <c r="C43" i="47"/>
  <c r="C20" i="47"/>
  <c r="V19" i="47"/>
  <c r="AP19" i="47" s="1"/>
  <c r="BI19" i="47" s="1"/>
  <c r="N41" i="47"/>
  <c r="BX41" i="47"/>
  <c r="N18" i="47"/>
  <c r="N88" i="47"/>
  <c r="M74" i="57" s="1"/>
  <c r="C90" i="47"/>
  <c r="V42" i="47"/>
  <c r="V90" i="47" s="1"/>
  <c r="AE87" i="47"/>
  <c r="K73" i="58" s="1"/>
  <c r="AE63" i="47"/>
  <c r="K73" i="54" s="1"/>
  <c r="AY63" i="47"/>
  <c r="K73" i="55" s="1"/>
  <c r="L41" i="47"/>
  <c r="L18" i="47"/>
  <c r="AU19" i="47"/>
  <c r="BD18" i="47"/>
  <c r="O41" i="47"/>
  <c r="N75" i="53" s="1"/>
  <c r="O18" i="47"/>
  <c r="L88" i="47"/>
  <c r="K74" i="57" s="1"/>
  <c r="O88" i="47"/>
  <c r="N74" i="57" s="1"/>
  <c r="N14" i="57" s="1"/>
  <c r="O64" i="47"/>
  <c r="N74" i="56" s="1"/>
  <c r="N14" i="56" s="1"/>
  <c r="AG87" i="47"/>
  <c r="M73" i="58" s="1"/>
  <c r="AG63" i="47"/>
  <c r="M73" i="54" s="1"/>
  <c r="BA63" i="47"/>
  <c r="M73" i="55" s="1"/>
  <c r="B67" i="47"/>
  <c r="U67" i="47" s="1"/>
  <c r="AO67" i="47" s="1"/>
  <c r="B43" i="47"/>
  <c r="U19" i="47"/>
  <c r="AO19" i="47" s="1"/>
  <c r="BH19" i="47" s="1"/>
  <c r="B20" i="47"/>
  <c r="AW39" i="47"/>
  <c r="AX39" i="47"/>
  <c r="AP40" i="47"/>
  <c r="AZ39" i="47"/>
  <c r="B90" i="47"/>
  <c r="U42" i="47"/>
  <c r="U90" i="47" s="1"/>
  <c r="AH87" i="47"/>
  <c r="N73" i="58" s="1"/>
  <c r="N13" i="58" s="1"/>
  <c r="AH63" i="47"/>
  <c r="N73" i="54" s="1"/>
  <c r="N13" i="54" s="1"/>
  <c r="BB63" i="47"/>
  <c r="N73" i="55" s="1"/>
  <c r="N13" i="55" s="1"/>
  <c r="AH88" i="46"/>
  <c r="N54" i="58" s="1"/>
  <c r="AH64" i="46"/>
  <c r="BB64" i="46"/>
  <c r="L89" i="46"/>
  <c r="K55" i="57" s="1"/>
  <c r="BA38" i="46"/>
  <c r="AE88" i="46"/>
  <c r="K54" i="58" s="1"/>
  <c r="AE64" i="46"/>
  <c r="AY64" i="46"/>
  <c r="B65" i="46"/>
  <c r="U65" i="46" s="1"/>
  <c r="AO65" i="46" s="1"/>
  <c r="B41" i="46"/>
  <c r="B18" i="46"/>
  <c r="U17" i="46"/>
  <c r="AO17" i="46" s="1"/>
  <c r="BH17" i="46" s="1"/>
  <c r="BX41" i="46"/>
  <c r="N41" i="46"/>
  <c r="N18" i="46"/>
  <c r="O42" i="46"/>
  <c r="N56" i="53" s="1"/>
  <c r="O19" i="46"/>
  <c r="C66" i="46"/>
  <c r="V66" i="46" s="1"/>
  <c r="AP66" i="46" s="1"/>
  <c r="C42" i="46"/>
  <c r="C19" i="46"/>
  <c r="V18" i="46"/>
  <c r="AP18" i="46" s="1"/>
  <c r="BI18" i="46" s="1"/>
  <c r="O89" i="46"/>
  <c r="N55" i="57" s="1"/>
  <c r="O65" i="46"/>
  <c r="N55" i="56" s="1"/>
  <c r="C89" i="46"/>
  <c r="V41" i="46"/>
  <c r="V89" i="46" s="1"/>
  <c r="B88" i="46"/>
  <c r="U40" i="46"/>
  <c r="U88" i="46" s="1"/>
  <c r="N88" i="46"/>
  <c r="M54" i="57" s="1"/>
  <c r="BD17" i="46"/>
  <c r="AU18" i="46"/>
  <c r="AG87" i="46"/>
  <c r="M53" i="58" s="1"/>
  <c r="AG63" i="46"/>
  <c r="BA63" i="46"/>
  <c r="BL41" i="46"/>
  <c r="BN40" i="46"/>
  <c r="BT39" i="46"/>
  <c r="BQ39" i="46"/>
  <c r="L42" i="46"/>
  <c r="L19" i="46"/>
  <c r="AP40" i="46"/>
  <c r="AZ39" i="46"/>
  <c r="AW39" i="46"/>
  <c r="AX39" i="46"/>
  <c r="U45" i="44"/>
  <c r="U93" i="44" s="1"/>
  <c r="B93" i="44"/>
  <c r="B68" i="44"/>
  <c r="U68" i="44" s="1"/>
  <c r="AO68" i="44" s="1"/>
  <c r="B21" i="44"/>
  <c r="U20" i="44"/>
  <c r="AO20" i="44" s="1"/>
  <c r="BH20" i="44" s="1"/>
  <c r="C21" i="44"/>
  <c r="V20" i="44"/>
  <c r="AP20" i="44" s="1"/>
  <c r="BI20" i="44" s="1"/>
  <c r="C68" i="44"/>
  <c r="V68" i="44" s="1"/>
  <c r="AP68" i="44" s="1"/>
  <c r="L18" i="44"/>
  <c r="L41" i="44"/>
  <c r="N90" i="44"/>
  <c r="M36" i="57" s="1"/>
  <c r="L88" i="44"/>
  <c r="K34" i="57" s="1"/>
  <c r="K14" i="57" s="1"/>
  <c r="AZ41" i="44"/>
  <c r="AP42" i="44"/>
  <c r="AX41" i="44"/>
  <c r="AW41" i="44"/>
  <c r="O42" i="44"/>
  <c r="O19" i="44"/>
  <c r="BA40" i="44"/>
  <c r="BL41" i="44"/>
  <c r="BN40" i="44"/>
  <c r="O89" i="44"/>
  <c r="N35" i="57" s="1"/>
  <c r="BQ39" i="44"/>
  <c r="BT39" i="44"/>
  <c r="AU19" i="44"/>
  <c r="BD18" i="44"/>
  <c r="AE87" i="44"/>
  <c r="K33" i="58" s="1"/>
  <c r="AE63" i="44"/>
  <c r="K33" i="54" s="1"/>
  <c r="K13" i="54" s="1"/>
  <c r="AY63" i="44"/>
  <c r="K33" i="55" s="1"/>
  <c r="AH88" i="44"/>
  <c r="N34" i="58" s="1"/>
  <c r="AH64" i="44"/>
  <c r="N34" i="54" s="1"/>
  <c r="BB64" i="44"/>
  <c r="N34" i="55" s="1"/>
  <c r="AG89" i="44"/>
  <c r="M35" i="58" s="1"/>
  <c r="AG65" i="44"/>
  <c r="M35" i="54" s="1"/>
  <c r="BA65" i="44"/>
  <c r="M35" i="55" s="1"/>
  <c r="BX43" i="44"/>
  <c r="N20" i="44"/>
  <c r="N43" i="44"/>
  <c r="BW33" i="43"/>
  <c r="BM67" i="43" s="1"/>
  <c r="AD80" i="43"/>
  <c r="CA32" i="43"/>
  <c r="AA56" i="43"/>
  <c r="AA80" i="43"/>
  <c r="I10" i="43"/>
  <c r="I33" i="43"/>
  <c r="O11" i="43"/>
  <c r="O34" i="43"/>
  <c r="K10" i="43"/>
  <c r="K33" i="43"/>
  <c r="K57" i="43" s="1"/>
  <c r="BQ37" i="43"/>
  <c r="BT37" i="43"/>
  <c r="E10" i="43"/>
  <c r="E33" i="43"/>
  <c r="M10" i="43"/>
  <c r="M33" i="43"/>
  <c r="F10" i="43"/>
  <c r="F33" i="43"/>
  <c r="J10" i="43"/>
  <c r="J33" i="43"/>
  <c r="G10" i="43"/>
  <c r="G33" i="43"/>
  <c r="N11" i="43"/>
  <c r="N34" i="43"/>
  <c r="N58" i="43" s="1"/>
  <c r="L11" i="43"/>
  <c r="L34" i="43"/>
  <c r="L58" i="43" s="1"/>
  <c r="H10" i="43"/>
  <c r="H33" i="43"/>
  <c r="H57" i="43" s="1"/>
  <c r="AY9" i="43"/>
  <c r="AU8" i="43"/>
  <c r="BA9" i="43"/>
  <c r="BL39" i="43"/>
  <c r="BM38" i="43"/>
  <c r="BN38" i="43" s="1"/>
  <c r="AW9" i="43"/>
  <c r="AX9" i="43"/>
  <c r="AV9" i="43"/>
  <c r="AZ9" i="43"/>
  <c r="H1" i="28"/>
  <c r="F1" i="28"/>
  <c r="P1" i="28"/>
  <c r="D1" i="28"/>
  <c r="I1" i="28"/>
  <c r="O1" i="28"/>
  <c r="N1" i="28"/>
  <c r="C1" i="28"/>
  <c r="L1" i="28"/>
  <c r="D3" i="43"/>
  <c r="C1" i="51" s="1"/>
  <c r="J3" i="43"/>
  <c r="I1" i="51" s="1"/>
  <c r="F3" i="43"/>
  <c r="E1" i="51" s="1"/>
  <c r="Q3" i="43"/>
  <c r="P1" i="51" s="1"/>
  <c r="P3" i="43"/>
  <c r="O1" i="51" s="1"/>
  <c r="M3" i="43"/>
  <c r="L1" i="51" s="1"/>
  <c r="E3" i="43"/>
  <c r="D1" i="51" s="1"/>
  <c r="L3" i="43"/>
  <c r="K1" i="51" s="1"/>
  <c r="I3" i="43"/>
  <c r="H1" i="51" s="1"/>
  <c r="H3" i="43"/>
  <c r="G1" i="51" s="1"/>
  <c r="O3" i="43"/>
  <c r="N1" i="51" s="1"/>
  <c r="N3" i="43"/>
  <c r="M1" i="51" s="1"/>
  <c r="G3" i="43"/>
  <c r="F1" i="51" s="1"/>
  <c r="K3" i="43"/>
  <c r="J1" i="51" s="1"/>
  <c r="C1" i="26"/>
  <c r="O1" i="26"/>
  <c r="K1" i="26"/>
  <c r="F1" i="26"/>
  <c r="H1" i="26"/>
  <c r="G1" i="26"/>
  <c r="N1" i="26"/>
  <c r="L1" i="26"/>
  <c r="D1" i="26"/>
  <c r="J1" i="26"/>
  <c r="M1" i="26"/>
  <c r="P1" i="26"/>
  <c r="I1" i="26"/>
  <c r="E1" i="26"/>
  <c r="AZ40" i="43"/>
  <c r="AX40" i="43"/>
  <c r="AP41" i="43"/>
  <c r="AW41" i="43" s="1"/>
  <c r="J1" i="27"/>
  <c r="K1" i="27"/>
  <c r="H1" i="27"/>
  <c r="G1" i="27"/>
  <c r="E1" i="27"/>
  <c r="I1" i="27"/>
  <c r="F1" i="27"/>
  <c r="A12" i="21"/>
  <c r="A13" i="21" s="1"/>
  <c r="G8" i="53" l="1"/>
  <c r="K13" i="55"/>
  <c r="BQ55" i="48"/>
  <c r="D10" i="51"/>
  <c r="BQ55" i="50"/>
  <c r="BQ63" i="50"/>
  <c r="N54" i="55"/>
  <c r="N14" i="55" s="1"/>
  <c r="N54" i="54"/>
  <c r="D7" i="58"/>
  <c r="M98" i="53"/>
  <c r="N68" i="48"/>
  <c r="M98" i="56" s="1"/>
  <c r="K119" i="53"/>
  <c r="L69" i="49"/>
  <c r="K119" i="56" s="1"/>
  <c r="K141" i="53"/>
  <c r="L71" i="50"/>
  <c r="K141" i="56" s="1"/>
  <c r="N15" i="53"/>
  <c r="J8" i="56"/>
  <c r="M75" i="53"/>
  <c r="N65" i="47"/>
  <c r="M75" i="56" s="1"/>
  <c r="M119" i="53"/>
  <c r="N69" i="49"/>
  <c r="M119" i="56" s="1"/>
  <c r="BP63" i="50"/>
  <c r="M53" i="55"/>
  <c r="M13" i="55" s="1"/>
  <c r="M53" i="54"/>
  <c r="M13" i="54" s="1"/>
  <c r="K75" i="53"/>
  <c r="L65" i="47"/>
  <c r="K75" i="56" s="1"/>
  <c r="K13" i="58"/>
  <c r="K56" i="53"/>
  <c r="L66" i="46"/>
  <c r="K56" i="56" s="1"/>
  <c r="M55" i="53"/>
  <c r="M15" i="53" s="1"/>
  <c r="N65" i="46"/>
  <c r="M55" i="56" s="1"/>
  <c r="M13" i="58"/>
  <c r="K35" i="53"/>
  <c r="K15" i="53" s="1"/>
  <c r="L65" i="44"/>
  <c r="K35" i="56" s="1"/>
  <c r="M140" i="53"/>
  <c r="N70" i="50"/>
  <c r="M140" i="56" s="1"/>
  <c r="K14" i="53"/>
  <c r="M37" i="53"/>
  <c r="N67" i="44"/>
  <c r="M37" i="56" s="1"/>
  <c r="K54" i="55"/>
  <c r="K54" i="54"/>
  <c r="N36" i="53"/>
  <c r="O66" i="44"/>
  <c r="N36" i="56" s="1"/>
  <c r="M14" i="57"/>
  <c r="D8" i="57"/>
  <c r="K97" i="53"/>
  <c r="L67" i="48"/>
  <c r="K97" i="56" s="1"/>
  <c r="M14" i="56"/>
  <c r="K14" i="56"/>
  <c r="H10" i="51"/>
  <c r="BP55" i="50"/>
  <c r="I10" i="51"/>
  <c r="W58" i="44"/>
  <c r="C28" i="54" s="1"/>
  <c r="J8" i="57"/>
  <c r="P7" i="57"/>
  <c r="C7" i="58"/>
  <c r="AK63" i="50"/>
  <c r="BS58" i="50" s="1"/>
  <c r="P133" i="54"/>
  <c r="K66" i="48"/>
  <c r="J96" i="53"/>
  <c r="K90" i="48"/>
  <c r="J96" i="57" s="1"/>
  <c r="L8" i="56"/>
  <c r="E59" i="44"/>
  <c r="D29" i="56" s="1"/>
  <c r="D29" i="53"/>
  <c r="D9" i="53" s="1"/>
  <c r="C8" i="57"/>
  <c r="H47" i="55"/>
  <c r="H7" i="55" s="1"/>
  <c r="H47" i="54"/>
  <c r="H7" i="54" s="1"/>
  <c r="BD54" i="47"/>
  <c r="P64" i="55" s="1"/>
  <c r="O64" i="55"/>
  <c r="AK56" i="44"/>
  <c r="BL58" i="44" s="1"/>
  <c r="P26" i="54"/>
  <c r="P6" i="58"/>
  <c r="AI32" i="46"/>
  <c r="J59" i="44"/>
  <c r="I29" i="56" s="1"/>
  <c r="I29" i="53"/>
  <c r="I9" i="53" s="1"/>
  <c r="AK63" i="48"/>
  <c r="BS58" i="48" s="1"/>
  <c r="P93" i="54"/>
  <c r="P3" i="55"/>
  <c r="H59" i="46"/>
  <c r="G49" i="56" s="1"/>
  <c r="G49" i="53"/>
  <c r="P79" i="47"/>
  <c r="O65" i="57" s="1"/>
  <c r="O5" i="57" s="1"/>
  <c r="O65" i="56"/>
  <c r="O5" i="56" s="1"/>
  <c r="I47" i="55"/>
  <c r="I7" i="55" s="1"/>
  <c r="I47" i="54"/>
  <c r="C10" i="51"/>
  <c r="AK56" i="47"/>
  <c r="BL58" i="47" s="1"/>
  <c r="P66" i="54"/>
  <c r="BO33" i="44"/>
  <c r="BM64" i="44" s="1"/>
  <c r="O27" i="51"/>
  <c r="P44" i="55"/>
  <c r="P44" i="54"/>
  <c r="P4" i="54" s="1"/>
  <c r="J8" i="53"/>
  <c r="J95" i="56"/>
  <c r="AD89" i="48"/>
  <c r="J95" i="58" s="1"/>
  <c r="AD65" i="48"/>
  <c r="J95" i="54" s="1"/>
  <c r="AX65" i="48"/>
  <c r="J95" i="55" s="1"/>
  <c r="K59" i="44"/>
  <c r="J29" i="56" s="1"/>
  <c r="J29" i="53"/>
  <c r="K59" i="46"/>
  <c r="J49" i="56" s="1"/>
  <c r="J49" i="53"/>
  <c r="F47" i="55"/>
  <c r="F7" i="55" s="1"/>
  <c r="F47" i="54"/>
  <c r="F7" i="54" s="1"/>
  <c r="L47" i="55"/>
  <c r="L7" i="55" s="1"/>
  <c r="L47" i="54"/>
  <c r="L7" i="54" s="1"/>
  <c r="BU68" i="48"/>
  <c r="P95" i="53"/>
  <c r="H8" i="56"/>
  <c r="D95" i="56"/>
  <c r="X89" i="48"/>
  <c r="D95" i="58" s="1"/>
  <c r="X65" i="48"/>
  <c r="D95" i="54" s="1"/>
  <c r="AR65" i="48"/>
  <c r="D95" i="55" s="1"/>
  <c r="P7" i="53"/>
  <c r="E7" i="58"/>
  <c r="E10" i="51"/>
  <c r="C47" i="55"/>
  <c r="C47" i="54"/>
  <c r="C7" i="54" s="1"/>
  <c r="H7" i="58"/>
  <c r="K66" i="50"/>
  <c r="J136" i="56" s="1"/>
  <c r="J136" i="53"/>
  <c r="F8" i="56"/>
  <c r="AA34" i="44"/>
  <c r="P28" i="53"/>
  <c r="P9" i="51"/>
  <c r="AK63" i="49"/>
  <c r="BS58" i="49" s="1"/>
  <c r="P113" i="54"/>
  <c r="I8" i="56"/>
  <c r="AA34" i="47"/>
  <c r="P68" i="53"/>
  <c r="J47" i="55"/>
  <c r="J7" i="55" s="1"/>
  <c r="J47" i="54"/>
  <c r="J7" i="54" s="1"/>
  <c r="H8" i="57"/>
  <c r="H59" i="44"/>
  <c r="G29" i="56" s="1"/>
  <c r="G29" i="53"/>
  <c r="J7" i="58"/>
  <c r="M59" i="44"/>
  <c r="L29" i="56" s="1"/>
  <c r="L29" i="53"/>
  <c r="L9" i="53" s="1"/>
  <c r="BD54" i="44"/>
  <c r="P24" i="55" s="1"/>
  <c r="O24" i="55"/>
  <c r="O4" i="55" s="1"/>
  <c r="F59" i="44"/>
  <c r="E29" i="56" s="1"/>
  <c r="E29" i="53"/>
  <c r="E9" i="53" s="1"/>
  <c r="AQ34" i="46"/>
  <c r="BN59" i="46" s="1"/>
  <c r="P48" i="53"/>
  <c r="P40" i="48"/>
  <c r="O94" i="53" s="1"/>
  <c r="O94" i="51"/>
  <c r="D97" i="51"/>
  <c r="E43" i="48"/>
  <c r="E20" i="48"/>
  <c r="G7" i="58"/>
  <c r="F7" i="58"/>
  <c r="L10" i="51"/>
  <c r="F10" i="51"/>
  <c r="I7" i="54"/>
  <c r="I59" i="44"/>
  <c r="H29" i="56" s="1"/>
  <c r="H29" i="53"/>
  <c r="H9" i="53" s="1"/>
  <c r="G10" i="51"/>
  <c r="F8" i="57"/>
  <c r="E8" i="57"/>
  <c r="K59" i="47"/>
  <c r="J69" i="56" s="1"/>
  <c r="J69" i="53"/>
  <c r="I8" i="57"/>
  <c r="AI9" i="47"/>
  <c r="O67" i="51"/>
  <c r="BD62" i="48"/>
  <c r="BR55" i="48" s="1"/>
  <c r="O92" i="55"/>
  <c r="BW43" i="48"/>
  <c r="BW67" i="48" s="1"/>
  <c r="L97" i="51"/>
  <c r="AC41" i="49"/>
  <c r="P115" i="53"/>
  <c r="K66" i="49"/>
  <c r="J116" i="56" s="1"/>
  <c r="J116" i="53"/>
  <c r="Q58" i="44"/>
  <c r="P28" i="56" s="1"/>
  <c r="D8" i="56"/>
  <c r="G8" i="56"/>
  <c r="D96" i="53"/>
  <c r="E66" i="48"/>
  <c r="E90" i="48"/>
  <c r="D96" i="57" s="1"/>
  <c r="D59" i="44"/>
  <c r="C29" i="53"/>
  <c r="C9" i="53" s="1"/>
  <c r="BD61" i="49"/>
  <c r="P111" i="55" s="1"/>
  <c r="O111" i="55"/>
  <c r="L8" i="57"/>
  <c r="G59" i="44"/>
  <c r="F29" i="56" s="1"/>
  <c r="F29" i="53"/>
  <c r="F9" i="53" s="1"/>
  <c r="I7" i="58"/>
  <c r="G8" i="57"/>
  <c r="L7" i="58"/>
  <c r="J10" i="51"/>
  <c r="E47" i="54"/>
  <c r="E7" i="54" s="1"/>
  <c r="E47" i="55"/>
  <c r="E7" i="55" s="1"/>
  <c r="D47" i="55"/>
  <c r="D7" i="55" s="1"/>
  <c r="D47" i="54"/>
  <c r="D7" i="54" s="1"/>
  <c r="G47" i="55"/>
  <c r="G7" i="55" s="1"/>
  <c r="G47" i="54"/>
  <c r="G7" i="54" s="1"/>
  <c r="C7" i="55"/>
  <c r="BC55" i="47"/>
  <c r="AI32" i="47"/>
  <c r="O66" i="53"/>
  <c r="O6" i="53" s="1"/>
  <c r="BD62" i="49"/>
  <c r="P112" i="55" s="1"/>
  <c r="O112" i="55"/>
  <c r="C8" i="56"/>
  <c r="J97" i="51"/>
  <c r="K43" i="48"/>
  <c r="K20" i="48"/>
  <c r="P7" i="56"/>
  <c r="E8" i="56"/>
  <c r="Y41" i="49"/>
  <c r="AA41" i="49"/>
  <c r="AJ40" i="50"/>
  <c r="AQ41" i="49"/>
  <c r="BU59" i="49" s="1"/>
  <c r="AU40" i="49"/>
  <c r="Z41" i="49"/>
  <c r="AJ40" i="49"/>
  <c r="AB41" i="49"/>
  <c r="AB89" i="49"/>
  <c r="H115" i="58" s="1"/>
  <c r="AB65" i="49"/>
  <c r="H115" i="54" s="1"/>
  <c r="AV65" i="49"/>
  <c r="H115" i="55" s="1"/>
  <c r="AC41" i="50"/>
  <c r="AE41" i="50"/>
  <c r="BU69" i="50"/>
  <c r="BU68" i="50"/>
  <c r="AH41" i="50"/>
  <c r="AT41" i="50"/>
  <c r="BU62" i="50" s="1"/>
  <c r="AR41" i="50"/>
  <c r="BU60" i="50" s="1"/>
  <c r="AG41" i="50"/>
  <c r="BJ17" i="50"/>
  <c r="BK17" i="50" s="1"/>
  <c r="BL17" i="50" s="1"/>
  <c r="P17" i="50" s="1"/>
  <c r="O135" i="51" s="1"/>
  <c r="M90" i="49"/>
  <c r="L116" i="57" s="1"/>
  <c r="M66" i="49"/>
  <c r="L116" i="56" s="1"/>
  <c r="AD89" i="50"/>
  <c r="J135" i="58" s="1"/>
  <c r="AD65" i="50"/>
  <c r="J135" i="54" s="1"/>
  <c r="AX65" i="50"/>
  <c r="J135" i="55" s="1"/>
  <c r="AD41" i="49"/>
  <c r="AT41" i="49"/>
  <c r="BU62" i="49" s="1"/>
  <c r="AR41" i="49"/>
  <c r="BU60" i="49" s="1"/>
  <c r="AG41" i="49"/>
  <c r="BU68" i="49"/>
  <c r="BJ17" i="49"/>
  <c r="BK17" i="49" s="1"/>
  <c r="BL17" i="49" s="1"/>
  <c r="P17" i="49" s="1"/>
  <c r="O115" i="51" s="1"/>
  <c r="AH41" i="49"/>
  <c r="AE41" i="49"/>
  <c r="BU69" i="49"/>
  <c r="K43" i="50"/>
  <c r="K20" i="50"/>
  <c r="J138" i="51" s="1"/>
  <c r="F20" i="49"/>
  <c r="E118" i="51" s="1"/>
  <c r="F43" i="49"/>
  <c r="E117" i="53" s="1"/>
  <c r="E43" i="50"/>
  <c r="D137" i="53" s="1"/>
  <c r="E20" i="50"/>
  <c r="D138" i="51" s="1"/>
  <c r="W41" i="50"/>
  <c r="D20" i="49"/>
  <c r="C118" i="51" s="1"/>
  <c r="Q19" i="49"/>
  <c r="P117" i="51" s="1"/>
  <c r="D43" i="49"/>
  <c r="C117" i="53" s="1"/>
  <c r="BR43" i="49"/>
  <c r="BW65" i="49" s="1"/>
  <c r="J66" i="50"/>
  <c r="I136" i="56" s="1"/>
  <c r="J90" i="50"/>
  <c r="I136" i="57" s="1"/>
  <c r="D90" i="50"/>
  <c r="C136" i="57" s="1"/>
  <c r="D66" i="50"/>
  <c r="C136" i="56" s="1"/>
  <c r="Q42" i="50"/>
  <c r="AS42" i="50" s="1"/>
  <c r="BV61" i="50" s="1"/>
  <c r="M90" i="50"/>
  <c r="L136" i="57" s="1"/>
  <c r="M66" i="50"/>
  <c r="L136" i="56" s="1"/>
  <c r="Z65" i="49"/>
  <c r="F115" i="54" s="1"/>
  <c r="AT65" i="49"/>
  <c r="F115" i="55" s="1"/>
  <c r="Z89" i="49"/>
  <c r="F115" i="58" s="1"/>
  <c r="AJ64" i="49"/>
  <c r="P87" i="49"/>
  <c r="O113" i="57" s="1"/>
  <c r="AI39" i="49"/>
  <c r="D43" i="50"/>
  <c r="C137" i="53" s="1"/>
  <c r="D20" i="50"/>
  <c r="C138" i="51" s="1"/>
  <c r="BR43" i="50"/>
  <c r="BW65" i="50" s="1"/>
  <c r="Q19" i="50"/>
  <c r="P137" i="51" s="1"/>
  <c r="AJ88" i="49"/>
  <c r="P114" i="58" s="1"/>
  <c r="Q89" i="49"/>
  <c r="P115" i="57" s="1"/>
  <c r="G90" i="50"/>
  <c r="F136" i="57" s="1"/>
  <c r="G66" i="50"/>
  <c r="F136" i="56" s="1"/>
  <c r="BC62" i="50"/>
  <c r="K20" i="49"/>
  <c r="J118" i="51" s="1"/>
  <c r="K43" i="49"/>
  <c r="W89" i="50"/>
  <c r="C135" i="58" s="1"/>
  <c r="W65" i="50"/>
  <c r="C135" i="54" s="1"/>
  <c r="Q65" i="50"/>
  <c r="P135" i="56" s="1"/>
  <c r="AQ65" i="50"/>
  <c r="C135" i="55" s="1"/>
  <c r="AF41" i="50"/>
  <c r="H43" i="49"/>
  <c r="G117" i="53" s="1"/>
  <c r="H20" i="49"/>
  <c r="G118" i="51" s="1"/>
  <c r="BW43" i="49"/>
  <c r="BW67" i="49" s="1"/>
  <c r="AF41" i="49"/>
  <c r="Q65" i="49"/>
  <c r="P115" i="56" s="1"/>
  <c r="W89" i="49"/>
  <c r="C115" i="58" s="1"/>
  <c r="W65" i="49"/>
  <c r="C115" i="54" s="1"/>
  <c r="AQ65" i="49"/>
  <c r="C115" i="55" s="1"/>
  <c r="G43" i="50"/>
  <c r="F137" i="53" s="1"/>
  <c r="G20" i="50"/>
  <c r="F138" i="51" s="1"/>
  <c r="BR63" i="49"/>
  <c r="BR55" i="49"/>
  <c r="H43" i="50"/>
  <c r="G137" i="53" s="1"/>
  <c r="H20" i="50"/>
  <c r="G138" i="51" s="1"/>
  <c r="BW43" i="50"/>
  <c r="BW67" i="50" s="1"/>
  <c r="AC89" i="49"/>
  <c r="I115" i="58" s="1"/>
  <c r="AC65" i="49"/>
  <c r="I115" i="54" s="1"/>
  <c r="AW65" i="49"/>
  <c r="I115" i="55" s="1"/>
  <c r="Q89" i="50"/>
  <c r="P135" i="57" s="1"/>
  <c r="AF65" i="50"/>
  <c r="L135" i="54" s="1"/>
  <c r="AF89" i="50"/>
  <c r="L135" i="58" s="1"/>
  <c r="AZ65" i="50"/>
  <c r="L135" i="55" s="1"/>
  <c r="AJ88" i="50"/>
  <c r="P134" i="58" s="1"/>
  <c r="H90" i="49"/>
  <c r="G116" i="57" s="1"/>
  <c r="AA66" i="49"/>
  <c r="G116" i="54" s="1"/>
  <c r="H66" i="49"/>
  <c r="G116" i="56" s="1"/>
  <c r="AZ65" i="49"/>
  <c r="L115" i="55" s="1"/>
  <c r="AF65" i="49"/>
  <c r="L115" i="54" s="1"/>
  <c r="AF89" i="49"/>
  <c r="L115" i="58" s="1"/>
  <c r="K90" i="50"/>
  <c r="J136" i="57" s="1"/>
  <c r="CA42" i="50"/>
  <c r="H90" i="50"/>
  <c r="G136" i="57" s="1"/>
  <c r="AA66" i="50"/>
  <c r="G136" i="54" s="1"/>
  <c r="H66" i="50"/>
  <c r="G136" i="56" s="1"/>
  <c r="I90" i="49"/>
  <c r="H116" i="57" s="1"/>
  <c r="I66" i="49"/>
  <c r="H116" i="56" s="1"/>
  <c r="X89" i="49"/>
  <c r="D115" i="58" s="1"/>
  <c r="X65" i="49"/>
  <c r="D115" i="54" s="1"/>
  <c r="AR65" i="49"/>
  <c r="D115" i="55" s="1"/>
  <c r="AS41" i="50"/>
  <c r="BU61" i="50" s="1"/>
  <c r="F43" i="50"/>
  <c r="E137" i="53" s="1"/>
  <c r="F20" i="50"/>
  <c r="E138" i="51" s="1"/>
  <c r="Y89" i="49"/>
  <c r="E115" i="58" s="1"/>
  <c r="Y65" i="49"/>
  <c r="E115" i="54" s="1"/>
  <c r="AS65" i="49"/>
  <c r="E115" i="55" s="1"/>
  <c r="J20" i="49"/>
  <c r="I118" i="51" s="1"/>
  <c r="J43" i="49"/>
  <c r="I117" i="53" s="1"/>
  <c r="X41" i="50"/>
  <c r="AJ64" i="50"/>
  <c r="AJ15" i="49"/>
  <c r="BC63" i="49"/>
  <c r="AA89" i="49"/>
  <c r="G115" i="58" s="1"/>
  <c r="AU65" i="49"/>
  <c r="G115" i="55" s="1"/>
  <c r="AU40" i="50"/>
  <c r="F66" i="49"/>
  <c r="E116" i="56" s="1"/>
  <c r="F90" i="49"/>
  <c r="E116" i="57" s="1"/>
  <c r="AJ15" i="50"/>
  <c r="I43" i="49"/>
  <c r="H117" i="53" s="1"/>
  <c r="I20" i="49"/>
  <c r="H118" i="51" s="1"/>
  <c r="AD41" i="50"/>
  <c r="Z41" i="50"/>
  <c r="F66" i="50"/>
  <c r="E136" i="56" s="1"/>
  <c r="F90" i="50"/>
  <c r="E136" i="57" s="1"/>
  <c r="Y42" i="50"/>
  <c r="J90" i="49"/>
  <c r="I116" i="57" s="1"/>
  <c r="J66" i="49"/>
  <c r="I116" i="56" s="1"/>
  <c r="AW65" i="50"/>
  <c r="I135" i="55" s="1"/>
  <c r="AC89" i="50"/>
  <c r="I135" i="58" s="1"/>
  <c r="AC65" i="50"/>
  <c r="I135" i="54" s="1"/>
  <c r="I90" i="50"/>
  <c r="H136" i="57" s="1"/>
  <c r="I66" i="50"/>
  <c r="H136" i="56" s="1"/>
  <c r="AB42" i="50"/>
  <c r="G20" i="49"/>
  <c r="F118" i="51" s="1"/>
  <c r="G43" i="49"/>
  <c r="F117" i="53" s="1"/>
  <c r="AB41" i="50"/>
  <c r="AA41" i="50"/>
  <c r="BO40" i="49"/>
  <c r="BT64" i="49" s="1"/>
  <c r="P40" i="49"/>
  <c r="O114" i="53" s="1"/>
  <c r="AI16" i="49"/>
  <c r="BU40" i="49"/>
  <c r="BT66" i="49" s="1"/>
  <c r="K90" i="49"/>
  <c r="J116" i="57" s="1"/>
  <c r="CA42" i="49"/>
  <c r="AI39" i="50"/>
  <c r="P87" i="50"/>
  <c r="O133" i="57" s="1"/>
  <c r="Y41" i="50"/>
  <c r="E90" i="49"/>
  <c r="D116" i="57" s="1"/>
  <c r="E66" i="49"/>
  <c r="D116" i="56" s="1"/>
  <c r="AD65" i="49"/>
  <c r="J115" i="54" s="1"/>
  <c r="AX65" i="49"/>
  <c r="J115" i="55" s="1"/>
  <c r="AD89" i="49"/>
  <c r="J115" i="58" s="1"/>
  <c r="I43" i="50"/>
  <c r="H137" i="53" s="1"/>
  <c r="I20" i="50"/>
  <c r="H138" i="51" s="1"/>
  <c r="X65" i="50"/>
  <c r="D135" i="54" s="1"/>
  <c r="AR65" i="50"/>
  <c r="D135" i="55" s="1"/>
  <c r="X89" i="50"/>
  <c r="D135" i="58" s="1"/>
  <c r="D90" i="49"/>
  <c r="C116" i="57" s="1"/>
  <c r="D66" i="49"/>
  <c r="C116" i="56" s="1"/>
  <c r="Q42" i="49"/>
  <c r="G66" i="49"/>
  <c r="F116" i="56" s="1"/>
  <c r="G90" i="49"/>
  <c r="F116" i="57" s="1"/>
  <c r="AB89" i="50"/>
  <c r="H135" i="58" s="1"/>
  <c r="AB65" i="50"/>
  <c r="H135" i="54" s="1"/>
  <c r="AV65" i="50"/>
  <c r="H135" i="55" s="1"/>
  <c r="P40" i="50"/>
  <c r="O134" i="53" s="1"/>
  <c r="BO40" i="50"/>
  <c r="BT64" i="50" s="1"/>
  <c r="BU40" i="50"/>
  <c r="BT66" i="50" s="1"/>
  <c r="AI16" i="50"/>
  <c r="AA89" i="50"/>
  <c r="G135" i="58" s="1"/>
  <c r="AU65" i="50"/>
  <c r="G135" i="55" s="1"/>
  <c r="E90" i="50"/>
  <c r="D136" i="57" s="1"/>
  <c r="E66" i="50"/>
  <c r="D136" i="56" s="1"/>
  <c r="M20" i="49"/>
  <c r="L118" i="51" s="1"/>
  <c r="M43" i="49"/>
  <c r="L117" i="53" s="1"/>
  <c r="Y89" i="50"/>
  <c r="E135" i="58" s="1"/>
  <c r="Y65" i="50"/>
  <c r="E135" i="54" s="1"/>
  <c r="AS65" i="50"/>
  <c r="E135" i="55" s="1"/>
  <c r="Z89" i="50"/>
  <c r="F135" i="58" s="1"/>
  <c r="Z65" i="50"/>
  <c r="F135" i="54" s="1"/>
  <c r="AT65" i="50"/>
  <c r="F135" i="55" s="1"/>
  <c r="W41" i="49"/>
  <c r="E43" i="49"/>
  <c r="D117" i="53" s="1"/>
  <c r="E20" i="49"/>
  <c r="D118" i="51" s="1"/>
  <c r="AQ41" i="50"/>
  <c r="J43" i="50"/>
  <c r="I137" i="53" s="1"/>
  <c r="J20" i="50"/>
  <c r="I138" i="51" s="1"/>
  <c r="M43" i="50"/>
  <c r="L137" i="53" s="1"/>
  <c r="M20" i="50"/>
  <c r="L138" i="51" s="1"/>
  <c r="AS41" i="49"/>
  <c r="BU61" i="49" s="1"/>
  <c r="BX35" i="43"/>
  <c r="BD8" i="43"/>
  <c r="H81" i="43"/>
  <c r="K81" i="43"/>
  <c r="BR43" i="48"/>
  <c r="BW65" i="48" s="1"/>
  <c r="AI16" i="48"/>
  <c r="AJ16" i="48" s="1"/>
  <c r="AU40" i="48"/>
  <c r="AJ40" i="48"/>
  <c r="BO40" i="48"/>
  <c r="BT64" i="48" s="1"/>
  <c r="BU40" i="48"/>
  <c r="BT66" i="48" s="1"/>
  <c r="AQ41" i="48"/>
  <c r="BU59" i="48" s="1"/>
  <c r="AE41" i="48"/>
  <c r="Y41" i="48"/>
  <c r="AJ88" i="48"/>
  <c r="P94" i="58" s="1"/>
  <c r="X41" i="48"/>
  <c r="AJ64" i="48"/>
  <c r="AT41" i="48"/>
  <c r="BU62" i="48" s="1"/>
  <c r="Q89" i="48"/>
  <c r="P95" i="57" s="1"/>
  <c r="AA41" i="48"/>
  <c r="AG41" i="48"/>
  <c r="Z41" i="48"/>
  <c r="Q65" i="48"/>
  <c r="P95" i="56" s="1"/>
  <c r="AR41" i="48"/>
  <c r="BU60" i="48" s="1"/>
  <c r="P56" i="47"/>
  <c r="C93" i="50"/>
  <c r="V45" i="50"/>
  <c r="V93" i="50" s="1"/>
  <c r="BA43" i="50"/>
  <c r="C70" i="50"/>
  <c r="V70" i="50" s="1"/>
  <c r="AP70" i="50" s="1"/>
  <c r="C46" i="50"/>
  <c r="V22" i="50"/>
  <c r="AP22" i="50" s="1"/>
  <c r="BI22" i="50" s="1"/>
  <c r="C23" i="50"/>
  <c r="AP45" i="50"/>
  <c r="AZ44" i="50"/>
  <c r="AX44" i="50"/>
  <c r="AW44" i="50"/>
  <c r="O47" i="50"/>
  <c r="N141" i="53" s="1"/>
  <c r="BX47" i="50"/>
  <c r="N47" i="50"/>
  <c r="O94" i="50"/>
  <c r="N140" i="57" s="1"/>
  <c r="O70" i="50"/>
  <c r="N140" i="56" s="1"/>
  <c r="B71" i="50"/>
  <c r="U71" i="50" s="1"/>
  <c r="AO71" i="50" s="1"/>
  <c r="B47" i="50"/>
  <c r="U23" i="50"/>
  <c r="AO23" i="50" s="1"/>
  <c r="BH23" i="50" s="1"/>
  <c r="L95" i="50"/>
  <c r="K141" i="57" s="1"/>
  <c r="AG93" i="50"/>
  <c r="M139" i="58" s="1"/>
  <c r="AG69" i="50"/>
  <c r="M139" i="54" s="1"/>
  <c r="BA69" i="50"/>
  <c r="M139" i="55" s="1"/>
  <c r="N94" i="50"/>
  <c r="M140" i="57" s="1"/>
  <c r="AE94" i="50"/>
  <c r="K140" i="58" s="1"/>
  <c r="AE70" i="50"/>
  <c r="K140" i="54" s="1"/>
  <c r="AY70" i="50"/>
  <c r="K140" i="55" s="1"/>
  <c r="B94" i="50"/>
  <c r="U46" i="50"/>
  <c r="U94" i="50" s="1"/>
  <c r="AH93" i="50"/>
  <c r="N139" i="58" s="1"/>
  <c r="AH69" i="50"/>
  <c r="N139" i="54" s="1"/>
  <c r="BB69" i="50"/>
  <c r="N139" i="55" s="1"/>
  <c r="O93" i="49"/>
  <c r="N119" i="57" s="1"/>
  <c r="O69" i="49"/>
  <c r="N119" i="56" s="1"/>
  <c r="AE92" i="49"/>
  <c r="K118" i="58" s="1"/>
  <c r="AE68" i="49"/>
  <c r="K118" i="54" s="1"/>
  <c r="AY68" i="49"/>
  <c r="K118" i="55" s="1"/>
  <c r="AG92" i="49"/>
  <c r="M118" i="58" s="1"/>
  <c r="AG68" i="49"/>
  <c r="M118" i="54" s="1"/>
  <c r="BA68" i="49"/>
  <c r="M118" i="55" s="1"/>
  <c r="C71" i="49"/>
  <c r="V71" i="49" s="1"/>
  <c r="AP71" i="49" s="1"/>
  <c r="C47" i="49"/>
  <c r="V23" i="49"/>
  <c r="AP23" i="49" s="1"/>
  <c r="BI23" i="49" s="1"/>
  <c r="B71" i="49"/>
  <c r="U71" i="49" s="1"/>
  <c r="AO71" i="49" s="1"/>
  <c r="B47" i="49"/>
  <c r="U23" i="49"/>
  <c r="AO23" i="49" s="1"/>
  <c r="BH23" i="49" s="1"/>
  <c r="AP45" i="49"/>
  <c r="AW44" i="49"/>
  <c r="AZ44" i="49"/>
  <c r="AX44" i="49"/>
  <c r="BX46" i="49"/>
  <c r="N46" i="49"/>
  <c r="N23" i="49"/>
  <c r="B94" i="49"/>
  <c r="U46" i="49"/>
  <c r="U94" i="49" s="1"/>
  <c r="C94" i="49"/>
  <c r="V46" i="49"/>
  <c r="V94" i="49" s="1"/>
  <c r="BA43" i="49"/>
  <c r="AH92" i="49"/>
  <c r="N118" i="58" s="1"/>
  <c r="AH68" i="49"/>
  <c r="N118" i="54" s="1"/>
  <c r="BB68" i="49"/>
  <c r="N118" i="55" s="1"/>
  <c r="L46" i="49"/>
  <c r="L23" i="49"/>
  <c r="N93" i="49"/>
  <c r="M119" i="57" s="1"/>
  <c r="L93" i="49"/>
  <c r="K119" i="57" s="1"/>
  <c r="O46" i="49"/>
  <c r="N120" i="53" s="1"/>
  <c r="O23" i="49"/>
  <c r="Q19" i="48"/>
  <c r="P97" i="51" s="1"/>
  <c r="M66" i="48"/>
  <c r="L96" i="56" s="1"/>
  <c r="M90" i="48"/>
  <c r="L96" i="57" s="1"/>
  <c r="CA42" i="48"/>
  <c r="W41" i="48"/>
  <c r="AH41" i="48"/>
  <c r="Z89" i="48"/>
  <c r="F95" i="58" s="1"/>
  <c r="Z65" i="48"/>
  <c r="F95" i="54" s="1"/>
  <c r="AT65" i="48"/>
  <c r="F95" i="55" s="1"/>
  <c r="AF41" i="48"/>
  <c r="BJ17" i="48"/>
  <c r="BK17" i="48" s="1"/>
  <c r="BL17" i="48" s="1"/>
  <c r="P17" i="48" s="1"/>
  <c r="F66" i="48"/>
  <c r="E96" i="56" s="1"/>
  <c r="F90" i="48"/>
  <c r="E96" i="57" s="1"/>
  <c r="Y65" i="48"/>
  <c r="E95" i="54" s="1"/>
  <c r="Y89" i="48"/>
  <c r="E95" i="58" s="1"/>
  <c r="AS65" i="48"/>
  <c r="E95" i="55" s="1"/>
  <c r="AZ65" i="48"/>
  <c r="L95" i="55" s="1"/>
  <c r="AF89" i="48"/>
  <c r="L95" i="58" s="1"/>
  <c r="AF65" i="48"/>
  <c r="L95" i="54" s="1"/>
  <c r="Q42" i="48"/>
  <c r="AD41" i="48"/>
  <c r="BU69" i="48"/>
  <c r="G66" i="48"/>
  <c r="F96" i="56" s="1"/>
  <c r="G90" i="48"/>
  <c r="F96" i="57" s="1"/>
  <c r="F43" i="48"/>
  <c r="E97" i="53" s="1"/>
  <c r="F20" i="48"/>
  <c r="E98" i="51" s="1"/>
  <c r="AB41" i="48"/>
  <c r="AC41" i="48"/>
  <c r="AS41" i="48"/>
  <c r="BU61" i="48" s="1"/>
  <c r="G43" i="48"/>
  <c r="F97" i="53" s="1"/>
  <c r="G20" i="48"/>
  <c r="F98" i="51" s="1"/>
  <c r="M43" i="48"/>
  <c r="L97" i="53" s="1"/>
  <c r="M20" i="48"/>
  <c r="W90" i="48"/>
  <c r="C96" i="58" s="1"/>
  <c r="W66" i="48"/>
  <c r="C96" i="54" s="1"/>
  <c r="AQ66" i="48"/>
  <c r="C96" i="55" s="1"/>
  <c r="AE90" i="48"/>
  <c r="K96" i="58" s="1"/>
  <c r="AE66" i="48"/>
  <c r="K96" i="54" s="1"/>
  <c r="AY66" i="48"/>
  <c r="K96" i="55" s="1"/>
  <c r="L44" i="48"/>
  <c r="L21" i="48"/>
  <c r="AU21" i="48"/>
  <c r="BD20" i="48"/>
  <c r="BC63" i="48"/>
  <c r="O46" i="48"/>
  <c r="N100" i="53" s="1"/>
  <c r="O23" i="48"/>
  <c r="H91" i="48"/>
  <c r="G97" i="57" s="1"/>
  <c r="AA67" i="48"/>
  <c r="G97" i="54" s="1"/>
  <c r="H67" i="48"/>
  <c r="G97" i="56" s="1"/>
  <c r="AG91" i="48"/>
  <c r="M97" i="58" s="1"/>
  <c r="AG67" i="48"/>
  <c r="M97" i="54" s="1"/>
  <c r="BA67" i="48"/>
  <c r="M97" i="55" s="1"/>
  <c r="L91" i="48"/>
  <c r="K97" i="57" s="1"/>
  <c r="O93" i="48"/>
  <c r="N99" i="57" s="1"/>
  <c r="O69" i="48"/>
  <c r="N99" i="56" s="1"/>
  <c r="BA41" i="48"/>
  <c r="I44" i="48"/>
  <c r="H98" i="53" s="1"/>
  <c r="I21" i="48"/>
  <c r="H99" i="51" s="1"/>
  <c r="I91" i="48"/>
  <c r="H97" i="57" s="1"/>
  <c r="I67" i="48"/>
  <c r="H97" i="56" s="1"/>
  <c r="P88" i="48"/>
  <c r="O94" i="57" s="1"/>
  <c r="D44" i="48"/>
  <c r="C98" i="53" s="1"/>
  <c r="D21" i="48"/>
  <c r="C99" i="51" s="1"/>
  <c r="J44" i="48"/>
  <c r="I98" i="53" s="1"/>
  <c r="J21" i="48"/>
  <c r="I99" i="51" s="1"/>
  <c r="C68" i="48"/>
  <c r="V68" i="48" s="1"/>
  <c r="AP68" i="48" s="1"/>
  <c r="C44" i="48"/>
  <c r="V20" i="48"/>
  <c r="AP20" i="48" s="1"/>
  <c r="BI20" i="48" s="1"/>
  <c r="C21" i="48"/>
  <c r="AB90" i="48"/>
  <c r="H96" i="58" s="1"/>
  <c r="AB66" i="48"/>
  <c r="H96" i="54" s="1"/>
  <c r="AV66" i="48"/>
  <c r="H96" i="55" s="1"/>
  <c r="AZ42" i="48"/>
  <c r="AX42" i="48"/>
  <c r="AW42" i="48"/>
  <c r="AP43" i="48"/>
  <c r="J67" i="48"/>
  <c r="I97" i="56" s="1"/>
  <c r="J91" i="48"/>
  <c r="I97" i="57" s="1"/>
  <c r="B69" i="48"/>
  <c r="U69" i="48" s="1"/>
  <c r="AO69" i="48" s="1"/>
  <c r="B45" i="48"/>
  <c r="B22" i="48"/>
  <c r="U21" i="48"/>
  <c r="AO21" i="48" s="1"/>
  <c r="BH21" i="48" s="1"/>
  <c r="C91" i="48"/>
  <c r="V43" i="48"/>
  <c r="V91" i="48" s="1"/>
  <c r="AH92" i="48"/>
  <c r="N98" i="58" s="1"/>
  <c r="AH68" i="48"/>
  <c r="N98" i="54" s="1"/>
  <c r="BB68" i="48"/>
  <c r="N98" i="55" s="1"/>
  <c r="D91" i="48"/>
  <c r="C97" i="57" s="1"/>
  <c r="D67" i="48"/>
  <c r="C97" i="56" s="1"/>
  <c r="AA90" i="48"/>
  <c r="G96" i="58" s="1"/>
  <c r="AU66" i="48"/>
  <c r="G96" i="55" s="1"/>
  <c r="N45" i="48"/>
  <c r="BX45" i="48"/>
  <c r="N22" i="48"/>
  <c r="N92" i="48"/>
  <c r="M98" i="57" s="1"/>
  <c r="AC90" i="48"/>
  <c r="I96" i="58" s="1"/>
  <c r="AC66" i="48"/>
  <c r="I96" i="54" s="1"/>
  <c r="AW66" i="48"/>
  <c r="I96" i="55" s="1"/>
  <c r="B92" i="48"/>
  <c r="U44" i="48"/>
  <c r="U92" i="48" s="1"/>
  <c r="H44" i="48"/>
  <c r="G98" i="53" s="1"/>
  <c r="H21" i="48"/>
  <c r="G99" i="51" s="1"/>
  <c r="AR34" i="46"/>
  <c r="BN60" i="46" s="1"/>
  <c r="P33" i="44"/>
  <c r="AI9" i="44"/>
  <c r="AJ9" i="44" s="1"/>
  <c r="BU33" i="44"/>
  <c r="BM66" i="44" s="1"/>
  <c r="AF34" i="46"/>
  <c r="AT34" i="46"/>
  <c r="BN62" i="46" s="1"/>
  <c r="AA34" i="46"/>
  <c r="BJ10" i="46"/>
  <c r="BK10" i="46" s="1"/>
  <c r="BL10" i="46" s="1"/>
  <c r="P10" i="46" s="1"/>
  <c r="AD34" i="46"/>
  <c r="X34" i="46"/>
  <c r="AU33" i="44"/>
  <c r="AU33" i="46"/>
  <c r="AJ57" i="47"/>
  <c r="AB34" i="46"/>
  <c r="AU33" i="47"/>
  <c r="BU33" i="47"/>
  <c r="BM66" i="47" s="1"/>
  <c r="BO33" i="47"/>
  <c r="BM64" i="47" s="1"/>
  <c r="P33" i="47"/>
  <c r="AR34" i="44"/>
  <c r="BN60" i="44" s="1"/>
  <c r="AF34" i="44"/>
  <c r="AQ34" i="44"/>
  <c r="BN59" i="44" s="1"/>
  <c r="AJ81" i="46"/>
  <c r="P47" i="58" s="1"/>
  <c r="AJ33" i="47"/>
  <c r="AJ33" i="44"/>
  <c r="AJ33" i="46"/>
  <c r="BC55" i="46"/>
  <c r="W34" i="46"/>
  <c r="BC55" i="44"/>
  <c r="F57" i="43"/>
  <c r="Y81" i="43" s="1"/>
  <c r="F81" i="43"/>
  <c r="AE82" i="43"/>
  <c r="L82" i="43"/>
  <c r="F36" i="47"/>
  <c r="E70" i="53" s="1"/>
  <c r="F13" i="47"/>
  <c r="E71" i="51" s="1"/>
  <c r="I36" i="44"/>
  <c r="I13" i="44"/>
  <c r="H31" i="51" s="1"/>
  <c r="M57" i="43"/>
  <c r="AF81" i="43" s="1"/>
  <c r="M81" i="43"/>
  <c r="W82" i="47"/>
  <c r="C68" i="58" s="1"/>
  <c r="W58" i="47"/>
  <c r="C68" i="54" s="1"/>
  <c r="Q58" i="47"/>
  <c r="P68" i="56" s="1"/>
  <c r="AQ58" i="47"/>
  <c r="C68" i="55" s="1"/>
  <c r="I83" i="44"/>
  <c r="H29" i="57" s="1"/>
  <c r="W34" i="44"/>
  <c r="BN69" i="44"/>
  <c r="AH34" i="44"/>
  <c r="AG34" i="44"/>
  <c r="AE34" i="44"/>
  <c r="BN68" i="44"/>
  <c r="X82" i="46"/>
  <c r="D48" i="58" s="1"/>
  <c r="X58" i="46"/>
  <c r="AR58" i="46"/>
  <c r="F36" i="46"/>
  <c r="E50" i="53" s="1"/>
  <c r="F13" i="46"/>
  <c r="E51" i="51" s="1"/>
  <c r="Q82" i="47"/>
  <c r="P68" i="57" s="1"/>
  <c r="AF82" i="47"/>
  <c r="L68" i="58" s="1"/>
  <c r="AF58" i="47"/>
  <c r="L68" i="54" s="1"/>
  <c r="AZ58" i="47"/>
  <c r="L68" i="55" s="1"/>
  <c r="G83" i="44"/>
  <c r="F29" i="57" s="1"/>
  <c r="X34" i="47"/>
  <c r="G83" i="47"/>
  <c r="F69" i="57" s="1"/>
  <c r="G59" i="47"/>
  <c r="F69" i="56" s="1"/>
  <c r="AA82" i="44"/>
  <c r="G28" i="58" s="1"/>
  <c r="AU58" i="44"/>
  <c r="G28" i="55" s="1"/>
  <c r="X34" i="44"/>
  <c r="AD82" i="46"/>
  <c r="J48" i="58" s="1"/>
  <c r="AD58" i="46"/>
  <c r="AX58" i="46"/>
  <c r="W82" i="44"/>
  <c r="C28" i="58" s="1"/>
  <c r="AQ58" i="44"/>
  <c r="C28" i="55" s="1"/>
  <c r="H13" i="44"/>
  <c r="G31" i="51" s="1"/>
  <c r="H36" i="44"/>
  <c r="BW36" i="44"/>
  <c r="BP67" i="44" s="1"/>
  <c r="AA82" i="46"/>
  <c r="G48" i="58" s="1"/>
  <c r="AU58" i="46"/>
  <c r="M83" i="44"/>
  <c r="L29" i="57" s="1"/>
  <c r="AD82" i="47"/>
  <c r="J68" i="58" s="1"/>
  <c r="AD58" i="47"/>
  <c r="J68" i="54" s="1"/>
  <c r="AX58" i="47"/>
  <c r="J68" i="55" s="1"/>
  <c r="Q35" i="44"/>
  <c r="D83" i="44"/>
  <c r="C29" i="57" s="1"/>
  <c r="AJ9" i="47"/>
  <c r="Q82" i="46"/>
  <c r="P48" i="57" s="1"/>
  <c r="AJ57" i="44"/>
  <c r="AJ57" i="46"/>
  <c r="AK57" i="46" s="1"/>
  <c r="BM58" i="46" s="1"/>
  <c r="I13" i="46"/>
  <c r="H51" i="51" s="1"/>
  <c r="I36" i="46"/>
  <c r="H50" i="53" s="1"/>
  <c r="K83" i="46"/>
  <c r="J49" i="57" s="1"/>
  <c r="CA35" i="46"/>
  <c r="M59" i="47"/>
  <c r="L69" i="56" s="1"/>
  <c r="M83" i="47"/>
  <c r="L69" i="57" s="1"/>
  <c r="O58" i="43"/>
  <c r="AH82" i="43" s="1"/>
  <c r="O82" i="43"/>
  <c r="G13" i="47"/>
  <c r="F71" i="51" s="1"/>
  <c r="G36" i="47"/>
  <c r="F70" i="53" s="1"/>
  <c r="J59" i="46"/>
  <c r="I49" i="56" s="1"/>
  <c r="J83" i="46"/>
  <c r="I49" i="57" s="1"/>
  <c r="Q58" i="46"/>
  <c r="P48" i="56" s="1"/>
  <c r="W58" i="46"/>
  <c r="W82" i="46"/>
  <c r="C48" i="58" s="1"/>
  <c r="AQ58" i="46"/>
  <c r="BW36" i="46"/>
  <c r="BP67" i="46" s="1"/>
  <c r="H36" i="46"/>
  <c r="H13" i="46"/>
  <c r="G51" i="51" s="1"/>
  <c r="E57" i="43"/>
  <c r="X81" i="43" s="1"/>
  <c r="E81" i="43"/>
  <c r="I57" i="43"/>
  <c r="AB81" i="43" s="1"/>
  <c r="I81" i="43"/>
  <c r="AS34" i="47"/>
  <c r="BN61" i="47" s="1"/>
  <c r="AF58" i="44"/>
  <c r="L28" i="54" s="1"/>
  <c r="AF82" i="44"/>
  <c r="L28" i="58" s="1"/>
  <c r="AZ58" i="44"/>
  <c r="L28" i="55" s="1"/>
  <c r="AC82" i="46"/>
  <c r="I48" i="58" s="1"/>
  <c r="AC58" i="46"/>
  <c r="AW58" i="46"/>
  <c r="AR34" i="47"/>
  <c r="BN60" i="47" s="1"/>
  <c r="AD34" i="44"/>
  <c r="AA59" i="47"/>
  <c r="G69" i="54" s="1"/>
  <c r="H83" i="47"/>
  <c r="G69" i="57" s="1"/>
  <c r="H59" i="47"/>
  <c r="G69" i="56" s="1"/>
  <c r="X58" i="44"/>
  <c r="D28" i="54" s="1"/>
  <c r="X82" i="44"/>
  <c r="D28" i="58" s="1"/>
  <c r="AR58" i="44"/>
  <c r="D28" i="55" s="1"/>
  <c r="AB34" i="44"/>
  <c r="Q82" i="44"/>
  <c r="P28" i="57" s="1"/>
  <c r="AT34" i="47"/>
  <c r="BN62" i="47" s="1"/>
  <c r="F13" i="44"/>
  <c r="E31" i="51" s="1"/>
  <c r="F36" i="44"/>
  <c r="AC34" i="47"/>
  <c r="AB34" i="47"/>
  <c r="AJ81" i="44"/>
  <c r="P27" i="58" s="1"/>
  <c r="Z34" i="46"/>
  <c r="Y34" i="46"/>
  <c r="I59" i="46"/>
  <c r="H49" i="56" s="1"/>
  <c r="I83" i="46"/>
  <c r="H49" i="57" s="1"/>
  <c r="E36" i="47"/>
  <c r="D70" i="53" s="1"/>
  <c r="E13" i="47"/>
  <c r="D71" i="51" s="1"/>
  <c r="BJ10" i="47"/>
  <c r="BK10" i="47" s="1"/>
  <c r="BL10" i="47" s="1"/>
  <c r="P10" i="47" s="1"/>
  <c r="O68" i="51" s="1"/>
  <c r="H83" i="46"/>
  <c r="G49" i="57" s="1"/>
  <c r="AA59" i="46"/>
  <c r="AF34" i="47"/>
  <c r="E83" i="44"/>
  <c r="D29" i="57" s="1"/>
  <c r="G36" i="46"/>
  <c r="F50" i="53" s="1"/>
  <c r="G13" i="46"/>
  <c r="F51" i="51" s="1"/>
  <c r="H83" i="44"/>
  <c r="G29" i="57" s="1"/>
  <c r="AA59" i="44"/>
  <c r="G29" i="54" s="1"/>
  <c r="AB58" i="46"/>
  <c r="AB82" i="46"/>
  <c r="H48" i="58" s="1"/>
  <c r="AV58" i="46"/>
  <c r="G57" i="43"/>
  <c r="Z81" i="43" s="1"/>
  <c r="G81" i="43"/>
  <c r="Z58" i="47"/>
  <c r="F68" i="54" s="1"/>
  <c r="Z82" i="47"/>
  <c r="F68" i="58" s="1"/>
  <c r="AT58" i="47"/>
  <c r="F68" i="55" s="1"/>
  <c r="X82" i="47"/>
  <c r="D68" i="58" s="1"/>
  <c r="X58" i="47"/>
  <c r="D68" i="54" s="1"/>
  <c r="AR58" i="47"/>
  <c r="D68" i="55" s="1"/>
  <c r="Q35" i="47"/>
  <c r="D83" i="47"/>
  <c r="C69" i="57" s="1"/>
  <c r="D59" i="47"/>
  <c r="C69" i="56" s="1"/>
  <c r="BJ10" i="44"/>
  <c r="BK10" i="44" s="1"/>
  <c r="BL10" i="44" s="1"/>
  <c r="P10" i="44" s="1"/>
  <c r="O28" i="51" s="1"/>
  <c r="H13" i="47"/>
  <c r="G71" i="51" s="1"/>
  <c r="H36" i="47"/>
  <c r="G70" i="53" s="1"/>
  <c r="BW36" i="47"/>
  <c r="BP67" i="47" s="1"/>
  <c r="K13" i="44"/>
  <c r="J31" i="51" s="1"/>
  <c r="K36" i="44"/>
  <c r="AS34" i="44"/>
  <c r="BN61" i="44" s="1"/>
  <c r="D36" i="44"/>
  <c r="BR36" i="44"/>
  <c r="BP65" i="44" s="1"/>
  <c r="Q12" i="44"/>
  <c r="P30" i="51" s="1"/>
  <c r="D13" i="44"/>
  <c r="C31" i="51" s="1"/>
  <c r="F83" i="44"/>
  <c r="E29" i="57" s="1"/>
  <c r="AC82" i="47"/>
  <c r="I68" i="58" s="1"/>
  <c r="AC58" i="47"/>
  <c r="I68" i="54" s="1"/>
  <c r="AW58" i="47"/>
  <c r="I68" i="55" s="1"/>
  <c r="AB82" i="47"/>
  <c r="H68" i="58" s="1"/>
  <c r="AB58" i="47"/>
  <c r="H68" i="54" s="1"/>
  <c r="AV58" i="47"/>
  <c r="H68" i="55" s="1"/>
  <c r="J13" i="44"/>
  <c r="I31" i="51" s="1"/>
  <c r="J36" i="44"/>
  <c r="AS34" i="46"/>
  <c r="BN61" i="46" s="1"/>
  <c r="Y58" i="46"/>
  <c r="Y82" i="46"/>
  <c r="E48" i="58" s="1"/>
  <c r="AS58" i="46"/>
  <c r="Z34" i="47"/>
  <c r="AH34" i="47"/>
  <c r="AG34" i="47"/>
  <c r="BN69" i="47"/>
  <c r="BN68" i="47"/>
  <c r="AE34" i="47"/>
  <c r="G83" i="46"/>
  <c r="F49" i="57" s="1"/>
  <c r="G59" i="46"/>
  <c r="F49" i="56" s="1"/>
  <c r="J36" i="46"/>
  <c r="I50" i="53" s="1"/>
  <c r="J13" i="46"/>
  <c r="I51" i="51" s="1"/>
  <c r="F59" i="46"/>
  <c r="E49" i="56" s="1"/>
  <c r="F83" i="46"/>
  <c r="E49" i="57" s="1"/>
  <c r="I36" i="47"/>
  <c r="H70" i="53" s="1"/>
  <c r="I13" i="47"/>
  <c r="H71" i="51" s="1"/>
  <c r="F83" i="47"/>
  <c r="E69" i="57" s="1"/>
  <c r="F59" i="47"/>
  <c r="E69" i="56" s="1"/>
  <c r="J57" i="43"/>
  <c r="AC81" i="43" s="1"/>
  <c r="J81" i="43"/>
  <c r="AJ81" i="47"/>
  <c r="P67" i="58" s="1"/>
  <c r="P80" i="44"/>
  <c r="O26" i="57" s="1"/>
  <c r="AI32" i="44"/>
  <c r="AD58" i="44"/>
  <c r="J28" i="54" s="1"/>
  <c r="AD82" i="44"/>
  <c r="J28" i="58" s="1"/>
  <c r="AX58" i="44"/>
  <c r="J28" i="55" s="1"/>
  <c r="E83" i="46"/>
  <c r="D49" i="57" s="1"/>
  <c r="E59" i="46"/>
  <c r="D49" i="56" s="1"/>
  <c r="Y34" i="47"/>
  <c r="AB82" i="44"/>
  <c r="H28" i="58" s="1"/>
  <c r="AB58" i="44"/>
  <c r="H28" i="54" s="1"/>
  <c r="AV58" i="44"/>
  <c r="H28" i="55" s="1"/>
  <c r="K83" i="44"/>
  <c r="J29" i="57" s="1"/>
  <c r="CA35" i="44"/>
  <c r="AA82" i="47"/>
  <c r="G68" i="58" s="1"/>
  <c r="AU58" i="47"/>
  <c r="G68" i="55" s="1"/>
  <c r="D83" i="46"/>
  <c r="C49" i="57" s="1"/>
  <c r="D59" i="46"/>
  <c r="C49" i="56" s="1"/>
  <c r="Q35" i="46"/>
  <c r="Z34" i="44"/>
  <c r="AF82" i="46"/>
  <c r="L48" i="58" s="1"/>
  <c r="AF58" i="46"/>
  <c r="AZ58" i="46"/>
  <c r="BJ63" i="44"/>
  <c r="BJ55" i="44"/>
  <c r="J13" i="47"/>
  <c r="I71" i="51" s="1"/>
  <c r="J36" i="47"/>
  <c r="I70" i="53" s="1"/>
  <c r="K36" i="47"/>
  <c r="K13" i="47"/>
  <c r="J71" i="51" s="1"/>
  <c r="AC34" i="44"/>
  <c r="J83" i="44"/>
  <c r="I29" i="57" s="1"/>
  <c r="Z82" i="46"/>
  <c r="F48" i="58" s="1"/>
  <c r="Z58" i="46"/>
  <c r="AT58" i="46"/>
  <c r="E13" i="44"/>
  <c r="D31" i="51" s="1"/>
  <c r="E36" i="44"/>
  <c r="AG82" i="43"/>
  <c r="N82" i="43"/>
  <c r="G36" i="44"/>
  <c r="G13" i="44"/>
  <c r="F31" i="51" s="1"/>
  <c r="M36" i="44"/>
  <c r="M13" i="44"/>
  <c r="L31" i="51" s="1"/>
  <c r="AQ34" i="47"/>
  <c r="AJ8" i="44"/>
  <c r="AT34" i="44"/>
  <c r="BN62" i="44" s="1"/>
  <c r="E13" i="46"/>
  <c r="D51" i="51" s="1"/>
  <c r="E36" i="46"/>
  <c r="D50" i="53" s="1"/>
  <c r="Y82" i="47"/>
  <c r="E68" i="58" s="1"/>
  <c r="Y58" i="47"/>
  <c r="E68" i="54" s="1"/>
  <c r="AS58" i="47"/>
  <c r="E68" i="55" s="1"/>
  <c r="P81" i="46"/>
  <c r="O47" i="57" s="1"/>
  <c r="AI33" i="46"/>
  <c r="Q12" i="46"/>
  <c r="P50" i="51" s="1"/>
  <c r="D36" i="46"/>
  <c r="C50" i="53" s="1"/>
  <c r="BR36" i="46"/>
  <c r="BP65" i="46" s="1"/>
  <c r="D13" i="46"/>
  <c r="C51" i="51" s="1"/>
  <c r="Z82" i="44"/>
  <c r="F28" i="58" s="1"/>
  <c r="Z58" i="44"/>
  <c r="F28" i="54" s="1"/>
  <c r="AT58" i="44"/>
  <c r="F28" i="55" s="1"/>
  <c r="Y34" i="44"/>
  <c r="J83" i="47"/>
  <c r="I69" i="57" s="1"/>
  <c r="J59" i="47"/>
  <c r="I69" i="56" s="1"/>
  <c r="CA35" i="47"/>
  <c r="K83" i="47"/>
  <c r="J69" i="57" s="1"/>
  <c r="M13" i="46"/>
  <c r="L51" i="51" s="1"/>
  <c r="M36" i="46"/>
  <c r="L50" i="53" s="1"/>
  <c r="AC82" i="44"/>
  <c r="I28" i="58" s="1"/>
  <c r="AC58" i="44"/>
  <c r="I28" i="54" s="1"/>
  <c r="AW58" i="44"/>
  <c r="I28" i="55" s="1"/>
  <c r="BC56" i="46"/>
  <c r="W34" i="47"/>
  <c r="K36" i="46"/>
  <c r="K13" i="46"/>
  <c r="J51" i="51" s="1"/>
  <c r="Q12" i="47"/>
  <c r="P70" i="51" s="1"/>
  <c r="D36" i="47"/>
  <c r="C70" i="53" s="1"/>
  <c r="D13" i="47"/>
  <c r="C71" i="51" s="1"/>
  <c r="BR36" i="47"/>
  <c r="BP65" i="47" s="1"/>
  <c r="M36" i="47"/>
  <c r="L70" i="53" s="1"/>
  <c r="M13" i="47"/>
  <c r="L71" i="51" s="1"/>
  <c r="E59" i="47"/>
  <c r="D69" i="56" s="1"/>
  <c r="E83" i="47"/>
  <c r="D69" i="57" s="1"/>
  <c r="AJ9" i="46"/>
  <c r="AD34" i="47"/>
  <c r="Y82" i="44"/>
  <c r="E28" i="58" s="1"/>
  <c r="Y58" i="44"/>
  <c r="E28" i="54" s="1"/>
  <c r="AS58" i="44"/>
  <c r="E28" i="55" s="1"/>
  <c r="M59" i="46"/>
  <c r="L49" i="56" s="1"/>
  <c r="M83" i="46"/>
  <c r="L49" i="57" s="1"/>
  <c r="AC34" i="46"/>
  <c r="AE34" i="46"/>
  <c r="BN68" i="46"/>
  <c r="AG34" i="46"/>
  <c r="AH34" i="46"/>
  <c r="BN69" i="46"/>
  <c r="I83" i="47"/>
  <c r="H69" i="57" s="1"/>
  <c r="I59" i="47"/>
  <c r="H69" i="56" s="1"/>
  <c r="B91" i="47"/>
  <c r="U43" i="47"/>
  <c r="U91" i="47" s="1"/>
  <c r="N42" i="47"/>
  <c r="BX42" i="47"/>
  <c r="N19" i="47"/>
  <c r="O42" i="47"/>
  <c r="N76" i="53" s="1"/>
  <c r="O19" i="47"/>
  <c r="N89" i="47"/>
  <c r="M75" i="57" s="1"/>
  <c r="C68" i="47"/>
  <c r="V68" i="47" s="1"/>
  <c r="AP68" i="47" s="1"/>
  <c r="C44" i="47"/>
  <c r="C21" i="47"/>
  <c r="V20" i="47"/>
  <c r="AP20" i="47" s="1"/>
  <c r="BI20" i="47" s="1"/>
  <c r="AZ40" i="47"/>
  <c r="AW40" i="47"/>
  <c r="AP41" i="47"/>
  <c r="AX40" i="47"/>
  <c r="O89" i="47"/>
  <c r="N75" i="57" s="1"/>
  <c r="N15" i="57" s="1"/>
  <c r="O65" i="47"/>
  <c r="N75" i="56" s="1"/>
  <c r="N15" i="56" s="1"/>
  <c r="AG88" i="47"/>
  <c r="M74" i="58" s="1"/>
  <c r="AG64" i="47"/>
  <c r="M74" i="54" s="1"/>
  <c r="BA64" i="47"/>
  <c r="M74" i="55" s="1"/>
  <c r="C91" i="47"/>
  <c r="V43" i="47"/>
  <c r="V91" i="47" s="1"/>
  <c r="BA39" i="47"/>
  <c r="AU20" i="47"/>
  <c r="BD19" i="47"/>
  <c r="B68" i="47"/>
  <c r="U68" i="47" s="1"/>
  <c r="AO68" i="47" s="1"/>
  <c r="B44" i="47"/>
  <c r="U20" i="47"/>
  <c r="AO20" i="47" s="1"/>
  <c r="BH20" i="47" s="1"/>
  <c r="B21" i="47"/>
  <c r="L42" i="47"/>
  <c r="L19" i="47"/>
  <c r="AH88" i="47"/>
  <c r="N74" i="58" s="1"/>
  <c r="N14" i="58" s="1"/>
  <c r="AH64" i="47"/>
  <c r="N74" i="54" s="1"/>
  <c r="BB64" i="47"/>
  <c r="N74" i="55" s="1"/>
  <c r="AE88" i="47"/>
  <c r="K74" i="58" s="1"/>
  <c r="AE64" i="47"/>
  <c r="K74" i="54" s="1"/>
  <c r="AY64" i="47"/>
  <c r="K74" i="55" s="1"/>
  <c r="L89" i="47"/>
  <c r="K75" i="57" s="1"/>
  <c r="B89" i="46"/>
  <c r="U41" i="46"/>
  <c r="U89" i="46" s="1"/>
  <c r="AP41" i="46"/>
  <c r="AZ40" i="46"/>
  <c r="AX40" i="46"/>
  <c r="AW40" i="46"/>
  <c r="BA40" i="46" s="1"/>
  <c r="BT40" i="46"/>
  <c r="BQ40" i="46"/>
  <c r="BX42" i="46"/>
  <c r="N42" i="46"/>
  <c r="N19" i="46"/>
  <c r="BN41" i="46"/>
  <c r="BL42" i="46"/>
  <c r="C67" i="46"/>
  <c r="V67" i="46" s="1"/>
  <c r="AP67" i="46" s="1"/>
  <c r="C43" i="46"/>
  <c r="V19" i="46"/>
  <c r="AP19" i="46" s="1"/>
  <c r="BI19" i="46" s="1"/>
  <c r="C20" i="46"/>
  <c r="N89" i="46"/>
  <c r="M55" i="57" s="1"/>
  <c r="O43" i="46"/>
  <c r="N57" i="53" s="1"/>
  <c r="O20" i="46"/>
  <c r="L43" i="46"/>
  <c r="L20" i="46"/>
  <c r="AU19" i="46"/>
  <c r="BD18" i="46"/>
  <c r="C90" i="46"/>
  <c r="V42" i="46"/>
  <c r="V90" i="46" s="1"/>
  <c r="L90" i="46"/>
  <c r="K56" i="57" s="1"/>
  <c r="AG88" i="46"/>
  <c r="M54" i="58" s="1"/>
  <c r="M14" i="58" s="1"/>
  <c r="AG64" i="46"/>
  <c r="BA64" i="46"/>
  <c r="AH89" i="46"/>
  <c r="N55" i="58" s="1"/>
  <c r="AH65" i="46"/>
  <c r="BB65" i="46"/>
  <c r="B66" i="46"/>
  <c r="U66" i="46" s="1"/>
  <c r="AO66" i="46" s="1"/>
  <c r="B42" i="46"/>
  <c r="B19" i="46"/>
  <c r="U18" i="46"/>
  <c r="AO18" i="46" s="1"/>
  <c r="BH18" i="46" s="1"/>
  <c r="O90" i="46"/>
  <c r="N56" i="57" s="1"/>
  <c r="O66" i="46"/>
  <c r="N56" i="56" s="1"/>
  <c r="AE89" i="46"/>
  <c r="K55" i="58" s="1"/>
  <c r="AE65" i="46"/>
  <c r="AY65" i="46"/>
  <c r="BA39" i="46"/>
  <c r="U46" i="44"/>
  <c r="U94" i="44" s="1"/>
  <c r="B94" i="44"/>
  <c r="B22" i="44"/>
  <c r="B69" i="44"/>
  <c r="U69" i="44" s="1"/>
  <c r="AO69" i="44" s="1"/>
  <c r="U21" i="44"/>
  <c r="AO21" i="44" s="1"/>
  <c r="BH21" i="44" s="1"/>
  <c r="C22" i="44"/>
  <c r="C69" i="44"/>
  <c r="V69" i="44" s="1"/>
  <c r="AP69" i="44" s="1"/>
  <c r="V21" i="44"/>
  <c r="AP21" i="44" s="1"/>
  <c r="BI21" i="44" s="1"/>
  <c r="BT40" i="44"/>
  <c r="BQ40" i="44"/>
  <c r="O90" i="44"/>
  <c r="N36" i="57" s="1"/>
  <c r="AP43" i="44"/>
  <c r="AZ42" i="44"/>
  <c r="AX42" i="44"/>
  <c r="AW42" i="44"/>
  <c r="BA42" i="44" s="1"/>
  <c r="AU20" i="44"/>
  <c r="BD19" i="44"/>
  <c r="BN41" i="44"/>
  <c r="BL42" i="44"/>
  <c r="L89" i="44"/>
  <c r="K35" i="57" s="1"/>
  <c r="K15" i="57" s="1"/>
  <c r="AE88" i="44"/>
  <c r="K34" i="58" s="1"/>
  <c r="AE64" i="44"/>
  <c r="K34" i="54" s="1"/>
  <c r="K14" i="54" s="1"/>
  <c r="AY64" i="44"/>
  <c r="K34" i="55" s="1"/>
  <c r="L42" i="44"/>
  <c r="L19" i="44"/>
  <c r="AH89" i="44"/>
  <c r="N35" i="58" s="1"/>
  <c r="AH65" i="44"/>
  <c r="N35" i="54" s="1"/>
  <c r="BB65" i="44"/>
  <c r="N35" i="55" s="1"/>
  <c r="BA41" i="44"/>
  <c r="N91" i="44"/>
  <c r="M37" i="57" s="1"/>
  <c r="BX44" i="44"/>
  <c r="N44" i="44"/>
  <c r="N21" i="44"/>
  <c r="O43" i="44"/>
  <c r="O20" i="44"/>
  <c r="AG90" i="44"/>
  <c r="M36" i="58" s="1"/>
  <c r="AG66" i="44"/>
  <c r="M36" i="54" s="1"/>
  <c r="BA66" i="44"/>
  <c r="M36" i="55" s="1"/>
  <c r="BW34" i="43"/>
  <c r="BN67" i="43" s="1"/>
  <c r="AD81" i="43"/>
  <c r="CA33" i="43"/>
  <c r="AA57" i="43"/>
  <c r="AA81" i="43"/>
  <c r="BQ38" i="43"/>
  <c r="BT38" i="43"/>
  <c r="L12" i="43"/>
  <c r="L35" i="43"/>
  <c r="L59" i="43" s="1"/>
  <c r="F11" i="43"/>
  <c r="F34" i="43"/>
  <c r="K11" i="43"/>
  <c r="K34" i="43"/>
  <c r="K58" i="43" s="1"/>
  <c r="H11" i="43"/>
  <c r="H34" i="43"/>
  <c r="H58" i="43" s="1"/>
  <c r="N12" i="43"/>
  <c r="N35" i="43"/>
  <c r="N59" i="43" s="1"/>
  <c r="M11" i="43"/>
  <c r="M34" i="43"/>
  <c r="O12" i="43"/>
  <c r="O35" i="43"/>
  <c r="J11" i="43"/>
  <c r="J34" i="43"/>
  <c r="G11" i="43"/>
  <c r="G34" i="43"/>
  <c r="E11" i="43"/>
  <c r="E34" i="43"/>
  <c r="I11" i="43"/>
  <c r="I34" i="43"/>
  <c r="AY10" i="43"/>
  <c r="AU9" i="43"/>
  <c r="BA10" i="43"/>
  <c r="BL40" i="43"/>
  <c r="BM39" i="43"/>
  <c r="BN39" i="43" s="1"/>
  <c r="AW10" i="43"/>
  <c r="AZ10" i="43"/>
  <c r="AV10" i="43"/>
  <c r="AX10" i="43"/>
  <c r="AX41" i="43"/>
  <c r="AP42" i="43"/>
  <c r="AW42" i="43" s="1"/>
  <c r="AZ41" i="43"/>
  <c r="A14" i="2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F11" i="51" l="1"/>
  <c r="I9" i="57"/>
  <c r="G9" i="57"/>
  <c r="Q59" i="44"/>
  <c r="P29" i="56" s="1"/>
  <c r="N14" i="54"/>
  <c r="N16" i="53"/>
  <c r="D8" i="58"/>
  <c r="BQ63" i="49"/>
  <c r="H11" i="51"/>
  <c r="AI40" i="48"/>
  <c r="L67" i="46"/>
  <c r="K57" i="56" s="1"/>
  <c r="K57" i="53"/>
  <c r="M54" i="55"/>
  <c r="M14" i="55" s="1"/>
  <c r="M54" i="54"/>
  <c r="M14" i="54" s="1"/>
  <c r="BQ55" i="49"/>
  <c r="M15" i="56"/>
  <c r="N66" i="47"/>
  <c r="M76" i="56" s="1"/>
  <c r="M76" i="53"/>
  <c r="K36" i="53"/>
  <c r="L66" i="44"/>
  <c r="K36" i="56" s="1"/>
  <c r="N37" i="53"/>
  <c r="O67" i="44"/>
  <c r="N37" i="56" s="1"/>
  <c r="M99" i="53"/>
  <c r="N69" i="48"/>
  <c r="M99" i="56" s="1"/>
  <c r="N68" i="44"/>
  <c r="M38" i="56" s="1"/>
  <c r="M38" i="53"/>
  <c r="K14" i="55"/>
  <c r="K55" i="55"/>
  <c r="K55" i="54"/>
  <c r="M15" i="57"/>
  <c r="N66" i="46"/>
  <c r="M56" i="56" s="1"/>
  <c r="M16" i="56" s="1"/>
  <c r="M56" i="53"/>
  <c r="K120" i="53"/>
  <c r="L70" i="49"/>
  <c r="K120" i="56" s="1"/>
  <c r="M141" i="53"/>
  <c r="N71" i="50"/>
  <c r="M141" i="56" s="1"/>
  <c r="K15" i="56"/>
  <c r="N55" i="54"/>
  <c r="N55" i="55"/>
  <c r="K14" i="58"/>
  <c r="K76" i="53"/>
  <c r="L66" i="47"/>
  <c r="K76" i="56" s="1"/>
  <c r="K98" i="53"/>
  <c r="L68" i="48"/>
  <c r="K98" i="56" s="1"/>
  <c r="M120" i="53"/>
  <c r="N70" i="49"/>
  <c r="M120" i="56" s="1"/>
  <c r="P10" i="51"/>
  <c r="J8" i="58"/>
  <c r="E11" i="51"/>
  <c r="I8" i="58"/>
  <c r="D11" i="51"/>
  <c r="J11" i="51"/>
  <c r="P8" i="57"/>
  <c r="J9" i="56"/>
  <c r="G9" i="53"/>
  <c r="F9" i="57"/>
  <c r="D48" i="55"/>
  <c r="D48" i="54"/>
  <c r="D8" i="54" s="1"/>
  <c r="D97" i="53"/>
  <c r="E91" i="48"/>
  <c r="D97" i="57" s="1"/>
  <c r="E67" i="48"/>
  <c r="H48" i="55"/>
  <c r="H8" i="55" s="1"/>
  <c r="H48" i="54"/>
  <c r="H8" i="54" s="1"/>
  <c r="G11" i="51"/>
  <c r="D9" i="56"/>
  <c r="L11" i="51"/>
  <c r="F48" i="55"/>
  <c r="F8" i="55" s="1"/>
  <c r="F48" i="54"/>
  <c r="F8" i="54" s="1"/>
  <c r="H8" i="58"/>
  <c r="J60" i="44"/>
  <c r="I30" i="56" s="1"/>
  <c r="I30" i="53"/>
  <c r="I10" i="53" s="1"/>
  <c r="E9" i="57"/>
  <c r="P34" i="46"/>
  <c r="O48" i="53" s="1"/>
  <c r="O48" i="51"/>
  <c r="O8" i="51" s="1"/>
  <c r="AS42" i="48"/>
  <c r="BV61" i="48" s="1"/>
  <c r="P96" i="53"/>
  <c r="P80" i="47"/>
  <c r="O66" i="57" s="1"/>
  <c r="O6" i="57" s="1"/>
  <c r="O66" i="56"/>
  <c r="O6" i="56" s="1"/>
  <c r="AK64" i="48"/>
  <c r="BT58" i="48" s="1"/>
  <c r="P94" i="54"/>
  <c r="BD63" i="49"/>
  <c r="P113" i="55" s="1"/>
  <c r="O113" i="55"/>
  <c r="K67" i="49"/>
  <c r="J117" i="56" s="1"/>
  <c r="J117" i="53"/>
  <c r="F9" i="56"/>
  <c r="W59" i="44"/>
  <c r="C29" i="54" s="1"/>
  <c r="C29" i="56"/>
  <c r="C9" i="56" s="1"/>
  <c r="G9" i="56"/>
  <c r="O7" i="51"/>
  <c r="D96" i="56"/>
  <c r="AR66" i="48"/>
  <c r="D96" i="55" s="1"/>
  <c r="X66" i="48"/>
  <c r="D96" i="54" s="1"/>
  <c r="X90" i="48"/>
  <c r="D96" i="58" s="1"/>
  <c r="BJ11" i="46"/>
  <c r="BK11" i="46" s="1"/>
  <c r="BL11" i="46" s="1"/>
  <c r="P11" i="46" s="1"/>
  <c r="O49" i="51" s="1"/>
  <c r="P49" i="53"/>
  <c r="C48" i="55"/>
  <c r="C8" i="55" s="1"/>
  <c r="C48" i="54"/>
  <c r="C8" i="54" s="1"/>
  <c r="G8" i="58"/>
  <c r="F8" i="58"/>
  <c r="M60" i="44"/>
  <c r="L30" i="56" s="1"/>
  <c r="L30" i="53"/>
  <c r="L10" i="53" s="1"/>
  <c r="I11" i="51"/>
  <c r="C11" i="51"/>
  <c r="P7" i="58"/>
  <c r="D8" i="55"/>
  <c r="I48" i="55"/>
  <c r="I8" i="55" s="1"/>
  <c r="I48" i="54"/>
  <c r="C8" i="58"/>
  <c r="AI17" i="48"/>
  <c r="O95" i="51"/>
  <c r="J98" i="51"/>
  <c r="K44" i="48"/>
  <c r="K21" i="48"/>
  <c r="H9" i="56"/>
  <c r="D98" i="51"/>
  <c r="E21" i="48"/>
  <c r="E44" i="48"/>
  <c r="E9" i="56"/>
  <c r="BD55" i="44"/>
  <c r="O25" i="55"/>
  <c r="K67" i="50"/>
  <c r="J137" i="56" s="1"/>
  <c r="J137" i="53"/>
  <c r="BD55" i="47"/>
  <c r="O65" i="55"/>
  <c r="P4" i="55"/>
  <c r="J96" i="56"/>
  <c r="AX66" i="48"/>
  <c r="J96" i="55" s="1"/>
  <c r="AD66" i="48"/>
  <c r="J96" i="54" s="1"/>
  <c r="AD90" i="48"/>
  <c r="J96" i="58" s="1"/>
  <c r="K60" i="46"/>
  <c r="J50" i="56" s="1"/>
  <c r="J50" i="53"/>
  <c r="AK64" i="50"/>
  <c r="BT58" i="50" s="1"/>
  <c r="P134" i="54"/>
  <c r="G60" i="44"/>
  <c r="F30" i="56" s="1"/>
  <c r="F30" i="53"/>
  <c r="F10" i="53" s="1"/>
  <c r="I60" i="44"/>
  <c r="H30" i="56" s="1"/>
  <c r="H30" i="53"/>
  <c r="H10" i="53" s="1"/>
  <c r="AK57" i="47"/>
  <c r="BM58" i="47" s="1"/>
  <c r="P67" i="54"/>
  <c r="E48" i="54"/>
  <c r="E8" i="54" s="1"/>
  <c r="E48" i="55"/>
  <c r="E8" i="55" s="1"/>
  <c r="F60" i="44"/>
  <c r="E30" i="56" s="1"/>
  <c r="E30" i="53"/>
  <c r="E10" i="53" s="1"/>
  <c r="AQ42" i="50"/>
  <c r="BV59" i="50" s="1"/>
  <c r="P136" i="53"/>
  <c r="I9" i="56"/>
  <c r="AK57" i="44"/>
  <c r="BM58" i="44" s="1"/>
  <c r="P27" i="54"/>
  <c r="L9" i="57"/>
  <c r="G48" i="55"/>
  <c r="G8" i="55" s="1"/>
  <c r="G48" i="54"/>
  <c r="G8" i="54" s="1"/>
  <c r="L8" i="58"/>
  <c r="H60" i="46"/>
  <c r="G50" i="56" s="1"/>
  <c r="G50" i="53"/>
  <c r="BJ63" i="47"/>
  <c r="C9" i="57"/>
  <c r="BD55" i="46"/>
  <c r="O45" i="55"/>
  <c r="O45" i="54"/>
  <c r="O5" i="54" s="1"/>
  <c r="BD63" i="48"/>
  <c r="P93" i="55" s="1"/>
  <c r="O93" i="55"/>
  <c r="L9" i="56"/>
  <c r="J48" i="55"/>
  <c r="J8" i="55" s="1"/>
  <c r="J48" i="54"/>
  <c r="J8" i="54" s="1"/>
  <c r="BD62" i="50"/>
  <c r="P132" i="55" s="1"/>
  <c r="O132" i="55"/>
  <c r="K67" i="48"/>
  <c r="J97" i="53"/>
  <c r="K91" i="48"/>
  <c r="J97" i="57" s="1"/>
  <c r="L48" i="55"/>
  <c r="L8" i="55" s="1"/>
  <c r="L48" i="54"/>
  <c r="L8" i="54" s="1"/>
  <c r="H9" i="57"/>
  <c r="BW44" i="48"/>
  <c r="BX67" i="48" s="1"/>
  <c r="L98" i="51"/>
  <c r="BD56" i="46"/>
  <c r="BL55" i="46" s="1"/>
  <c r="O46" i="55"/>
  <c r="O46" i="54"/>
  <c r="O6" i="54" s="1"/>
  <c r="D60" i="44"/>
  <c r="C30" i="56" s="1"/>
  <c r="C30" i="53"/>
  <c r="C10" i="53" s="1"/>
  <c r="J9" i="57"/>
  <c r="E8" i="58"/>
  <c r="I8" i="54"/>
  <c r="E60" i="44"/>
  <c r="D30" i="56" s="1"/>
  <c r="D30" i="53"/>
  <c r="D10" i="53" s="1"/>
  <c r="K60" i="47"/>
  <c r="J70" i="56" s="1"/>
  <c r="J70" i="53"/>
  <c r="K60" i="44"/>
  <c r="J30" i="56" s="1"/>
  <c r="J30" i="53"/>
  <c r="AF35" i="47"/>
  <c r="P69" i="53"/>
  <c r="D9" i="57"/>
  <c r="BJ55" i="47"/>
  <c r="Y35" i="44"/>
  <c r="P29" i="53"/>
  <c r="H60" i="44"/>
  <c r="G30" i="56" s="1"/>
  <c r="G30" i="53"/>
  <c r="AI33" i="47"/>
  <c r="O67" i="53"/>
  <c r="P81" i="44"/>
  <c r="O27" i="57" s="1"/>
  <c r="O27" i="53"/>
  <c r="AS42" i="49"/>
  <c r="BV61" i="49" s="1"/>
  <c r="P116" i="53"/>
  <c r="AK64" i="49"/>
  <c r="BT58" i="49" s="1"/>
  <c r="P114" i="54"/>
  <c r="P8" i="56"/>
  <c r="BR63" i="48"/>
  <c r="P92" i="55"/>
  <c r="P8" i="53"/>
  <c r="J9" i="53"/>
  <c r="AD42" i="50"/>
  <c r="Z42" i="50"/>
  <c r="AF42" i="50"/>
  <c r="AJ41" i="49"/>
  <c r="X42" i="50"/>
  <c r="W42" i="50"/>
  <c r="AA42" i="50"/>
  <c r="AJ89" i="49"/>
  <c r="P115" i="58" s="1"/>
  <c r="J91" i="50"/>
  <c r="I137" i="57" s="1"/>
  <c r="J67" i="50"/>
  <c r="I137" i="56" s="1"/>
  <c r="G67" i="49"/>
  <c r="F117" i="56" s="1"/>
  <c r="G91" i="49"/>
  <c r="F117" i="57" s="1"/>
  <c r="AC42" i="49"/>
  <c r="D44" i="50"/>
  <c r="C138" i="53" s="1"/>
  <c r="D21" i="50"/>
  <c r="C139" i="51" s="1"/>
  <c r="BR44" i="50"/>
  <c r="BX65" i="50" s="1"/>
  <c r="Q20" i="50"/>
  <c r="P138" i="51" s="1"/>
  <c r="BU59" i="50"/>
  <c r="AU41" i="50"/>
  <c r="W66" i="49"/>
  <c r="C116" i="54" s="1"/>
  <c r="AQ66" i="49"/>
  <c r="C116" i="55" s="1"/>
  <c r="W90" i="49"/>
  <c r="C116" i="58" s="1"/>
  <c r="Q66" i="49"/>
  <c r="P116" i="56" s="1"/>
  <c r="AU41" i="49"/>
  <c r="G44" i="49"/>
  <c r="F118" i="53" s="1"/>
  <c r="G21" i="49"/>
  <c r="F119" i="51" s="1"/>
  <c r="AC90" i="49"/>
  <c r="I116" i="58" s="1"/>
  <c r="AC66" i="49"/>
  <c r="I116" i="54" s="1"/>
  <c r="AW66" i="49"/>
  <c r="I116" i="55" s="1"/>
  <c r="I44" i="49"/>
  <c r="H118" i="53" s="1"/>
  <c r="I21" i="49"/>
  <c r="H119" i="51" s="1"/>
  <c r="AA42" i="49"/>
  <c r="Z90" i="50"/>
  <c r="F136" i="58" s="1"/>
  <c r="Z66" i="50"/>
  <c r="F136" i="54" s="1"/>
  <c r="AT66" i="50"/>
  <c r="F136" i="55" s="1"/>
  <c r="D91" i="50"/>
  <c r="C137" i="57" s="1"/>
  <c r="D67" i="50"/>
  <c r="C137" i="56" s="1"/>
  <c r="Q43" i="50"/>
  <c r="X43" i="50" s="1"/>
  <c r="AF90" i="50"/>
  <c r="L136" i="58" s="1"/>
  <c r="AF66" i="50"/>
  <c r="L136" i="54" s="1"/>
  <c r="AZ66" i="50"/>
  <c r="L136" i="55" s="1"/>
  <c r="AC66" i="50"/>
  <c r="I136" i="54" s="1"/>
  <c r="AW66" i="50"/>
  <c r="I136" i="55" s="1"/>
  <c r="AC90" i="50"/>
  <c r="I136" i="58" s="1"/>
  <c r="F67" i="49"/>
  <c r="E117" i="56" s="1"/>
  <c r="F91" i="49"/>
  <c r="E117" i="57" s="1"/>
  <c r="AF42" i="49"/>
  <c r="AA67" i="50"/>
  <c r="G137" i="54" s="1"/>
  <c r="H67" i="50"/>
  <c r="G137" i="56" s="1"/>
  <c r="H91" i="50"/>
  <c r="G137" i="57" s="1"/>
  <c r="Q90" i="49"/>
  <c r="P116" i="57" s="1"/>
  <c r="I91" i="49"/>
  <c r="H117" i="57" s="1"/>
  <c r="I67" i="49"/>
  <c r="H117" i="56" s="1"/>
  <c r="BS63" i="49"/>
  <c r="BS55" i="49"/>
  <c r="AA90" i="49"/>
  <c r="G116" i="58" s="1"/>
  <c r="AU66" i="49"/>
  <c r="G116" i="55" s="1"/>
  <c r="AJ65" i="50"/>
  <c r="F44" i="49"/>
  <c r="E118" i="53" s="1"/>
  <c r="F21" i="49"/>
  <c r="E119" i="51" s="1"/>
  <c r="AF66" i="49"/>
  <c r="L116" i="54" s="1"/>
  <c r="AF90" i="49"/>
  <c r="L116" i="58" s="1"/>
  <c r="AZ66" i="49"/>
  <c r="L116" i="55" s="1"/>
  <c r="Y42" i="49"/>
  <c r="BV69" i="49"/>
  <c r="BV68" i="49"/>
  <c r="AG42" i="49"/>
  <c r="AR42" i="49"/>
  <c r="BV60" i="49" s="1"/>
  <c r="AH42" i="49"/>
  <c r="AT42" i="49"/>
  <c r="BV62" i="49" s="1"/>
  <c r="AE42" i="49"/>
  <c r="BJ18" i="49"/>
  <c r="BK18" i="49" s="1"/>
  <c r="BL18" i="49" s="1"/>
  <c r="P18" i="49" s="1"/>
  <c r="O116" i="51" s="1"/>
  <c r="E91" i="50"/>
  <c r="D137" i="57" s="1"/>
  <c r="E67" i="50"/>
  <c r="D137" i="56" s="1"/>
  <c r="E44" i="49"/>
  <c r="D118" i="53" s="1"/>
  <c r="E21" i="49"/>
  <c r="D119" i="51" s="1"/>
  <c r="AJ16" i="50"/>
  <c r="Z42" i="49"/>
  <c r="AJ16" i="49"/>
  <c r="AB90" i="50"/>
  <c r="H136" i="58" s="1"/>
  <c r="AB66" i="50"/>
  <c r="H136" i="54" s="1"/>
  <c r="AV66" i="50"/>
  <c r="H136" i="55" s="1"/>
  <c r="BC63" i="50"/>
  <c r="AB42" i="49"/>
  <c r="AJ89" i="50"/>
  <c r="P135" i="58" s="1"/>
  <c r="D91" i="49"/>
  <c r="C117" i="57" s="1"/>
  <c r="D67" i="49"/>
  <c r="C117" i="56" s="1"/>
  <c r="Q43" i="49"/>
  <c r="K44" i="50"/>
  <c r="K21" i="50"/>
  <c r="J139" i="51" s="1"/>
  <c r="I91" i="50"/>
  <c r="H137" i="57" s="1"/>
  <c r="I67" i="50"/>
  <c r="H137" i="56" s="1"/>
  <c r="P41" i="49"/>
  <c r="O115" i="53" s="1"/>
  <c r="BO41" i="49"/>
  <c r="BU64" i="49" s="1"/>
  <c r="AI17" i="49"/>
  <c r="BU41" i="49"/>
  <c r="BU66" i="49" s="1"/>
  <c r="E67" i="49"/>
  <c r="D117" i="56" s="1"/>
  <c r="E91" i="49"/>
  <c r="D117" i="57" s="1"/>
  <c r="M91" i="49"/>
  <c r="L117" i="57" s="1"/>
  <c r="M67" i="49"/>
  <c r="L117" i="56" s="1"/>
  <c r="P88" i="49"/>
  <c r="O114" i="57" s="1"/>
  <c r="AI40" i="49"/>
  <c r="AB90" i="49"/>
  <c r="H116" i="58" s="1"/>
  <c r="AB66" i="49"/>
  <c r="H116" i="54" s="1"/>
  <c r="AV66" i="49"/>
  <c r="H116" i="55" s="1"/>
  <c r="AD90" i="50"/>
  <c r="J136" i="58" s="1"/>
  <c r="AX66" i="50"/>
  <c r="J136" i="55" s="1"/>
  <c r="AD66" i="50"/>
  <c r="J136" i="54" s="1"/>
  <c r="G21" i="50"/>
  <c r="F139" i="51" s="1"/>
  <c r="G44" i="50"/>
  <c r="F138" i="53" s="1"/>
  <c r="K91" i="49"/>
  <c r="J117" i="57" s="1"/>
  <c r="CA43" i="49"/>
  <c r="K91" i="50"/>
  <c r="J137" i="57" s="1"/>
  <c r="CA43" i="50"/>
  <c r="P41" i="50"/>
  <c r="O135" i="53" s="1"/>
  <c r="AI17" i="50"/>
  <c r="BO41" i="50"/>
  <c r="BU64" i="50" s="1"/>
  <c r="BU41" i="50"/>
  <c r="BU66" i="50" s="1"/>
  <c r="M44" i="50"/>
  <c r="L138" i="53" s="1"/>
  <c r="M21" i="50"/>
  <c r="L139" i="51" s="1"/>
  <c r="M21" i="49"/>
  <c r="L119" i="51" s="1"/>
  <c r="M44" i="49"/>
  <c r="L118" i="53" s="1"/>
  <c r="Z90" i="49"/>
  <c r="F116" i="58" s="1"/>
  <c r="Z66" i="49"/>
  <c r="F116" i="54" s="1"/>
  <c r="AT66" i="49"/>
  <c r="F116" i="55" s="1"/>
  <c r="Y66" i="50"/>
  <c r="E136" i="54" s="1"/>
  <c r="Y90" i="50"/>
  <c r="E136" i="58" s="1"/>
  <c r="AS66" i="50"/>
  <c r="E136" i="55" s="1"/>
  <c r="F44" i="50"/>
  <c r="E138" i="53" s="1"/>
  <c r="F21" i="50"/>
  <c r="E139" i="51" s="1"/>
  <c r="G91" i="50"/>
  <c r="F137" i="57" s="1"/>
  <c r="G67" i="50"/>
  <c r="F137" i="56" s="1"/>
  <c r="H44" i="49"/>
  <c r="G118" i="53" s="1"/>
  <c r="H21" i="49"/>
  <c r="G119" i="51" s="1"/>
  <c r="BW44" i="49"/>
  <c r="BX67" i="49" s="1"/>
  <c r="K21" i="49"/>
  <c r="J119" i="51" s="1"/>
  <c r="K44" i="49"/>
  <c r="AC42" i="50"/>
  <c r="BV69" i="50"/>
  <c r="AG42" i="50"/>
  <c r="BV68" i="50"/>
  <c r="AH42" i="50"/>
  <c r="AT42" i="50"/>
  <c r="BV62" i="50" s="1"/>
  <c r="AR42" i="50"/>
  <c r="BV60" i="50" s="1"/>
  <c r="BJ18" i="50"/>
  <c r="BK18" i="50" s="1"/>
  <c r="BL18" i="50" s="1"/>
  <c r="P18" i="50" s="1"/>
  <c r="O136" i="51" s="1"/>
  <c r="AE42" i="50"/>
  <c r="Q20" i="49"/>
  <c r="P118" i="51" s="1"/>
  <c r="D21" i="49"/>
  <c r="C119" i="51" s="1"/>
  <c r="D44" i="49"/>
  <c r="C118" i="53" s="1"/>
  <c r="BR44" i="49"/>
  <c r="BX65" i="49" s="1"/>
  <c r="J44" i="49"/>
  <c r="I118" i="53" s="1"/>
  <c r="J21" i="49"/>
  <c r="I119" i="51" s="1"/>
  <c r="M91" i="50"/>
  <c r="L137" i="57" s="1"/>
  <c r="M67" i="50"/>
  <c r="L137" i="56" s="1"/>
  <c r="P88" i="50"/>
  <c r="O134" i="57" s="1"/>
  <c r="AI40" i="50"/>
  <c r="W42" i="49"/>
  <c r="X42" i="49"/>
  <c r="AD42" i="49"/>
  <c r="Y66" i="49"/>
  <c r="E116" i="54" s="1"/>
  <c r="AS66" i="49"/>
  <c r="E116" i="55" s="1"/>
  <c r="Y90" i="49"/>
  <c r="E116" i="58" s="1"/>
  <c r="F67" i="50"/>
  <c r="E137" i="56" s="1"/>
  <c r="F91" i="50"/>
  <c r="E137" i="57" s="1"/>
  <c r="AA67" i="49"/>
  <c r="G117" i="54" s="1"/>
  <c r="H67" i="49"/>
  <c r="G117" i="56" s="1"/>
  <c r="H91" i="49"/>
  <c r="G117" i="57" s="1"/>
  <c r="W90" i="50"/>
  <c r="C136" i="58" s="1"/>
  <c r="W66" i="50"/>
  <c r="C136" i="54" s="1"/>
  <c r="Q66" i="50"/>
  <c r="P136" i="56" s="1"/>
  <c r="AQ66" i="50"/>
  <c r="C136" i="55" s="1"/>
  <c r="AJ41" i="50"/>
  <c r="J44" i="50"/>
  <c r="I138" i="53" s="1"/>
  <c r="J21" i="50"/>
  <c r="I139" i="51" s="1"/>
  <c r="X90" i="50"/>
  <c r="D136" i="58" s="1"/>
  <c r="X66" i="50"/>
  <c r="D136" i="54" s="1"/>
  <c r="AR66" i="50"/>
  <c r="D136" i="55" s="1"/>
  <c r="AQ42" i="49"/>
  <c r="I44" i="50"/>
  <c r="H138" i="53" s="1"/>
  <c r="I21" i="50"/>
  <c r="H139" i="51" s="1"/>
  <c r="X90" i="49"/>
  <c r="D116" i="58" s="1"/>
  <c r="X66" i="49"/>
  <c r="D116" i="54" s="1"/>
  <c r="AR66" i="49"/>
  <c r="D116" i="55" s="1"/>
  <c r="AD66" i="49"/>
  <c r="J116" i="54" s="1"/>
  <c r="AD90" i="49"/>
  <c r="J116" i="58" s="1"/>
  <c r="AX66" i="49"/>
  <c r="J116" i="55" s="1"/>
  <c r="J91" i="49"/>
  <c r="I117" i="57" s="1"/>
  <c r="J67" i="49"/>
  <c r="I117" i="56" s="1"/>
  <c r="AA90" i="50"/>
  <c r="G136" i="58" s="1"/>
  <c r="AU66" i="50"/>
  <c r="G136" i="55" s="1"/>
  <c r="H44" i="50"/>
  <c r="G138" i="53" s="1"/>
  <c r="H21" i="50"/>
  <c r="G139" i="51" s="1"/>
  <c r="BW44" i="50"/>
  <c r="BX67" i="50" s="1"/>
  <c r="AJ65" i="49"/>
  <c r="Q90" i="50"/>
  <c r="P136" i="57" s="1"/>
  <c r="E44" i="50"/>
  <c r="D138" i="53" s="1"/>
  <c r="E21" i="50"/>
  <c r="D139" i="51" s="1"/>
  <c r="BD9" i="43"/>
  <c r="H82" i="43"/>
  <c r="BX36" i="43"/>
  <c r="K82" i="43"/>
  <c r="AC42" i="48"/>
  <c r="Q43" i="48"/>
  <c r="Z42" i="48"/>
  <c r="BO41" i="48"/>
  <c r="BU64" i="48" s="1"/>
  <c r="BU41" i="48"/>
  <c r="BU66" i="48" s="1"/>
  <c r="P41" i="48"/>
  <c r="AU41" i="48"/>
  <c r="AD42" i="48"/>
  <c r="AJ65" i="48"/>
  <c r="BR44" i="48"/>
  <c r="BX65" i="48" s="1"/>
  <c r="AJ41" i="48"/>
  <c r="Q66" i="48"/>
  <c r="P96" i="56" s="1"/>
  <c r="Q90" i="48"/>
  <c r="P96" i="57" s="1"/>
  <c r="AR42" i="48"/>
  <c r="BV60" i="48" s="1"/>
  <c r="AJ89" i="48"/>
  <c r="P95" i="58" s="1"/>
  <c r="AE42" i="48"/>
  <c r="BC56" i="47"/>
  <c r="BU34" i="46"/>
  <c r="BN66" i="46" s="1"/>
  <c r="BO34" i="46"/>
  <c r="BN64" i="46" s="1"/>
  <c r="AI33" i="44"/>
  <c r="B95" i="50"/>
  <c r="U47" i="50"/>
  <c r="U95" i="50" s="1"/>
  <c r="C71" i="50"/>
  <c r="V71" i="50" s="1"/>
  <c r="AP71" i="50" s="1"/>
  <c r="C47" i="50"/>
  <c r="V23" i="50"/>
  <c r="AP23" i="50" s="1"/>
  <c r="BI23" i="50" s="1"/>
  <c r="BA44" i="50"/>
  <c r="N95" i="50"/>
  <c r="M141" i="57" s="1"/>
  <c r="C94" i="50"/>
  <c r="V46" i="50"/>
  <c r="V94" i="50" s="1"/>
  <c r="AP46" i="50"/>
  <c r="AZ45" i="50"/>
  <c r="AX45" i="50"/>
  <c r="AW45" i="50"/>
  <c r="AE95" i="50"/>
  <c r="K141" i="58" s="1"/>
  <c r="AE71" i="50"/>
  <c r="K141" i="54" s="1"/>
  <c r="AY71" i="50"/>
  <c r="K141" i="55" s="1"/>
  <c r="O95" i="50"/>
  <c r="N141" i="57" s="1"/>
  <c r="O71" i="50"/>
  <c r="N141" i="56" s="1"/>
  <c r="AG94" i="50"/>
  <c r="M140" i="58" s="1"/>
  <c r="AG70" i="50"/>
  <c r="M140" i="54" s="1"/>
  <c r="BA70" i="50"/>
  <c r="M140" i="55" s="1"/>
  <c r="AH94" i="50"/>
  <c r="N140" i="58" s="1"/>
  <c r="AH70" i="50"/>
  <c r="N140" i="54" s="1"/>
  <c r="BB70" i="50"/>
  <c r="N140" i="55" s="1"/>
  <c r="BA44" i="49"/>
  <c r="L94" i="49"/>
  <c r="K120" i="57" s="1"/>
  <c r="AG93" i="49"/>
  <c r="M119" i="58" s="1"/>
  <c r="AG69" i="49"/>
  <c r="M119" i="54" s="1"/>
  <c r="BA69" i="49"/>
  <c r="M119" i="55" s="1"/>
  <c r="AP46" i="49"/>
  <c r="AZ45" i="49"/>
  <c r="AX45" i="49"/>
  <c r="AW45" i="49"/>
  <c r="B95" i="49"/>
  <c r="U47" i="49"/>
  <c r="U95" i="49" s="1"/>
  <c r="AH93" i="49"/>
  <c r="N119" i="58" s="1"/>
  <c r="AH69" i="49"/>
  <c r="N119" i="54" s="1"/>
  <c r="BB69" i="49"/>
  <c r="N119" i="55" s="1"/>
  <c r="BX47" i="49"/>
  <c r="N47" i="49"/>
  <c r="C95" i="49"/>
  <c r="V47" i="49"/>
  <c r="V95" i="49" s="1"/>
  <c r="O47" i="49"/>
  <c r="N121" i="53" s="1"/>
  <c r="AE93" i="49"/>
  <c r="K119" i="58" s="1"/>
  <c r="AE69" i="49"/>
  <c r="K119" i="54" s="1"/>
  <c r="AY69" i="49"/>
  <c r="K119" i="55" s="1"/>
  <c r="N94" i="49"/>
  <c r="M120" i="57" s="1"/>
  <c r="O94" i="49"/>
  <c r="N120" i="57" s="1"/>
  <c r="O70" i="49"/>
  <c r="N120" i="56" s="1"/>
  <c r="L47" i="49"/>
  <c r="Z90" i="48"/>
  <c r="F96" i="58" s="1"/>
  <c r="Z66" i="48"/>
  <c r="F96" i="54" s="1"/>
  <c r="AT66" i="48"/>
  <c r="F96" i="55" s="1"/>
  <c r="AH42" i="48"/>
  <c r="G91" i="48"/>
  <c r="F97" i="57" s="1"/>
  <c r="G67" i="48"/>
  <c r="F97" i="56" s="1"/>
  <c r="G44" i="48"/>
  <c r="F98" i="53" s="1"/>
  <c r="G21" i="48"/>
  <c r="F99" i="51" s="1"/>
  <c r="AG42" i="48"/>
  <c r="BJ18" i="48"/>
  <c r="BK18" i="48" s="1"/>
  <c r="BL18" i="48" s="1"/>
  <c r="P18" i="48" s="1"/>
  <c r="Y90" i="48"/>
  <c r="E96" i="58" s="1"/>
  <c r="Y66" i="48"/>
  <c r="E96" i="54" s="1"/>
  <c r="AS66" i="48"/>
  <c r="E96" i="55" s="1"/>
  <c r="AB42" i="48"/>
  <c r="AF42" i="48"/>
  <c r="AT42" i="48"/>
  <c r="BV62" i="48" s="1"/>
  <c r="AQ42" i="48"/>
  <c r="BV59" i="48" s="1"/>
  <c r="AA42" i="48"/>
  <c r="Y42" i="48"/>
  <c r="BV68" i="48"/>
  <c r="F44" i="48"/>
  <c r="E98" i="53" s="1"/>
  <c r="F21" i="48"/>
  <c r="E99" i="51" s="1"/>
  <c r="W42" i="48"/>
  <c r="X42" i="48"/>
  <c r="BV69" i="48"/>
  <c r="M44" i="48"/>
  <c r="M21" i="48"/>
  <c r="F91" i="48"/>
  <c r="E97" i="57" s="1"/>
  <c r="F67" i="48"/>
  <c r="E97" i="56" s="1"/>
  <c r="AF90" i="48"/>
  <c r="L96" i="58" s="1"/>
  <c r="AF66" i="48"/>
  <c r="L96" i="54" s="1"/>
  <c r="AZ66" i="48"/>
  <c r="L96" i="55" s="1"/>
  <c r="Q20" i="48"/>
  <c r="P98" i="51" s="1"/>
  <c r="M91" i="48"/>
  <c r="L97" i="57" s="1"/>
  <c r="M67" i="48"/>
  <c r="L97" i="56" s="1"/>
  <c r="CA43" i="48"/>
  <c r="N93" i="48"/>
  <c r="M99" i="57" s="1"/>
  <c r="W91" i="48"/>
  <c r="C97" i="58" s="1"/>
  <c r="W67" i="48"/>
  <c r="C97" i="54" s="1"/>
  <c r="AQ67" i="48"/>
  <c r="C97" i="55" s="1"/>
  <c r="B70" i="48"/>
  <c r="U70" i="48" s="1"/>
  <c r="AO70" i="48" s="1"/>
  <c r="B46" i="48"/>
  <c r="B23" i="48"/>
  <c r="U22" i="48"/>
  <c r="AO22" i="48" s="1"/>
  <c r="BH22" i="48" s="1"/>
  <c r="AH93" i="48"/>
  <c r="N99" i="58" s="1"/>
  <c r="AH69" i="48"/>
  <c r="N99" i="54" s="1"/>
  <c r="BB69" i="48"/>
  <c r="N99" i="55" s="1"/>
  <c r="B93" i="48"/>
  <c r="U45" i="48"/>
  <c r="U93" i="48" s="1"/>
  <c r="J45" i="48"/>
  <c r="I99" i="53" s="1"/>
  <c r="J22" i="48"/>
  <c r="I100" i="51" s="1"/>
  <c r="D92" i="48"/>
  <c r="C98" i="57" s="1"/>
  <c r="D68" i="48"/>
  <c r="C98" i="56" s="1"/>
  <c r="BC64" i="48"/>
  <c r="BD21" i="48"/>
  <c r="AU22" i="48"/>
  <c r="J92" i="48"/>
  <c r="I98" i="57" s="1"/>
  <c r="J68" i="48"/>
  <c r="I98" i="56" s="1"/>
  <c r="AE91" i="48"/>
  <c r="K97" i="58" s="1"/>
  <c r="AE67" i="48"/>
  <c r="K97" i="54" s="1"/>
  <c r="AY67" i="48"/>
  <c r="K97" i="55" s="1"/>
  <c r="O47" i="48"/>
  <c r="N101" i="53" s="1"/>
  <c r="AG92" i="48"/>
  <c r="M98" i="58" s="1"/>
  <c r="AG68" i="48"/>
  <c r="M98" i="54" s="1"/>
  <c r="BA68" i="48"/>
  <c r="M98" i="55" s="1"/>
  <c r="H45" i="48"/>
  <c r="G99" i="53" s="1"/>
  <c r="H22" i="48"/>
  <c r="G100" i="51" s="1"/>
  <c r="AC67" i="48"/>
  <c r="I97" i="54" s="1"/>
  <c r="AC91" i="48"/>
  <c r="I97" i="58" s="1"/>
  <c r="AW67" i="48"/>
  <c r="I97" i="55" s="1"/>
  <c r="C69" i="48"/>
  <c r="V69" i="48" s="1"/>
  <c r="AP69" i="48" s="1"/>
  <c r="C45" i="48"/>
  <c r="C22" i="48"/>
  <c r="V21" i="48"/>
  <c r="AP21" i="48" s="1"/>
  <c r="BI21" i="48" s="1"/>
  <c r="I45" i="48"/>
  <c r="H99" i="53" s="1"/>
  <c r="I22" i="48"/>
  <c r="H100" i="51" s="1"/>
  <c r="O94" i="48"/>
  <c r="N100" i="57" s="1"/>
  <c r="O70" i="48"/>
  <c r="N100" i="56" s="1"/>
  <c r="L45" i="48"/>
  <c r="L22" i="48"/>
  <c r="H92" i="48"/>
  <c r="G98" i="57" s="1"/>
  <c r="H68" i="48"/>
  <c r="G98" i="56" s="1"/>
  <c r="AA68" i="48"/>
  <c r="G98" i="54" s="1"/>
  <c r="AX43" i="48"/>
  <c r="AW43" i="48"/>
  <c r="AP44" i="48"/>
  <c r="AZ43" i="48"/>
  <c r="I92" i="48"/>
  <c r="H98" i="57" s="1"/>
  <c r="I68" i="48"/>
  <c r="H98" i="56" s="1"/>
  <c r="L92" i="48"/>
  <c r="K98" i="57" s="1"/>
  <c r="BX46" i="48"/>
  <c r="N46" i="48"/>
  <c r="N23" i="48"/>
  <c r="BA42" i="48"/>
  <c r="C92" i="48"/>
  <c r="V44" i="48"/>
  <c r="V92" i="48" s="1"/>
  <c r="AJ17" i="48"/>
  <c r="D45" i="48"/>
  <c r="C99" i="53" s="1"/>
  <c r="D22" i="48"/>
  <c r="C100" i="51" s="1"/>
  <c r="AB91" i="48"/>
  <c r="H97" i="58" s="1"/>
  <c r="AB67" i="48"/>
  <c r="H97" i="54" s="1"/>
  <c r="AV67" i="48"/>
  <c r="H97" i="55" s="1"/>
  <c r="AA91" i="48"/>
  <c r="G97" i="58" s="1"/>
  <c r="AU67" i="48"/>
  <c r="G97" i="55" s="1"/>
  <c r="AI10" i="46"/>
  <c r="AJ10" i="46" s="1"/>
  <c r="BJ11" i="44"/>
  <c r="BK11" i="44" s="1"/>
  <c r="BL11" i="44" s="1"/>
  <c r="P11" i="44" s="1"/>
  <c r="AD35" i="44"/>
  <c r="AR35" i="44"/>
  <c r="BO60" i="44" s="1"/>
  <c r="AA35" i="44"/>
  <c r="AC35" i="44"/>
  <c r="AT35" i="44"/>
  <c r="BO62" i="44" s="1"/>
  <c r="P57" i="47"/>
  <c r="AC35" i="47"/>
  <c r="AQ35" i="44"/>
  <c r="BO59" i="44" s="1"/>
  <c r="X35" i="47"/>
  <c r="BK55" i="46"/>
  <c r="AJ34" i="47"/>
  <c r="BC57" i="46"/>
  <c r="AF35" i="46"/>
  <c r="AJ34" i="46"/>
  <c r="BC57" i="44"/>
  <c r="Z35" i="44"/>
  <c r="AI11" i="46"/>
  <c r="K84" i="46"/>
  <c r="J50" i="57" s="1"/>
  <c r="CA36" i="46"/>
  <c r="M84" i="44"/>
  <c r="L30" i="57" s="1"/>
  <c r="E84" i="44"/>
  <c r="D30" i="57" s="1"/>
  <c r="J14" i="47"/>
  <c r="I72" i="51" s="1"/>
  <c r="J37" i="47"/>
  <c r="I71" i="53" s="1"/>
  <c r="W35" i="46"/>
  <c r="AR35" i="46"/>
  <c r="BO60" i="46" s="1"/>
  <c r="Y59" i="47"/>
  <c r="E69" i="54" s="1"/>
  <c r="Y83" i="47"/>
  <c r="E69" i="58" s="1"/>
  <c r="AS59" i="47"/>
  <c r="E69" i="55" s="1"/>
  <c r="Y59" i="46"/>
  <c r="Y83" i="46"/>
  <c r="E49" i="58" s="1"/>
  <c r="AS59" i="46"/>
  <c r="K37" i="44"/>
  <c r="K14" i="44"/>
  <c r="J32" i="51" s="1"/>
  <c r="Q83" i="47"/>
  <c r="P69" i="57" s="1"/>
  <c r="AA83" i="44"/>
  <c r="G29" i="58" s="1"/>
  <c r="AU59" i="44"/>
  <c r="G29" i="55" s="1"/>
  <c r="F84" i="44"/>
  <c r="E30" i="57" s="1"/>
  <c r="I84" i="46"/>
  <c r="H50" i="57" s="1"/>
  <c r="I60" i="46"/>
  <c r="H50" i="56" s="1"/>
  <c r="AF59" i="44"/>
  <c r="L29" i="54" s="1"/>
  <c r="AF83" i="44"/>
  <c r="L29" i="58" s="1"/>
  <c r="AZ59" i="44"/>
  <c r="L29" i="55" s="1"/>
  <c r="F14" i="46"/>
  <c r="E52" i="51" s="1"/>
  <c r="F37" i="46"/>
  <c r="E51" i="53" s="1"/>
  <c r="AJ58" i="47"/>
  <c r="F37" i="47"/>
  <c r="E71" i="53" s="1"/>
  <c r="F14" i="47"/>
  <c r="E72" i="51" s="1"/>
  <c r="W35" i="47"/>
  <c r="AG35" i="47"/>
  <c r="AE35" i="47"/>
  <c r="AH35" i="47"/>
  <c r="BO68" i="47"/>
  <c r="BO69" i="47"/>
  <c r="AA35" i="46"/>
  <c r="F14" i="44"/>
  <c r="E32" i="51" s="1"/>
  <c r="F37" i="44"/>
  <c r="Z83" i="44"/>
  <c r="F29" i="58" s="1"/>
  <c r="Z59" i="44"/>
  <c r="F29" i="54" s="1"/>
  <c r="AT59" i="44"/>
  <c r="F29" i="55" s="1"/>
  <c r="M14" i="46"/>
  <c r="L52" i="51" s="1"/>
  <c r="M37" i="46"/>
  <c r="L51" i="53" s="1"/>
  <c r="G14" i="44"/>
  <c r="F32" i="51" s="1"/>
  <c r="G37" i="44"/>
  <c r="Q59" i="46"/>
  <c r="P49" i="56" s="1"/>
  <c r="W83" i="46"/>
  <c r="C49" i="58" s="1"/>
  <c r="W59" i="46"/>
  <c r="AQ59" i="46"/>
  <c r="J37" i="46"/>
  <c r="I51" i="53" s="1"/>
  <c r="J14" i="46"/>
  <c r="I52" i="51" s="1"/>
  <c r="AT35" i="46"/>
  <c r="BO62" i="46" s="1"/>
  <c r="AA35" i="47"/>
  <c r="AJ82" i="46"/>
  <c r="P48" i="58" s="1"/>
  <c r="AD35" i="46"/>
  <c r="Q83" i="44"/>
  <c r="P29" i="57" s="1"/>
  <c r="AJ82" i="44"/>
  <c r="P28" i="58" s="1"/>
  <c r="AS35" i="47"/>
  <c r="BO61" i="47" s="1"/>
  <c r="AJ34" i="44"/>
  <c r="J58" i="43"/>
  <c r="AC82" i="43" s="1"/>
  <c r="J82" i="43"/>
  <c r="P82" i="46"/>
  <c r="O48" i="57" s="1"/>
  <c r="AI34" i="46"/>
  <c r="X83" i="46"/>
  <c r="D49" i="58" s="1"/>
  <c r="X59" i="46"/>
  <c r="AR59" i="46"/>
  <c r="Q13" i="44"/>
  <c r="P31" i="51" s="1"/>
  <c r="D37" i="44"/>
  <c r="BR37" i="44"/>
  <c r="BQ65" i="44" s="1"/>
  <c r="D14" i="44"/>
  <c r="C32" i="51" s="1"/>
  <c r="I14" i="46"/>
  <c r="H52" i="51" s="1"/>
  <c r="I37" i="46"/>
  <c r="H51" i="53" s="1"/>
  <c r="O59" i="43"/>
  <c r="AH83" i="43" s="1"/>
  <c r="O83" i="43"/>
  <c r="Q13" i="47"/>
  <c r="P71" i="51" s="1"/>
  <c r="BR37" i="47"/>
  <c r="BQ65" i="47" s="1"/>
  <c r="D37" i="47"/>
  <c r="C71" i="53" s="1"/>
  <c r="D14" i="47"/>
  <c r="C72" i="51" s="1"/>
  <c r="AD35" i="47"/>
  <c r="Q36" i="46"/>
  <c r="D84" i="46"/>
  <c r="C50" i="57" s="1"/>
  <c r="D60" i="46"/>
  <c r="C50" i="56" s="1"/>
  <c r="BC56" i="44"/>
  <c r="G84" i="44"/>
  <c r="F30" i="57" s="1"/>
  <c r="Q83" i="46"/>
  <c r="P49" i="57" s="1"/>
  <c r="I37" i="47"/>
  <c r="H71" i="53" s="1"/>
  <c r="I14" i="47"/>
  <c r="H72" i="51" s="1"/>
  <c r="J84" i="46"/>
  <c r="I50" i="57" s="1"/>
  <c r="J60" i="46"/>
  <c r="I50" i="56" s="1"/>
  <c r="H84" i="47"/>
  <c r="G70" i="57" s="1"/>
  <c r="AA60" i="47"/>
  <c r="G70" i="54" s="1"/>
  <c r="H60" i="47"/>
  <c r="G70" i="56" s="1"/>
  <c r="G14" i="46"/>
  <c r="F52" i="51" s="1"/>
  <c r="G37" i="46"/>
  <c r="F51" i="53" s="1"/>
  <c r="E14" i="47"/>
  <c r="D72" i="51" s="1"/>
  <c r="E37" i="47"/>
  <c r="D71" i="53" s="1"/>
  <c r="AT35" i="47"/>
  <c r="BO62" i="47" s="1"/>
  <c r="AJ58" i="46"/>
  <c r="AK58" i="46" s="1"/>
  <c r="BN58" i="46" s="1"/>
  <c r="G84" i="47"/>
  <c r="F70" i="57" s="1"/>
  <c r="G60" i="47"/>
  <c r="F70" i="56" s="1"/>
  <c r="X35" i="44"/>
  <c r="BO69" i="44"/>
  <c r="AE35" i="44"/>
  <c r="BO68" i="44"/>
  <c r="AH35" i="44"/>
  <c r="AG35" i="44"/>
  <c r="AJ58" i="44"/>
  <c r="Z35" i="47"/>
  <c r="AB35" i="44"/>
  <c r="M84" i="46"/>
  <c r="L50" i="57" s="1"/>
  <c r="M60" i="46"/>
  <c r="L50" i="56" s="1"/>
  <c r="AG35" i="46"/>
  <c r="BO69" i="46"/>
  <c r="BO68" i="46"/>
  <c r="AH35" i="46"/>
  <c r="AE35" i="46"/>
  <c r="W83" i="44"/>
  <c r="C29" i="58" s="1"/>
  <c r="AQ59" i="44"/>
  <c r="C29" i="55" s="1"/>
  <c r="F84" i="46"/>
  <c r="E50" i="57" s="1"/>
  <c r="F60" i="46"/>
  <c r="E50" i="56" s="1"/>
  <c r="X59" i="47"/>
  <c r="D69" i="54" s="1"/>
  <c r="X83" i="47"/>
  <c r="D69" i="58" s="1"/>
  <c r="AR59" i="47"/>
  <c r="D69" i="55" s="1"/>
  <c r="D60" i="47"/>
  <c r="C70" i="56" s="1"/>
  <c r="Q36" i="47"/>
  <c r="D84" i="47"/>
  <c r="C70" i="57" s="1"/>
  <c r="BJ11" i="47"/>
  <c r="BK11" i="47" s="1"/>
  <c r="BL11" i="47" s="1"/>
  <c r="P11" i="47" s="1"/>
  <c r="O69" i="51" s="1"/>
  <c r="E84" i="46"/>
  <c r="D50" i="57" s="1"/>
  <c r="E60" i="46"/>
  <c r="D50" i="56" s="1"/>
  <c r="K14" i="47"/>
  <c r="J72" i="51" s="1"/>
  <c r="K37" i="47"/>
  <c r="I84" i="47"/>
  <c r="H70" i="57" s="1"/>
  <c r="I60" i="47"/>
  <c r="H70" i="56" s="1"/>
  <c r="AS35" i="46"/>
  <c r="BO61" i="46" s="1"/>
  <c r="J84" i="44"/>
  <c r="I30" i="57" s="1"/>
  <c r="D84" i="44"/>
  <c r="C30" i="57" s="1"/>
  <c r="Q36" i="44"/>
  <c r="H37" i="47"/>
  <c r="G71" i="53" s="1"/>
  <c r="H14" i="47"/>
  <c r="G72" i="51" s="1"/>
  <c r="BW37" i="47"/>
  <c r="BQ67" i="47" s="1"/>
  <c r="G84" i="46"/>
  <c r="F50" i="57" s="1"/>
  <c r="G60" i="46"/>
  <c r="F50" i="56" s="1"/>
  <c r="E60" i="47"/>
  <c r="D70" i="56" s="1"/>
  <c r="E84" i="47"/>
  <c r="D70" i="57" s="1"/>
  <c r="AA83" i="47"/>
  <c r="G69" i="58" s="1"/>
  <c r="AU59" i="47"/>
  <c r="G69" i="55" s="1"/>
  <c r="G37" i="47"/>
  <c r="F71" i="53" s="1"/>
  <c r="G14" i="47"/>
  <c r="F72" i="51" s="1"/>
  <c r="Z59" i="47"/>
  <c r="F69" i="54" s="1"/>
  <c r="Z83" i="47"/>
  <c r="F69" i="58" s="1"/>
  <c r="AT59" i="47"/>
  <c r="F69" i="55" s="1"/>
  <c r="AB83" i="44"/>
  <c r="H29" i="58" s="1"/>
  <c r="AB59" i="44"/>
  <c r="H29" i="54" s="1"/>
  <c r="AV59" i="44"/>
  <c r="H29" i="55" s="1"/>
  <c r="AJ82" i="47"/>
  <c r="P68" i="58" s="1"/>
  <c r="AR35" i="47"/>
  <c r="BO60" i="47" s="1"/>
  <c r="M58" i="43"/>
  <c r="AF82" i="43" s="1"/>
  <c r="M82" i="43"/>
  <c r="F58" i="43"/>
  <c r="Y82" i="43" s="1"/>
  <c r="F82" i="43"/>
  <c r="E14" i="46"/>
  <c r="D52" i="51" s="1"/>
  <c r="E37" i="46"/>
  <c r="D51" i="53" s="1"/>
  <c r="BN59" i="47"/>
  <c r="AU34" i="47"/>
  <c r="CA36" i="47"/>
  <c r="K84" i="47"/>
  <c r="J70" i="57" s="1"/>
  <c r="Z35" i="46"/>
  <c r="J37" i="44"/>
  <c r="J14" i="44"/>
  <c r="I32" i="51" s="1"/>
  <c r="AI10" i="44"/>
  <c r="P34" i="44"/>
  <c r="O28" i="53" s="1"/>
  <c r="BO34" i="44"/>
  <c r="BN64" i="44" s="1"/>
  <c r="BU34" i="44"/>
  <c r="BN66" i="44" s="1"/>
  <c r="AA83" i="46"/>
  <c r="G49" i="58" s="1"/>
  <c r="AU59" i="46"/>
  <c r="AC35" i="46"/>
  <c r="AD59" i="46"/>
  <c r="AD83" i="46"/>
  <c r="J49" i="58" s="1"/>
  <c r="AX59" i="46"/>
  <c r="I37" i="44"/>
  <c r="I14" i="44"/>
  <c r="H32" i="51" s="1"/>
  <c r="H12" i="51" s="1"/>
  <c r="AU34" i="46"/>
  <c r="AB59" i="47"/>
  <c r="H69" i="54" s="1"/>
  <c r="AB83" i="47"/>
  <c r="H69" i="58" s="1"/>
  <c r="AV59" i="47"/>
  <c r="H69" i="55" s="1"/>
  <c r="AC83" i="47"/>
  <c r="I69" i="58" s="1"/>
  <c r="AC59" i="47"/>
  <c r="I69" i="54" s="1"/>
  <c r="AW59" i="47"/>
  <c r="I69" i="55" s="1"/>
  <c r="D37" i="46"/>
  <c r="C51" i="53" s="1"/>
  <c r="Q13" i="46"/>
  <c r="P51" i="51" s="1"/>
  <c r="BR37" i="46"/>
  <c r="BQ65" i="46" s="1"/>
  <c r="D14" i="46"/>
  <c r="C52" i="51" s="1"/>
  <c r="E14" i="44"/>
  <c r="D32" i="51" s="1"/>
  <c r="D12" i="51" s="1"/>
  <c r="E37" i="44"/>
  <c r="AD59" i="44"/>
  <c r="J29" i="54" s="1"/>
  <c r="AD83" i="44"/>
  <c r="J29" i="58" s="1"/>
  <c r="AX59" i="44"/>
  <c r="J29" i="55" s="1"/>
  <c r="AB83" i="46"/>
  <c r="H49" i="58" s="1"/>
  <c r="AB59" i="46"/>
  <c r="AV59" i="46"/>
  <c r="AF59" i="47"/>
  <c r="L69" i="54" s="1"/>
  <c r="AF83" i="47"/>
  <c r="L69" i="58" s="1"/>
  <c r="AZ59" i="47"/>
  <c r="L69" i="55" s="1"/>
  <c r="F84" i="47"/>
  <c r="E70" i="57" s="1"/>
  <c r="F60" i="47"/>
  <c r="E70" i="56" s="1"/>
  <c r="AF59" i="46"/>
  <c r="AF83" i="46"/>
  <c r="L49" i="58" s="1"/>
  <c r="AZ59" i="46"/>
  <c r="I58" i="43"/>
  <c r="AB82" i="43" s="1"/>
  <c r="I82" i="43"/>
  <c r="E58" i="43"/>
  <c r="X82" i="43" s="1"/>
  <c r="E82" i="43"/>
  <c r="M37" i="47"/>
  <c r="L71" i="53" s="1"/>
  <c r="M14" i="47"/>
  <c r="L72" i="51" s="1"/>
  <c r="AC59" i="44"/>
  <c r="I29" i="54" s="1"/>
  <c r="AC83" i="44"/>
  <c r="I29" i="58" s="1"/>
  <c r="AW59" i="44"/>
  <c r="I29" i="55" s="1"/>
  <c r="Y35" i="46"/>
  <c r="Z59" i="46"/>
  <c r="Z83" i="46"/>
  <c r="F49" i="58" s="1"/>
  <c r="AT59" i="46"/>
  <c r="Y59" i="44"/>
  <c r="E29" i="54" s="1"/>
  <c r="Y83" i="44"/>
  <c r="E29" i="58" s="1"/>
  <c r="AS59" i="44"/>
  <c r="E29" i="55" s="1"/>
  <c r="AQ35" i="47"/>
  <c r="AI10" i="47"/>
  <c r="P34" i="47"/>
  <c r="O68" i="53" s="1"/>
  <c r="BU34" i="47"/>
  <c r="BN66" i="47" s="1"/>
  <c r="BO34" i="47"/>
  <c r="BN64" i="47" s="1"/>
  <c r="H37" i="46"/>
  <c r="H14" i="46"/>
  <c r="G52" i="51" s="1"/>
  <c r="BW37" i="46"/>
  <c r="BQ67" i="46" s="1"/>
  <c r="AA60" i="44"/>
  <c r="G30" i="54" s="1"/>
  <c r="H84" i="44"/>
  <c r="G30" i="57" s="1"/>
  <c r="I84" i="44"/>
  <c r="H30" i="57" s="1"/>
  <c r="G58" i="43"/>
  <c r="Z82" i="43" s="1"/>
  <c r="G82" i="43"/>
  <c r="AG83" i="43"/>
  <c r="N83" i="43"/>
  <c r="AE83" i="43"/>
  <c r="L83" i="43"/>
  <c r="AB35" i="47"/>
  <c r="M60" i="47"/>
  <c r="L70" i="56" s="1"/>
  <c r="M84" i="47"/>
  <c r="L70" i="57" s="1"/>
  <c r="K37" i="46"/>
  <c r="K14" i="46"/>
  <c r="J52" i="51" s="1"/>
  <c r="AD59" i="47"/>
  <c r="J69" i="54" s="1"/>
  <c r="AD83" i="47"/>
  <c r="J69" i="58" s="1"/>
  <c r="AX59" i="47"/>
  <c r="J69" i="55" s="1"/>
  <c r="M37" i="44"/>
  <c r="M14" i="44"/>
  <c r="L32" i="51" s="1"/>
  <c r="J60" i="47"/>
  <c r="I70" i="56" s="1"/>
  <c r="J84" i="47"/>
  <c r="I70" i="57" s="1"/>
  <c r="AQ35" i="46"/>
  <c r="X35" i="46"/>
  <c r="Y35" i="47"/>
  <c r="K84" i="44"/>
  <c r="J30" i="57" s="1"/>
  <c r="CA36" i="44"/>
  <c r="W59" i="47"/>
  <c r="C69" i="54" s="1"/>
  <c r="Q59" i="47"/>
  <c r="P69" i="56" s="1"/>
  <c r="W83" i="47"/>
  <c r="C69" i="58" s="1"/>
  <c r="AQ59" i="47"/>
  <c r="C69" i="55" s="1"/>
  <c r="X83" i="44"/>
  <c r="D29" i="58" s="1"/>
  <c r="X59" i="44"/>
  <c r="D29" i="54" s="1"/>
  <c r="AR59" i="44"/>
  <c r="D29" i="55" s="1"/>
  <c r="AU34" i="44"/>
  <c r="AB35" i="46"/>
  <c r="AA60" i="46"/>
  <c r="H84" i="46"/>
  <c r="G50" i="57" s="1"/>
  <c r="AC59" i="46"/>
  <c r="AC83" i="46"/>
  <c r="I49" i="58" s="1"/>
  <c r="AW59" i="46"/>
  <c r="W35" i="44"/>
  <c r="AF35" i="44"/>
  <c r="H14" i="44"/>
  <c r="G32" i="51" s="1"/>
  <c r="H37" i="44"/>
  <c r="BW37" i="44"/>
  <c r="BQ67" i="44" s="1"/>
  <c r="AS35" i="44"/>
  <c r="BO61" i="44" s="1"/>
  <c r="L43" i="47"/>
  <c r="L20" i="47"/>
  <c r="B69" i="47"/>
  <c r="U69" i="47" s="1"/>
  <c r="AO69" i="47" s="1"/>
  <c r="B45" i="47"/>
  <c r="B22" i="47"/>
  <c r="U21" i="47"/>
  <c r="AO21" i="47" s="1"/>
  <c r="BH21" i="47" s="1"/>
  <c r="N90" i="47"/>
  <c r="M76" i="57" s="1"/>
  <c r="L90" i="47"/>
  <c r="K76" i="57" s="1"/>
  <c r="B92" i="47"/>
  <c r="U44" i="47"/>
  <c r="U92" i="47" s="1"/>
  <c r="O43" i="47"/>
  <c r="N77" i="53" s="1"/>
  <c r="O20" i="47"/>
  <c r="BD20" i="47"/>
  <c r="AU21" i="47"/>
  <c r="C69" i="47"/>
  <c r="V69" i="47" s="1"/>
  <c r="AP69" i="47" s="1"/>
  <c r="C45" i="47"/>
  <c r="V21" i="47"/>
  <c r="AP21" i="47" s="1"/>
  <c r="BI21" i="47" s="1"/>
  <c r="C22" i="47"/>
  <c r="O90" i="47"/>
  <c r="N76" i="57" s="1"/>
  <c r="N16" i="57" s="1"/>
  <c r="O66" i="47"/>
  <c r="N76" i="56" s="1"/>
  <c r="N16" i="56" s="1"/>
  <c r="AP42" i="47"/>
  <c r="AZ41" i="47"/>
  <c r="AW41" i="47"/>
  <c r="AX41" i="47"/>
  <c r="C92" i="47"/>
  <c r="V44" i="47"/>
  <c r="V92" i="47" s="1"/>
  <c r="AH89" i="47"/>
  <c r="N75" i="58" s="1"/>
  <c r="N15" i="58" s="1"/>
  <c r="AH65" i="47"/>
  <c r="N75" i="54" s="1"/>
  <c r="BB65" i="47"/>
  <c r="N75" i="55" s="1"/>
  <c r="BA40" i="47"/>
  <c r="AE89" i="47"/>
  <c r="K75" i="58" s="1"/>
  <c r="AE65" i="47"/>
  <c r="K75" i="54" s="1"/>
  <c r="AY65" i="47"/>
  <c r="K75" i="55" s="1"/>
  <c r="AG89" i="47"/>
  <c r="M75" i="58" s="1"/>
  <c r="AG65" i="47"/>
  <c r="M75" i="54" s="1"/>
  <c r="BA65" i="47"/>
  <c r="M75" i="55" s="1"/>
  <c r="N43" i="47"/>
  <c r="BX43" i="47"/>
  <c r="N20" i="47"/>
  <c r="AE90" i="46"/>
  <c r="K56" i="58" s="1"/>
  <c r="AE66" i="46"/>
  <c r="AY66" i="46"/>
  <c r="C68" i="46"/>
  <c r="V68" i="46" s="1"/>
  <c r="AP68" i="46" s="1"/>
  <c r="C44" i="46"/>
  <c r="C21" i="46"/>
  <c r="V20" i="46"/>
  <c r="AP20" i="46" s="1"/>
  <c r="BI20" i="46" s="1"/>
  <c r="AP42" i="46"/>
  <c r="AZ41" i="46"/>
  <c r="AX41" i="46"/>
  <c r="AW41" i="46"/>
  <c r="AH90" i="46"/>
  <c r="N56" i="58" s="1"/>
  <c r="AH66" i="46"/>
  <c r="BB66" i="46"/>
  <c r="L44" i="46"/>
  <c r="L21" i="46"/>
  <c r="O44" i="46"/>
  <c r="N58" i="53" s="1"/>
  <c r="O21" i="46"/>
  <c r="L91" i="46"/>
  <c r="K57" i="57" s="1"/>
  <c r="O91" i="46"/>
  <c r="N57" i="57" s="1"/>
  <c r="O67" i="46"/>
  <c r="N57" i="56" s="1"/>
  <c r="C91" i="46"/>
  <c r="V43" i="46"/>
  <c r="V91" i="46" s="1"/>
  <c r="BL43" i="46"/>
  <c r="BN42" i="46"/>
  <c r="N43" i="46"/>
  <c r="BX43" i="46"/>
  <c r="N20" i="46"/>
  <c r="AG89" i="46"/>
  <c r="M55" i="58" s="1"/>
  <c r="AG65" i="46"/>
  <c r="BA65" i="46"/>
  <c r="BQ41" i="46"/>
  <c r="BT41" i="46"/>
  <c r="N90" i="46"/>
  <c r="M56" i="57" s="1"/>
  <c r="M16" i="57" s="1"/>
  <c r="B67" i="46"/>
  <c r="U67" i="46" s="1"/>
  <c r="AO67" i="46" s="1"/>
  <c r="B43" i="46"/>
  <c r="U19" i="46"/>
  <c r="AO19" i="46" s="1"/>
  <c r="BH19" i="46" s="1"/>
  <c r="B20" i="46"/>
  <c r="B90" i="46"/>
  <c r="U42" i="46"/>
  <c r="U90" i="46" s="1"/>
  <c r="AU20" i="46"/>
  <c r="BD19" i="46"/>
  <c r="B95" i="44"/>
  <c r="U47" i="44"/>
  <c r="U95" i="44" s="1"/>
  <c r="B23" i="44"/>
  <c r="B70" i="44"/>
  <c r="U70" i="44" s="1"/>
  <c r="AO70" i="44" s="1"/>
  <c r="U22" i="44"/>
  <c r="AO22" i="44" s="1"/>
  <c r="BH22" i="44" s="1"/>
  <c r="C23" i="44"/>
  <c r="V22" i="44"/>
  <c r="AP22" i="44" s="1"/>
  <c r="BI22" i="44" s="1"/>
  <c r="C70" i="44"/>
  <c r="V70" i="44" s="1"/>
  <c r="AP70" i="44" s="1"/>
  <c r="BQ41" i="44"/>
  <c r="BT41" i="44"/>
  <c r="AE89" i="44"/>
  <c r="K35" i="58" s="1"/>
  <c r="AE65" i="44"/>
  <c r="K35" i="54" s="1"/>
  <c r="K15" i="54" s="1"/>
  <c r="AY65" i="44"/>
  <c r="K35" i="55" s="1"/>
  <c r="BD20" i="44"/>
  <c r="AU21" i="44"/>
  <c r="AG91" i="44"/>
  <c r="M37" i="58" s="1"/>
  <c r="AG67" i="44"/>
  <c r="M37" i="54" s="1"/>
  <c r="BA67" i="44"/>
  <c r="M37" i="55" s="1"/>
  <c r="O44" i="44"/>
  <c r="O21" i="44"/>
  <c r="BX45" i="44"/>
  <c r="N45" i="44"/>
  <c r="N22" i="44"/>
  <c r="AZ43" i="44"/>
  <c r="AX43" i="44"/>
  <c r="AP44" i="44"/>
  <c r="AW43" i="44"/>
  <c r="O91" i="44"/>
  <c r="N37" i="57" s="1"/>
  <c r="N92" i="44"/>
  <c r="M38" i="57" s="1"/>
  <c r="L43" i="44"/>
  <c r="L20" i="44"/>
  <c r="AH90" i="44"/>
  <c r="N36" i="58" s="1"/>
  <c r="AH66" i="44"/>
  <c r="N36" i="54" s="1"/>
  <c r="BB66" i="44"/>
  <c r="N36" i="55" s="1"/>
  <c r="L90" i="44"/>
  <c r="K36" i="57" s="1"/>
  <c r="BL43" i="44"/>
  <c r="BN42" i="44"/>
  <c r="BW35" i="43"/>
  <c r="BO67" i="43" s="1"/>
  <c r="AD82" i="43"/>
  <c r="CA34" i="43"/>
  <c r="AA58" i="43"/>
  <c r="AA82" i="43"/>
  <c r="O13" i="43"/>
  <c r="O36" i="43"/>
  <c r="K12" i="43"/>
  <c r="K35" i="43"/>
  <c r="K59" i="43" s="1"/>
  <c r="E12" i="43"/>
  <c r="E35" i="43"/>
  <c r="M12" i="43"/>
  <c r="M35" i="43"/>
  <c r="F12" i="43"/>
  <c r="F35" i="43"/>
  <c r="G12" i="43"/>
  <c r="G35" i="43"/>
  <c r="N13" i="43"/>
  <c r="N36" i="43"/>
  <c r="N60" i="43" s="1"/>
  <c r="L13" i="43"/>
  <c r="L36" i="43"/>
  <c r="L60" i="43" s="1"/>
  <c r="BQ39" i="43"/>
  <c r="BT39" i="43"/>
  <c r="J12" i="43"/>
  <c r="J35" i="43"/>
  <c r="I12" i="43"/>
  <c r="I35" i="43"/>
  <c r="H12" i="43"/>
  <c r="H35" i="43"/>
  <c r="H59" i="43" s="1"/>
  <c r="AH52" i="43"/>
  <c r="BB52" i="43"/>
  <c r="AG55" i="43"/>
  <c r="BA55" i="43"/>
  <c r="AH58" i="43"/>
  <c r="BB58" i="43"/>
  <c r="AY11" i="43"/>
  <c r="BA11" i="43"/>
  <c r="AU10" i="43"/>
  <c r="AZ11" i="43"/>
  <c r="BL41" i="43"/>
  <c r="BM40" i="43"/>
  <c r="BN40" i="43" s="1"/>
  <c r="AQ52" i="43"/>
  <c r="Q28" i="43"/>
  <c r="AH28" i="43" s="1"/>
  <c r="AX42" i="43"/>
  <c r="AZ42" i="43"/>
  <c r="AP43" i="43"/>
  <c r="AW43" i="43" s="1"/>
  <c r="G10" i="53" l="1"/>
  <c r="J10" i="57"/>
  <c r="BL63" i="46"/>
  <c r="N15" i="55"/>
  <c r="N15" i="54"/>
  <c r="P9" i="56"/>
  <c r="K16" i="57"/>
  <c r="P35" i="46"/>
  <c r="O49" i="53" s="1"/>
  <c r="J12" i="51"/>
  <c r="BO35" i="46"/>
  <c r="BO64" i="46" s="1"/>
  <c r="BU35" i="46"/>
  <c r="BO66" i="46" s="1"/>
  <c r="BS55" i="48"/>
  <c r="BS63" i="48"/>
  <c r="N17" i="53"/>
  <c r="K99" i="53"/>
  <c r="L69" i="48"/>
  <c r="K99" i="56" s="1"/>
  <c r="K16" i="56"/>
  <c r="K121" i="53"/>
  <c r="L71" i="49"/>
  <c r="K121" i="56" s="1"/>
  <c r="K16" i="53"/>
  <c r="K77" i="53"/>
  <c r="L67" i="47"/>
  <c r="K77" i="56" s="1"/>
  <c r="K15" i="55"/>
  <c r="M55" i="55"/>
  <c r="M15" i="55" s="1"/>
  <c r="M55" i="54"/>
  <c r="M15" i="54" s="1"/>
  <c r="K58" i="53"/>
  <c r="L68" i="46"/>
  <c r="K58" i="56" s="1"/>
  <c r="J9" i="58"/>
  <c r="M39" i="53"/>
  <c r="N69" i="44"/>
  <c r="M39" i="56" s="1"/>
  <c r="M100" i="53"/>
  <c r="N70" i="48"/>
  <c r="M100" i="56" s="1"/>
  <c r="M121" i="53"/>
  <c r="N71" i="49"/>
  <c r="M121" i="56" s="1"/>
  <c r="L67" i="44"/>
  <c r="K37" i="56" s="1"/>
  <c r="K17" i="56" s="1"/>
  <c r="K37" i="53"/>
  <c r="K17" i="53" s="1"/>
  <c r="N56" i="55"/>
  <c r="N56" i="54"/>
  <c r="M77" i="53"/>
  <c r="N67" i="47"/>
  <c r="M77" i="56" s="1"/>
  <c r="N38" i="53"/>
  <c r="O68" i="44"/>
  <c r="N38" i="56" s="1"/>
  <c r="K15" i="58"/>
  <c r="M15" i="58"/>
  <c r="M16" i="53"/>
  <c r="M57" i="53"/>
  <c r="N67" i="46"/>
  <c r="M57" i="56" s="1"/>
  <c r="D10" i="57"/>
  <c r="K56" i="55"/>
  <c r="K56" i="54"/>
  <c r="AS43" i="50"/>
  <c r="BW61" i="50" s="1"/>
  <c r="F9" i="58"/>
  <c r="L9" i="58"/>
  <c r="C9" i="58"/>
  <c r="G61" i="44"/>
  <c r="F31" i="56" s="1"/>
  <c r="F31" i="53"/>
  <c r="F11" i="53" s="1"/>
  <c r="F10" i="57"/>
  <c r="K61" i="44"/>
  <c r="J31" i="56" s="1"/>
  <c r="J31" i="53"/>
  <c r="K68" i="50"/>
  <c r="J138" i="56" s="1"/>
  <c r="J138" i="53"/>
  <c r="AK65" i="50"/>
  <c r="BU58" i="50" s="1"/>
  <c r="P135" i="54"/>
  <c r="C10" i="56"/>
  <c r="BK63" i="46"/>
  <c r="P45" i="55"/>
  <c r="P45" i="54"/>
  <c r="P5" i="54" s="1"/>
  <c r="J99" i="51"/>
  <c r="K45" i="48"/>
  <c r="K22" i="48"/>
  <c r="I10" i="56"/>
  <c r="G12" i="51"/>
  <c r="L12" i="51"/>
  <c r="H10" i="57"/>
  <c r="J49" i="55"/>
  <c r="J9" i="55" s="1"/>
  <c r="J49" i="54"/>
  <c r="J9" i="54" s="1"/>
  <c r="O8" i="53"/>
  <c r="K61" i="47"/>
  <c r="J71" i="56" s="1"/>
  <c r="J71" i="53"/>
  <c r="AK58" i="44"/>
  <c r="BN58" i="44" s="1"/>
  <c r="P28" i="54"/>
  <c r="BD56" i="44"/>
  <c r="P26" i="55" s="1"/>
  <c r="O26" i="55"/>
  <c r="P11" i="51"/>
  <c r="E12" i="51"/>
  <c r="E49" i="55"/>
  <c r="E9" i="55" s="1"/>
  <c r="E49" i="54"/>
  <c r="BD64" i="48"/>
  <c r="P94" i="55" s="1"/>
  <c r="O94" i="55"/>
  <c r="AA43" i="48"/>
  <c r="P97" i="53"/>
  <c r="W43" i="49"/>
  <c r="P117" i="53"/>
  <c r="H10" i="56"/>
  <c r="O5" i="55"/>
  <c r="K68" i="48"/>
  <c r="J98" i="53"/>
  <c r="K92" i="48"/>
  <c r="J98" i="57" s="1"/>
  <c r="F49" i="54"/>
  <c r="F9" i="54" s="1"/>
  <c r="F49" i="55"/>
  <c r="F9" i="55" s="1"/>
  <c r="BD57" i="46"/>
  <c r="O47" i="55"/>
  <c r="O47" i="54"/>
  <c r="O7" i="54" s="1"/>
  <c r="E61" i="44"/>
  <c r="D31" i="56" s="1"/>
  <c r="D31" i="53"/>
  <c r="D11" i="53" s="1"/>
  <c r="D49" i="55"/>
  <c r="D9" i="55" s="1"/>
  <c r="D49" i="54"/>
  <c r="D9" i="54" s="1"/>
  <c r="D10" i="56"/>
  <c r="E10" i="56"/>
  <c r="BK63" i="44"/>
  <c r="P25" i="55"/>
  <c r="D97" i="56"/>
  <c r="X91" i="48"/>
  <c r="D97" i="58" s="1"/>
  <c r="AR67" i="48"/>
  <c r="D97" i="55" s="1"/>
  <c r="X67" i="48"/>
  <c r="D97" i="54" s="1"/>
  <c r="Z36" i="47"/>
  <c r="P70" i="53"/>
  <c r="H61" i="44"/>
  <c r="G31" i="56" s="1"/>
  <c r="G31" i="53"/>
  <c r="I12" i="51"/>
  <c r="Z36" i="44"/>
  <c r="P30" i="53"/>
  <c r="P8" i="58"/>
  <c r="C49" i="55"/>
  <c r="C9" i="55" s="1"/>
  <c r="C49" i="54"/>
  <c r="C9" i="54" s="1"/>
  <c r="AK58" i="47"/>
  <c r="BN58" i="47" s="1"/>
  <c r="P68" i="54"/>
  <c r="E10" i="57"/>
  <c r="CA44" i="48"/>
  <c r="L98" i="53"/>
  <c r="BO42" i="48"/>
  <c r="BV64" i="48" s="1"/>
  <c r="O96" i="51"/>
  <c r="Q60" i="44"/>
  <c r="P30" i="56" s="1"/>
  <c r="G10" i="56"/>
  <c r="J10" i="53"/>
  <c r="F10" i="56"/>
  <c r="I61" i="44"/>
  <c r="H31" i="56" s="1"/>
  <c r="H31" i="53"/>
  <c r="H11" i="53" s="1"/>
  <c r="F12" i="51"/>
  <c r="M61" i="44"/>
  <c r="L31" i="56" s="1"/>
  <c r="L31" i="53"/>
  <c r="L11" i="53" s="1"/>
  <c r="BW45" i="48"/>
  <c r="BY67" i="48" s="1"/>
  <c r="L99" i="51"/>
  <c r="BD56" i="47"/>
  <c r="BL55" i="47" s="1"/>
  <c r="O66" i="55"/>
  <c r="AK65" i="48"/>
  <c r="BU58" i="48" s="1"/>
  <c r="P95" i="54"/>
  <c r="AK65" i="49"/>
  <c r="BU58" i="49" s="1"/>
  <c r="P115" i="54"/>
  <c r="I49" i="55"/>
  <c r="I9" i="55" s="1"/>
  <c r="I49" i="54"/>
  <c r="I9" i="54" s="1"/>
  <c r="I9" i="58"/>
  <c r="L49" i="55"/>
  <c r="L9" i="55" s="1"/>
  <c r="L49" i="54"/>
  <c r="L9" i="54" s="1"/>
  <c r="H49" i="55"/>
  <c r="H9" i="55" s="1"/>
  <c r="H49" i="54"/>
  <c r="H9" i="54" s="1"/>
  <c r="J61" i="44"/>
  <c r="I31" i="56" s="1"/>
  <c r="I31" i="53"/>
  <c r="I11" i="53" s="1"/>
  <c r="H9" i="58"/>
  <c r="C10" i="57"/>
  <c r="BJ12" i="46"/>
  <c r="BK12" i="46" s="1"/>
  <c r="BL12" i="46" s="1"/>
  <c r="P12" i="46" s="1"/>
  <c r="O50" i="51" s="1"/>
  <c r="P50" i="53"/>
  <c r="P9" i="57"/>
  <c r="L10" i="57"/>
  <c r="BK55" i="44"/>
  <c r="AI11" i="44"/>
  <c r="AJ11" i="44" s="1"/>
  <c r="O29" i="51"/>
  <c r="O9" i="51" s="1"/>
  <c r="AF43" i="49"/>
  <c r="AQ43" i="50"/>
  <c r="BW59" i="50" s="1"/>
  <c r="P137" i="53"/>
  <c r="W60" i="44"/>
  <c r="C30" i="54" s="1"/>
  <c r="P9" i="53"/>
  <c r="J10" i="56"/>
  <c r="P46" i="55"/>
  <c r="P46" i="54"/>
  <c r="P6" i="54" s="1"/>
  <c r="D98" i="53"/>
  <c r="E68" i="48"/>
  <c r="E92" i="48"/>
  <c r="D98" i="57" s="1"/>
  <c r="G10" i="57"/>
  <c r="D9" i="58"/>
  <c r="E9" i="58"/>
  <c r="G49" i="55"/>
  <c r="G9" i="55" s="1"/>
  <c r="G49" i="54"/>
  <c r="G9" i="54" s="1"/>
  <c r="I10" i="57"/>
  <c r="G9" i="58"/>
  <c r="BD57" i="44"/>
  <c r="O27" i="55"/>
  <c r="AI41" i="48"/>
  <c r="O95" i="53"/>
  <c r="BR55" i="50"/>
  <c r="K68" i="49"/>
  <c r="J118" i="56" s="1"/>
  <c r="J118" i="53"/>
  <c r="O7" i="53"/>
  <c r="D99" i="51"/>
  <c r="E22" i="48"/>
  <c r="E45" i="48"/>
  <c r="L10" i="56"/>
  <c r="K61" i="46"/>
  <c r="J51" i="56" s="1"/>
  <c r="J51" i="53"/>
  <c r="D61" i="44"/>
  <c r="C31" i="56" s="1"/>
  <c r="C31" i="53"/>
  <c r="C11" i="53" s="1"/>
  <c r="F61" i="44"/>
  <c r="E31" i="56" s="1"/>
  <c r="E31" i="53"/>
  <c r="E11" i="53" s="1"/>
  <c r="H61" i="46"/>
  <c r="G51" i="56" s="1"/>
  <c r="G51" i="53"/>
  <c r="E9" i="54"/>
  <c r="C12" i="51"/>
  <c r="P81" i="47"/>
  <c r="O67" i="57" s="1"/>
  <c r="O7" i="57" s="1"/>
  <c r="O67" i="56"/>
  <c r="O7" i="56" s="1"/>
  <c r="BR63" i="50"/>
  <c r="BD63" i="50"/>
  <c r="P133" i="55" s="1"/>
  <c r="O133" i="55"/>
  <c r="J97" i="56"/>
  <c r="AX67" i="48"/>
  <c r="J97" i="55" s="1"/>
  <c r="AD91" i="48"/>
  <c r="J97" i="58" s="1"/>
  <c r="AD67" i="48"/>
  <c r="J97" i="54" s="1"/>
  <c r="BK63" i="47"/>
  <c r="P65" i="55"/>
  <c r="BK55" i="47"/>
  <c r="AF43" i="50"/>
  <c r="Z43" i="50"/>
  <c r="AA43" i="50"/>
  <c r="AJ42" i="50"/>
  <c r="W61" i="44"/>
  <c r="C31" i="54" s="1"/>
  <c r="AB43" i="50"/>
  <c r="Y43" i="50"/>
  <c r="W43" i="50"/>
  <c r="AU42" i="50"/>
  <c r="Z91" i="50"/>
  <c r="F137" i="58" s="1"/>
  <c r="Z67" i="50"/>
  <c r="F137" i="54" s="1"/>
  <c r="AT67" i="50"/>
  <c r="F137" i="55" s="1"/>
  <c r="I45" i="50"/>
  <c r="H139" i="53" s="1"/>
  <c r="I22" i="50"/>
  <c r="H140" i="51" s="1"/>
  <c r="M92" i="50"/>
  <c r="L138" i="57" s="1"/>
  <c r="M68" i="50"/>
  <c r="L138" i="56" s="1"/>
  <c r="G45" i="50"/>
  <c r="F139" i="53" s="1"/>
  <c r="G22" i="50"/>
  <c r="F140" i="51" s="1"/>
  <c r="AJ17" i="49"/>
  <c r="BC65" i="49"/>
  <c r="AJ66" i="49"/>
  <c r="AA91" i="49"/>
  <c r="G117" i="58" s="1"/>
  <c r="AU67" i="49"/>
  <c r="G117" i="55" s="1"/>
  <c r="K92" i="49"/>
  <c r="J118" i="57" s="1"/>
  <c r="CA44" i="49"/>
  <c r="AQ43" i="49"/>
  <c r="BW68" i="49"/>
  <c r="AR43" i="49"/>
  <c r="BW60" i="49" s="1"/>
  <c r="AE43" i="49"/>
  <c r="AT43" i="49"/>
  <c r="BW62" i="49" s="1"/>
  <c r="BJ19" i="49"/>
  <c r="BK19" i="49" s="1"/>
  <c r="BL19" i="49" s="1"/>
  <c r="P19" i="49" s="1"/>
  <c r="O117" i="51" s="1"/>
  <c r="AH43" i="49"/>
  <c r="AG43" i="49"/>
  <c r="BW69" i="49"/>
  <c r="E45" i="49"/>
  <c r="D119" i="53" s="1"/>
  <c r="E22" i="49"/>
  <c r="D120" i="51" s="1"/>
  <c r="AB43" i="49"/>
  <c r="AS43" i="49"/>
  <c r="BW61" i="49" s="1"/>
  <c r="H22" i="50"/>
  <c r="G140" i="51" s="1"/>
  <c r="H45" i="50"/>
  <c r="G139" i="53" s="1"/>
  <c r="BW45" i="50"/>
  <c r="BY67" i="50" s="1"/>
  <c r="BV59" i="49"/>
  <c r="AU42" i="49"/>
  <c r="J45" i="49"/>
  <c r="I119" i="53" s="1"/>
  <c r="J22" i="49"/>
  <c r="I120" i="51" s="1"/>
  <c r="K45" i="49"/>
  <c r="K22" i="49"/>
  <c r="J120" i="51" s="1"/>
  <c r="AD43" i="49"/>
  <c r="AF91" i="49"/>
  <c r="L117" i="58" s="1"/>
  <c r="AF67" i="49"/>
  <c r="L117" i="54" s="1"/>
  <c r="AZ67" i="49"/>
  <c r="L117" i="55" s="1"/>
  <c r="AI41" i="49"/>
  <c r="P89" i="49"/>
  <c r="O115" i="57" s="1"/>
  <c r="AQ67" i="49"/>
  <c r="C117" i="55" s="1"/>
  <c r="W67" i="49"/>
  <c r="C117" i="54" s="1"/>
  <c r="W91" i="49"/>
  <c r="C117" i="58" s="1"/>
  <c r="Q67" i="49"/>
  <c r="P117" i="56" s="1"/>
  <c r="E92" i="49"/>
  <c r="D118" i="57" s="1"/>
  <c r="E68" i="49"/>
  <c r="D118" i="56" s="1"/>
  <c r="F45" i="49"/>
  <c r="E119" i="53" s="1"/>
  <c r="F22" i="49"/>
  <c r="E120" i="51" s="1"/>
  <c r="AB67" i="49"/>
  <c r="H117" i="54" s="1"/>
  <c r="AB91" i="49"/>
  <c r="H117" i="58" s="1"/>
  <c r="AV67" i="49"/>
  <c r="H117" i="55" s="1"/>
  <c r="Y43" i="49"/>
  <c r="G45" i="49"/>
  <c r="F119" i="53" s="1"/>
  <c r="G22" i="49"/>
  <c r="F120" i="51" s="1"/>
  <c r="Z43" i="49"/>
  <c r="I92" i="50"/>
  <c r="H138" i="57" s="1"/>
  <c r="I68" i="50"/>
  <c r="H138" i="56" s="1"/>
  <c r="H92" i="50"/>
  <c r="G138" i="57" s="1"/>
  <c r="AA68" i="50"/>
  <c r="G138" i="54" s="1"/>
  <c r="H68" i="50"/>
  <c r="G138" i="56" s="1"/>
  <c r="AJ66" i="50"/>
  <c r="AJ42" i="49"/>
  <c r="J92" i="49"/>
  <c r="I118" i="57" s="1"/>
  <c r="J68" i="49"/>
  <c r="I118" i="56" s="1"/>
  <c r="AJ17" i="50"/>
  <c r="BC65" i="50"/>
  <c r="Q91" i="49"/>
  <c r="P117" i="57" s="1"/>
  <c r="BC64" i="49"/>
  <c r="F92" i="49"/>
  <c r="E118" i="57" s="1"/>
  <c r="F68" i="49"/>
  <c r="E118" i="56" s="1"/>
  <c r="G92" i="49"/>
  <c r="F118" i="57" s="1"/>
  <c r="G68" i="49"/>
  <c r="F118" i="56" s="1"/>
  <c r="E45" i="50"/>
  <c r="D139" i="53" s="1"/>
  <c r="E22" i="50"/>
  <c r="D140" i="51" s="1"/>
  <c r="AJ90" i="50"/>
  <c r="P136" i="58" s="1"/>
  <c r="F45" i="50"/>
  <c r="E139" i="53" s="1"/>
  <c r="F22" i="50"/>
  <c r="E140" i="51" s="1"/>
  <c r="M92" i="49"/>
  <c r="L118" i="57" s="1"/>
  <c r="M68" i="49"/>
  <c r="L118" i="56" s="1"/>
  <c r="AI41" i="50"/>
  <c r="P89" i="50"/>
  <c r="O135" i="57" s="1"/>
  <c r="AD91" i="49"/>
  <c r="J117" i="58" s="1"/>
  <c r="AX67" i="49"/>
  <c r="J117" i="55" s="1"/>
  <c r="AD67" i="49"/>
  <c r="J117" i="54" s="1"/>
  <c r="X43" i="49"/>
  <c r="AB67" i="50"/>
  <c r="H137" i="54" s="1"/>
  <c r="AB91" i="50"/>
  <c r="H137" i="58" s="1"/>
  <c r="AV67" i="50"/>
  <c r="H137" i="55" s="1"/>
  <c r="X91" i="50"/>
  <c r="D137" i="58" s="1"/>
  <c r="AR67" i="50"/>
  <c r="D137" i="55" s="1"/>
  <c r="X67" i="50"/>
  <c r="D137" i="54" s="1"/>
  <c r="Y91" i="49"/>
  <c r="E117" i="58" s="1"/>
  <c r="Y67" i="49"/>
  <c r="E117" i="54" s="1"/>
  <c r="AS67" i="49"/>
  <c r="E117" i="55" s="1"/>
  <c r="Z67" i="49"/>
  <c r="F117" i="54" s="1"/>
  <c r="AT67" i="49"/>
  <c r="F117" i="55" s="1"/>
  <c r="Z91" i="49"/>
  <c r="F117" i="58" s="1"/>
  <c r="E92" i="50"/>
  <c r="D138" i="57" s="1"/>
  <c r="E68" i="50"/>
  <c r="D138" i="56" s="1"/>
  <c r="Y91" i="50"/>
  <c r="E137" i="58" s="1"/>
  <c r="Y67" i="50"/>
  <c r="E137" i="54" s="1"/>
  <c r="AS67" i="50"/>
  <c r="E137" i="55" s="1"/>
  <c r="D92" i="49"/>
  <c r="C118" i="57" s="1"/>
  <c r="D68" i="49"/>
  <c r="C118" i="56" s="1"/>
  <c r="Q44" i="49"/>
  <c r="H22" i="49"/>
  <c r="G120" i="51" s="1"/>
  <c r="H45" i="49"/>
  <c r="G119" i="53" s="1"/>
  <c r="BW45" i="49"/>
  <c r="BY67" i="49" s="1"/>
  <c r="F68" i="50"/>
  <c r="E138" i="56" s="1"/>
  <c r="F92" i="50"/>
  <c r="E138" i="57" s="1"/>
  <c r="M45" i="49"/>
  <c r="L119" i="53" s="1"/>
  <c r="M22" i="49"/>
  <c r="L120" i="51" s="1"/>
  <c r="AD43" i="50"/>
  <c r="AR43" i="50"/>
  <c r="BW60" i="50" s="1"/>
  <c r="AE43" i="50"/>
  <c r="BW68" i="50"/>
  <c r="BW69" i="50"/>
  <c r="AH43" i="50"/>
  <c r="AT43" i="50"/>
  <c r="BW62" i="50" s="1"/>
  <c r="AG43" i="50"/>
  <c r="BJ19" i="50"/>
  <c r="BK19" i="50" s="1"/>
  <c r="BL19" i="50" s="1"/>
  <c r="P19" i="50" s="1"/>
  <c r="O137" i="51" s="1"/>
  <c r="I45" i="49"/>
  <c r="H119" i="53" s="1"/>
  <c r="I22" i="49"/>
  <c r="H120" i="51" s="1"/>
  <c r="AC43" i="50"/>
  <c r="AC43" i="49"/>
  <c r="J45" i="50"/>
  <c r="I139" i="53" s="1"/>
  <c r="J22" i="50"/>
  <c r="I140" i="51" s="1"/>
  <c r="BR45" i="49"/>
  <c r="BY65" i="49" s="1"/>
  <c r="D45" i="49"/>
  <c r="C119" i="53" s="1"/>
  <c r="Q21" i="49"/>
  <c r="P119" i="51" s="1"/>
  <c r="D22" i="49"/>
  <c r="C120" i="51" s="1"/>
  <c r="AA68" i="49"/>
  <c r="G118" i="54" s="1"/>
  <c r="H68" i="49"/>
  <c r="G118" i="56" s="1"/>
  <c r="H92" i="49"/>
  <c r="G118" i="57" s="1"/>
  <c r="AD91" i="50"/>
  <c r="J137" i="58" s="1"/>
  <c r="AD67" i="50"/>
  <c r="J137" i="54" s="1"/>
  <c r="AX67" i="50"/>
  <c r="J137" i="55" s="1"/>
  <c r="X91" i="49"/>
  <c r="D117" i="58" s="1"/>
  <c r="X67" i="49"/>
  <c r="D117" i="54" s="1"/>
  <c r="AR67" i="49"/>
  <c r="D117" i="55" s="1"/>
  <c r="K45" i="50"/>
  <c r="K22" i="50"/>
  <c r="J140" i="51" s="1"/>
  <c r="BC64" i="50"/>
  <c r="BU42" i="49"/>
  <c r="BV66" i="49" s="1"/>
  <c r="AI18" i="49"/>
  <c r="P42" i="49"/>
  <c r="O116" i="53" s="1"/>
  <c r="BO42" i="49"/>
  <c r="BV64" i="49" s="1"/>
  <c r="W67" i="50"/>
  <c r="C137" i="54" s="1"/>
  <c r="W91" i="50"/>
  <c r="C137" i="58" s="1"/>
  <c r="Q67" i="50"/>
  <c r="P137" i="56" s="1"/>
  <c r="AQ67" i="50"/>
  <c r="C137" i="55" s="1"/>
  <c r="I68" i="49"/>
  <c r="H118" i="56" s="1"/>
  <c r="I92" i="49"/>
  <c r="H118" i="57" s="1"/>
  <c r="AJ90" i="49"/>
  <c r="P116" i="58" s="1"/>
  <c r="D45" i="50"/>
  <c r="C139" i="53" s="1"/>
  <c r="D22" i="50"/>
  <c r="C140" i="51" s="1"/>
  <c r="BR45" i="50"/>
  <c r="BY65" i="50" s="1"/>
  <c r="Q21" i="50"/>
  <c r="P139" i="51" s="1"/>
  <c r="AW67" i="50"/>
  <c r="I137" i="55" s="1"/>
  <c r="AC91" i="50"/>
  <c r="I137" i="58" s="1"/>
  <c r="AC67" i="50"/>
  <c r="I137" i="54" s="1"/>
  <c r="AI18" i="50"/>
  <c r="BO42" i="50"/>
  <c r="BV64" i="50" s="1"/>
  <c r="P42" i="50"/>
  <c r="O136" i="53" s="1"/>
  <c r="BU42" i="50"/>
  <c r="BV66" i="50" s="1"/>
  <c r="AC91" i="49"/>
  <c r="I117" i="58" s="1"/>
  <c r="AC67" i="49"/>
  <c r="I117" i="54" s="1"/>
  <c r="AW67" i="49"/>
  <c r="I117" i="55" s="1"/>
  <c r="J92" i="50"/>
  <c r="I138" i="57" s="1"/>
  <c r="J68" i="50"/>
  <c r="I138" i="56" s="1"/>
  <c r="AA43" i="49"/>
  <c r="AF67" i="50"/>
  <c r="L137" i="54" s="1"/>
  <c r="AF91" i="50"/>
  <c r="L137" i="58" s="1"/>
  <c r="AZ67" i="50"/>
  <c r="L137" i="55" s="1"/>
  <c r="M22" i="50"/>
  <c r="L140" i="51" s="1"/>
  <c r="M45" i="50"/>
  <c r="L139" i="53" s="1"/>
  <c r="G92" i="50"/>
  <c r="F138" i="57" s="1"/>
  <c r="G68" i="50"/>
  <c r="F138" i="56" s="1"/>
  <c r="K92" i="50"/>
  <c r="J138" i="57" s="1"/>
  <c r="CA44" i="50"/>
  <c r="BS55" i="50"/>
  <c r="AA91" i="50"/>
  <c r="G137" i="58" s="1"/>
  <c r="AU67" i="50"/>
  <c r="G137" i="55" s="1"/>
  <c r="Q91" i="50"/>
  <c r="P137" i="57" s="1"/>
  <c r="D92" i="50"/>
  <c r="C138" i="57" s="1"/>
  <c r="D68" i="50"/>
  <c r="C138" i="56" s="1"/>
  <c r="Q44" i="50"/>
  <c r="W44" i="50" s="1"/>
  <c r="J83" i="43"/>
  <c r="G83" i="43"/>
  <c r="O84" i="43"/>
  <c r="I83" i="43"/>
  <c r="F83" i="43"/>
  <c r="BD10" i="43"/>
  <c r="H83" i="43"/>
  <c r="L84" i="43"/>
  <c r="M83" i="43"/>
  <c r="N84" i="43"/>
  <c r="E83" i="43"/>
  <c r="BX37" i="43"/>
  <c r="K83" i="43"/>
  <c r="BW69" i="48"/>
  <c r="Y43" i="48"/>
  <c r="Z43" i="48"/>
  <c r="AF43" i="48"/>
  <c r="AE43" i="48"/>
  <c r="AG43" i="48"/>
  <c r="AT43" i="48"/>
  <c r="BW62" i="48" s="1"/>
  <c r="P89" i="48"/>
  <c r="O95" i="57" s="1"/>
  <c r="AH43" i="48"/>
  <c r="BR45" i="48"/>
  <c r="BY65" i="48" s="1"/>
  <c r="W43" i="48"/>
  <c r="AD43" i="48"/>
  <c r="AR43" i="48"/>
  <c r="BW60" i="48" s="1"/>
  <c r="AC43" i="48"/>
  <c r="AS43" i="48"/>
  <c r="BW61" i="48" s="1"/>
  <c r="BJ19" i="48"/>
  <c r="BK19" i="48" s="1"/>
  <c r="BL19" i="48" s="1"/>
  <c r="P19" i="48" s="1"/>
  <c r="AB43" i="48"/>
  <c r="X43" i="48"/>
  <c r="BW68" i="48"/>
  <c r="AQ43" i="48"/>
  <c r="BW59" i="48" s="1"/>
  <c r="AI18" i="48"/>
  <c r="AJ18" i="48" s="1"/>
  <c r="AU42" i="48"/>
  <c r="AJ90" i="48"/>
  <c r="P96" i="58" s="1"/>
  <c r="Q91" i="48"/>
  <c r="P97" i="57" s="1"/>
  <c r="Q67" i="48"/>
  <c r="P97" i="56" s="1"/>
  <c r="Q21" i="48"/>
  <c r="P99" i="51" s="1"/>
  <c r="AJ66" i="48"/>
  <c r="AJ42" i="48"/>
  <c r="BU42" i="48"/>
  <c r="BV66" i="48" s="1"/>
  <c r="P42" i="48"/>
  <c r="AT36" i="44"/>
  <c r="BP62" i="44" s="1"/>
  <c r="P35" i="44"/>
  <c r="AH95" i="50"/>
  <c r="N141" i="58" s="1"/>
  <c r="AH71" i="50"/>
  <c r="N141" i="54" s="1"/>
  <c r="BB71" i="50"/>
  <c r="N141" i="55" s="1"/>
  <c r="C95" i="50"/>
  <c r="V47" i="50"/>
  <c r="V95" i="50" s="1"/>
  <c r="AP47" i="50"/>
  <c r="AZ46" i="50"/>
  <c r="AX46" i="50"/>
  <c r="AW46" i="50"/>
  <c r="AG95" i="50"/>
  <c r="M141" i="58" s="1"/>
  <c r="AG71" i="50"/>
  <c r="M141" i="54" s="1"/>
  <c r="BA71" i="50"/>
  <c r="M141" i="55" s="1"/>
  <c r="BA45" i="50"/>
  <c r="AX46" i="49"/>
  <c r="AW46" i="49"/>
  <c r="AP47" i="49"/>
  <c r="AZ46" i="49"/>
  <c r="L95" i="49"/>
  <c r="K121" i="57" s="1"/>
  <c r="N95" i="49"/>
  <c r="M121" i="57" s="1"/>
  <c r="AH94" i="49"/>
  <c r="N120" i="58" s="1"/>
  <c r="AH70" i="49"/>
  <c r="N120" i="54" s="1"/>
  <c r="BB70" i="49"/>
  <c r="N120" i="55" s="1"/>
  <c r="AG94" i="49"/>
  <c r="M120" i="58" s="1"/>
  <c r="AG70" i="49"/>
  <c r="M120" i="54" s="1"/>
  <c r="BA70" i="49"/>
  <c r="M120" i="55" s="1"/>
  <c r="O95" i="49"/>
  <c r="N121" i="57" s="1"/>
  <c r="O71" i="49"/>
  <c r="N121" i="56" s="1"/>
  <c r="BA45" i="49"/>
  <c r="AE94" i="49"/>
  <c r="K120" i="58" s="1"/>
  <c r="AE70" i="49"/>
  <c r="K120" i="54" s="1"/>
  <c r="AY70" i="49"/>
  <c r="K120" i="55" s="1"/>
  <c r="G45" i="48"/>
  <c r="F99" i="53" s="1"/>
  <c r="G22" i="48"/>
  <c r="F100" i="51" s="1"/>
  <c r="F45" i="48"/>
  <c r="E99" i="53" s="1"/>
  <c r="F22" i="48"/>
  <c r="E100" i="51" s="1"/>
  <c r="AT67" i="48"/>
  <c r="F97" i="55" s="1"/>
  <c r="Z91" i="48"/>
  <c r="F97" i="58" s="1"/>
  <c r="Z67" i="48"/>
  <c r="F97" i="54" s="1"/>
  <c r="Y91" i="48"/>
  <c r="E97" i="58" s="1"/>
  <c r="AS67" i="48"/>
  <c r="E97" i="55" s="1"/>
  <c r="Y67" i="48"/>
  <c r="E97" i="54" s="1"/>
  <c r="F92" i="48"/>
  <c r="E98" i="57" s="1"/>
  <c r="F68" i="48"/>
  <c r="E98" i="56" s="1"/>
  <c r="AF91" i="48"/>
  <c r="L97" i="58" s="1"/>
  <c r="AF67" i="48"/>
  <c r="L97" i="54" s="1"/>
  <c r="AZ67" i="48"/>
  <c r="L97" i="55" s="1"/>
  <c r="M45" i="48"/>
  <c r="L99" i="53" s="1"/>
  <c r="M22" i="48"/>
  <c r="L100" i="51" s="1"/>
  <c r="G92" i="48"/>
  <c r="F98" i="57" s="1"/>
  <c r="G68" i="48"/>
  <c r="F98" i="56" s="1"/>
  <c r="Q44" i="48"/>
  <c r="M92" i="48"/>
  <c r="L98" i="57" s="1"/>
  <c r="M68" i="48"/>
  <c r="L98" i="56" s="1"/>
  <c r="I46" i="48"/>
  <c r="H100" i="53" s="1"/>
  <c r="I23" i="48"/>
  <c r="H101" i="51" s="1"/>
  <c r="D46" i="48"/>
  <c r="C100" i="53" s="1"/>
  <c r="D23" i="48"/>
  <c r="C101" i="51" s="1"/>
  <c r="I93" i="48"/>
  <c r="H99" i="57" s="1"/>
  <c r="I69" i="48"/>
  <c r="H99" i="56" s="1"/>
  <c r="D93" i="48"/>
  <c r="C99" i="57" s="1"/>
  <c r="D69" i="48"/>
  <c r="C99" i="56" s="1"/>
  <c r="AE92" i="48"/>
  <c r="K98" i="58" s="1"/>
  <c r="AE68" i="48"/>
  <c r="K98" i="54" s="1"/>
  <c r="AY68" i="48"/>
  <c r="K98" i="55" s="1"/>
  <c r="H93" i="48"/>
  <c r="G99" i="57" s="1"/>
  <c r="AA69" i="48"/>
  <c r="G99" i="54" s="1"/>
  <c r="H69" i="48"/>
  <c r="G99" i="56" s="1"/>
  <c r="W92" i="48"/>
  <c r="C98" i="58" s="1"/>
  <c r="W68" i="48"/>
  <c r="C98" i="54" s="1"/>
  <c r="AQ68" i="48"/>
  <c r="C98" i="55" s="1"/>
  <c r="AH94" i="48"/>
  <c r="N100" i="58" s="1"/>
  <c r="AH70" i="48"/>
  <c r="N100" i="54" s="1"/>
  <c r="BB70" i="48"/>
  <c r="N100" i="55" s="1"/>
  <c r="C70" i="48"/>
  <c r="V70" i="48" s="1"/>
  <c r="AP70" i="48" s="1"/>
  <c r="C46" i="48"/>
  <c r="C23" i="48"/>
  <c r="V22" i="48"/>
  <c r="AP22" i="48" s="1"/>
  <c r="BI22" i="48" s="1"/>
  <c r="BD22" i="48"/>
  <c r="AU23" i="48"/>
  <c r="BD23" i="48" s="1"/>
  <c r="AP45" i="48"/>
  <c r="AZ44" i="48"/>
  <c r="AX44" i="48"/>
  <c r="AW44" i="48"/>
  <c r="AA92" i="48"/>
  <c r="G98" i="58" s="1"/>
  <c r="AU68" i="48"/>
  <c r="G98" i="55" s="1"/>
  <c r="C93" i="48"/>
  <c r="V45" i="48"/>
  <c r="V93" i="48" s="1"/>
  <c r="BX47" i="48"/>
  <c r="N47" i="48"/>
  <c r="AB92" i="48"/>
  <c r="H98" i="58" s="1"/>
  <c r="AB68" i="48"/>
  <c r="H98" i="54" s="1"/>
  <c r="AV68" i="48"/>
  <c r="H98" i="55" s="1"/>
  <c r="BA43" i="48"/>
  <c r="AC92" i="48"/>
  <c r="I98" i="58" s="1"/>
  <c r="AC68" i="48"/>
  <c r="I98" i="54" s="1"/>
  <c r="AW68" i="48"/>
  <c r="I98" i="55" s="1"/>
  <c r="J46" i="48"/>
  <c r="I100" i="53" s="1"/>
  <c r="J23" i="48"/>
  <c r="I101" i="51" s="1"/>
  <c r="J93" i="48"/>
  <c r="I99" i="57" s="1"/>
  <c r="J69" i="48"/>
  <c r="I99" i="56" s="1"/>
  <c r="B71" i="48"/>
  <c r="U71" i="48" s="1"/>
  <c r="AO71" i="48" s="1"/>
  <c r="B47" i="48"/>
  <c r="U23" i="48"/>
  <c r="AO23" i="48" s="1"/>
  <c r="BH23" i="48" s="1"/>
  <c r="AG93" i="48"/>
  <c r="M99" i="58" s="1"/>
  <c r="AG69" i="48"/>
  <c r="M99" i="54" s="1"/>
  <c r="BA69" i="48"/>
  <c r="M99" i="55" s="1"/>
  <c r="L46" i="48"/>
  <c r="L23" i="48"/>
  <c r="O95" i="48"/>
  <c r="N101" i="57" s="1"/>
  <c r="O71" i="48"/>
  <c r="N101" i="56" s="1"/>
  <c r="B94" i="48"/>
  <c r="U46" i="48"/>
  <c r="U94" i="48" s="1"/>
  <c r="N94" i="48"/>
  <c r="M100" i="57" s="1"/>
  <c r="L93" i="48"/>
  <c r="K99" i="57" s="1"/>
  <c r="H46" i="48"/>
  <c r="G100" i="53" s="1"/>
  <c r="H23" i="48"/>
  <c r="G101" i="51" s="1"/>
  <c r="BC57" i="47"/>
  <c r="BJ12" i="44"/>
  <c r="BK12" i="44" s="1"/>
  <c r="BL12" i="44" s="1"/>
  <c r="P12" i="44" s="1"/>
  <c r="BO35" i="44"/>
  <c r="BO64" i="44" s="1"/>
  <c r="BU35" i="44"/>
  <c r="BO66" i="44" s="1"/>
  <c r="AD36" i="44"/>
  <c r="AS36" i="46"/>
  <c r="BP61" i="46" s="1"/>
  <c r="AT36" i="46"/>
  <c r="BP62" i="46" s="1"/>
  <c r="BM55" i="46"/>
  <c r="Z36" i="46"/>
  <c r="AA36" i="46"/>
  <c r="AB36" i="44"/>
  <c r="AJ35" i="44"/>
  <c r="AF36" i="46"/>
  <c r="AQ36" i="47"/>
  <c r="BP59" i="47" s="1"/>
  <c r="W36" i="46"/>
  <c r="AC36" i="46"/>
  <c r="AR36" i="46"/>
  <c r="BP60" i="46" s="1"/>
  <c r="X36" i="46"/>
  <c r="AQ36" i="46"/>
  <c r="BP59" i="46" s="1"/>
  <c r="BM55" i="44"/>
  <c r="W36" i="47"/>
  <c r="AS36" i="47"/>
  <c r="BP61" i="47" s="1"/>
  <c r="AC36" i="47"/>
  <c r="AF36" i="47"/>
  <c r="Y36" i="47"/>
  <c r="AR36" i="47"/>
  <c r="BP60" i="47" s="1"/>
  <c r="X36" i="47"/>
  <c r="AJ35" i="47"/>
  <c r="AC36" i="44"/>
  <c r="Y36" i="44"/>
  <c r="AA36" i="44"/>
  <c r="AA84" i="46"/>
  <c r="G50" i="58" s="1"/>
  <c r="AU60" i="46"/>
  <c r="AJ83" i="47"/>
  <c r="P69" i="58" s="1"/>
  <c r="M85" i="44"/>
  <c r="L31" i="57" s="1"/>
  <c r="CA37" i="47"/>
  <c r="K85" i="47"/>
  <c r="J71" i="57" s="1"/>
  <c r="Z60" i="47"/>
  <c r="F70" i="54" s="1"/>
  <c r="Z84" i="47"/>
  <c r="F70" i="58" s="1"/>
  <c r="AT60" i="47"/>
  <c r="F70" i="55" s="1"/>
  <c r="E85" i="47"/>
  <c r="D71" i="57" s="1"/>
  <c r="E61" i="47"/>
  <c r="D71" i="56" s="1"/>
  <c r="D38" i="47"/>
  <c r="C72" i="53" s="1"/>
  <c r="Q14" i="47"/>
  <c r="P72" i="51" s="1"/>
  <c r="D15" i="47"/>
  <c r="C73" i="51" s="1"/>
  <c r="BR38" i="47"/>
  <c r="BR65" i="47" s="1"/>
  <c r="I15" i="46"/>
  <c r="H53" i="51" s="1"/>
  <c r="I38" i="46"/>
  <c r="H52" i="53" s="1"/>
  <c r="J85" i="46"/>
  <c r="I51" i="57" s="1"/>
  <c r="J61" i="46"/>
  <c r="I51" i="56" s="1"/>
  <c r="F38" i="46"/>
  <c r="E52" i="53" s="1"/>
  <c r="F15" i="46"/>
  <c r="E53" i="51" s="1"/>
  <c r="K15" i="44"/>
  <c r="J33" i="51" s="1"/>
  <c r="K38" i="44"/>
  <c r="X84" i="44"/>
  <c r="D30" i="58" s="1"/>
  <c r="X60" i="44"/>
  <c r="D30" i="54" s="1"/>
  <c r="AR60" i="44"/>
  <c r="D30" i="55" s="1"/>
  <c r="AI12" i="46"/>
  <c r="P36" i="46"/>
  <c r="O50" i="53" s="1"/>
  <c r="BO36" i="46"/>
  <c r="BP64" i="46" s="1"/>
  <c r="BU36" i="46"/>
  <c r="BP66" i="46" s="1"/>
  <c r="K38" i="47"/>
  <c r="K15" i="47"/>
  <c r="J73" i="51" s="1"/>
  <c r="AJ59" i="47"/>
  <c r="BO59" i="46"/>
  <c r="AU35" i="46"/>
  <c r="AA84" i="44"/>
  <c r="G30" i="58" s="1"/>
  <c r="AU60" i="44"/>
  <c r="G30" i="55" s="1"/>
  <c r="AJ10" i="47"/>
  <c r="Q37" i="46"/>
  <c r="D61" i="46"/>
  <c r="C51" i="56" s="1"/>
  <c r="D85" i="46"/>
  <c r="C51" i="57" s="1"/>
  <c r="J85" i="44"/>
  <c r="I31" i="57" s="1"/>
  <c r="X84" i="47"/>
  <c r="D70" i="58" s="1"/>
  <c r="X60" i="47"/>
  <c r="D70" i="54" s="1"/>
  <c r="AR60" i="47"/>
  <c r="D70" i="55" s="1"/>
  <c r="AA61" i="47"/>
  <c r="G71" i="54" s="1"/>
  <c r="H85" i="47"/>
  <c r="G71" i="57" s="1"/>
  <c r="H61" i="47"/>
  <c r="G71" i="56" s="1"/>
  <c r="AC84" i="44"/>
  <c r="I30" i="58" s="1"/>
  <c r="AC60" i="44"/>
  <c r="I30" i="54" s="1"/>
  <c r="AW60" i="44"/>
  <c r="I30" i="55" s="1"/>
  <c r="AD36" i="47"/>
  <c r="BP68" i="47"/>
  <c r="AH36" i="47"/>
  <c r="BP69" i="47"/>
  <c r="AG36" i="47"/>
  <c r="AE36" i="47"/>
  <c r="W84" i="46"/>
  <c r="C50" i="58" s="1"/>
  <c r="W60" i="46"/>
  <c r="Q60" i="46"/>
  <c r="P50" i="56" s="1"/>
  <c r="AQ60" i="46"/>
  <c r="AJ59" i="46"/>
  <c r="AK59" i="46" s="1"/>
  <c r="BO58" i="46" s="1"/>
  <c r="M15" i="46"/>
  <c r="L53" i="51" s="1"/>
  <c r="M38" i="46"/>
  <c r="L52" i="53" s="1"/>
  <c r="F38" i="44"/>
  <c r="F15" i="44"/>
  <c r="E33" i="51" s="1"/>
  <c r="Y60" i="44"/>
  <c r="E30" i="54" s="1"/>
  <c r="Y84" i="44"/>
  <c r="E30" i="58" s="1"/>
  <c r="AS60" i="44"/>
  <c r="E30" i="55" s="1"/>
  <c r="AF36" i="44"/>
  <c r="AD60" i="46"/>
  <c r="AD84" i="46"/>
  <c r="J50" i="58" s="1"/>
  <c r="AX60" i="46"/>
  <c r="AF60" i="47"/>
  <c r="L70" i="54" s="1"/>
  <c r="AF84" i="47"/>
  <c r="L70" i="58" s="1"/>
  <c r="AZ60" i="47"/>
  <c r="L70" i="55" s="1"/>
  <c r="E15" i="47"/>
  <c r="D73" i="51" s="1"/>
  <c r="E38" i="47"/>
  <c r="D72" i="53" s="1"/>
  <c r="F85" i="44"/>
  <c r="E31" i="57" s="1"/>
  <c r="BO59" i="47"/>
  <c r="AU35" i="47"/>
  <c r="M38" i="47"/>
  <c r="L72" i="53" s="1"/>
  <c r="M15" i="47"/>
  <c r="L73" i="51" s="1"/>
  <c r="E85" i="44"/>
  <c r="D31" i="57" s="1"/>
  <c r="I15" i="44"/>
  <c r="H33" i="51" s="1"/>
  <c r="I38" i="44"/>
  <c r="G15" i="47"/>
  <c r="F73" i="51" s="1"/>
  <c r="G38" i="47"/>
  <c r="F72" i="53" s="1"/>
  <c r="W36" i="44"/>
  <c r="W60" i="47"/>
  <c r="C70" i="54" s="1"/>
  <c r="Q60" i="47"/>
  <c r="P70" i="56" s="1"/>
  <c r="W84" i="47"/>
  <c r="C70" i="58" s="1"/>
  <c r="AQ60" i="47"/>
  <c r="C70" i="55" s="1"/>
  <c r="AJ83" i="44"/>
  <c r="P29" i="58" s="1"/>
  <c r="AF84" i="46"/>
  <c r="L50" i="58" s="1"/>
  <c r="AF60" i="46"/>
  <c r="AZ60" i="46"/>
  <c r="G61" i="46"/>
  <c r="F51" i="56" s="1"/>
  <c r="G85" i="46"/>
  <c r="F51" i="57" s="1"/>
  <c r="AC84" i="46"/>
  <c r="I50" i="58" s="1"/>
  <c r="AC60" i="46"/>
  <c r="AW60" i="46"/>
  <c r="AS36" i="44"/>
  <c r="BP61" i="44" s="1"/>
  <c r="Q84" i="46"/>
  <c r="P50" i="57" s="1"/>
  <c r="BR38" i="44"/>
  <c r="BR65" i="44" s="1"/>
  <c r="D15" i="44"/>
  <c r="C33" i="51" s="1"/>
  <c r="D38" i="44"/>
  <c r="Q14" i="44"/>
  <c r="P32" i="51" s="1"/>
  <c r="AJ83" i="46"/>
  <c r="P49" i="58" s="1"/>
  <c r="F38" i="47"/>
  <c r="E72" i="53" s="1"/>
  <c r="F15" i="47"/>
  <c r="E73" i="51" s="1"/>
  <c r="J61" i="47"/>
  <c r="I71" i="56" s="1"/>
  <c r="J85" i="47"/>
  <c r="I71" i="57" s="1"/>
  <c r="AF84" i="44"/>
  <c r="L30" i="58" s="1"/>
  <c r="AF60" i="44"/>
  <c r="L30" i="54" s="1"/>
  <c r="AZ60" i="44"/>
  <c r="L30" i="55" s="1"/>
  <c r="P58" i="47"/>
  <c r="AI34" i="47"/>
  <c r="Q84" i="47"/>
  <c r="P70" i="57" s="1"/>
  <c r="D85" i="47"/>
  <c r="C71" i="57" s="1"/>
  <c r="D61" i="47"/>
  <c r="C71" i="56" s="1"/>
  <c r="Q37" i="47"/>
  <c r="M61" i="46"/>
  <c r="L51" i="56" s="1"/>
  <c r="M85" i="46"/>
  <c r="L51" i="57" s="1"/>
  <c r="AJ35" i="46"/>
  <c r="M61" i="47"/>
  <c r="L71" i="56" s="1"/>
  <c r="M85" i="47"/>
  <c r="L71" i="57" s="1"/>
  <c r="E38" i="44"/>
  <c r="E15" i="44"/>
  <c r="D33" i="51" s="1"/>
  <c r="I85" i="44"/>
  <c r="H31" i="57" s="1"/>
  <c r="BJ12" i="47"/>
  <c r="BK12" i="47" s="1"/>
  <c r="BL12" i="47" s="1"/>
  <c r="P12" i="47" s="1"/>
  <c r="O70" i="51" s="1"/>
  <c r="E85" i="46"/>
  <c r="D51" i="57" s="1"/>
  <c r="E61" i="46"/>
  <c r="D51" i="56" s="1"/>
  <c r="G85" i="47"/>
  <c r="F71" i="57" s="1"/>
  <c r="G61" i="47"/>
  <c r="F71" i="56" s="1"/>
  <c r="AQ36" i="44"/>
  <c r="AB36" i="47"/>
  <c r="X84" i="46"/>
  <c r="D50" i="58" s="1"/>
  <c r="X60" i="46"/>
  <c r="AR60" i="46"/>
  <c r="AJ59" i="44"/>
  <c r="G38" i="46"/>
  <c r="F52" i="53" s="1"/>
  <c r="G15" i="46"/>
  <c r="F53" i="51" s="1"/>
  <c r="Y36" i="46"/>
  <c r="AH36" i="46"/>
  <c r="BP69" i="46"/>
  <c r="AG36" i="46"/>
  <c r="BP68" i="46"/>
  <c r="AE36" i="46"/>
  <c r="F61" i="47"/>
  <c r="E71" i="56" s="1"/>
  <c r="F85" i="47"/>
  <c r="E71" i="57" s="1"/>
  <c r="J15" i="47"/>
  <c r="I73" i="51" s="1"/>
  <c r="J38" i="47"/>
  <c r="I72" i="53" s="1"/>
  <c r="J38" i="44"/>
  <c r="J15" i="44"/>
  <c r="I33" i="51" s="1"/>
  <c r="H38" i="47"/>
  <c r="G72" i="53" s="1"/>
  <c r="H15" i="47"/>
  <c r="G73" i="51" s="1"/>
  <c r="BW38" i="47"/>
  <c r="BR67" i="47" s="1"/>
  <c r="CA37" i="44"/>
  <c r="K85" i="44"/>
  <c r="J31" i="57" s="1"/>
  <c r="AC60" i="47"/>
  <c r="I70" i="54" s="1"/>
  <c r="AC84" i="47"/>
  <c r="I70" i="58" s="1"/>
  <c r="AW60" i="47"/>
  <c r="I70" i="55" s="1"/>
  <c r="K15" i="46"/>
  <c r="J53" i="51" s="1"/>
  <c r="K38" i="46"/>
  <c r="AB60" i="44"/>
  <c r="H30" i="54" s="1"/>
  <c r="AB84" i="44"/>
  <c r="H30" i="58" s="1"/>
  <c r="AV60" i="44"/>
  <c r="H30" i="55" s="1"/>
  <c r="H15" i="46"/>
  <c r="G53" i="51" s="1"/>
  <c r="BW38" i="46"/>
  <c r="BR67" i="46" s="1"/>
  <c r="H38" i="46"/>
  <c r="AD84" i="47"/>
  <c r="J70" i="58" s="1"/>
  <c r="AD60" i="47"/>
  <c r="J70" i="54" s="1"/>
  <c r="AX60" i="47"/>
  <c r="J70" i="55" s="1"/>
  <c r="E15" i="46"/>
  <c r="D53" i="51" s="1"/>
  <c r="E38" i="46"/>
  <c r="D52" i="53" s="1"/>
  <c r="Z84" i="46"/>
  <c r="F50" i="58" s="1"/>
  <c r="Z60" i="46"/>
  <c r="AT60" i="46"/>
  <c r="W84" i="44"/>
  <c r="C30" i="58" s="1"/>
  <c r="AQ60" i="44"/>
  <c r="C30" i="55" s="1"/>
  <c r="AB84" i="47"/>
  <c r="H70" i="58" s="1"/>
  <c r="AB60" i="47"/>
  <c r="H70" i="54" s="1"/>
  <c r="AV60" i="47"/>
  <c r="H70" i="55" s="1"/>
  <c r="AT36" i="47"/>
  <c r="BP62" i="47" s="1"/>
  <c r="D85" i="44"/>
  <c r="C31" i="57" s="1"/>
  <c r="Q37" i="44"/>
  <c r="AU35" i="44"/>
  <c r="BC58" i="46"/>
  <c r="AA61" i="44"/>
  <c r="G31" i="54" s="1"/>
  <c r="H85" i="44"/>
  <c r="G31" i="57" s="1"/>
  <c r="K85" i="46"/>
  <c r="J51" i="57" s="1"/>
  <c r="CA37" i="46"/>
  <c r="AA61" i="46"/>
  <c r="H85" i="46"/>
  <c r="G51" i="57" s="1"/>
  <c r="Y84" i="47"/>
  <c r="E70" i="58" s="1"/>
  <c r="Y60" i="47"/>
  <c r="E70" i="54" s="1"/>
  <c r="AS60" i="47"/>
  <c r="E70" i="55" s="1"/>
  <c r="P82" i="44"/>
  <c r="O28" i="57" s="1"/>
  <c r="AI34" i="44"/>
  <c r="X36" i="44"/>
  <c r="AE36" i="44"/>
  <c r="AG36" i="44"/>
  <c r="BP69" i="44"/>
  <c r="BP68" i="44"/>
  <c r="AH36" i="44"/>
  <c r="P35" i="47"/>
  <c r="O69" i="53" s="1"/>
  <c r="AI11" i="47"/>
  <c r="BU35" i="47"/>
  <c r="BO66" i="47" s="1"/>
  <c r="BO35" i="47"/>
  <c r="BO64" i="47" s="1"/>
  <c r="AA36" i="47"/>
  <c r="I38" i="47"/>
  <c r="H72" i="53" s="1"/>
  <c r="I15" i="47"/>
  <c r="H73" i="51" s="1"/>
  <c r="Z84" i="44"/>
  <c r="F30" i="58" s="1"/>
  <c r="Z60" i="44"/>
  <c r="F30" i="54" s="1"/>
  <c r="AT60" i="44"/>
  <c r="F30" i="55" s="1"/>
  <c r="G85" i="44"/>
  <c r="F31" i="57" s="1"/>
  <c r="AB36" i="46"/>
  <c r="P83" i="46"/>
  <c r="O49" i="57" s="1"/>
  <c r="H15" i="44"/>
  <c r="G33" i="51" s="1"/>
  <c r="H38" i="44"/>
  <c r="BW38" i="44"/>
  <c r="BR67" i="44" s="1"/>
  <c r="AD84" i="44"/>
  <c r="J30" i="58" s="1"/>
  <c r="AD60" i="44"/>
  <c r="J30" i="54" s="1"/>
  <c r="AX60" i="44"/>
  <c r="J30" i="55" s="1"/>
  <c r="M15" i="44"/>
  <c r="L33" i="51" s="1"/>
  <c r="M38" i="44"/>
  <c r="Q14" i="46"/>
  <c r="P52" i="51" s="1"/>
  <c r="D15" i="46"/>
  <c r="C53" i="51" s="1"/>
  <c r="BR38" i="46"/>
  <c r="BR65" i="46" s="1"/>
  <c r="D38" i="46"/>
  <c r="C52" i="53" s="1"/>
  <c r="AJ10" i="44"/>
  <c r="Q84" i="44"/>
  <c r="P30" i="57" s="1"/>
  <c r="Y60" i="46"/>
  <c r="Y84" i="46"/>
  <c r="E50" i="58" s="1"/>
  <c r="AS60" i="46"/>
  <c r="AA84" i="47"/>
  <c r="G70" i="58" s="1"/>
  <c r="AU60" i="47"/>
  <c r="G70" i="55" s="1"/>
  <c r="I85" i="47"/>
  <c r="H71" i="57" s="1"/>
  <c r="I61" i="47"/>
  <c r="H71" i="56" s="1"/>
  <c r="BL55" i="44"/>
  <c r="I85" i="46"/>
  <c r="H51" i="57" s="1"/>
  <c r="I61" i="46"/>
  <c r="H51" i="56" s="1"/>
  <c r="J38" i="46"/>
  <c r="I52" i="53" s="1"/>
  <c r="J15" i="46"/>
  <c r="I53" i="51" s="1"/>
  <c r="G38" i="44"/>
  <c r="G15" i="44"/>
  <c r="F33" i="51" s="1"/>
  <c r="F13" i="51" s="1"/>
  <c r="F61" i="46"/>
  <c r="E51" i="56" s="1"/>
  <c r="F85" i="46"/>
  <c r="E51" i="57" s="1"/>
  <c r="AB84" i="46"/>
  <c r="H50" i="58" s="1"/>
  <c r="AB60" i="46"/>
  <c r="AV60" i="46"/>
  <c r="AR36" i="44"/>
  <c r="BP60" i="44" s="1"/>
  <c r="AD36" i="46"/>
  <c r="AJ11" i="46"/>
  <c r="C70" i="47"/>
  <c r="V70" i="47" s="1"/>
  <c r="AP70" i="47" s="1"/>
  <c r="C46" i="47"/>
  <c r="C23" i="47"/>
  <c r="V22" i="47"/>
  <c r="AP22" i="47" s="1"/>
  <c r="BI22" i="47" s="1"/>
  <c r="AH90" i="47"/>
  <c r="N76" i="58" s="1"/>
  <c r="N16" i="58" s="1"/>
  <c r="AH66" i="47"/>
  <c r="N76" i="54" s="1"/>
  <c r="BB66" i="47"/>
  <c r="N76" i="55" s="1"/>
  <c r="N16" i="55" s="1"/>
  <c r="C93" i="47"/>
  <c r="V45" i="47"/>
  <c r="V93" i="47" s="1"/>
  <c r="B70" i="47"/>
  <c r="U70" i="47" s="1"/>
  <c r="AO70" i="47" s="1"/>
  <c r="B46" i="47"/>
  <c r="U22" i="47"/>
  <c r="AO22" i="47" s="1"/>
  <c r="BH22" i="47" s="1"/>
  <c r="B23" i="47"/>
  <c r="BX44" i="47"/>
  <c r="N44" i="47"/>
  <c r="N21" i="47"/>
  <c r="BD21" i="47"/>
  <c r="AU22" i="47"/>
  <c r="AE90" i="47"/>
  <c r="K76" i="58" s="1"/>
  <c r="AE66" i="47"/>
  <c r="K76" i="54" s="1"/>
  <c r="AY66" i="47"/>
  <c r="K76" i="55" s="1"/>
  <c r="B93" i="47"/>
  <c r="U45" i="47"/>
  <c r="U93" i="47" s="1"/>
  <c r="BA41" i="47"/>
  <c r="O44" i="47"/>
  <c r="N78" i="53" s="1"/>
  <c r="O21" i="47"/>
  <c r="N91" i="47"/>
  <c r="M77" i="57" s="1"/>
  <c r="O91" i="47"/>
  <c r="N77" i="57" s="1"/>
  <c r="N17" i="57" s="1"/>
  <c r="O67" i="47"/>
  <c r="N77" i="56" s="1"/>
  <c r="N17" i="56" s="1"/>
  <c r="AG90" i="47"/>
  <c r="M76" i="58" s="1"/>
  <c r="AG66" i="47"/>
  <c r="M76" i="54" s="1"/>
  <c r="BA66" i="47"/>
  <c r="M76" i="55" s="1"/>
  <c r="AP43" i="47"/>
  <c r="AZ42" i="47"/>
  <c r="AX42" i="47"/>
  <c r="AW42" i="47"/>
  <c r="BA42" i="47" s="1"/>
  <c r="L44" i="47"/>
  <c r="L21" i="47"/>
  <c r="L91" i="47"/>
  <c r="K77" i="57" s="1"/>
  <c r="L92" i="46"/>
  <c r="K58" i="57" s="1"/>
  <c r="BD20" i="46"/>
  <c r="AU21" i="46"/>
  <c r="B68" i="46"/>
  <c r="U68" i="46" s="1"/>
  <c r="AO68" i="46" s="1"/>
  <c r="B44" i="46"/>
  <c r="B21" i="46"/>
  <c r="U20" i="46"/>
  <c r="AO20" i="46" s="1"/>
  <c r="BH20" i="46" s="1"/>
  <c r="N91" i="46"/>
  <c r="M57" i="57" s="1"/>
  <c r="AG90" i="46"/>
  <c r="M56" i="58" s="1"/>
  <c r="AG66" i="46"/>
  <c r="BA66" i="46"/>
  <c r="AH91" i="46"/>
  <c r="N57" i="58" s="1"/>
  <c r="AH67" i="46"/>
  <c r="BB67" i="46"/>
  <c r="BA41" i="46"/>
  <c r="C69" i="46"/>
  <c r="V69" i="46" s="1"/>
  <c r="AP69" i="46" s="1"/>
  <c r="C45" i="46"/>
  <c r="V21" i="46"/>
  <c r="AP21" i="46" s="1"/>
  <c r="BI21" i="46" s="1"/>
  <c r="C22" i="46"/>
  <c r="B91" i="46"/>
  <c r="U43" i="46"/>
  <c r="U91" i="46" s="1"/>
  <c r="C92" i="46"/>
  <c r="V44" i="46"/>
  <c r="V92" i="46" s="1"/>
  <c r="O22" i="46"/>
  <c r="O45" i="46"/>
  <c r="N59" i="53" s="1"/>
  <c r="BQ42" i="46"/>
  <c r="BT42" i="46"/>
  <c r="AE91" i="46"/>
  <c r="K57" i="58" s="1"/>
  <c r="AE67" i="46"/>
  <c r="AY67" i="46"/>
  <c r="O92" i="46"/>
  <c r="N58" i="57" s="1"/>
  <c r="O68" i="46"/>
  <c r="N58" i="56" s="1"/>
  <c r="AP43" i="46"/>
  <c r="AZ42" i="46"/>
  <c r="AX42" i="46"/>
  <c r="AW42" i="46"/>
  <c r="BA42" i="46" s="1"/>
  <c r="N44" i="46"/>
  <c r="BX44" i="46"/>
  <c r="N21" i="46"/>
  <c r="BL44" i="46"/>
  <c r="BN43" i="46"/>
  <c r="L45" i="46"/>
  <c r="L22" i="46"/>
  <c r="B71" i="44"/>
  <c r="U71" i="44" s="1"/>
  <c r="AO71" i="44" s="1"/>
  <c r="U23" i="44"/>
  <c r="AO23" i="44" s="1"/>
  <c r="BH23" i="44" s="1"/>
  <c r="C71" i="44"/>
  <c r="V71" i="44" s="1"/>
  <c r="AP71" i="44" s="1"/>
  <c r="V23" i="44"/>
  <c r="AP23" i="44" s="1"/>
  <c r="BI23" i="44" s="1"/>
  <c r="BT42" i="44"/>
  <c r="BQ42" i="44"/>
  <c r="L91" i="44"/>
  <c r="K37" i="57" s="1"/>
  <c r="AG92" i="44"/>
  <c r="M38" i="58" s="1"/>
  <c r="AG68" i="44"/>
  <c r="M38" i="54" s="1"/>
  <c r="BA68" i="44"/>
  <c r="M38" i="55" s="1"/>
  <c r="O45" i="44"/>
  <c r="O22" i="44"/>
  <c r="AH91" i="44"/>
  <c r="N37" i="58" s="1"/>
  <c r="AH67" i="44"/>
  <c r="N37" i="54" s="1"/>
  <c r="BB67" i="44"/>
  <c r="N37" i="55" s="1"/>
  <c r="O92" i="44"/>
  <c r="N38" i="57" s="1"/>
  <c r="AU22" i="44"/>
  <c r="BD21" i="44"/>
  <c r="BA43" i="44"/>
  <c r="AE90" i="44"/>
  <c r="K36" i="58" s="1"/>
  <c r="AE66" i="44"/>
  <c r="K36" i="54" s="1"/>
  <c r="AY66" i="44"/>
  <c r="K36" i="55" s="1"/>
  <c r="AX44" i="44"/>
  <c r="AW44" i="44"/>
  <c r="BA44" i="44" s="1"/>
  <c r="AP45" i="44"/>
  <c r="AZ44" i="44"/>
  <c r="N46" i="44"/>
  <c r="BX46" i="44"/>
  <c r="N23" i="44"/>
  <c r="N93" i="44"/>
  <c r="M39" i="57" s="1"/>
  <c r="BL44" i="44"/>
  <c r="BN43" i="44"/>
  <c r="L44" i="44"/>
  <c r="L21" i="44"/>
  <c r="BW36" i="43"/>
  <c r="BP67" i="43" s="1"/>
  <c r="CA35" i="43"/>
  <c r="F59" i="43"/>
  <c r="Y83" i="43" s="1"/>
  <c r="O60" i="43"/>
  <c r="AA59" i="43"/>
  <c r="AA83" i="43"/>
  <c r="M59" i="43"/>
  <c r="AF83" i="43" s="1"/>
  <c r="I59" i="43"/>
  <c r="AB83" i="43" s="1"/>
  <c r="E59" i="43"/>
  <c r="X83" i="43" s="1"/>
  <c r="J59" i="43"/>
  <c r="AC83" i="43" s="1"/>
  <c r="G59" i="43"/>
  <c r="Z83" i="43" s="1"/>
  <c r="AD83" i="43"/>
  <c r="H13" i="43"/>
  <c r="H36" i="43"/>
  <c r="H60" i="43" s="1"/>
  <c r="L14" i="43"/>
  <c r="L37" i="43"/>
  <c r="L61" i="43" s="1"/>
  <c r="I13" i="43"/>
  <c r="I36" i="43"/>
  <c r="N14" i="43"/>
  <c r="N37" i="43"/>
  <c r="N61" i="43" s="1"/>
  <c r="E13" i="43"/>
  <c r="E36" i="43"/>
  <c r="M13" i="43"/>
  <c r="M36" i="43"/>
  <c r="BQ40" i="43"/>
  <c r="BT40" i="43"/>
  <c r="J13" i="43"/>
  <c r="J36" i="43"/>
  <c r="G13" i="43"/>
  <c r="G36" i="43"/>
  <c r="K13" i="43"/>
  <c r="K36" i="43"/>
  <c r="K60" i="43" s="1"/>
  <c r="F13" i="43"/>
  <c r="F36" i="43"/>
  <c r="O14" i="43"/>
  <c r="O37" i="43"/>
  <c r="Y52" i="43"/>
  <c r="AS52" i="43"/>
  <c r="AF52" i="43"/>
  <c r="AZ52" i="43"/>
  <c r="AD52" i="43"/>
  <c r="AX52" i="43"/>
  <c r="AU52" i="43"/>
  <c r="AC52" i="43"/>
  <c r="AW52" i="43"/>
  <c r="AE52" i="43"/>
  <c r="AY52" i="43"/>
  <c r="Z52" i="43"/>
  <c r="AT52" i="43"/>
  <c r="AB52" i="43"/>
  <c r="AV52" i="43"/>
  <c r="X52" i="43"/>
  <c r="AR52" i="43"/>
  <c r="AG52" i="43"/>
  <c r="BA52" i="43"/>
  <c r="AE53" i="43"/>
  <c r="AY53" i="43"/>
  <c r="AC54" i="43"/>
  <c r="AW54" i="43"/>
  <c r="X54" i="43"/>
  <c r="AR54" i="43"/>
  <c r="Z53" i="43"/>
  <c r="AT53" i="43"/>
  <c r="AH56" i="43"/>
  <c r="BB56" i="43"/>
  <c r="Y57" i="43"/>
  <c r="AS57" i="43"/>
  <c r="AC58" i="43"/>
  <c r="AW58" i="43"/>
  <c r="AH57" i="43"/>
  <c r="BB57" i="43"/>
  <c r="AC53" i="43"/>
  <c r="AW53" i="43"/>
  <c r="X58" i="43"/>
  <c r="AR58" i="43"/>
  <c r="AW11" i="43"/>
  <c r="AE58" i="43"/>
  <c r="AY58" i="43"/>
  <c r="AB53" i="43"/>
  <c r="AV53" i="43"/>
  <c r="AH54" i="43"/>
  <c r="BB54" i="43"/>
  <c r="AG56" i="43"/>
  <c r="BA56" i="43"/>
  <c r="AF56" i="43"/>
  <c r="AZ56" i="43"/>
  <c r="X53" i="43"/>
  <c r="AR53" i="43"/>
  <c r="X56" i="43"/>
  <c r="AR56" i="43"/>
  <c r="AE57" i="43"/>
  <c r="AY57" i="43"/>
  <c r="AE54" i="43"/>
  <c r="AY54" i="43"/>
  <c r="AG59" i="43"/>
  <c r="BA59" i="43"/>
  <c r="AU53" i="43"/>
  <c r="AH59" i="43"/>
  <c r="BB59" i="43"/>
  <c r="AB58" i="43"/>
  <c r="AV58" i="43"/>
  <c r="AU54" i="43"/>
  <c r="AU57" i="43"/>
  <c r="AE59" i="43"/>
  <c r="AY59" i="43"/>
  <c r="AB57" i="43"/>
  <c r="AV57" i="43"/>
  <c r="AD58" i="43"/>
  <c r="AX58" i="43"/>
  <c r="AF55" i="43"/>
  <c r="AZ55" i="43"/>
  <c r="AB56" i="43"/>
  <c r="AV56" i="43"/>
  <c r="Y58" i="43"/>
  <c r="AS58" i="43"/>
  <c r="AD55" i="43"/>
  <c r="AX55" i="43"/>
  <c r="AU58" i="43"/>
  <c r="Y54" i="43"/>
  <c r="AS54" i="43"/>
  <c r="AE55" i="43"/>
  <c r="AY55" i="43"/>
  <c r="Z57" i="43"/>
  <c r="AT57" i="43"/>
  <c r="AC55" i="43"/>
  <c r="AW55" i="43"/>
  <c r="AF58" i="43"/>
  <c r="AZ58" i="43"/>
  <c r="AB55" i="43"/>
  <c r="AV55" i="43"/>
  <c r="AC56" i="43"/>
  <c r="AW56" i="43"/>
  <c r="Y56" i="43"/>
  <c r="AS56" i="43"/>
  <c r="AD57" i="43"/>
  <c r="AX57" i="43"/>
  <c r="Y53" i="43"/>
  <c r="AS53" i="43"/>
  <c r="AC57" i="43"/>
  <c r="AW57" i="43"/>
  <c r="AE56" i="43"/>
  <c r="AY56" i="43"/>
  <c r="Z54" i="43"/>
  <c r="AT54" i="43"/>
  <c r="Z55" i="43"/>
  <c r="AT55" i="43"/>
  <c r="AG53" i="43"/>
  <c r="BA53" i="43"/>
  <c r="AF53" i="43"/>
  <c r="AZ53" i="43"/>
  <c r="AU55" i="43"/>
  <c r="AH53" i="43"/>
  <c r="BB53" i="43"/>
  <c r="AG58" i="43"/>
  <c r="BA58" i="43"/>
  <c r="AU56" i="43"/>
  <c r="AH55" i="43"/>
  <c r="BB55" i="43"/>
  <c r="AB54" i="43"/>
  <c r="AV54" i="43"/>
  <c r="AG54" i="43"/>
  <c r="BA54" i="43"/>
  <c r="AD56" i="43"/>
  <c r="AX56" i="43"/>
  <c r="Z56" i="43"/>
  <c r="AT56" i="43"/>
  <c r="AF57" i="43"/>
  <c r="AZ57" i="43"/>
  <c r="X55" i="43"/>
  <c r="AR55" i="43"/>
  <c r="Y55" i="43"/>
  <c r="AS55" i="43"/>
  <c r="AD54" i="43"/>
  <c r="AX54" i="43"/>
  <c r="AG57" i="43"/>
  <c r="BA57" i="43"/>
  <c r="AD53" i="43"/>
  <c r="AX53" i="43"/>
  <c r="Z58" i="43"/>
  <c r="AT58" i="43"/>
  <c r="X57" i="43"/>
  <c r="AR57" i="43"/>
  <c r="AF54" i="43"/>
  <c r="AZ54" i="43"/>
  <c r="AX11" i="43"/>
  <c r="AV11" i="43"/>
  <c r="AY12" i="43"/>
  <c r="BA12" i="43"/>
  <c r="AU11" i="43"/>
  <c r="AZ12" i="43"/>
  <c r="BL42" i="43"/>
  <c r="BM41" i="43"/>
  <c r="BN41" i="43" s="1"/>
  <c r="AG28" i="43"/>
  <c r="AB28" i="43"/>
  <c r="AE28" i="43"/>
  <c r="AT28" i="43"/>
  <c r="AC28" i="43"/>
  <c r="AA28" i="43"/>
  <c r="AD28" i="43"/>
  <c r="BJ4" i="43"/>
  <c r="X28" i="43"/>
  <c r="Y28" i="43"/>
  <c r="AR28" i="43"/>
  <c r="W28" i="43"/>
  <c r="AQ28" i="43"/>
  <c r="BD29" i="43" s="1"/>
  <c r="W52" i="43"/>
  <c r="Q52" i="43"/>
  <c r="AS28" i="43"/>
  <c r="BF29" i="43" s="1"/>
  <c r="AY28" i="43" s="1"/>
  <c r="AY29" i="43" s="1"/>
  <c r="AY30" i="43" s="1"/>
  <c r="AY31" i="43" s="1"/>
  <c r="AY32" i="43" s="1"/>
  <c r="AY33" i="43" s="1"/>
  <c r="AY34" i="43" s="1"/>
  <c r="AY35" i="43" s="1"/>
  <c r="AY36" i="43" s="1"/>
  <c r="AY37" i="43" s="1"/>
  <c r="AY38" i="43" s="1"/>
  <c r="AY39" i="43" s="1"/>
  <c r="AY40" i="43" s="1"/>
  <c r="AY41" i="43" s="1"/>
  <c r="AY42" i="43" s="1"/>
  <c r="AY43" i="43" s="1"/>
  <c r="AY44" i="43" s="1"/>
  <c r="AY45" i="43" s="1"/>
  <c r="AY46" i="43" s="1"/>
  <c r="AY47" i="43" s="1"/>
  <c r="AF28" i="43"/>
  <c r="Z28" i="43"/>
  <c r="AZ43" i="43"/>
  <c r="AX43" i="43"/>
  <c r="AP44" i="43"/>
  <c r="AW44" i="43" s="1"/>
  <c r="BS63" i="50" l="1"/>
  <c r="C10" i="58"/>
  <c r="AI35" i="46"/>
  <c r="F11" i="57"/>
  <c r="M17" i="56"/>
  <c r="N16" i="54"/>
  <c r="M17" i="57"/>
  <c r="K16" i="58"/>
  <c r="L68" i="44"/>
  <c r="K38" i="56" s="1"/>
  <c r="K38" i="53"/>
  <c r="K17" i="57"/>
  <c r="K59" i="53"/>
  <c r="L69" i="46"/>
  <c r="K59" i="56" s="1"/>
  <c r="M17" i="53"/>
  <c r="K16" i="55"/>
  <c r="M16" i="58"/>
  <c r="K100" i="53"/>
  <c r="L70" i="48"/>
  <c r="K100" i="56" s="1"/>
  <c r="K16" i="54"/>
  <c r="N68" i="47"/>
  <c r="M78" i="56" s="1"/>
  <c r="M78" i="53"/>
  <c r="BT55" i="48"/>
  <c r="M56" i="55"/>
  <c r="M16" i="55" s="1"/>
  <c r="M56" i="54"/>
  <c r="M16" i="54" s="1"/>
  <c r="BT63" i="48"/>
  <c r="M40" i="53"/>
  <c r="N70" i="44"/>
  <c r="M40" i="56" s="1"/>
  <c r="N39" i="53"/>
  <c r="O69" i="44"/>
  <c r="N39" i="56" s="1"/>
  <c r="K57" i="55"/>
  <c r="K57" i="54"/>
  <c r="N57" i="55"/>
  <c r="N57" i="54"/>
  <c r="K78" i="53"/>
  <c r="L68" i="47"/>
  <c r="K78" i="56" s="1"/>
  <c r="M58" i="53"/>
  <c r="M18" i="53" s="1"/>
  <c r="N68" i="46"/>
  <c r="M58" i="56" s="1"/>
  <c r="M101" i="53"/>
  <c r="N71" i="48"/>
  <c r="M101" i="56" s="1"/>
  <c r="N18" i="53"/>
  <c r="Q61" i="44"/>
  <c r="P31" i="56" s="1"/>
  <c r="H13" i="51"/>
  <c r="L13" i="51"/>
  <c r="G10" i="58"/>
  <c r="P10" i="57"/>
  <c r="C11" i="57"/>
  <c r="O6" i="55"/>
  <c r="L10" i="58"/>
  <c r="C13" i="51"/>
  <c r="I11" i="57"/>
  <c r="M62" i="44"/>
  <c r="L32" i="56" s="1"/>
  <c r="L32" i="53"/>
  <c r="L12" i="53" s="1"/>
  <c r="C50" i="55"/>
  <c r="C50" i="54"/>
  <c r="D50" i="55"/>
  <c r="D10" i="55" s="1"/>
  <c r="D50" i="54"/>
  <c r="D10" i="54" s="1"/>
  <c r="BD64" i="50"/>
  <c r="P134" i="55" s="1"/>
  <c r="O134" i="55"/>
  <c r="J11" i="53"/>
  <c r="BL63" i="44"/>
  <c r="H62" i="46"/>
  <c r="G52" i="56" s="1"/>
  <c r="G52" i="53"/>
  <c r="I13" i="51"/>
  <c r="D62" i="44"/>
  <c r="C32" i="56" s="1"/>
  <c r="C32" i="53"/>
  <c r="C12" i="53" s="1"/>
  <c r="P36" i="44"/>
  <c r="O30" i="53" s="1"/>
  <c r="O30" i="51"/>
  <c r="O10" i="51" s="1"/>
  <c r="AR44" i="48"/>
  <c r="P98" i="53"/>
  <c r="BD65" i="49"/>
  <c r="P115" i="55" s="1"/>
  <c r="O115" i="55"/>
  <c r="P10" i="56"/>
  <c r="J11" i="56"/>
  <c r="P82" i="47"/>
  <c r="O68" i="57" s="1"/>
  <c r="O8" i="57" s="1"/>
  <c r="O68" i="56"/>
  <c r="O8" i="56" s="1"/>
  <c r="F50" i="55"/>
  <c r="F10" i="55" s="1"/>
  <c r="F50" i="54"/>
  <c r="F10" i="54" s="1"/>
  <c r="J62" i="44"/>
  <c r="I32" i="56" s="1"/>
  <c r="I32" i="53"/>
  <c r="I12" i="53" s="1"/>
  <c r="H11" i="57"/>
  <c r="AQ37" i="47"/>
  <c r="P71" i="53"/>
  <c r="E13" i="51"/>
  <c r="G50" i="55"/>
  <c r="G50" i="54"/>
  <c r="G10" i="54" s="1"/>
  <c r="BD57" i="47"/>
  <c r="O67" i="55"/>
  <c r="AK66" i="48"/>
  <c r="BV58" i="48" s="1"/>
  <c r="P96" i="54"/>
  <c r="K69" i="50"/>
  <c r="J139" i="56" s="1"/>
  <c r="J139" i="53"/>
  <c r="D99" i="53"/>
  <c r="E69" i="48"/>
  <c r="E93" i="48"/>
  <c r="D99" i="57" s="1"/>
  <c r="L11" i="56"/>
  <c r="G11" i="53"/>
  <c r="P5" i="55"/>
  <c r="D11" i="56"/>
  <c r="J98" i="56"/>
  <c r="AX68" i="48"/>
  <c r="J98" i="55" s="1"/>
  <c r="AD92" i="48"/>
  <c r="J98" i="58" s="1"/>
  <c r="AD68" i="48"/>
  <c r="J98" i="54" s="1"/>
  <c r="AK59" i="44"/>
  <c r="BO58" i="44" s="1"/>
  <c r="P29" i="54"/>
  <c r="E10" i="58"/>
  <c r="D98" i="56"/>
  <c r="AR68" i="48"/>
  <c r="D98" i="55" s="1"/>
  <c r="X92" i="48"/>
  <c r="D98" i="58" s="1"/>
  <c r="X68" i="48"/>
  <c r="D98" i="54" s="1"/>
  <c r="G62" i="44"/>
  <c r="F32" i="56" s="1"/>
  <c r="F32" i="53"/>
  <c r="F12" i="53" s="1"/>
  <c r="J10" i="58"/>
  <c r="D13" i="51"/>
  <c r="L50" i="55"/>
  <c r="L10" i="55" s="1"/>
  <c r="L50" i="54"/>
  <c r="L10" i="54" s="1"/>
  <c r="J50" i="55"/>
  <c r="J10" i="55" s="1"/>
  <c r="J50" i="54"/>
  <c r="J10" i="54" s="1"/>
  <c r="F62" i="44"/>
  <c r="E32" i="56" s="1"/>
  <c r="E32" i="53"/>
  <c r="E12" i="53" s="1"/>
  <c r="I10" i="58"/>
  <c r="AK59" i="47"/>
  <c r="BO58" i="47" s="1"/>
  <c r="P69" i="54"/>
  <c r="AA44" i="50"/>
  <c r="P138" i="53"/>
  <c r="AK66" i="50"/>
  <c r="BV58" i="50" s="1"/>
  <c r="P136" i="54"/>
  <c r="D100" i="51"/>
  <c r="E23" i="48"/>
  <c r="E46" i="48"/>
  <c r="O7" i="55"/>
  <c r="G11" i="56"/>
  <c r="P12" i="51"/>
  <c r="D11" i="57"/>
  <c r="L11" i="57"/>
  <c r="AK66" i="49"/>
  <c r="BV58" i="49" s="1"/>
  <c r="P116" i="54"/>
  <c r="G11" i="57"/>
  <c r="J11" i="57"/>
  <c r="E62" i="44"/>
  <c r="D32" i="56" s="1"/>
  <c r="D32" i="53"/>
  <c r="D12" i="53" s="1"/>
  <c r="D10" i="58"/>
  <c r="AI35" i="44"/>
  <c r="O29" i="53"/>
  <c r="O9" i="53" s="1"/>
  <c r="BD64" i="49"/>
  <c r="P114" i="55" s="1"/>
  <c r="O114" i="55"/>
  <c r="E11" i="56"/>
  <c r="BM63" i="44"/>
  <c r="P27" i="55"/>
  <c r="P10" i="53"/>
  <c r="F11" i="56"/>
  <c r="K62" i="46"/>
  <c r="J52" i="56" s="1"/>
  <c r="J52" i="53"/>
  <c r="AF37" i="44"/>
  <c r="P31" i="53"/>
  <c r="H50" i="55"/>
  <c r="H10" i="55" s="1"/>
  <c r="H50" i="54"/>
  <c r="H10" i="54" s="1"/>
  <c r="H62" i="44"/>
  <c r="G32" i="56" s="1"/>
  <c r="G32" i="53"/>
  <c r="G12" i="53" s="1"/>
  <c r="F10" i="58"/>
  <c r="H10" i="58"/>
  <c r="E11" i="57"/>
  <c r="AQ37" i="46"/>
  <c r="BQ59" i="46" s="1"/>
  <c r="P51" i="53"/>
  <c r="K62" i="47"/>
  <c r="J72" i="56" s="1"/>
  <c r="J72" i="53"/>
  <c r="K62" i="44"/>
  <c r="J32" i="56" s="1"/>
  <c r="J32" i="53"/>
  <c r="P43" i="48"/>
  <c r="O97" i="53" s="1"/>
  <c r="O97" i="51"/>
  <c r="I11" i="56"/>
  <c r="H11" i="56"/>
  <c r="BM63" i="46"/>
  <c r="P47" i="55"/>
  <c r="P47" i="54"/>
  <c r="P7" i="54" s="1"/>
  <c r="J100" i="51"/>
  <c r="K46" i="48"/>
  <c r="K23" i="48"/>
  <c r="G10" i="55"/>
  <c r="AI42" i="48"/>
  <c r="O96" i="53"/>
  <c r="K69" i="49"/>
  <c r="J119" i="56" s="1"/>
  <c r="J119" i="53"/>
  <c r="E50" i="55"/>
  <c r="E10" i="55" s="1"/>
  <c r="E50" i="54"/>
  <c r="E10" i="54" s="1"/>
  <c r="G13" i="51"/>
  <c r="BD58" i="46"/>
  <c r="O48" i="55"/>
  <c r="O48" i="54"/>
  <c r="O8" i="54" s="1"/>
  <c r="C10" i="55"/>
  <c r="I50" i="55"/>
  <c r="I10" i="55" s="1"/>
  <c r="I50" i="54"/>
  <c r="I10" i="54" s="1"/>
  <c r="P9" i="58"/>
  <c r="I62" i="44"/>
  <c r="H32" i="56" s="1"/>
  <c r="H32" i="53"/>
  <c r="H12" i="53" s="1"/>
  <c r="J13" i="51"/>
  <c r="X44" i="49"/>
  <c r="P118" i="53"/>
  <c r="BD65" i="50"/>
  <c r="P135" i="55" s="1"/>
  <c r="O135" i="55"/>
  <c r="C11" i="56"/>
  <c r="C10" i="54"/>
  <c r="BL63" i="47"/>
  <c r="P66" i="55"/>
  <c r="P6" i="55" s="1"/>
  <c r="K69" i="48"/>
  <c r="J99" i="53"/>
  <c r="K93" i="48"/>
  <c r="J99" i="57" s="1"/>
  <c r="AA44" i="49"/>
  <c r="Y44" i="50"/>
  <c r="Z44" i="50"/>
  <c r="AJ43" i="50"/>
  <c r="AS44" i="50"/>
  <c r="BX61" i="50" s="1"/>
  <c r="AJ43" i="49"/>
  <c r="Q92" i="50"/>
  <c r="P138" i="57" s="1"/>
  <c r="AD68" i="50"/>
  <c r="J138" i="54" s="1"/>
  <c r="AD92" i="50"/>
  <c r="J138" i="58" s="1"/>
  <c r="AX68" i="50"/>
  <c r="J138" i="55" s="1"/>
  <c r="AJ18" i="49"/>
  <c r="I46" i="49"/>
  <c r="H120" i="53" s="1"/>
  <c r="I23" i="49"/>
  <c r="H121" i="51" s="1"/>
  <c r="Y44" i="49"/>
  <c r="AC92" i="49"/>
  <c r="I118" i="58" s="1"/>
  <c r="AC68" i="49"/>
  <c r="I118" i="54" s="1"/>
  <c r="AW68" i="49"/>
  <c r="I118" i="55" s="1"/>
  <c r="AB44" i="50"/>
  <c r="AJ91" i="49"/>
  <c r="P117" i="58" s="1"/>
  <c r="E93" i="49"/>
  <c r="D119" i="57" s="1"/>
  <c r="E69" i="49"/>
  <c r="D119" i="56" s="1"/>
  <c r="I93" i="49"/>
  <c r="H119" i="57" s="1"/>
  <c r="I69" i="49"/>
  <c r="H119" i="56" s="1"/>
  <c r="AU43" i="50"/>
  <c r="Y68" i="49"/>
  <c r="E118" i="54" s="1"/>
  <c r="AS68" i="49"/>
  <c r="E118" i="55" s="1"/>
  <c r="Y92" i="49"/>
  <c r="E118" i="58" s="1"/>
  <c r="AB92" i="50"/>
  <c r="H138" i="58" s="1"/>
  <c r="AB68" i="50"/>
  <c r="H138" i="54" s="1"/>
  <c r="AV68" i="50"/>
  <c r="H138" i="55" s="1"/>
  <c r="AJ67" i="49"/>
  <c r="AU43" i="49"/>
  <c r="BW59" i="49"/>
  <c r="BU63" i="49"/>
  <c r="BU55" i="49"/>
  <c r="BT63" i="50"/>
  <c r="BO43" i="50"/>
  <c r="BW64" i="50" s="1"/>
  <c r="BU43" i="50"/>
  <c r="BW66" i="50" s="1"/>
  <c r="P43" i="50"/>
  <c r="O137" i="53" s="1"/>
  <c r="AI19" i="50"/>
  <c r="H93" i="49"/>
  <c r="G119" i="57" s="1"/>
  <c r="AA69" i="49"/>
  <c r="G119" i="54" s="1"/>
  <c r="H69" i="49"/>
  <c r="G119" i="56" s="1"/>
  <c r="AF44" i="49"/>
  <c r="E93" i="50"/>
  <c r="D139" i="57" s="1"/>
  <c r="E69" i="50"/>
  <c r="D139" i="56" s="1"/>
  <c r="F23" i="49"/>
  <c r="F46" i="49"/>
  <c r="E120" i="53" s="1"/>
  <c r="K93" i="49"/>
  <c r="J119" i="57" s="1"/>
  <c r="CA45" i="49"/>
  <c r="H93" i="50"/>
  <c r="G139" i="57" s="1"/>
  <c r="H69" i="50"/>
  <c r="G139" i="56" s="1"/>
  <c r="AA69" i="50"/>
  <c r="G139" i="54" s="1"/>
  <c r="AD44" i="49"/>
  <c r="I23" i="50"/>
  <c r="H141" i="51" s="1"/>
  <c r="I46" i="50"/>
  <c r="H140" i="53" s="1"/>
  <c r="Z92" i="50"/>
  <c r="F138" i="58" s="1"/>
  <c r="Z68" i="50"/>
  <c r="F138" i="54" s="1"/>
  <c r="AT68" i="50"/>
  <c r="F138" i="55" s="1"/>
  <c r="AI42" i="50"/>
  <c r="P90" i="50"/>
  <c r="O136" i="57" s="1"/>
  <c r="K46" i="50"/>
  <c r="K23" i="50"/>
  <c r="J46" i="50"/>
  <c r="I140" i="53" s="1"/>
  <c r="J23" i="50"/>
  <c r="M23" i="49"/>
  <c r="L121" i="51" s="1"/>
  <c r="M46" i="49"/>
  <c r="L120" i="53" s="1"/>
  <c r="H46" i="49"/>
  <c r="G120" i="53" s="1"/>
  <c r="H23" i="49"/>
  <c r="G121" i="51" s="1"/>
  <c r="BW46" i="49"/>
  <c r="BZ67" i="49" s="1"/>
  <c r="X44" i="50"/>
  <c r="AF92" i="49"/>
  <c r="L118" i="58" s="1"/>
  <c r="AF68" i="49"/>
  <c r="L118" i="54" s="1"/>
  <c r="AZ68" i="49"/>
  <c r="L118" i="55" s="1"/>
  <c r="AS44" i="49"/>
  <c r="BX61" i="49" s="1"/>
  <c r="BT55" i="49"/>
  <c r="BT63" i="49"/>
  <c r="F93" i="49"/>
  <c r="E119" i="57" s="1"/>
  <c r="F69" i="49"/>
  <c r="E119" i="56" s="1"/>
  <c r="H46" i="50"/>
  <c r="G140" i="53" s="1"/>
  <c r="H23" i="50"/>
  <c r="G141" i="51" s="1"/>
  <c r="BW46" i="50"/>
  <c r="BZ67" i="50" s="1"/>
  <c r="I69" i="50"/>
  <c r="H139" i="56" s="1"/>
  <c r="I93" i="50"/>
  <c r="H139" i="57" s="1"/>
  <c r="D93" i="49"/>
  <c r="C119" i="57" s="1"/>
  <c r="D69" i="49"/>
  <c r="C119" i="56" s="1"/>
  <c r="Q45" i="49"/>
  <c r="W45" i="49" s="1"/>
  <c r="K23" i="49"/>
  <c r="K46" i="49"/>
  <c r="AQ44" i="50"/>
  <c r="AC44" i="50"/>
  <c r="D23" i="50"/>
  <c r="C141" i="51" s="1"/>
  <c r="D46" i="50"/>
  <c r="C140" i="53" s="1"/>
  <c r="BR46" i="50"/>
  <c r="BZ65" i="50" s="1"/>
  <c r="Q22" i="50"/>
  <c r="P140" i="51" s="1"/>
  <c r="AJ91" i="50"/>
  <c r="P137" i="58" s="1"/>
  <c r="K93" i="50"/>
  <c r="J139" i="57" s="1"/>
  <c r="CA45" i="50"/>
  <c r="J93" i="50"/>
  <c r="I139" i="57" s="1"/>
  <c r="J69" i="50"/>
  <c r="I139" i="56" s="1"/>
  <c r="M93" i="49"/>
  <c r="L119" i="57" s="1"/>
  <c r="M69" i="49"/>
  <c r="L119" i="56" s="1"/>
  <c r="AF45" i="49"/>
  <c r="W44" i="49"/>
  <c r="X92" i="50"/>
  <c r="D138" i="58" s="1"/>
  <c r="X68" i="50"/>
  <c r="D138" i="54" s="1"/>
  <c r="AR68" i="50"/>
  <c r="D138" i="55" s="1"/>
  <c r="Z44" i="49"/>
  <c r="G46" i="49"/>
  <c r="F120" i="53" s="1"/>
  <c r="G23" i="49"/>
  <c r="J46" i="49"/>
  <c r="I120" i="53" s="1"/>
  <c r="J23" i="49"/>
  <c r="I121" i="51" s="1"/>
  <c r="AI19" i="49"/>
  <c r="BO43" i="49"/>
  <c r="BW64" i="49" s="1"/>
  <c r="BU43" i="49"/>
  <c r="BW66" i="49" s="1"/>
  <c r="P43" i="49"/>
  <c r="O117" i="53" s="1"/>
  <c r="G46" i="50"/>
  <c r="F140" i="53" s="1"/>
  <c r="G23" i="50"/>
  <c r="F141" i="51" s="1"/>
  <c r="AB68" i="49"/>
  <c r="H118" i="54" s="1"/>
  <c r="AB92" i="49"/>
  <c r="H118" i="58" s="1"/>
  <c r="AV68" i="49"/>
  <c r="H118" i="55" s="1"/>
  <c r="E46" i="50"/>
  <c r="D140" i="53" s="1"/>
  <c r="E23" i="50"/>
  <c r="AC92" i="50"/>
  <c r="I138" i="58" s="1"/>
  <c r="AC68" i="50"/>
  <c r="I138" i="54" s="1"/>
  <c r="AW68" i="50"/>
  <c r="I138" i="55" s="1"/>
  <c r="AJ18" i="50"/>
  <c r="BC66" i="50"/>
  <c r="D69" i="50"/>
  <c r="C139" i="56" s="1"/>
  <c r="D93" i="50"/>
  <c r="C139" i="57" s="1"/>
  <c r="Q45" i="50"/>
  <c r="Y45" i="50" s="1"/>
  <c r="AJ67" i="50"/>
  <c r="AA92" i="49"/>
  <c r="G118" i="58" s="1"/>
  <c r="AU68" i="49"/>
  <c r="G118" i="55" s="1"/>
  <c r="AQ44" i="49"/>
  <c r="AR44" i="49"/>
  <c r="BX60" i="49" s="1"/>
  <c r="AH44" i="49"/>
  <c r="AT44" i="49"/>
  <c r="BX62" i="49" s="1"/>
  <c r="BJ20" i="49"/>
  <c r="BK20" i="49" s="1"/>
  <c r="BL20" i="49" s="1"/>
  <c r="P20" i="49" s="1"/>
  <c r="O118" i="51" s="1"/>
  <c r="BX68" i="49"/>
  <c r="AG44" i="49"/>
  <c r="AE44" i="49"/>
  <c r="BX69" i="49"/>
  <c r="Z92" i="49"/>
  <c r="F118" i="58" s="1"/>
  <c r="Z68" i="49"/>
  <c r="F118" i="54" s="1"/>
  <c r="AT68" i="49"/>
  <c r="F118" i="55" s="1"/>
  <c r="BU63" i="50"/>
  <c r="BU55" i="50"/>
  <c r="AA92" i="50"/>
  <c r="G138" i="58" s="1"/>
  <c r="AU68" i="50"/>
  <c r="G138" i="55" s="1"/>
  <c r="G93" i="49"/>
  <c r="F119" i="57" s="1"/>
  <c r="G69" i="49"/>
  <c r="F119" i="56" s="1"/>
  <c r="X92" i="49"/>
  <c r="D118" i="58" s="1"/>
  <c r="X68" i="49"/>
  <c r="D118" i="54" s="1"/>
  <c r="AR68" i="49"/>
  <c r="D118" i="55" s="1"/>
  <c r="J93" i="49"/>
  <c r="I119" i="57" s="1"/>
  <c r="J69" i="49"/>
  <c r="I119" i="56" s="1"/>
  <c r="AC45" i="49"/>
  <c r="AD92" i="49"/>
  <c r="J118" i="58" s="1"/>
  <c r="AD68" i="49"/>
  <c r="J118" i="54" s="1"/>
  <c r="AX68" i="49"/>
  <c r="J118" i="55" s="1"/>
  <c r="G93" i="50"/>
  <c r="F139" i="57" s="1"/>
  <c r="G69" i="50"/>
  <c r="F139" i="56" s="1"/>
  <c r="AD44" i="50"/>
  <c r="BX69" i="50"/>
  <c r="AT44" i="50"/>
  <c r="BX62" i="50" s="1"/>
  <c r="AR44" i="50"/>
  <c r="BX60" i="50" s="1"/>
  <c r="BX68" i="50"/>
  <c r="BJ20" i="50"/>
  <c r="BK20" i="50" s="1"/>
  <c r="BL20" i="50" s="1"/>
  <c r="P20" i="50" s="1"/>
  <c r="O138" i="51" s="1"/>
  <c r="AE44" i="50"/>
  <c r="AH44" i="50"/>
  <c r="AG44" i="50"/>
  <c r="M69" i="50"/>
  <c r="L139" i="56" s="1"/>
  <c r="M93" i="50"/>
  <c r="L139" i="57" s="1"/>
  <c r="W68" i="49"/>
  <c r="C118" i="54" s="1"/>
  <c r="Q68" i="49"/>
  <c r="P118" i="56" s="1"/>
  <c r="AQ68" i="49"/>
  <c r="C118" i="55" s="1"/>
  <c r="W92" i="49"/>
  <c r="C118" i="58" s="1"/>
  <c r="F46" i="50"/>
  <c r="E140" i="53" s="1"/>
  <c r="F23" i="50"/>
  <c r="E141" i="51" s="1"/>
  <c r="AF44" i="50"/>
  <c r="W92" i="50"/>
  <c r="C138" i="58" s="1"/>
  <c r="W68" i="50"/>
  <c r="C138" i="54" s="1"/>
  <c r="Q68" i="50"/>
  <c r="P138" i="56" s="1"/>
  <c r="AQ68" i="50"/>
  <c r="C138" i="55" s="1"/>
  <c r="M23" i="50"/>
  <c r="L141" i="51" s="1"/>
  <c r="M46" i="50"/>
  <c r="L140" i="53" s="1"/>
  <c r="AB44" i="49"/>
  <c r="P90" i="49"/>
  <c r="O116" i="57" s="1"/>
  <c r="AI42" i="49"/>
  <c r="D23" i="49"/>
  <c r="C121" i="51" s="1"/>
  <c r="D46" i="49"/>
  <c r="C120" i="53" s="1"/>
  <c r="BR46" i="49"/>
  <c r="BZ65" i="49" s="1"/>
  <c r="Q22" i="49"/>
  <c r="P120" i="51" s="1"/>
  <c r="Y92" i="50"/>
  <c r="E138" i="58" s="1"/>
  <c r="Y68" i="50"/>
  <c r="E138" i="54" s="1"/>
  <c r="AS68" i="50"/>
  <c r="E138" i="55" s="1"/>
  <c r="Q92" i="49"/>
  <c r="P118" i="57" s="1"/>
  <c r="F93" i="50"/>
  <c r="E139" i="57" s="1"/>
  <c r="F69" i="50"/>
  <c r="E139" i="56" s="1"/>
  <c r="AC44" i="49"/>
  <c r="E46" i="49"/>
  <c r="D120" i="53" s="1"/>
  <c r="E23" i="49"/>
  <c r="D121" i="51" s="1"/>
  <c r="AF92" i="50"/>
  <c r="L138" i="58" s="1"/>
  <c r="AF68" i="50"/>
  <c r="L138" i="54" s="1"/>
  <c r="AZ68" i="50"/>
  <c r="L138" i="55" s="1"/>
  <c r="F84" i="43"/>
  <c r="I84" i="43"/>
  <c r="AV12" i="43"/>
  <c r="AX12" i="43"/>
  <c r="K84" i="43"/>
  <c r="M84" i="43"/>
  <c r="L85" i="43"/>
  <c r="G84" i="43"/>
  <c r="E84" i="43"/>
  <c r="H84" i="43"/>
  <c r="AW12" i="43"/>
  <c r="O85" i="43"/>
  <c r="J84" i="43"/>
  <c r="N85" i="43"/>
  <c r="BX38" i="43"/>
  <c r="BR46" i="48"/>
  <c r="BZ65" i="48" s="1"/>
  <c r="BC65" i="48"/>
  <c r="AJ43" i="48"/>
  <c r="BO43" i="48"/>
  <c r="BW64" i="48" s="1"/>
  <c r="AU43" i="48"/>
  <c r="AD44" i="48"/>
  <c r="BU43" i="48"/>
  <c r="BW66" i="48" s="1"/>
  <c r="AI19" i="48"/>
  <c r="AJ19" i="48" s="1"/>
  <c r="P90" i="48"/>
  <c r="O96" i="57" s="1"/>
  <c r="Y44" i="48"/>
  <c r="X44" i="48"/>
  <c r="BJ20" i="48"/>
  <c r="BK20" i="48" s="1"/>
  <c r="BL20" i="48" s="1"/>
  <c r="P20" i="48" s="1"/>
  <c r="AH44" i="48"/>
  <c r="AT44" i="48"/>
  <c r="BX62" i="48" s="1"/>
  <c r="Z44" i="48"/>
  <c r="BX68" i="48"/>
  <c r="AG44" i="48"/>
  <c r="BX69" i="48"/>
  <c r="AF44" i="48"/>
  <c r="Q45" i="48"/>
  <c r="AS44" i="48"/>
  <c r="BX61" i="48" s="1"/>
  <c r="AJ67" i="48"/>
  <c r="Q92" i="48"/>
  <c r="P98" i="57" s="1"/>
  <c r="AJ91" i="48"/>
  <c r="P97" i="58" s="1"/>
  <c r="P83" i="44"/>
  <c r="O29" i="57" s="1"/>
  <c r="BA46" i="50"/>
  <c r="AZ47" i="50"/>
  <c r="AX47" i="50"/>
  <c r="AW47" i="50"/>
  <c r="BA46" i="49"/>
  <c r="AW47" i="49"/>
  <c r="BA47" i="49" s="1"/>
  <c r="AZ47" i="49"/>
  <c r="AX47" i="49"/>
  <c r="AH95" i="49"/>
  <c r="N121" i="58" s="1"/>
  <c r="AH71" i="49"/>
  <c r="N121" i="54" s="1"/>
  <c r="BB71" i="49"/>
  <c r="N121" i="55" s="1"/>
  <c r="AE95" i="49"/>
  <c r="K121" i="58" s="1"/>
  <c r="AE71" i="49"/>
  <c r="K121" i="54" s="1"/>
  <c r="AY71" i="49"/>
  <c r="K121" i="55" s="1"/>
  <c r="AG95" i="49"/>
  <c r="M121" i="58" s="1"/>
  <c r="AG71" i="49"/>
  <c r="M121" i="54" s="1"/>
  <c r="BA71" i="49"/>
  <c r="M121" i="55" s="1"/>
  <c r="M93" i="48"/>
  <c r="L99" i="57" s="1"/>
  <c r="M69" i="48"/>
  <c r="L99" i="56" s="1"/>
  <c r="Q22" i="48"/>
  <c r="P100" i="51" s="1"/>
  <c r="BW46" i="48"/>
  <c r="BZ67" i="48" s="1"/>
  <c r="AF92" i="48"/>
  <c r="L98" i="58" s="1"/>
  <c r="AF68" i="48"/>
  <c r="L98" i="54" s="1"/>
  <c r="AZ68" i="48"/>
  <c r="L98" i="55" s="1"/>
  <c r="AQ44" i="48"/>
  <c r="BX59" i="48" s="1"/>
  <c r="W44" i="48"/>
  <c r="AB44" i="48"/>
  <c r="AC44" i="48"/>
  <c r="AA44" i="48"/>
  <c r="AE44" i="48"/>
  <c r="Y92" i="48"/>
  <c r="E98" i="58" s="1"/>
  <c r="Y68" i="48"/>
  <c r="E98" i="54" s="1"/>
  <c r="AS68" i="48"/>
  <c r="E98" i="55" s="1"/>
  <c r="F46" i="48"/>
  <c r="E100" i="53" s="1"/>
  <c r="F23" i="48"/>
  <c r="AT68" i="48"/>
  <c r="F98" i="55" s="1"/>
  <c r="Z92" i="48"/>
  <c r="F98" i="58" s="1"/>
  <c r="Z68" i="48"/>
  <c r="F98" i="54" s="1"/>
  <c r="F69" i="48"/>
  <c r="E99" i="56" s="1"/>
  <c r="F93" i="48"/>
  <c r="E99" i="57" s="1"/>
  <c r="CA45" i="48"/>
  <c r="Q68" i="48"/>
  <c r="P98" i="56" s="1"/>
  <c r="G46" i="48"/>
  <c r="F100" i="53" s="1"/>
  <c r="G23" i="48"/>
  <c r="M46" i="48"/>
  <c r="M23" i="48"/>
  <c r="G69" i="48"/>
  <c r="F99" i="56" s="1"/>
  <c r="G93" i="48"/>
  <c r="F99" i="57" s="1"/>
  <c r="AE93" i="48"/>
  <c r="K99" i="58" s="1"/>
  <c r="AE69" i="48"/>
  <c r="K99" i="54" s="1"/>
  <c r="AY69" i="48"/>
  <c r="K99" i="55" s="1"/>
  <c r="B95" i="48"/>
  <c r="U47" i="48"/>
  <c r="U95" i="48" s="1"/>
  <c r="J47" i="48"/>
  <c r="I101" i="53" s="1"/>
  <c r="C94" i="48"/>
  <c r="V46" i="48"/>
  <c r="V94" i="48" s="1"/>
  <c r="J94" i="48"/>
  <c r="I100" i="57" s="1"/>
  <c r="J70" i="48"/>
  <c r="I100" i="56" s="1"/>
  <c r="BA44" i="48"/>
  <c r="I47" i="48"/>
  <c r="H101" i="53" s="1"/>
  <c r="N95" i="48"/>
  <c r="M101" i="57" s="1"/>
  <c r="I94" i="48"/>
  <c r="H100" i="57" s="1"/>
  <c r="I70" i="48"/>
  <c r="H100" i="56" s="1"/>
  <c r="BX60" i="48"/>
  <c r="H47" i="48"/>
  <c r="G101" i="53" s="1"/>
  <c r="AH95" i="48"/>
  <c r="N101" i="58" s="1"/>
  <c r="AH71" i="48"/>
  <c r="N101" i="54" s="1"/>
  <c r="BB71" i="48"/>
  <c r="N101" i="55" s="1"/>
  <c r="H94" i="48"/>
  <c r="G100" i="57" s="1"/>
  <c r="AA70" i="48"/>
  <c r="G100" i="54" s="1"/>
  <c r="H70" i="48"/>
  <c r="G100" i="56" s="1"/>
  <c r="AP46" i="48"/>
  <c r="AZ45" i="48"/>
  <c r="AX45" i="48"/>
  <c r="AW45" i="48"/>
  <c r="P91" i="48"/>
  <c r="O97" i="57" s="1"/>
  <c r="AI43" i="48"/>
  <c r="W93" i="48"/>
  <c r="C99" i="58" s="1"/>
  <c r="W69" i="48"/>
  <c r="C99" i="54" s="1"/>
  <c r="AQ69" i="48"/>
  <c r="C99" i="55" s="1"/>
  <c r="D47" i="48"/>
  <c r="C101" i="53" s="1"/>
  <c r="AG94" i="48"/>
  <c r="M100" i="58" s="1"/>
  <c r="AG70" i="48"/>
  <c r="M100" i="54" s="1"/>
  <c r="BA70" i="48"/>
  <c r="M100" i="55" s="1"/>
  <c r="L47" i="48"/>
  <c r="L94" i="48"/>
  <c r="K100" i="57" s="1"/>
  <c r="AC69" i="48"/>
  <c r="I99" i="54" s="1"/>
  <c r="AC93" i="48"/>
  <c r="I99" i="58" s="1"/>
  <c r="AW69" i="48"/>
  <c r="I99" i="55" s="1"/>
  <c r="AA93" i="48"/>
  <c r="G99" i="58" s="1"/>
  <c r="AU69" i="48"/>
  <c r="G99" i="55" s="1"/>
  <c r="D94" i="48"/>
  <c r="C100" i="57" s="1"/>
  <c r="D70" i="48"/>
  <c r="C100" i="56" s="1"/>
  <c r="C71" i="48"/>
  <c r="V71" i="48" s="1"/>
  <c r="AP71" i="48" s="1"/>
  <c r="C47" i="48"/>
  <c r="V23" i="48"/>
  <c r="AP23" i="48" s="1"/>
  <c r="BI23" i="48" s="1"/>
  <c r="AB93" i="48"/>
  <c r="H99" i="58" s="1"/>
  <c r="AB69" i="48"/>
  <c r="H99" i="54" s="1"/>
  <c r="AV69" i="48"/>
  <c r="H99" i="55" s="1"/>
  <c r="BM55" i="47"/>
  <c r="AA37" i="46"/>
  <c r="AF37" i="46"/>
  <c r="BU36" i="44"/>
  <c r="BP66" i="44" s="1"/>
  <c r="BO36" i="44"/>
  <c r="BP64" i="44" s="1"/>
  <c r="AI12" i="44"/>
  <c r="AJ12" i="44" s="1"/>
  <c r="AS37" i="44"/>
  <c r="BQ61" i="44" s="1"/>
  <c r="Z37" i="44"/>
  <c r="AT37" i="44"/>
  <c r="BQ62" i="44" s="1"/>
  <c r="W37" i="44"/>
  <c r="AB37" i="47"/>
  <c r="AU36" i="46"/>
  <c r="AJ36" i="47"/>
  <c r="AJ36" i="46"/>
  <c r="AD37" i="46"/>
  <c r="Z37" i="46"/>
  <c r="AB37" i="46"/>
  <c r="BJ13" i="46"/>
  <c r="BK13" i="46" s="1"/>
  <c r="BL13" i="46" s="1"/>
  <c r="P13" i="46" s="1"/>
  <c r="AR37" i="46"/>
  <c r="BQ60" i="46" s="1"/>
  <c r="AS37" i="46"/>
  <c r="BQ61" i="46" s="1"/>
  <c r="Y37" i="46"/>
  <c r="X37" i="46"/>
  <c r="BC59" i="46"/>
  <c r="AT37" i="46"/>
  <c r="BQ62" i="46" s="1"/>
  <c r="BC58" i="44"/>
  <c r="G16" i="44"/>
  <c r="F34" i="51" s="1"/>
  <c r="G39" i="44"/>
  <c r="AJ11" i="47"/>
  <c r="AD61" i="46"/>
  <c r="AD85" i="46"/>
  <c r="J51" i="58" s="1"/>
  <c r="AX61" i="46"/>
  <c r="J39" i="47"/>
  <c r="I73" i="53" s="1"/>
  <c r="J16" i="47"/>
  <c r="I74" i="51" s="1"/>
  <c r="AG37" i="47"/>
  <c r="AH37" i="47"/>
  <c r="BQ69" i="47"/>
  <c r="BQ68" i="47"/>
  <c r="AE37" i="47"/>
  <c r="X61" i="44"/>
  <c r="D31" i="54" s="1"/>
  <c r="X85" i="44"/>
  <c r="D31" i="58" s="1"/>
  <c r="AR61" i="44"/>
  <c r="D31" i="55" s="1"/>
  <c r="BC58" i="47"/>
  <c r="K39" i="47"/>
  <c r="K16" i="47"/>
  <c r="J74" i="51" s="1"/>
  <c r="AC61" i="46"/>
  <c r="AC85" i="46"/>
  <c r="I51" i="58" s="1"/>
  <c r="AW61" i="46"/>
  <c r="BR39" i="47"/>
  <c r="BS65" i="47" s="1"/>
  <c r="D16" i="47"/>
  <c r="C74" i="51" s="1"/>
  <c r="Q15" i="47"/>
  <c r="P73" i="51" s="1"/>
  <c r="D39" i="47"/>
  <c r="C73" i="53" s="1"/>
  <c r="AH60" i="43"/>
  <c r="AH84" i="43"/>
  <c r="G86" i="44"/>
  <c r="F32" i="57" s="1"/>
  <c r="Q38" i="46"/>
  <c r="D86" i="46"/>
  <c r="C52" i="57" s="1"/>
  <c r="D62" i="46"/>
  <c r="C52" i="56" s="1"/>
  <c r="P59" i="47"/>
  <c r="AI35" i="47"/>
  <c r="AA85" i="46"/>
  <c r="G51" i="58" s="1"/>
  <c r="AU61" i="46"/>
  <c r="AA37" i="44"/>
  <c r="AQ37" i="44"/>
  <c r="H39" i="47"/>
  <c r="G73" i="53" s="1"/>
  <c r="H16" i="47"/>
  <c r="G74" i="51" s="1"/>
  <c r="BW39" i="47"/>
  <c r="BS67" i="47" s="1"/>
  <c r="Y37" i="47"/>
  <c r="W85" i="47"/>
  <c r="C71" i="58" s="1"/>
  <c r="Q61" i="47"/>
  <c r="P71" i="56" s="1"/>
  <c r="W61" i="47"/>
  <c r="C71" i="54" s="1"/>
  <c r="AQ61" i="47"/>
  <c r="C71" i="55" s="1"/>
  <c r="AC37" i="47"/>
  <c r="G86" i="47"/>
  <c r="F72" i="57" s="1"/>
  <c r="G62" i="47"/>
  <c r="F72" i="56" s="1"/>
  <c r="E86" i="47"/>
  <c r="D72" i="57" s="1"/>
  <c r="E62" i="47"/>
  <c r="D72" i="56" s="1"/>
  <c r="M86" i="46"/>
  <c r="L52" i="57" s="1"/>
  <c r="M62" i="46"/>
  <c r="L52" i="56" s="1"/>
  <c r="AT37" i="47"/>
  <c r="BQ62" i="47" s="1"/>
  <c r="AC37" i="44"/>
  <c r="CA38" i="47"/>
  <c r="K86" i="47"/>
  <c r="J72" i="57" s="1"/>
  <c r="AG60" i="43"/>
  <c r="AG84" i="43"/>
  <c r="AU36" i="47"/>
  <c r="H86" i="47"/>
  <c r="G72" i="57" s="1"/>
  <c r="AA62" i="47"/>
  <c r="G72" i="54" s="1"/>
  <c r="H62" i="47"/>
  <c r="G72" i="56" s="1"/>
  <c r="X85" i="46"/>
  <c r="D51" i="58" s="1"/>
  <c r="X61" i="46"/>
  <c r="AR61" i="46"/>
  <c r="E39" i="44"/>
  <c r="E16" i="44"/>
  <c r="D34" i="51" s="1"/>
  <c r="Q85" i="47"/>
  <c r="P71" i="57" s="1"/>
  <c r="G16" i="47"/>
  <c r="F74" i="51" s="1"/>
  <c r="G39" i="47"/>
  <c r="F73" i="53" s="1"/>
  <c r="P84" i="44"/>
  <c r="O30" i="57" s="1"/>
  <c r="E39" i="47"/>
  <c r="D73" i="53" s="1"/>
  <c r="E16" i="47"/>
  <c r="D74" i="51" s="1"/>
  <c r="M16" i="46"/>
  <c r="L54" i="51" s="1"/>
  <c r="M39" i="46"/>
  <c r="L53" i="53" s="1"/>
  <c r="AA37" i="47"/>
  <c r="AC61" i="44"/>
  <c r="I31" i="54" s="1"/>
  <c r="AC85" i="44"/>
  <c r="I31" i="58" s="1"/>
  <c r="AW61" i="44"/>
  <c r="I31" i="55" s="1"/>
  <c r="K86" i="44"/>
  <c r="J32" i="57" s="1"/>
  <c r="CA38" i="44"/>
  <c r="Q38" i="47"/>
  <c r="D86" i="47"/>
  <c r="C72" i="57" s="1"/>
  <c r="D62" i="47"/>
  <c r="C72" i="56" s="1"/>
  <c r="J16" i="46"/>
  <c r="I54" i="51" s="1"/>
  <c r="J39" i="46"/>
  <c r="I53" i="53" s="1"/>
  <c r="AB85" i="47"/>
  <c r="H71" i="58" s="1"/>
  <c r="AB61" i="47"/>
  <c r="H71" i="54" s="1"/>
  <c r="AV61" i="47"/>
  <c r="H71" i="55" s="1"/>
  <c r="D39" i="46"/>
  <c r="C53" i="53" s="1"/>
  <c r="Q15" i="46"/>
  <c r="P53" i="51" s="1"/>
  <c r="BR39" i="46"/>
  <c r="BS65" i="46" s="1"/>
  <c r="D16" i="46"/>
  <c r="C54" i="51" s="1"/>
  <c r="I16" i="47"/>
  <c r="H74" i="51" s="1"/>
  <c r="I39" i="47"/>
  <c r="H73" i="53" s="1"/>
  <c r="AD37" i="44"/>
  <c r="AE37" i="44"/>
  <c r="AG37" i="44"/>
  <c r="BQ68" i="44"/>
  <c r="BQ69" i="44"/>
  <c r="AH37" i="44"/>
  <c r="AJ60" i="44"/>
  <c r="E86" i="46"/>
  <c r="D52" i="57" s="1"/>
  <c r="E62" i="46"/>
  <c r="D52" i="56" s="1"/>
  <c r="BJ13" i="44"/>
  <c r="BK13" i="44" s="1"/>
  <c r="BL13" i="44" s="1"/>
  <c r="P13" i="44" s="1"/>
  <c r="O31" i="51" s="1"/>
  <c r="Y85" i="47"/>
  <c r="E71" i="58" s="1"/>
  <c r="Y61" i="47"/>
  <c r="E71" i="54" s="1"/>
  <c r="AS61" i="47"/>
  <c r="E71" i="55" s="1"/>
  <c r="BP59" i="44"/>
  <c r="AU36" i="44"/>
  <c r="E86" i="44"/>
  <c r="D32" i="57" s="1"/>
  <c r="D12" i="57" s="1"/>
  <c r="AC61" i="47"/>
  <c r="I71" i="54" s="1"/>
  <c r="AC85" i="47"/>
  <c r="I71" i="58" s="1"/>
  <c r="AW61" i="47"/>
  <c r="I71" i="55" s="1"/>
  <c r="Q38" i="44"/>
  <c r="D86" i="44"/>
  <c r="C32" i="57" s="1"/>
  <c r="M16" i="47"/>
  <c r="L74" i="51" s="1"/>
  <c r="M39" i="47"/>
  <c r="L73" i="53" s="1"/>
  <c r="Y37" i="44"/>
  <c r="AA85" i="47"/>
  <c r="G71" i="58" s="1"/>
  <c r="AU61" i="47"/>
  <c r="G71" i="55" s="1"/>
  <c r="K39" i="44"/>
  <c r="K16" i="44"/>
  <c r="J34" i="51" s="1"/>
  <c r="I86" i="46"/>
  <c r="H52" i="57" s="1"/>
  <c r="I62" i="46"/>
  <c r="H52" i="56" s="1"/>
  <c r="J86" i="46"/>
  <c r="I52" i="57" s="1"/>
  <c r="J62" i="46"/>
  <c r="I52" i="56" s="1"/>
  <c r="I62" i="47"/>
  <c r="H72" i="56" s="1"/>
  <c r="I86" i="47"/>
  <c r="H72" i="57" s="1"/>
  <c r="AA85" i="44"/>
  <c r="G31" i="58" s="1"/>
  <c r="AU61" i="44"/>
  <c r="G31" i="55" s="1"/>
  <c r="W85" i="44"/>
  <c r="C31" i="58" s="1"/>
  <c r="AQ61" i="44"/>
  <c r="C31" i="55" s="1"/>
  <c r="E39" i="46"/>
  <c r="D53" i="53" s="1"/>
  <c r="E16" i="46"/>
  <c r="D54" i="51" s="1"/>
  <c r="K86" i="46"/>
  <c r="J52" i="57" s="1"/>
  <c r="CA38" i="46"/>
  <c r="AD61" i="44"/>
  <c r="J31" i="54" s="1"/>
  <c r="AD85" i="44"/>
  <c r="J31" i="58" s="1"/>
  <c r="AX61" i="44"/>
  <c r="J31" i="55" s="1"/>
  <c r="J39" i="44"/>
  <c r="J16" i="44"/>
  <c r="I34" i="51" s="1"/>
  <c r="G39" i="46"/>
  <c r="F53" i="53" s="1"/>
  <c r="G16" i="46"/>
  <c r="F54" i="51" s="1"/>
  <c r="Z37" i="47"/>
  <c r="P36" i="47"/>
  <c r="O70" i="53" s="1"/>
  <c r="AI12" i="47"/>
  <c r="BU36" i="47"/>
  <c r="BP66" i="47" s="1"/>
  <c r="BO36" i="47"/>
  <c r="BP64" i="47" s="1"/>
  <c r="AF37" i="47"/>
  <c r="D39" i="44"/>
  <c r="D16" i="44"/>
  <c r="C34" i="51" s="1"/>
  <c r="BR39" i="44"/>
  <c r="BS65" i="44" s="1"/>
  <c r="Q15" i="44"/>
  <c r="P33" i="51" s="1"/>
  <c r="AJ84" i="47"/>
  <c r="P70" i="58" s="1"/>
  <c r="I86" i="44"/>
  <c r="H32" i="57" s="1"/>
  <c r="M62" i="47"/>
  <c r="L72" i="56" s="1"/>
  <c r="M86" i="47"/>
  <c r="L72" i="57" s="1"/>
  <c r="P84" i="46"/>
  <c r="O50" i="57" s="1"/>
  <c r="AI36" i="46"/>
  <c r="I39" i="46"/>
  <c r="H53" i="53" s="1"/>
  <c r="I16" i="46"/>
  <c r="H54" i="51" s="1"/>
  <c r="AF85" i="44"/>
  <c r="L31" i="58" s="1"/>
  <c r="AF61" i="44"/>
  <c r="L31" i="54" s="1"/>
  <c r="AZ61" i="44"/>
  <c r="L31" i="55" s="1"/>
  <c r="AE60" i="43"/>
  <c r="AE84" i="43"/>
  <c r="H86" i="44"/>
  <c r="G32" i="57" s="1"/>
  <c r="AA62" i="44"/>
  <c r="G32" i="54" s="1"/>
  <c r="Q85" i="44"/>
  <c r="P31" i="57" s="1"/>
  <c r="AJ84" i="44"/>
  <c r="P30" i="58" s="1"/>
  <c r="AA62" i="46"/>
  <c r="H86" i="46"/>
  <c r="G52" i="57" s="1"/>
  <c r="K16" i="46"/>
  <c r="J54" i="51" s="1"/>
  <c r="K39" i="46"/>
  <c r="J86" i="44"/>
  <c r="I32" i="57" s="1"/>
  <c r="G86" i="46"/>
  <c r="F52" i="57" s="1"/>
  <c r="G62" i="46"/>
  <c r="F52" i="56" s="1"/>
  <c r="AS37" i="47"/>
  <c r="BQ61" i="47" s="1"/>
  <c r="AB37" i="44"/>
  <c r="AF85" i="46"/>
  <c r="L51" i="58" s="1"/>
  <c r="AF61" i="46"/>
  <c r="AZ61" i="46"/>
  <c r="F39" i="47"/>
  <c r="E73" i="53" s="1"/>
  <c r="F16" i="47"/>
  <c r="E74" i="51" s="1"/>
  <c r="I39" i="44"/>
  <c r="I16" i="44"/>
  <c r="H34" i="51" s="1"/>
  <c r="Y85" i="44"/>
  <c r="E31" i="58" s="1"/>
  <c r="Y61" i="44"/>
  <c r="E31" i="54" s="1"/>
  <c r="AS61" i="44"/>
  <c r="E31" i="55" s="1"/>
  <c r="Q85" i="46"/>
  <c r="P51" i="57" s="1"/>
  <c r="AJ12" i="46"/>
  <c r="F39" i="46"/>
  <c r="E53" i="53" s="1"/>
  <c r="F16" i="46"/>
  <c r="E54" i="51" s="1"/>
  <c r="AR37" i="47"/>
  <c r="BQ60" i="47" s="1"/>
  <c r="BJ13" i="47"/>
  <c r="BK13" i="47" s="1"/>
  <c r="BL13" i="47" s="1"/>
  <c r="P13" i="47" s="1"/>
  <c r="O71" i="51" s="1"/>
  <c r="Y85" i="46"/>
  <c r="E51" i="58" s="1"/>
  <c r="Y61" i="46"/>
  <c r="AS61" i="46"/>
  <c r="AB85" i="46"/>
  <c r="H51" i="58" s="1"/>
  <c r="AB61" i="46"/>
  <c r="AV61" i="46"/>
  <c r="M86" i="44"/>
  <c r="L32" i="57" s="1"/>
  <c r="H16" i="44"/>
  <c r="G34" i="51" s="1"/>
  <c r="H39" i="44"/>
  <c r="BW39" i="44"/>
  <c r="BS67" i="44" s="1"/>
  <c r="Z61" i="44"/>
  <c r="F31" i="54" s="1"/>
  <c r="Z85" i="44"/>
  <c r="F31" i="58" s="1"/>
  <c r="AT61" i="44"/>
  <c r="F31" i="55" s="1"/>
  <c r="BN63" i="46"/>
  <c r="BN55" i="46"/>
  <c r="Z85" i="47"/>
  <c r="F71" i="58" s="1"/>
  <c r="Z61" i="47"/>
  <c r="F71" i="54" s="1"/>
  <c r="AT61" i="47"/>
  <c r="F71" i="55" s="1"/>
  <c r="AB61" i="44"/>
  <c r="H31" i="54" s="1"/>
  <c r="AB85" i="44"/>
  <c r="H31" i="58" s="1"/>
  <c r="H11" i="58" s="1"/>
  <c r="AV61" i="44"/>
  <c r="H31" i="55" s="1"/>
  <c r="AF85" i="47"/>
  <c r="L71" i="58" s="1"/>
  <c r="AF61" i="47"/>
  <c r="L71" i="54" s="1"/>
  <c r="AZ61" i="47"/>
  <c r="L71" i="55" s="1"/>
  <c r="BQ59" i="47"/>
  <c r="F86" i="47"/>
  <c r="E72" i="57" s="1"/>
  <c r="F62" i="47"/>
  <c r="E72" i="56" s="1"/>
  <c r="Z61" i="46"/>
  <c r="Z85" i="46"/>
  <c r="F51" i="58" s="1"/>
  <c r="AT61" i="46"/>
  <c r="AJ60" i="47"/>
  <c r="AR37" i="44"/>
  <c r="BQ60" i="44" s="1"/>
  <c r="F39" i="44"/>
  <c r="F16" i="44"/>
  <c r="E34" i="51" s="1"/>
  <c r="AJ60" i="46"/>
  <c r="AK60" i="46" s="1"/>
  <c r="BP58" i="46" s="1"/>
  <c r="W61" i="46"/>
  <c r="W85" i="46"/>
  <c r="C51" i="58" s="1"/>
  <c r="Q61" i="46"/>
  <c r="P51" i="56" s="1"/>
  <c r="P11" i="56" s="1"/>
  <c r="AQ61" i="46"/>
  <c r="F86" i="46"/>
  <c r="E52" i="57" s="1"/>
  <c r="F62" i="46"/>
  <c r="E52" i="56" s="1"/>
  <c r="X37" i="47"/>
  <c r="AD37" i="47"/>
  <c r="M16" i="44"/>
  <c r="L34" i="51" s="1"/>
  <c r="M39" i="44"/>
  <c r="BW39" i="46"/>
  <c r="BS67" i="46" s="1"/>
  <c r="H39" i="46"/>
  <c r="H16" i="46"/>
  <c r="G54" i="51" s="1"/>
  <c r="J62" i="47"/>
  <c r="I72" i="56" s="1"/>
  <c r="J86" i="47"/>
  <c r="I72" i="57" s="1"/>
  <c r="W37" i="47"/>
  <c r="AJ36" i="44"/>
  <c r="X37" i="44"/>
  <c r="F86" i="44"/>
  <c r="E32" i="57" s="1"/>
  <c r="AJ84" i="46"/>
  <c r="P50" i="58" s="1"/>
  <c r="W37" i="46"/>
  <c r="AG37" i="46"/>
  <c r="BQ68" i="46"/>
  <c r="AE37" i="46"/>
  <c r="AH37" i="46"/>
  <c r="BQ69" i="46"/>
  <c r="AC37" i="46"/>
  <c r="X85" i="47"/>
  <c r="D71" i="58" s="1"/>
  <c r="X61" i="47"/>
  <c r="D71" i="54" s="1"/>
  <c r="AR61" i="47"/>
  <c r="D71" i="55" s="1"/>
  <c r="AD85" i="47"/>
  <c r="J71" i="58" s="1"/>
  <c r="AD61" i="47"/>
  <c r="J71" i="54" s="1"/>
  <c r="AX61" i="47"/>
  <c r="J71" i="55" s="1"/>
  <c r="AE91" i="47"/>
  <c r="K77" i="58" s="1"/>
  <c r="AE67" i="47"/>
  <c r="K77" i="54" s="1"/>
  <c r="AY67" i="47"/>
  <c r="K77" i="55" s="1"/>
  <c r="L45" i="47"/>
  <c r="L22" i="47"/>
  <c r="C71" i="47"/>
  <c r="V71" i="47" s="1"/>
  <c r="AP71" i="47" s="1"/>
  <c r="C47" i="47"/>
  <c r="V23" i="47"/>
  <c r="AP23" i="47" s="1"/>
  <c r="BI23" i="47" s="1"/>
  <c r="L92" i="47"/>
  <c r="K78" i="57" s="1"/>
  <c r="AW43" i="47"/>
  <c r="AZ43" i="47"/>
  <c r="AP44" i="47"/>
  <c r="AX43" i="47"/>
  <c r="N45" i="47"/>
  <c r="BX45" i="47"/>
  <c r="N22" i="47"/>
  <c r="B71" i="47"/>
  <c r="U71" i="47" s="1"/>
  <c r="AO71" i="47" s="1"/>
  <c r="B47" i="47"/>
  <c r="U23" i="47"/>
  <c r="AO23" i="47" s="1"/>
  <c r="BH23" i="47" s="1"/>
  <c r="C94" i="47"/>
  <c r="V46" i="47"/>
  <c r="V94" i="47" s="1"/>
  <c r="AH91" i="47"/>
  <c r="N77" i="58" s="1"/>
  <c r="N17" i="58" s="1"/>
  <c r="AH67" i="47"/>
  <c r="N77" i="54" s="1"/>
  <c r="BB67" i="47"/>
  <c r="N77" i="55" s="1"/>
  <c r="AU23" i="47"/>
  <c r="BD23" i="47" s="1"/>
  <c r="BD22" i="47"/>
  <c r="N92" i="47"/>
  <c r="M78" i="57" s="1"/>
  <c r="O45" i="47"/>
  <c r="N79" i="53" s="1"/>
  <c r="O22" i="47"/>
  <c r="B94" i="47"/>
  <c r="U46" i="47"/>
  <c r="U94" i="47" s="1"/>
  <c r="AG91" i="47"/>
  <c r="M77" i="58" s="1"/>
  <c r="AG67" i="47"/>
  <c r="M77" i="54" s="1"/>
  <c r="BA67" i="47"/>
  <c r="M77" i="55" s="1"/>
  <c r="O92" i="47"/>
  <c r="N78" i="57" s="1"/>
  <c r="N18" i="57" s="1"/>
  <c r="O68" i="47"/>
  <c r="N78" i="56" s="1"/>
  <c r="N18" i="56" s="1"/>
  <c r="O46" i="46"/>
  <c r="N60" i="53" s="1"/>
  <c r="O23" i="46"/>
  <c r="L46" i="46"/>
  <c r="L23" i="46"/>
  <c r="N92" i="46"/>
  <c r="M58" i="57" s="1"/>
  <c r="AP44" i="46"/>
  <c r="AW43" i="46"/>
  <c r="BA43" i="46" s="1"/>
  <c r="AZ43" i="46"/>
  <c r="AX43" i="46"/>
  <c r="AU22" i="46"/>
  <c r="BD21" i="46"/>
  <c r="L93" i="46"/>
  <c r="K59" i="57" s="1"/>
  <c r="AH92" i="46"/>
  <c r="N58" i="58" s="1"/>
  <c r="AH68" i="46"/>
  <c r="BB68" i="46"/>
  <c r="C70" i="46"/>
  <c r="V70" i="46" s="1"/>
  <c r="AP70" i="46" s="1"/>
  <c r="C46" i="46"/>
  <c r="C23" i="46"/>
  <c r="V22" i="46"/>
  <c r="AP22" i="46" s="1"/>
  <c r="BI22" i="46" s="1"/>
  <c r="AG91" i="46"/>
  <c r="M57" i="58" s="1"/>
  <c r="M17" i="58" s="1"/>
  <c r="AG67" i="46"/>
  <c r="BA67" i="46"/>
  <c r="BT43" i="46"/>
  <c r="BQ43" i="46"/>
  <c r="AE92" i="46"/>
  <c r="K58" i="58" s="1"/>
  <c r="AE68" i="46"/>
  <c r="AY68" i="46"/>
  <c r="BL45" i="46"/>
  <c r="BN44" i="46"/>
  <c r="C93" i="46"/>
  <c r="V45" i="46"/>
  <c r="V93" i="46" s="1"/>
  <c r="B69" i="46"/>
  <c r="U69" i="46" s="1"/>
  <c r="AO69" i="46" s="1"/>
  <c r="B45" i="46"/>
  <c r="B22" i="46"/>
  <c r="U21" i="46"/>
  <c r="AO21" i="46" s="1"/>
  <c r="BH21" i="46" s="1"/>
  <c r="N45" i="46"/>
  <c r="BX45" i="46"/>
  <c r="N22" i="46"/>
  <c r="O93" i="46"/>
  <c r="N59" i="57" s="1"/>
  <c r="O69" i="46"/>
  <c r="N59" i="56" s="1"/>
  <c r="B92" i="46"/>
  <c r="U44" i="46"/>
  <c r="U92" i="46" s="1"/>
  <c r="L45" i="44"/>
  <c r="L22" i="44"/>
  <c r="O46" i="44"/>
  <c r="O23" i="44"/>
  <c r="L92" i="44"/>
  <c r="K38" i="57" s="1"/>
  <c r="K18" i="57" s="1"/>
  <c r="BX47" i="44"/>
  <c r="N47" i="44"/>
  <c r="O93" i="44"/>
  <c r="N39" i="57" s="1"/>
  <c r="N94" i="44"/>
  <c r="M40" i="57" s="1"/>
  <c r="BD22" i="44"/>
  <c r="AU23" i="44"/>
  <c r="BD23" i="44" s="1"/>
  <c r="AH92" i="44"/>
  <c r="N38" i="58" s="1"/>
  <c r="AH68" i="44"/>
  <c r="N38" i="54" s="1"/>
  <c r="BB68" i="44"/>
  <c r="N38" i="55" s="1"/>
  <c r="BQ43" i="44"/>
  <c r="BT43" i="44"/>
  <c r="BL45" i="44"/>
  <c r="BN44" i="44"/>
  <c r="AG93" i="44"/>
  <c r="M39" i="58" s="1"/>
  <c r="AG69" i="44"/>
  <c r="M39" i="54" s="1"/>
  <c r="BA69" i="44"/>
  <c r="M39" i="55" s="1"/>
  <c r="AP46" i="44"/>
  <c r="AX45" i="44"/>
  <c r="AZ45" i="44"/>
  <c r="AW45" i="44"/>
  <c r="AE91" i="44"/>
  <c r="K37" i="58" s="1"/>
  <c r="K17" i="58" s="1"/>
  <c r="AE67" i="44"/>
  <c r="K37" i="54" s="1"/>
  <c r="AY67" i="44"/>
  <c r="K37" i="55" s="1"/>
  <c r="AD59" i="43"/>
  <c r="AU59" i="43"/>
  <c r="Z59" i="43"/>
  <c r="AC59" i="43"/>
  <c r="X59" i="43"/>
  <c r="Y59" i="43"/>
  <c r="AB59" i="43"/>
  <c r="AF59" i="43"/>
  <c r="BW37" i="43"/>
  <c r="BQ67" i="43" s="1"/>
  <c r="CA36" i="43"/>
  <c r="BK4" i="43"/>
  <c r="BL4" i="43" s="1"/>
  <c r="BU28" i="43" s="1"/>
  <c r="AS59" i="43"/>
  <c r="AZ59" i="43"/>
  <c r="BA35" i="43"/>
  <c r="AT59" i="43"/>
  <c r="BB60" i="43"/>
  <c r="AW59" i="43"/>
  <c r="AX59" i="43"/>
  <c r="AV59" i="43"/>
  <c r="AY60" i="43"/>
  <c r="BA60" i="43"/>
  <c r="AR59" i="43"/>
  <c r="O61" i="43"/>
  <c r="J60" i="43"/>
  <c r="AC84" i="43" s="1"/>
  <c r="F60" i="43"/>
  <c r="Y84" i="43" s="1"/>
  <c r="I60" i="43"/>
  <c r="AB84" i="43" s="1"/>
  <c r="AD84" i="43"/>
  <c r="M60" i="43"/>
  <c r="AF84" i="43" s="1"/>
  <c r="G60" i="43"/>
  <c r="Z84" i="43" s="1"/>
  <c r="E60" i="43"/>
  <c r="X84" i="43" s="1"/>
  <c r="AA60" i="43"/>
  <c r="AA84" i="43"/>
  <c r="O15" i="43"/>
  <c r="O38" i="43"/>
  <c r="J14" i="43"/>
  <c r="J37" i="43"/>
  <c r="N15" i="43"/>
  <c r="N38" i="43"/>
  <c r="N62" i="43" s="1"/>
  <c r="F14" i="43"/>
  <c r="F37" i="43"/>
  <c r="I14" i="43"/>
  <c r="I37" i="43"/>
  <c r="K14" i="43"/>
  <c r="K37" i="43"/>
  <c r="K61" i="43" s="1"/>
  <c r="M14" i="43"/>
  <c r="M37" i="43"/>
  <c r="L15" i="43"/>
  <c r="L38" i="43"/>
  <c r="L62" i="43" s="1"/>
  <c r="BQ41" i="43"/>
  <c r="BT41" i="43"/>
  <c r="G14" i="43"/>
  <c r="G37" i="43"/>
  <c r="E14" i="43"/>
  <c r="E37" i="43"/>
  <c r="H14" i="43"/>
  <c r="H37" i="43"/>
  <c r="H61" i="43" s="1"/>
  <c r="AJ52" i="43"/>
  <c r="AW30" i="43"/>
  <c r="BA30" i="43" s="1"/>
  <c r="BH29" i="43"/>
  <c r="AW28" i="43"/>
  <c r="BA28" i="43" s="1"/>
  <c r="AW33" i="43"/>
  <c r="BA33" i="43" s="1"/>
  <c r="AW29" i="43"/>
  <c r="BA29" i="43" s="1"/>
  <c r="AW34" i="43"/>
  <c r="BA34" i="43" s="1"/>
  <c r="AW32" i="43"/>
  <c r="BA32" i="43" s="1"/>
  <c r="AW31" i="43"/>
  <c r="BA31" i="43" s="1"/>
  <c r="BD11" i="43"/>
  <c r="AY13" i="43"/>
  <c r="BA13" i="43"/>
  <c r="AU12" i="43"/>
  <c r="AZ13" i="43"/>
  <c r="AX13" i="43"/>
  <c r="BL43" i="43"/>
  <c r="BM42" i="43"/>
  <c r="BN42" i="43" s="1"/>
  <c r="AJ28" i="43"/>
  <c r="AU28" i="43"/>
  <c r="AX44" i="43"/>
  <c r="AZ44" i="43"/>
  <c r="AP45" i="43"/>
  <c r="AW45" i="43" s="1"/>
  <c r="AS45" i="49" l="1"/>
  <c r="BY61" i="49" s="1"/>
  <c r="H12" i="57"/>
  <c r="Z45" i="49"/>
  <c r="P13" i="51"/>
  <c r="G11" i="58"/>
  <c r="C11" i="58"/>
  <c r="C12" i="57"/>
  <c r="N17" i="54"/>
  <c r="K18" i="56"/>
  <c r="N17" i="55"/>
  <c r="P11" i="57"/>
  <c r="AI36" i="44"/>
  <c r="W62" i="44"/>
  <c r="C32" i="54" s="1"/>
  <c r="N58" i="55"/>
  <c r="N58" i="54"/>
  <c r="M41" i="53"/>
  <c r="N71" i="44"/>
  <c r="M41" i="56" s="1"/>
  <c r="M18" i="56"/>
  <c r="K79" i="53"/>
  <c r="L69" i="47"/>
  <c r="K79" i="56" s="1"/>
  <c r="K17" i="55"/>
  <c r="M57" i="55"/>
  <c r="M17" i="55" s="1"/>
  <c r="M57" i="54"/>
  <c r="M17" i="54" s="1"/>
  <c r="N19" i="53"/>
  <c r="K17" i="54"/>
  <c r="O70" i="44"/>
  <c r="N40" i="56" s="1"/>
  <c r="N40" i="53"/>
  <c r="M18" i="57"/>
  <c r="M59" i="53"/>
  <c r="N69" i="46"/>
  <c r="M59" i="56" s="1"/>
  <c r="K39" i="53"/>
  <c r="L69" i="44"/>
  <c r="K39" i="56" s="1"/>
  <c r="K58" i="55"/>
  <c r="K58" i="54"/>
  <c r="K60" i="53"/>
  <c r="L70" i="46"/>
  <c r="K60" i="56" s="1"/>
  <c r="K101" i="53"/>
  <c r="L71" i="48"/>
  <c r="K101" i="56" s="1"/>
  <c r="K18" i="53"/>
  <c r="M79" i="53"/>
  <c r="N69" i="47"/>
  <c r="M79" i="56" s="1"/>
  <c r="E12" i="57"/>
  <c r="D14" i="51"/>
  <c r="J12" i="53"/>
  <c r="C14" i="51"/>
  <c r="J12" i="56"/>
  <c r="G14" i="51"/>
  <c r="E11" i="58"/>
  <c r="H63" i="46"/>
  <c r="G53" i="56" s="1"/>
  <c r="G53" i="53"/>
  <c r="C51" i="55"/>
  <c r="C51" i="54"/>
  <c r="C11" i="54" s="1"/>
  <c r="AK60" i="47"/>
  <c r="BP58" i="47" s="1"/>
  <c r="P70" i="54"/>
  <c r="L12" i="57"/>
  <c r="H14" i="51"/>
  <c r="P10" i="58"/>
  <c r="L11" i="58"/>
  <c r="J11" i="58"/>
  <c r="J14" i="51"/>
  <c r="AT38" i="44"/>
  <c r="BR62" i="44" s="1"/>
  <c r="P32" i="53"/>
  <c r="F12" i="57"/>
  <c r="AK67" i="50"/>
  <c r="BW58" i="50" s="1"/>
  <c r="P137" i="54"/>
  <c r="P11" i="53"/>
  <c r="D12" i="56"/>
  <c r="E12" i="56"/>
  <c r="C12" i="56"/>
  <c r="H51" i="55"/>
  <c r="H11" i="55" s="1"/>
  <c r="H51" i="54"/>
  <c r="H11" i="54" s="1"/>
  <c r="G51" i="55"/>
  <c r="G11" i="55" s="1"/>
  <c r="G51" i="54"/>
  <c r="G11" i="54" s="1"/>
  <c r="AQ45" i="50"/>
  <c r="BY59" i="50" s="1"/>
  <c r="P139" i="53"/>
  <c r="E47" i="50"/>
  <c r="D141" i="53" s="1"/>
  <c r="D141" i="51"/>
  <c r="M63" i="44"/>
  <c r="L33" i="56" s="1"/>
  <c r="L33" i="53"/>
  <c r="L13" i="53" s="1"/>
  <c r="E63" i="44"/>
  <c r="D33" i="56" s="1"/>
  <c r="D33" i="53"/>
  <c r="D13" i="53" s="1"/>
  <c r="BT55" i="50"/>
  <c r="J99" i="56"/>
  <c r="AX69" i="48"/>
  <c r="J99" i="55" s="1"/>
  <c r="AD69" i="48"/>
  <c r="J99" i="54" s="1"/>
  <c r="AD93" i="48"/>
  <c r="J99" i="58" s="1"/>
  <c r="F51" i="55"/>
  <c r="F11" i="55" s="1"/>
  <c r="F51" i="54"/>
  <c r="F11" i="54" s="1"/>
  <c r="BD65" i="48"/>
  <c r="O95" i="55"/>
  <c r="L14" i="51"/>
  <c r="F11" i="58"/>
  <c r="I12" i="57"/>
  <c r="G12" i="57"/>
  <c r="J12" i="57"/>
  <c r="D51" i="55"/>
  <c r="D11" i="55" s="1"/>
  <c r="D51" i="54"/>
  <c r="D11" i="54" s="1"/>
  <c r="K63" i="47"/>
  <c r="J73" i="56" s="1"/>
  <c r="J73" i="53"/>
  <c r="G63" i="44"/>
  <c r="F33" i="56" s="1"/>
  <c r="F33" i="53"/>
  <c r="F13" i="53" s="1"/>
  <c r="K70" i="49"/>
  <c r="J120" i="56" s="1"/>
  <c r="J120" i="53"/>
  <c r="G12" i="56"/>
  <c r="BM63" i="47"/>
  <c r="P67" i="55"/>
  <c r="P7" i="55" s="1"/>
  <c r="K63" i="44"/>
  <c r="J33" i="56" s="1"/>
  <c r="J33" i="53"/>
  <c r="E51" i="55"/>
  <c r="E11" i="55" s="1"/>
  <c r="E51" i="54"/>
  <c r="E11" i="54" s="1"/>
  <c r="L51" i="55"/>
  <c r="L51" i="54"/>
  <c r="L11" i="54" s="1"/>
  <c r="K63" i="46"/>
  <c r="J53" i="56" s="1"/>
  <c r="J53" i="53"/>
  <c r="D63" i="44"/>
  <c r="C33" i="56" s="1"/>
  <c r="C33" i="53"/>
  <c r="C13" i="53" s="1"/>
  <c r="P83" i="47"/>
  <c r="O69" i="57" s="1"/>
  <c r="O9" i="57" s="1"/>
  <c r="O69" i="56"/>
  <c r="O9" i="56" s="1"/>
  <c r="BD58" i="47"/>
  <c r="P68" i="55" s="1"/>
  <c r="O68" i="55"/>
  <c r="F14" i="51"/>
  <c r="P37" i="46"/>
  <c r="O51" i="53" s="1"/>
  <c r="O51" i="51"/>
  <c r="O11" i="51" s="1"/>
  <c r="M47" i="48"/>
  <c r="M71" i="48" s="1"/>
  <c r="L101" i="51"/>
  <c r="BD66" i="50"/>
  <c r="P136" i="55" s="1"/>
  <c r="O136" i="55"/>
  <c r="K47" i="49"/>
  <c r="K95" i="49" s="1"/>
  <c r="J121" i="57" s="1"/>
  <c r="J121" i="51"/>
  <c r="J47" i="50"/>
  <c r="I141" i="53" s="1"/>
  <c r="I141" i="51"/>
  <c r="D100" i="53"/>
  <c r="E94" i="48"/>
  <c r="D100" i="57" s="1"/>
  <c r="E70" i="48"/>
  <c r="D99" i="56"/>
  <c r="X69" i="48"/>
  <c r="D99" i="54" s="1"/>
  <c r="AR69" i="48"/>
  <c r="D99" i="55" s="1"/>
  <c r="X93" i="48"/>
  <c r="D99" i="58" s="1"/>
  <c r="O10" i="53"/>
  <c r="I63" i="44"/>
  <c r="H33" i="56" s="1"/>
  <c r="H33" i="53"/>
  <c r="H13" i="53" s="1"/>
  <c r="AA38" i="47"/>
  <c r="P72" i="53"/>
  <c r="F12" i="56"/>
  <c r="E14" i="51"/>
  <c r="I14" i="51"/>
  <c r="AK60" i="44"/>
  <c r="BP58" i="44" s="1"/>
  <c r="P30" i="54"/>
  <c r="I11" i="58"/>
  <c r="BD58" i="44"/>
  <c r="O28" i="55"/>
  <c r="CA46" i="48"/>
  <c r="L100" i="53"/>
  <c r="AK67" i="48"/>
  <c r="BW58" i="48" s="1"/>
  <c r="P97" i="54"/>
  <c r="H12" i="56"/>
  <c r="P48" i="55"/>
  <c r="P48" i="54"/>
  <c r="P8" i="54" s="1"/>
  <c r="D101" i="51"/>
  <c r="E47" i="48"/>
  <c r="I12" i="56"/>
  <c r="F63" i="44"/>
  <c r="E33" i="56" s="1"/>
  <c r="E33" i="53"/>
  <c r="E13" i="53" s="1"/>
  <c r="H63" i="44"/>
  <c r="G33" i="56" s="1"/>
  <c r="G33" i="53"/>
  <c r="L11" i="55"/>
  <c r="J63" i="44"/>
  <c r="I33" i="56" s="1"/>
  <c r="I33" i="53"/>
  <c r="I13" i="53" s="1"/>
  <c r="C11" i="55"/>
  <c r="D11" i="58"/>
  <c r="G47" i="48"/>
  <c r="F101" i="51"/>
  <c r="AS45" i="50"/>
  <c r="BY61" i="50" s="1"/>
  <c r="G47" i="49"/>
  <c r="F121" i="53" s="1"/>
  <c r="F121" i="51"/>
  <c r="AQ45" i="49"/>
  <c r="P119" i="53"/>
  <c r="K47" i="50"/>
  <c r="K95" i="50" s="1"/>
  <c r="J141" i="57" s="1"/>
  <c r="J141" i="51"/>
  <c r="F47" i="49"/>
  <c r="E121" i="53" s="1"/>
  <c r="E121" i="51"/>
  <c r="J101" i="51"/>
  <c r="K47" i="48"/>
  <c r="AF38" i="46"/>
  <c r="P52" i="53"/>
  <c r="I51" i="55"/>
  <c r="I11" i="55" s="1"/>
  <c r="I51" i="54"/>
  <c r="I11" i="54" s="1"/>
  <c r="J51" i="55"/>
  <c r="J11" i="55" s="1"/>
  <c r="J51" i="54"/>
  <c r="J11" i="54" s="1"/>
  <c r="BD59" i="46"/>
  <c r="O49" i="55"/>
  <c r="O49" i="54"/>
  <c r="O9" i="54" s="1"/>
  <c r="F47" i="48"/>
  <c r="F71" i="48" s="1"/>
  <c r="E101" i="51"/>
  <c r="AC45" i="48"/>
  <c r="P99" i="53"/>
  <c r="BU44" i="48"/>
  <c r="BX66" i="48" s="1"/>
  <c r="O98" i="51"/>
  <c r="K70" i="50"/>
  <c r="J140" i="56" s="1"/>
  <c r="J140" i="53"/>
  <c r="AK67" i="49"/>
  <c r="BW58" i="49" s="1"/>
  <c r="P117" i="54"/>
  <c r="Q62" i="44"/>
  <c r="P32" i="56" s="1"/>
  <c r="K70" i="48"/>
  <c r="J100" i="53"/>
  <c r="K94" i="48"/>
  <c r="J100" i="57" s="1"/>
  <c r="L12" i="56"/>
  <c r="AJ44" i="50"/>
  <c r="AJ92" i="50"/>
  <c r="P138" i="58" s="1"/>
  <c r="AF45" i="50"/>
  <c r="AD45" i="50"/>
  <c r="AA45" i="50"/>
  <c r="AJ68" i="49"/>
  <c r="AJ68" i="50"/>
  <c r="BO44" i="50"/>
  <c r="BX64" i="50" s="1"/>
  <c r="BU44" i="50"/>
  <c r="BX66" i="50" s="1"/>
  <c r="P44" i="50"/>
  <c r="O138" i="53" s="1"/>
  <c r="AI20" i="50"/>
  <c r="AC69" i="50"/>
  <c r="I139" i="54" s="1"/>
  <c r="AW69" i="50"/>
  <c r="I139" i="55" s="1"/>
  <c r="AC93" i="50"/>
  <c r="I139" i="58" s="1"/>
  <c r="AB69" i="50"/>
  <c r="H139" i="54" s="1"/>
  <c r="AB93" i="50"/>
  <c r="H139" i="58" s="1"/>
  <c r="AV69" i="50"/>
  <c r="H139" i="55" s="1"/>
  <c r="H47" i="49"/>
  <c r="BW47" i="49"/>
  <c r="CA67" i="49" s="1"/>
  <c r="AD69" i="49"/>
  <c r="J119" i="54" s="1"/>
  <c r="AD93" i="49"/>
  <c r="J119" i="58" s="1"/>
  <c r="AX69" i="49"/>
  <c r="J119" i="55" s="1"/>
  <c r="X93" i="49"/>
  <c r="D119" i="58" s="1"/>
  <c r="X69" i="49"/>
  <c r="D119" i="54" s="1"/>
  <c r="AR69" i="49"/>
  <c r="D119" i="55" s="1"/>
  <c r="Z93" i="50"/>
  <c r="F139" i="58" s="1"/>
  <c r="Z69" i="50"/>
  <c r="F139" i="54" s="1"/>
  <c r="AT69" i="50"/>
  <c r="F139" i="55" s="1"/>
  <c r="F70" i="49"/>
  <c r="E120" i="56" s="1"/>
  <c r="F94" i="49"/>
  <c r="E120" i="57" s="1"/>
  <c r="E47" i="49"/>
  <c r="D121" i="53" s="1"/>
  <c r="D94" i="50"/>
  <c r="C140" i="57" s="1"/>
  <c r="D70" i="50"/>
  <c r="C140" i="56" s="1"/>
  <c r="Q46" i="50"/>
  <c r="AC46" i="50" s="1"/>
  <c r="M94" i="49"/>
  <c r="L120" i="57" s="1"/>
  <c r="M70" i="49"/>
  <c r="L120" i="56" s="1"/>
  <c r="AJ19" i="50"/>
  <c r="BC67" i="50"/>
  <c r="I70" i="49"/>
  <c r="H120" i="56" s="1"/>
  <c r="I94" i="49"/>
  <c r="H120" i="57" s="1"/>
  <c r="E94" i="49"/>
  <c r="D120" i="57" s="1"/>
  <c r="E70" i="49"/>
  <c r="D120" i="56" s="1"/>
  <c r="BU44" i="49"/>
  <c r="BX66" i="49" s="1"/>
  <c r="AI20" i="49"/>
  <c r="P44" i="49"/>
  <c r="O118" i="53" s="1"/>
  <c r="BO44" i="49"/>
  <c r="BX64" i="49" s="1"/>
  <c r="W45" i="50"/>
  <c r="J47" i="49"/>
  <c r="I121" i="53" s="1"/>
  <c r="AJ44" i="49"/>
  <c r="D47" i="50"/>
  <c r="C141" i="53" s="1"/>
  <c r="BR47" i="50"/>
  <c r="CA65" i="50" s="1"/>
  <c r="Q23" i="50"/>
  <c r="P141" i="51" s="1"/>
  <c r="Y45" i="49"/>
  <c r="AR45" i="49"/>
  <c r="BY60" i="49" s="1"/>
  <c r="AH45" i="49"/>
  <c r="AT45" i="49"/>
  <c r="BY62" i="49" s="1"/>
  <c r="BJ21" i="49"/>
  <c r="BK21" i="49" s="1"/>
  <c r="BL21" i="49" s="1"/>
  <c r="P21" i="49" s="1"/>
  <c r="O119" i="51" s="1"/>
  <c r="BY69" i="49"/>
  <c r="AE45" i="49"/>
  <c r="AG45" i="49"/>
  <c r="BY68" i="49"/>
  <c r="H47" i="50"/>
  <c r="G141" i="53" s="1"/>
  <c r="BW47" i="50"/>
  <c r="CA67" i="50" s="1"/>
  <c r="M47" i="49"/>
  <c r="L121" i="53" s="1"/>
  <c r="AA93" i="50"/>
  <c r="G139" i="58" s="1"/>
  <c r="AU69" i="50"/>
  <c r="G139" i="55" s="1"/>
  <c r="X69" i="50"/>
  <c r="D139" i="54" s="1"/>
  <c r="AR69" i="50"/>
  <c r="D139" i="55" s="1"/>
  <c r="X93" i="50"/>
  <c r="D139" i="58" s="1"/>
  <c r="P91" i="50"/>
  <c r="O137" i="57" s="1"/>
  <c r="AI43" i="50"/>
  <c r="BC66" i="49"/>
  <c r="M70" i="50"/>
  <c r="L140" i="56" s="1"/>
  <c r="M94" i="50"/>
  <c r="L140" i="57" s="1"/>
  <c r="F47" i="50"/>
  <c r="E141" i="53" s="1"/>
  <c r="AF93" i="50"/>
  <c r="L139" i="58" s="1"/>
  <c r="AF69" i="50"/>
  <c r="L139" i="54" s="1"/>
  <c r="AZ69" i="50"/>
  <c r="L139" i="55" s="1"/>
  <c r="G47" i="50"/>
  <c r="F141" i="53" s="1"/>
  <c r="J94" i="49"/>
  <c r="I120" i="57" s="1"/>
  <c r="J70" i="49"/>
  <c r="I120" i="56" s="1"/>
  <c r="AD93" i="50"/>
  <c r="J139" i="58" s="1"/>
  <c r="AD69" i="50"/>
  <c r="J139" i="54" s="1"/>
  <c r="AX69" i="50"/>
  <c r="J139" i="55" s="1"/>
  <c r="W69" i="49"/>
  <c r="C119" i="54" s="1"/>
  <c r="AQ69" i="49"/>
  <c r="C119" i="55" s="1"/>
  <c r="Q69" i="49"/>
  <c r="P119" i="56" s="1"/>
  <c r="W93" i="49"/>
  <c r="C119" i="58" s="1"/>
  <c r="AA70" i="50"/>
  <c r="G140" i="54" s="1"/>
  <c r="H70" i="50"/>
  <c r="G140" i="56" s="1"/>
  <c r="H94" i="50"/>
  <c r="G140" i="57" s="1"/>
  <c r="AB45" i="49"/>
  <c r="M47" i="50"/>
  <c r="L141" i="53" s="1"/>
  <c r="F94" i="50"/>
  <c r="E140" i="57" s="1"/>
  <c r="F70" i="50"/>
  <c r="E140" i="56" s="1"/>
  <c r="X45" i="50"/>
  <c r="BJ21" i="50"/>
  <c r="BK21" i="50" s="1"/>
  <c r="BL21" i="50" s="1"/>
  <c r="P21" i="50" s="1"/>
  <c r="O139" i="51" s="1"/>
  <c r="AR45" i="50"/>
  <c r="BY60" i="50" s="1"/>
  <c r="AE45" i="50"/>
  <c r="AG45" i="50"/>
  <c r="BY68" i="50"/>
  <c r="BY69" i="50"/>
  <c r="AT45" i="50"/>
  <c r="BY62" i="50" s="1"/>
  <c r="AH45" i="50"/>
  <c r="G94" i="50"/>
  <c r="F140" i="57" s="1"/>
  <c r="G70" i="50"/>
  <c r="F140" i="56" s="1"/>
  <c r="G95" i="49"/>
  <c r="F121" i="57" s="1"/>
  <c r="G71" i="49"/>
  <c r="F121" i="56" s="1"/>
  <c r="AZ69" i="49"/>
  <c r="L119" i="55" s="1"/>
  <c r="AF93" i="49"/>
  <c r="L119" i="58" s="1"/>
  <c r="AF69" i="49"/>
  <c r="L119" i="54" s="1"/>
  <c r="BX59" i="50"/>
  <c r="AU44" i="50"/>
  <c r="Q93" i="49"/>
  <c r="P119" i="57" s="1"/>
  <c r="Y93" i="49"/>
  <c r="E119" i="58" s="1"/>
  <c r="Y69" i="49"/>
  <c r="E119" i="54" s="1"/>
  <c r="AS69" i="49"/>
  <c r="E119" i="55" s="1"/>
  <c r="J94" i="50"/>
  <c r="I140" i="57" s="1"/>
  <c r="J70" i="50"/>
  <c r="I140" i="56" s="1"/>
  <c r="AD45" i="49"/>
  <c r="AB69" i="49"/>
  <c r="H119" i="54" s="1"/>
  <c r="AB93" i="49"/>
  <c r="H119" i="58" s="1"/>
  <c r="AV69" i="49"/>
  <c r="H119" i="55" s="1"/>
  <c r="BY59" i="49"/>
  <c r="Y93" i="50"/>
  <c r="E139" i="58" s="1"/>
  <c r="Y69" i="50"/>
  <c r="E139" i="54" s="1"/>
  <c r="AS69" i="50"/>
  <c r="E139" i="55" s="1"/>
  <c r="Q46" i="49"/>
  <c r="W46" i="49" s="1"/>
  <c r="D70" i="49"/>
  <c r="C120" i="56" s="1"/>
  <c r="D94" i="49"/>
  <c r="C120" i="57" s="1"/>
  <c r="AJ92" i="49"/>
  <c r="P118" i="58" s="1"/>
  <c r="Z93" i="49"/>
  <c r="F119" i="58" s="1"/>
  <c r="Z69" i="49"/>
  <c r="F119" i="54" s="1"/>
  <c r="AT69" i="49"/>
  <c r="F119" i="55" s="1"/>
  <c r="Q93" i="50"/>
  <c r="P139" i="57" s="1"/>
  <c r="E95" i="50"/>
  <c r="D141" i="57" s="1"/>
  <c r="P91" i="49"/>
  <c r="O117" i="57" s="1"/>
  <c r="AI43" i="49"/>
  <c r="G94" i="49"/>
  <c r="F120" i="57" s="1"/>
  <c r="G70" i="49"/>
  <c r="F120" i="56" s="1"/>
  <c r="AB45" i="50"/>
  <c r="I70" i="50"/>
  <c r="H140" i="56" s="1"/>
  <c r="I94" i="50"/>
  <c r="H140" i="57" s="1"/>
  <c r="AA45" i="49"/>
  <c r="AJ19" i="49"/>
  <c r="BC67" i="49"/>
  <c r="AA70" i="49"/>
  <c r="G120" i="54" s="1"/>
  <c r="H70" i="49"/>
  <c r="G120" i="56" s="1"/>
  <c r="H94" i="49"/>
  <c r="G120" i="57" s="1"/>
  <c r="I47" i="49"/>
  <c r="H121" i="53" s="1"/>
  <c r="BR47" i="49"/>
  <c r="CA65" i="49" s="1"/>
  <c r="D47" i="49"/>
  <c r="C121" i="53" s="1"/>
  <c r="Q23" i="49"/>
  <c r="P121" i="51" s="1"/>
  <c r="Z45" i="50"/>
  <c r="AC93" i="49"/>
  <c r="I119" i="58" s="1"/>
  <c r="AC69" i="49"/>
  <c r="I119" i="54" s="1"/>
  <c r="AW69" i="49"/>
  <c r="I119" i="55" s="1"/>
  <c r="BX59" i="49"/>
  <c r="AU44" i="49"/>
  <c r="W93" i="50"/>
  <c r="C139" i="58" s="1"/>
  <c r="W69" i="50"/>
  <c r="C139" i="54" s="1"/>
  <c r="Q69" i="50"/>
  <c r="P139" i="56" s="1"/>
  <c r="AQ69" i="50"/>
  <c r="C139" i="55" s="1"/>
  <c r="E94" i="50"/>
  <c r="D140" i="57" s="1"/>
  <c r="E70" i="50"/>
  <c r="D140" i="56" s="1"/>
  <c r="AC45" i="50"/>
  <c r="K94" i="49"/>
  <c r="J120" i="57" s="1"/>
  <c r="CA46" i="49"/>
  <c r="CA46" i="50"/>
  <c r="K94" i="50"/>
  <c r="J140" i="57" s="1"/>
  <c r="I47" i="50"/>
  <c r="H141" i="53" s="1"/>
  <c r="AA93" i="49"/>
  <c r="G119" i="58" s="1"/>
  <c r="AU69" i="49"/>
  <c r="G119" i="55" s="1"/>
  <c r="X45" i="49"/>
  <c r="AV13" i="43"/>
  <c r="AW13" i="43"/>
  <c r="H85" i="43"/>
  <c r="BD12" i="43"/>
  <c r="BX39" i="43"/>
  <c r="N86" i="43"/>
  <c r="K85" i="43"/>
  <c r="BC66" i="48"/>
  <c r="AB45" i="48"/>
  <c r="BU55" i="48"/>
  <c r="AJ68" i="48"/>
  <c r="AJ92" i="48"/>
  <c r="P98" i="58" s="1"/>
  <c r="BW47" i="48"/>
  <c r="CA67" i="48" s="1"/>
  <c r="AU44" i="48"/>
  <c r="AG45" i="48"/>
  <c r="AR45" i="48"/>
  <c r="BY60" i="48" s="1"/>
  <c r="P44" i="48"/>
  <c r="X45" i="48"/>
  <c r="BY68" i="48"/>
  <c r="AI20" i="48"/>
  <c r="AJ20" i="48" s="1"/>
  <c r="Z45" i="48"/>
  <c r="BY69" i="48"/>
  <c r="AS45" i="48"/>
  <c r="BY61" i="48" s="1"/>
  <c r="AH45" i="48"/>
  <c r="AF45" i="48"/>
  <c r="BO44" i="48"/>
  <c r="BX64" i="48" s="1"/>
  <c r="Y45" i="48"/>
  <c r="BJ21" i="48"/>
  <c r="BK21" i="48" s="1"/>
  <c r="BL21" i="48" s="1"/>
  <c r="P21" i="48" s="1"/>
  <c r="AQ45" i="48"/>
  <c r="BY59" i="48" s="1"/>
  <c r="AA45" i="48"/>
  <c r="AD45" i="48"/>
  <c r="AT45" i="48"/>
  <c r="BY62" i="48" s="1"/>
  <c r="AE45" i="48"/>
  <c r="W45" i="48"/>
  <c r="Q93" i="48"/>
  <c r="P99" i="57" s="1"/>
  <c r="G71" i="48"/>
  <c r="Q69" i="48"/>
  <c r="P99" i="56" s="1"/>
  <c r="AJ44" i="48"/>
  <c r="AC38" i="47"/>
  <c r="Y38" i="47"/>
  <c r="BC59" i="44"/>
  <c r="BA47" i="50"/>
  <c r="G94" i="48"/>
  <c r="F100" i="57" s="1"/>
  <c r="G70" i="48"/>
  <c r="F100" i="56" s="1"/>
  <c r="F94" i="48"/>
  <c r="E100" i="57" s="1"/>
  <c r="F70" i="48"/>
  <c r="E100" i="56" s="1"/>
  <c r="AF93" i="48"/>
  <c r="L99" i="58" s="1"/>
  <c r="AF69" i="48"/>
  <c r="L99" i="54" s="1"/>
  <c r="AZ69" i="48"/>
  <c r="L99" i="55" s="1"/>
  <c r="Z93" i="48"/>
  <c r="F99" i="58" s="1"/>
  <c r="Z69" i="48"/>
  <c r="F99" i="54" s="1"/>
  <c r="AT69" i="48"/>
  <c r="F99" i="55" s="1"/>
  <c r="Y93" i="48"/>
  <c r="E99" i="58" s="1"/>
  <c r="Y69" i="48"/>
  <c r="E99" i="54" s="1"/>
  <c r="AS69" i="48"/>
  <c r="E99" i="55" s="1"/>
  <c r="Q23" i="48"/>
  <c r="P101" i="51" s="1"/>
  <c r="M70" i="48"/>
  <c r="L100" i="56" s="1"/>
  <c r="M94" i="48"/>
  <c r="L100" i="57" s="1"/>
  <c r="Q46" i="48"/>
  <c r="BR47" i="48"/>
  <c r="CA65" i="48" s="1"/>
  <c r="BC67" i="48"/>
  <c r="W94" i="48"/>
  <c r="C100" i="58" s="1"/>
  <c r="W70" i="48"/>
  <c r="C100" i="54" s="1"/>
  <c r="AQ70" i="48"/>
  <c r="C100" i="55" s="1"/>
  <c r="AZ46" i="48"/>
  <c r="AX46" i="48"/>
  <c r="AW46" i="48"/>
  <c r="AP47" i="48"/>
  <c r="I95" i="48"/>
  <c r="H101" i="57" s="1"/>
  <c r="I71" i="48"/>
  <c r="H101" i="56" s="1"/>
  <c r="AC94" i="48"/>
  <c r="I100" i="58" s="1"/>
  <c r="AC70" i="48"/>
  <c r="I100" i="54" s="1"/>
  <c r="AW70" i="48"/>
  <c r="I100" i="55" s="1"/>
  <c r="L95" i="48"/>
  <c r="K101" i="57" s="1"/>
  <c r="J95" i="48"/>
  <c r="I101" i="57" s="1"/>
  <c r="J71" i="48"/>
  <c r="I101" i="56" s="1"/>
  <c r="AE94" i="48"/>
  <c r="K100" i="58" s="1"/>
  <c r="AE70" i="48"/>
  <c r="K100" i="54" s="1"/>
  <c r="AY70" i="48"/>
  <c r="K100" i="55" s="1"/>
  <c r="D95" i="48"/>
  <c r="C101" i="57" s="1"/>
  <c r="D71" i="48"/>
  <c r="C101" i="56" s="1"/>
  <c r="BA45" i="48"/>
  <c r="AA94" i="48"/>
  <c r="G100" i="58" s="1"/>
  <c r="AU70" i="48"/>
  <c r="G100" i="55" s="1"/>
  <c r="AG95" i="48"/>
  <c r="M101" i="58" s="1"/>
  <c r="AG71" i="48"/>
  <c r="M101" i="54" s="1"/>
  <c r="BA71" i="48"/>
  <c r="M101" i="55" s="1"/>
  <c r="C95" i="48"/>
  <c r="V47" i="48"/>
  <c r="V95" i="48" s="1"/>
  <c r="H95" i="48"/>
  <c r="G101" i="57" s="1"/>
  <c r="AA71" i="48"/>
  <c r="G101" i="54" s="1"/>
  <c r="H71" i="48"/>
  <c r="G101" i="56" s="1"/>
  <c r="AB94" i="48"/>
  <c r="H100" i="58" s="1"/>
  <c r="AB70" i="48"/>
  <c r="H100" i="54" s="1"/>
  <c r="AV70" i="48"/>
  <c r="H100" i="55" s="1"/>
  <c r="AB38" i="47"/>
  <c r="W38" i="47"/>
  <c r="BN63" i="44"/>
  <c r="Y38" i="44"/>
  <c r="AT38" i="47"/>
  <c r="BR62" i="47" s="1"/>
  <c r="X38" i="47"/>
  <c r="AD38" i="47"/>
  <c r="AR38" i="47"/>
  <c r="BR60" i="47" s="1"/>
  <c r="AI13" i="46"/>
  <c r="AJ13" i="46" s="1"/>
  <c r="BU37" i="46"/>
  <c r="BQ66" i="46" s="1"/>
  <c r="X38" i="46"/>
  <c r="BJ14" i="44"/>
  <c r="BK14" i="44" s="1"/>
  <c r="BL14" i="44" s="1"/>
  <c r="P14" i="44" s="1"/>
  <c r="AF38" i="47"/>
  <c r="Z38" i="47"/>
  <c r="AB38" i="46"/>
  <c r="AR38" i="46"/>
  <c r="BR60" i="46" s="1"/>
  <c r="AU37" i="46"/>
  <c r="AS38" i="46"/>
  <c r="BR61" i="46" s="1"/>
  <c r="AA38" i="46"/>
  <c r="BO37" i="46"/>
  <c r="BQ64" i="46" s="1"/>
  <c r="BO55" i="46"/>
  <c r="Y38" i="46"/>
  <c r="BC60" i="46"/>
  <c r="Z38" i="46"/>
  <c r="AT38" i="46"/>
  <c r="BR62" i="46" s="1"/>
  <c r="W38" i="46"/>
  <c r="BJ14" i="46"/>
  <c r="BK14" i="46" s="1"/>
  <c r="BL14" i="46" s="1"/>
  <c r="P14" i="46" s="1"/>
  <c r="AD38" i="46"/>
  <c r="AQ38" i="46"/>
  <c r="AJ37" i="44"/>
  <c r="Z38" i="44"/>
  <c r="AF38" i="44"/>
  <c r="AC38" i="44"/>
  <c r="AE86" i="43"/>
  <c r="L86" i="43"/>
  <c r="F61" i="43"/>
  <c r="Y85" i="43" s="1"/>
  <c r="F85" i="43"/>
  <c r="AE61" i="43"/>
  <c r="AE85" i="43"/>
  <c r="K40" i="46"/>
  <c r="K17" i="46"/>
  <c r="J55" i="51" s="1"/>
  <c r="H40" i="46"/>
  <c r="H17" i="46"/>
  <c r="G55" i="51" s="1"/>
  <c r="BW40" i="46"/>
  <c r="BT67" i="46" s="1"/>
  <c r="F17" i="47"/>
  <c r="E75" i="51" s="1"/>
  <c r="F40" i="47"/>
  <c r="E74" i="53" s="1"/>
  <c r="G61" i="43"/>
  <c r="Z85" i="43" s="1"/>
  <c r="G85" i="43"/>
  <c r="J61" i="43"/>
  <c r="AC85" i="43" s="1"/>
  <c r="J85" i="43"/>
  <c r="Y86" i="44"/>
  <c r="E32" i="58" s="1"/>
  <c r="Y62" i="44"/>
  <c r="E32" i="54" s="1"/>
  <c r="AS62" i="44"/>
  <c r="E32" i="55" s="1"/>
  <c r="P60" i="47"/>
  <c r="AI36" i="47"/>
  <c r="BR40" i="46"/>
  <c r="BT65" i="46" s="1"/>
  <c r="D17" i="46"/>
  <c r="C55" i="51" s="1"/>
  <c r="D40" i="46"/>
  <c r="C54" i="53" s="1"/>
  <c r="Q16" i="46"/>
  <c r="P54" i="51" s="1"/>
  <c r="J63" i="46"/>
  <c r="I53" i="56" s="1"/>
  <c r="J87" i="46"/>
  <c r="I53" i="57" s="1"/>
  <c r="E87" i="44"/>
  <c r="D33" i="57" s="1"/>
  <c r="D63" i="47"/>
  <c r="C73" i="56" s="1"/>
  <c r="D87" i="47"/>
  <c r="C73" i="57" s="1"/>
  <c r="Q39" i="47"/>
  <c r="K17" i="47"/>
  <c r="J75" i="51" s="1"/>
  <c r="K40" i="47"/>
  <c r="AA63" i="46"/>
  <c r="H87" i="46"/>
  <c r="G53" i="57" s="1"/>
  <c r="AI13" i="47"/>
  <c r="P37" i="47"/>
  <c r="O71" i="53" s="1"/>
  <c r="BO37" i="47"/>
  <c r="BQ64" i="47" s="1"/>
  <c r="BU37" i="47"/>
  <c r="BQ66" i="47" s="1"/>
  <c r="F87" i="47"/>
  <c r="E73" i="57" s="1"/>
  <c r="F63" i="47"/>
  <c r="E73" i="56" s="1"/>
  <c r="Z62" i="46"/>
  <c r="Z86" i="46"/>
  <c r="F52" i="58" s="1"/>
  <c r="AT62" i="46"/>
  <c r="AF62" i="47"/>
  <c r="L72" i="54" s="1"/>
  <c r="AF86" i="47"/>
  <c r="L72" i="58" s="1"/>
  <c r="AZ62" i="47"/>
  <c r="L72" i="55" s="1"/>
  <c r="AD38" i="44"/>
  <c r="BR68" i="44"/>
  <c r="AG38" i="44"/>
  <c r="BR69" i="44"/>
  <c r="AE38" i="44"/>
  <c r="AH38" i="44"/>
  <c r="X86" i="44"/>
  <c r="D32" i="58" s="1"/>
  <c r="X62" i="44"/>
  <c r="D32" i="54" s="1"/>
  <c r="AR62" i="44"/>
  <c r="D32" i="55" s="1"/>
  <c r="J40" i="46"/>
  <c r="I54" i="53" s="1"/>
  <c r="J17" i="46"/>
  <c r="I55" i="51" s="1"/>
  <c r="M63" i="46"/>
  <c r="L53" i="56" s="1"/>
  <c r="M87" i="46"/>
  <c r="L53" i="57" s="1"/>
  <c r="Z62" i="47"/>
  <c r="F72" i="54" s="1"/>
  <c r="Z86" i="47"/>
  <c r="F72" i="58" s="1"/>
  <c r="AT62" i="47"/>
  <c r="F72" i="55" s="1"/>
  <c r="AS38" i="44"/>
  <c r="BR61" i="44" s="1"/>
  <c r="K87" i="47"/>
  <c r="J73" i="57" s="1"/>
  <c r="CA39" i="47"/>
  <c r="Q86" i="44"/>
  <c r="P32" i="57" s="1"/>
  <c r="AG61" i="43"/>
  <c r="AG85" i="43"/>
  <c r="E61" i="43"/>
  <c r="X85" i="43" s="1"/>
  <c r="E85" i="43"/>
  <c r="M61" i="43"/>
  <c r="AF85" i="43" s="1"/>
  <c r="M85" i="43"/>
  <c r="Y62" i="46"/>
  <c r="Y86" i="46"/>
  <c r="E52" i="58" s="1"/>
  <c r="AS62" i="46"/>
  <c r="F17" i="44"/>
  <c r="E35" i="51" s="1"/>
  <c r="F40" i="44"/>
  <c r="Y86" i="47"/>
  <c r="E72" i="58" s="1"/>
  <c r="Y62" i="47"/>
  <c r="E72" i="54" s="1"/>
  <c r="AS62" i="47"/>
  <c r="E72" i="55" s="1"/>
  <c r="AF62" i="44"/>
  <c r="L32" i="54" s="1"/>
  <c r="AF86" i="44"/>
  <c r="L32" i="58" s="1"/>
  <c r="AZ62" i="44"/>
  <c r="L32" i="55" s="1"/>
  <c r="P85" i="46"/>
  <c r="O51" i="57" s="1"/>
  <c r="AB38" i="44"/>
  <c r="BR40" i="44"/>
  <c r="BT65" i="44" s="1"/>
  <c r="D17" i="44"/>
  <c r="C35" i="51" s="1"/>
  <c r="D40" i="44"/>
  <c r="Q16" i="44"/>
  <c r="P34" i="51" s="1"/>
  <c r="E17" i="46"/>
  <c r="D55" i="51" s="1"/>
  <c r="E40" i="46"/>
  <c r="D54" i="53" s="1"/>
  <c r="W86" i="44"/>
  <c r="C32" i="58" s="1"/>
  <c r="AQ62" i="44"/>
  <c r="C32" i="55" s="1"/>
  <c r="X86" i="46"/>
  <c r="D52" i="58" s="1"/>
  <c r="X62" i="46"/>
  <c r="AR62" i="46"/>
  <c r="AD62" i="44"/>
  <c r="J32" i="54" s="1"/>
  <c r="AD86" i="44"/>
  <c r="J32" i="58" s="1"/>
  <c r="AX62" i="44"/>
  <c r="J32" i="55" s="1"/>
  <c r="M40" i="46"/>
  <c r="L54" i="53" s="1"/>
  <c r="M17" i="46"/>
  <c r="L55" i="51" s="1"/>
  <c r="G63" i="47"/>
  <c r="F73" i="56" s="1"/>
  <c r="G87" i="47"/>
  <c r="F73" i="57" s="1"/>
  <c r="Z62" i="44"/>
  <c r="F32" i="54" s="1"/>
  <c r="Z86" i="44"/>
  <c r="F32" i="58" s="1"/>
  <c r="AT62" i="44"/>
  <c r="F32" i="55" s="1"/>
  <c r="D40" i="47"/>
  <c r="C74" i="53" s="1"/>
  <c r="D17" i="47"/>
  <c r="C75" i="51" s="1"/>
  <c r="Q16" i="47"/>
  <c r="P74" i="51" s="1"/>
  <c r="BR40" i="47"/>
  <c r="BT65" i="47" s="1"/>
  <c r="BN63" i="47"/>
  <c r="BN55" i="47"/>
  <c r="AH61" i="43"/>
  <c r="AH85" i="43"/>
  <c r="AJ37" i="47"/>
  <c r="F87" i="44"/>
  <c r="E33" i="57" s="1"/>
  <c r="I40" i="46"/>
  <c r="H54" i="53" s="1"/>
  <c r="I17" i="46"/>
  <c r="H55" i="51" s="1"/>
  <c r="Q39" i="44"/>
  <c r="D87" i="44"/>
  <c r="C33" i="57" s="1"/>
  <c r="G17" i="46"/>
  <c r="F55" i="51" s="1"/>
  <c r="G40" i="46"/>
  <c r="F54" i="53" s="1"/>
  <c r="E87" i="46"/>
  <c r="D53" i="57" s="1"/>
  <c r="E63" i="46"/>
  <c r="D53" i="56" s="1"/>
  <c r="AB62" i="46"/>
  <c r="AB86" i="46"/>
  <c r="H52" i="58" s="1"/>
  <c r="AV62" i="46"/>
  <c r="Q39" i="46"/>
  <c r="D87" i="46"/>
  <c r="C53" i="57" s="1"/>
  <c r="D63" i="46"/>
  <c r="C53" i="56" s="1"/>
  <c r="AQ38" i="47"/>
  <c r="G40" i="47"/>
  <c r="F74" i="53" s="1"/>
  <c r="G17" i="47"/>
  <c r="F75" i="51" s="1"/>
  <c r="AD62" i="47"/>
  <c r="J72" i="54" s="1"/>
  <c r="AD86" i="47"/>
  <c r="J72" i="58" s="1"/>
  <c r="AX62" i="47"/>
  <c r="J72" i="55" s="1"/>
  <c r="X86" i="47"/>
  <c r="D72" i="58" s="1"/>
  <c r="X62" i="47"/>
  <c r="D72" i="54" s="1"/>
  <c r="AR62" i="47"/>
  <c r="D72" i="55" s="1"/>
  <c r="H40" i="47"/>
  <c r="G74" i="53" s="1"/>
  <c r="H17" i="47"/>
  <c r="G75" i="51" s="1"/>
  <c r="BW40" i="47"/>
  <c r="BT67" i="47" s="1"/>
  <c r="I87" i="46"/>
  <c r="H53" i="57" s="1"/>
  <c r="I63" i="46"/>
  <c r="H53" i="56" s="1"/>
  <c r="M87" i="47"/>
  <c r="L73" i="57" s="1"/>
  <c r="M63" i="47"/>
  <c r="L73" i="56" s="1"/>
  <c r="I87" i="47"/>
  <c r="H73" i="57" s="1"/>
  <c r="I63" i="47"/>
  <c r="H73" i="56" s="1"/>
  <c r="H87" i="47"/>
  <c r="G73" i="57" s="1"/>
  <c r="AA63" i="47"/>
  <c r="G73" i="54" s="1"/>
  <c r="H63" i="47"/>
  <c r="G73" i="56" s="1"/>
  <c r="BC59" i="47"/>
  <c r="M87" i="44"/>
  <c r="L33" i="57" s="1"/>
  <c r="F40" i="46"/>
  <c r="E54" i="53" s="1"/>
  <c r="F17" i="46"/>
  <c r="E55" i="51" s="1"/>
  <c r="AC86" i="44"/>
  <c r="I32" i="58" s="1"/>
  <c r="AC62" i="44"/>
  <c r="I32" i="54" s="1"/>
  <c r="AW62" i="44"/>
  <c r="I32" i="55" s="1"/>
  <c r="AB62" i="44"/>
  <c r="H32" i="54" s="1"/>
  <c r="AB86" i="44"/>
  <c r="H32" i="58" s="1"/>
  <c r="AV62" i="44"/>
  <c r="H32" i="55" s="1"/>
  <c r="G63" i="46"/>
  <c r="F53" i="56" s="1"/>
  <c r="G87" i="46"/>
  <c r="F53" i="57" s="1"/>
  <c r="AB86" i="47"/>
  <c r="H72" i="58" s="1"/>
  <c r="AB62" i="47"/>
  <c r="H72" i="54" s="1"/>
  <c r="AV62" i="47"/>
  <c r="H72" i="55" s="1"/>
  <c r="M40" i="44"/>
  <c r="M17" i="44"/>
  <c r="L35" i="51" s="1"/>
  <c r="AU37" i="47"/>
  <c r="F63" i="46"/>
  <c r="E53" i="56" s="1"/>
  <c r="F87" i="46"/>
  <c r="E53" i="57" s="1"/>
  <c r="I40" i="44"/>
  <c r="I17" i="44"/>
  <c r="H35" i="51" s="1"/>
  <c r="AA38" i="44"/>
  <c r="AC86" i="46"/>
  <c r="I52" i="58" s="1"/>
  <c r="AC62" i="46"/>
  <c r="AW62" i="46"/>
  <c r="M40" i="47"/>
  <c r="L74" i="53" s="1"/>
  <c r="M17" i="47"/>
  <c r="L75" i="51" s="1"/>
  <c r="I40" i="47"/>
  <c r="H74" i="53" s="1"/>
  <c r="I17" i="47"/>
  <c r="H75" i="51" s="1"/>
  <c r="W86" i="47"/>
  <c r="C72" i="58" s="1"/>
  <c r="W62" i="47"/>
  <c r="C72" i="54" s="1"/>
  <c r="Q62" i="47"/>
  <c r="P72" i="56" s="1"/>
  <c r="AQ62" i="47"/>
  <c r="C72" i="55" s="1"/>
  <c r="E40" i="47"/>
  <c r="D74" i="53" s="1"/>
  <c r="E17" i="47"/>
  <c r="D75" i="51" s="1"/>
  <c r="BC60" i="44"/>
  <c r="AJ61" i="47"/>
  <c r="BQ59" i="44"/>
  <c r="AU37" i="44"/>
  <c r="W62" i="46"/>
  <c r="Q62" i="46"/>
  <c r="P52" i="56" s="1"/>
  <c r="W86" i="46"/>
  <c r="C52" i="58" s="1"/>
  <c r="AQ62" i="46"/>
  <c r="AJ37" i="46"/>
  <c r="AC86" i="47"/>
  <c r="I72" i="58" s="1"/>
  <c r="AC62" i="47"/>
  <c r="I72" i="54" s="1"/>
  <c r="AW62" i="47"/>
  <c r="I72" i="55" s="1"/>
  <c r="AJ85" i="46"/>
  <c r="P51" i="58" s="1"/>
  <c r="H87" i="44"/>
  <c r="G33" i="57" s="1"/>
  <c r="AA63" i="44"/>
  <c r="G33" i="54" s="1"/>
  <c r="I87" i="44"/>
  <c r="H33" i="57" s="1"/>
  <c r="H13" i="57" s="1"/>
  <c r="AA86" i="44"/>
  <c r="G32" i="58" s="1"/>
  <c r="AU62" i="44"/>
  <c r="G32" i="55" s="1"/>
  <c r="J17" i="44"/>
  <c r="I35" i="51" s="1"/>
  <c r="J40" i="44"/>
  <c r="AD62" i="46"/>
  <c r="AD86" i="46"/>
  <c r="J52" i="58" s="1"/>
  <c r="AX62" i="46"/>
  <c r="AJ61" i="44"/>
  <c r="K17" i="44"/>
  <c r="J35" i="51" s="1"/>
  <c r="J15" i="51" s="1"/>
  <c r="K40" i="44"/>
  <c r="AQ38" i="44"/>
  <c r="X38" i="44"/>
  <c r="Q86" i="47"/>
  <c r="P72" i="57" s="1"/>
  <c r="E87" i="47"/>
  <c r="D73" i="57" s="1"/>
  <c r="E63" i="47"/>
  <c r="D73" i="56" s="1"/>
  <c r="AA86" i="47"/>
  <c r="G72" i="58" s="1"/>
  <c r="AU62" i="47"/>
  <c r="G72" i="55" s="1"/>
  <c r="Q86" i="46"/>
  <c r="P52" i="57" s="1"/>
  <c r="J17" i="47"/>
  <c r="I75" i="51" s="1"/>
  <c r="J40" i="47"/>
  <c r="I74" i="53" s="1"/>
  <c r="G87" i="44"/>
  <c r="F33" i="57" s="1"/>
  <c r="AA86" i="46"/>
  <c r="G52" i="58" s="1"/>
  <c r="AU62" i="46"/>
  <c r="I61" i="43"/>
  <c r="AB85" i="43" s="1"/>
  <c r="I85" i="43"/>
  <c r="O62" i="43"/>
  <c r="AH86" i="43" s="1"/>
  <c r="O86" i="43"/>
  <c r="AJ61" i="46"/>
  <c r="AK61" i="46" s="1"/>
  <c r="BQ58" i="46" s="1"/>
  <c r="H40" i="44"/>
  <c r="H17" i="44"/>
  <c r="G35" i="51" s="1"/>
  <c r="BW40" i="44"/>
  <c r="BT67" i="44" s="1"/>
  <c r="K87" i="46"/>
  <c r="J53" i="57" s="1"/>
  <c r="CA39" i="46"/>
  <c r="AJ12" i="47"/>
  <c r="J87" i="44"/>
  <c r="I33" i="57" s="1"/>
  <c r="AJ85" i="44"/>
  <c r="P31" i="58" s="1"/>
  <c r="CA39" i="44"/>
  <c r="K87" i="44"/>
  <c r="J33" i="57" s="1"/>
  <c r="W38" i="44"/>
  <c r="AR38" i="44"/>
  <c r="BR60" i="44" s="1"/>
  <c r="P37" i="44"/>
  <c r="O31" i="53" s="1"/>
  <c r="AI13" i="44"/>
  <c r="BU37" i="44"/>
  <c r="BQ66" i="44" s="1"/>
  <c r="BO37" i="44"/>
  <c r="BQ64" i="44" s="1"/>
  <c r="AG38" i="47"/>
  <c r="BR69" i="47"/>
  <c r="AH38" i="47"/>
  <c r="BR68" i="47"/>
  <c r="AE38" i="47"/>
  <c r="E40" i="44"/>
  <c r="E17" i="44"/>
  <c r="D35" i="51" s="1"/>
  <c r="BJ14" i="47"/>
  <c r="BK14" i="47" s="1"/>
  <c r="BL14" i="47" s="1"/>
  <c r="P14" i="47" s="1"/>
  <c r="O72" i="51" s="1"/>
  <c r="AF86" i="46"/>
  <c r="L52" i="58" s="1"/>
  <c r="AF62" i="46"/>
  <c r="AZ62" i="46"/>
  <c r="AS38" i="47"/>
  <c r="BR61" i="47" s="1"/>
  <c r="AJ85" i="47"/>
  <c r="P71" i="58" s="1"/>
  <c r="AC38" i="46"/>
  <c r="AG38" i="46"/>
  <c r="AE38" i="46"/>
  <c r="BR68" i="46"/>
  <c r="BR69" i="46"/>
  <c r="AH38" i="46"/>
  <c r="J87" i="47"/>
  <c r="I73" i="57" s="1"/>
  <c r="J63" i="47"/>
  <c r="I73" i="56" s="1"/>
  <c r="G17" i="44"/>
  <c r="F35" i="51" s="1"/>
  <c r="F15" i="51" s="1"/>
  <c r="G40" i="44"/>
  <c r="BA43" i="47"/>
  <c r="L93" i="47"/>
  <c r="K79" i="57" s="1"/>
  <c r="L46" i="47"/>
  <c r="L23" i="47"/>
  <c r="N93" i="47"/>
  <c r="M79" i="57" s="1"/>
  <c r="AH92" i="47"/>
  <c r="N78" i="58" s="1"/>
  <c r="N18" i="58" s="1"/>
  <c r="AH68" i="47"/>
  <c r="N78" i="54" s="1"/>
  <c r="N18" i="54" s="1"/>
  <c r="BB68" i="47"/>
  <c r="N78" i="55" s="1"/>
  <c r="N18" i="55" s="1"/>
  <c r="AE92" i="47"/>
  <c r="K78" i="58" s="1"/>
  <c r="AE68" i="47"/>
  <c r="K78" i="54" s="1"/>
  <c r="AY68" i="47"/>
  <c r="K78" i="55" s="1"/>
  <c r="AG92" i="47"/>
  <c r="M78" i="58" s="1"/>
  <c r="AG68" i="47"/>
  <c r="M78" i="54" s="1"/>
  <c r="BA68" i="47"/>
  <c r="M78" i="55" s="1"/>
  <c r="B95" i="47"/>
  <c r="U47" i="47"/>
  <c r="U95" i="47" s="1"/>
  <c r="O46" i="47"/>
  <c r="N80" i="53" s="1"/>
  <c r="O23" i="47"/>
  <c r="O93" i="47"/>
  <c r="N79" i="57" s="1"/>
  <c r="N19" i="57" s="1"/>
  <c r="O69" i="47"/>
  <c r="N79" i="56" s="1"/>
  <c r="N19" i="56" s="1"/>
  <c r="AW44" i="47"/>
  <c r="AX44" i="47"/>
  <c r="AP45" i="47"/>
  <c r="AZ44" i="47"/>
  <c r="C95" i="47"/>
  <c r="V47" i="47"/>
  <c r="V95" i="47" s="1"/>
  <c r="N46" i="47"/>
  <c r="N23" i="47"/>
  <c r="BX46" i="47"/>
  <c r="AP45" i="46"/>
  <c r="AW44" i="46"/>
  <c r="AZ44" i="46"/>
  <c r="AX44" i="46"/>
  <c r="L47" i="46"/>
  <c r="N46" i="46"/>
  <c r="BX46" i="46"/>
  <c r="N23" i="46"/>
  <c r="C71" i="46"/>
  <c r="V71" i="46" s="1"/>
  <c r="AP71" i="46" s="1"/>
  <c r="C47" i="46"/>
  <c r="V23" i="46"/>
  <c r="AP23" i="46" s="1"/>
  <c r="BI23" i="46" s="1"/>
  <c r="L94" i="46"/>
  <c r="K60" i="57" s="1"/>
  <c r="N93" i="46"/>
  <c r="M59" i="57" s="1"/>
  <c r="AG92" i="46"/>
  <c r="M58" i="58" s="1"/>
  <c r="AG68" i="46"/>
  <c r="BA68" i="46"/>
  <c r="AH93" i="46"/>
  <c r="N59" i="58" s="1"/>
  <c r="AH69" i="46"/>
  <c r="BB69" i="46"/>
  <c r="C94" i="46"/>
  <c r="V46" i="46"/>
  <c r="V94" i="46" s="1"/>
  <c r="BT44" i="46"/>
  <c r="BQ44" i="46"/>
  <c r="AU23" i="46"/>
  <c r="BD23" i="46" s="1"/>
  <c r="BD22" i="46"/>
  <c r="B70" i="46"/>
  <c r="U70" i="46" s="1"/>
  <c r="AO70" i="46" s="1"/>
  <c r="B46" i="46"/>
  <c r="U22" i="46"/>
  <c r="AO22" i="46" s="1"/>
  <c r="BH22" i="46" s="1"/>
  <c r="B23" i="46"/>
  <c r="B93" i="46"/>
  <c r="U45" i="46"/>
  <c r="U93" i="46" s="1"/>
  <c r="BL46" i="46"/>
  <c r="BN45" i="46"/>
  <c r="O47" i="46"/>
  <c r="N61" i="53" s="1"/>
  <c r="AE93" i="46"/>
  <c r="K59" i="58" s="1"/>
  <c r="AE69" i="46"/>
  <c r="AY69" i="46"/>
  <c r="O94" i="46"/>
  <c r="N60" i="57" s="1"/>
  <c r="O70" i="46"/>
  <c r="N60" i="56" s="1"/>
  <c r="O94" i="44"/>
  <c r="N40" i="57" s="1"/>
  <c r="AE92" i="44"/>
  <c r="K38" i="58" s="1"/>
  <c r="K18" i="58" s="1"/>
  <c r="AE68" i="44"/>
  <c r="K38" i="54" s="1"/>
  <c r="K18" i="54" s="1"/>
  <c r="AY68" i="44"/>
  <c r="K38" i="55" s="1"/>
  <c r="K18" i="55" s="1"/>
  <c r="BA45" i="44"/>
  <c r="AH93" i="44"/>
  <c r="N39" i="58" s="1"/>
  <c r="AH69" i="44"/>
  <c r="N39" i="54" s="1"/>
  <c r="BB69" i="44"/>
  <c r="N39" i="55" s="1"/>
  <c r="BT44" i="44"/>
  <c r="BQ44" i="44"/>
  <c r="AP47" i="44"/>
  <c r="AX46" i="44"/>
  <c r="AW46" i="44"/>
  <c r="BA46" i="44" s="1"/>
  <c r="AZ46" i="44"/>
  <c r="BN45" i="44"/>
  <c r="BL46" i="44"/>
  <c r="L46" i="44"/>
  <c r="L23" i="44"/>
  <c r="AG94" i="44"/>
  <c r="M40" i="58" s="1"/>
  <c r="AG70" i="44"/>
  <c r="M40" i="54" s="1"/>
  <c r="BA70" i="44"/>
  <c r="M40" i="55" s="1"/>
  <c r="N95" i="44"/>
  <c r="M41" i="57" s="1"/>
  <c r="O47" i="44"/>
  <c r="L93" i="44"/>
  <c r="K39" i="57" s="1"/>
  <c r="K19" i="57" s="1"/>
  <c r="AF60" i="43"/>
  <c r="AD60" i="43"/>
  <c r="AB60" i="43"/>
  <c r="AU60" i="43"/>
  <c r="Y60" i="43"/>
  <c r="Z60" i="43"/>
  <c r="X60" i="43"/>
  <c r="AC60" i="43"/>
  <c r="BW38" i="43"/>
  <c r="BR67" i="43" s="1"/>
  <c r="AD85" i="43"/>
  <c r="CA37" i="43"/>
  <c r="P28" i="43"/>
  <c r="AI28" i="43" s="1"/>
  <c r="BO28" i="43"/>
  <c r="BA36" i="43"/>
  <c r="AR60" i="43"/>
  <c r="BB61" i="43"/>
  <c r="AW60" i="43"/>
  <c r="AY61" i="43"/>
  <c r="AV60" i="43"/>
  <c r="AT60" i="43"/>
  <c r="AS60" i="43"/>
  <c r="AZ60" i="43"/>
  <c r="AX60" i="43"/>
  <c r="BA61" i="43"/>
  <c r="AA61" i="43"/>
  <c r="AA85" i="43"/>
  <c r="BQ42" i="43"/>
  <c r="BT42" i="43"/>
  <c r="H15" i="43"/>
  <c r="H38" i="43"/>
  <c r="H62" i="43" s="1"/>
  <c r="L16" i="43"/>
  <c r="L39" i="43"/>
  <c r="L63" i="43" s="1"/>
  <c r="F15" i="43"/>
  <c r="F38" i="43"/>
  <c r="E15" i="43"/>
  <c r="E38" i="43"/>
  <c r="M15" i="43"/>
  <c r="M38" i="43"/>
  <c r="N16" i="43"/>
  <c r="N39" i="43"/>
  <c r="N63" i="43" s="1"/>
  <c r="G15" i="43"/>
  <c r="G38" i="43"/>
  <c r="K15" i="43"/>
  <c r="K38" i="43"/>
  <c r="K62" i="43" s="1"/>
  <c r="J15" i="43"/>
  <c r="J38" i="43"/>
  <c r="I15" i="43"/>
  <c r="I38" i="43"/>
  <c r="O16" i="43"/>
  <c r="O39" i="43"/>
  <c r="BA14" i="43"/>
  <c r="AY14" i="43"/>
  <c r="AU13" i="43"/>
  <c r="BL44" i="43"/>
  <c r="BM43" i="43"/>
  <c r="BN43" i="43" s="1"/>
  <c r="AX14" i="43"/>
  <c r="AZ14" i="43"/>
  <c r="AZ45" i="43"/>
  <c r="AX45" i="43"/>
  <c r="AP46" i="43"/>
  <c r="AW46" i="43" s="1"/>
  <c r="G15" i="51" l="1"/>
  <c r="O8" i="55"/>
  <c r="O11" i="53"/>
  <c r="AI37" i="46"/>
  <c r="F71" i="49"/>
  <c r="E121" i="56" s="1"/>
  <c r="G13" i="53"/>
  <c r="E71" i="50"/>
  <c r="D141" i="56" s="1"/>
  <c r="G12" i="58"/>
  <c r="K19" i="56"/>
  <c r="M19" i="57"/>
  <c r="F13" i="57"/>
  <c r="M19" i="56"/>
  <c r="C13" i="57"/>
  <c r="J71" i="50"/>
  <c r="I141" i="56" s="1"/>
  <c r="J95" i="50"/>
  <c r="I141" i="57" s="1"/>
  <c r="L15" i="51"/>
  <c r="N59" i="55"/>
  <c r="N59" i="54"/>
  <c r="I12" i="58"/>
  <c r="BV63" i="50"/>
  <c r="M19" i="53"/>
  <c r="K40" i="53"/>
  <c r="L70" i="44"/>
  <c r="K40" i="56" s="1"/>
  <c r="M58" i="55"/>
  <c r="M18" i="55" s="1"/>
  <c r="M58" i="54"/>
  <c r="M18" i="54" s="1"/>
  <c r="Z46" i="49"/>
  <c r="J12" i="58"/>
  <c r="D13" i="57"/>
  <c r="K19" i="53"/>
  <c r="O71" i="44"/>
  <c r="N41" i="56" s="1"/>
  <c r="N41" i="53"/>
  <c r="M18" i="58"/>
  <c r="M60" i="53"/>
  <c r="M20" i="53" s="1"/>
  <c r="N70" i="46"/>
  <c r="M60" i="56" s="1"/>
  <c r="M20" i="56" s="1"/>
  <c r="N70" i="47"/>
  <c r="M80" i="56" s="1"/>
  <c r="M80" i="53"/>
  <c r="K80" i="53"/>
  <c r="L70" i="47"/>
  <c r="K80" i="56" s="1"/>
  <c r="G13" i="57"/>
  <c r="K59" i="54"/>
  <c r="K59" i="55"/>
  <c r="K61" i="53"/>
  <c r="L71" i="46"/>
  <c r="K61" i="56" s="1"/>
  <c r="H12" i="58"/>
  <c r="N20" i="53"/>
  <c r="F95" i="49"/>
  <c r="E121" i="57" s="1"/>
  <c r="CA47" i="48"/>
  <c r="Q47" i="48"/>
  <c r="P101" i="53" s="1"/>
  <c r="BV55" i="50"/>
  <c r="L52" i="55"/>
  <c r="L12" i="55" s="1"/>
  <c r="L52" i="54"/>
  <c r="L12" i="54" s="1"/>
  <c r="J100" i="56"/>
  <c r="AD94" i="48"/>
  <c r="J100" i="58" s="1"/>
  <c r="AD70" i="48"/>
  <c r="J100" i="54" s="1"/>
  <c r="AX70" i="48"/>
  <c r="J100" i="55" s="1"/>
  <c r="J13" i="53"/>
  <c r="F13" i="56"/>
  <c r="J13" i="57"/>
  <c r="I52" i="55"/>
  <c r="I12" i="55" s="1"/>
  <c r="I52" i="54"/>
  <c r="I12" i="54" s="1"/>
  <c r="L13" i="57"/>
  <c r="F12" i="58"/>
  <c r="P14" i="51"/>
  <c r="L12" i="58"/>
  <c r="P12" i="57"/>
  <c r="AB46" i="48"/>
  <c r="P100" i="53"/>
  <c r="AF71" i="48"/>
  <c r="L101" i="54" s="1"/>
  <c r="L101" i="56"/>
  <c r="X46" i="49"/>
  <c r="P120" i="53"/>
  <c r="P12" i="56"/>
  <c r="BN55" i="44"/>
  <c r="P28" i="55"/>
  <c r="P8" i="55" s="1"/>
  <c r="K71" i="49"/>
  <c r="J121" i="56" s="1"/>
  <c r="J121" i="53"/>
  <c r="J13" i="56"/>
  <c r="H64" i="44"/>
  <c r="G34" i="56" s="1"/>
  <c r="G34" i="53"/>
  <c r="BD59" i="47"/>
  <c r="P69" i="55" s="1"/>
  <c r="O69" i="55"/>
  <c r="X39" i="46"/>
  <c r="P53" i="53"/>
  <c r="D52" i="55"/>
  <c r="D12" i="55" s="1"/>
  <c r="D52" i="54"/>
  <c r="D12" i="54" s="1"/>
  <c r="D64" i="44"/>
  <c r="C34" i="56" s="1"/>
  <c r="C34" i="53"/>
  <c r="C14" i="53" s="1"/>
  <c r="BO38" i="44"/>
  <c r="BR64" i="44" s="1"/>
  <c r="O32" i="51"/>
  <c r="AQ47" i="48"/>
  <c r="Z95" i="48"/>
  <c r="F101" i="58" s="1"/>
  <c r="F101" i="56"/>
  <c r="BO45" i="48"/>
  <c r="BY64" i="48" s="1"/>
  <c r="O99" i="51"/>
  <c r="AK68" i="50"/>
  <c r="BX58" i="50" s="1"/>
  <c r="P138" i="54"/>
  <c r="Q63" i="44"/>
  <c r="P33" i="56" s="1"/>
  <c r="G95" i="48"/>
  <c r="F101" i="57" s="1"/>
  <c r="F101" i="53"/>
  <c r="L13" i="56"/>
  <c r="E52" i="55"/>
  <c r="E12" i="55" s="1"/>
  <c r="E52" i="54"/>
  <c r="E12" i="54" s="1"/>
  <c r="P11" i="58"/>
  <c r="J64" i="44"/>
  <c r="I34" i="56" s="1"/>
  <c r="I34" i="53"/>
  <c r="I14" i="53" s="1"/>
  <c r="M64" i="44"/>
  <c r="L34" i="56" s="1"/>
  <c r="L34" i="53"/>
  <c r="L14" i="53" s="1"/>
  <c r="H52" i="55"/>
  <c r="H12" i="55" s="1"/>
  <c r="H52" i="54"/>
  <c r="H12" i="54" s="1"/>
  <c r="AR39" i="44"/>
  <c r="BS60" i="44" s="1"/>
  <c r="P33" i="53"/>
  <c r="C15" i="51"/>
  <c r="K64" i="47"/>
  <c r="J74" i="56" s="1"/>
  <c r="J74" i="53"/>
  <c r="E12" i="58"/>
  <c r="BU38" i="46"/>
  <c r="BR66" i="46" s="1"/>
  <c r="O52" i="51"/>
  <c r="AS71" i="48"/>
  <c r="E101" i="55" s="1"/>
  <c r="E101" i="56"/>
  <c r="BD67" i="49"/>
  <c r="P117" i="55" s="1"/>
  <c r="O117" i="55"/>
  <c r="W63" i="44"/>
  <c r="C33" i="54" s="1"/>
  <c r="F95" i="48"/>
  <c r="E101" i="57" s="1"/>
  <c r="E101" i="53"/>
  <c r="K71" i="50"/>
  <c r="J141" i="56" s="1"/>
  <c r="J141" i="53"/>
  <c r="G13" i="56"/>
  <c r="D100" i="56"/>
  <c r="X70" i="48"/>
  <c r="D100" i="54" s="1"/>
  <c r="X94" i="48"/>
  <c r="D100" i="58" s="1"/>
  <c r="AR70" i="48"/>
  <c r="D100" i="55" s="1"/>
  <c r="BU63" i="48"/>
  <c r="P95" i="55"/>
  <c r="G52" i="55"/>
  <c r="G12" i="55" s="1"/>
  <c r="G52" i="54"/>
  <c r="G12" i="54" s="1"/>
  <c r="G64" i="44"/>
  <c r="F34" i="56" s="1"/>
  <c r="F34" i="53"/>
  <c r="F14" i="53" s="1"/>
  <c r="I15" i="51"/>
  <c r="H64" i="46"/>
  <c r="G54" i="56" s="1"/>
  <c r="G54" i="53"/>
  <c r="BD59" i="44"/>
  <c r="O29" i="55"/>
  <c r="AK68" i="48"/>
  <c r="BX58" i="48" s="1"/>
  <c r="P98" i="54"/>
  <c r="BD66" i="49"/>
  <c r="P116" i="55" s="1"/>
  <c r="O116" i="55"/>
  <c r="AQ46" i="50"/>
  <c r="BZ59" i="50" s="1"/>
  <c r="P140" i="53"/>
  <c r="CA47" i="49"/>
  <c r="G121" i="53"/>
  <c r="AK68" i="49"/>
  <c r="BX58" i="49" s="1"/>
  <c r="P118" i="54"/>
  <c r="D13" i="56"/>
  <c r="J52" i="54"/>
  <c r="J12" i="54" s="1"/>
  <c r="J52" i="55"/>
  <c r="J12" i="55" s="1"/>
  <c r="F52" i="55"/>
  <c r="F12" i="55" s="1"/>
  <c r="F52" i="54"/>
  <c r="F12" i="54" s="1"/>
  <c r="D15" i="51"/>
  <c r="I13" i="57"/>
  <c r="E64" i="44"/>
  <c r="D34" i="56" s="1"/>
  <c r="D34" i="53"/>
  <c r="D14" i="53" s="1"/>
  <c r="K64" i="44"/>
  <c r="J34" i="56" s="1"/>
  <c r="J34" i="53"/>
  <c r="AK61" i="47"/>
  <c r="BQ58" i="47" s="1"/>
  <c r="P71" i="54"/>
  <c r="H15" i="51"/>
  <c r="AQ39" i="47"/>
  <c r="BS59" i="47" s="1"/>
  <c r="P73" i="53"/>
  <c r="P92" i="48"/>
  <c r="O98" i="57" s="1"/>
  <c r="O98" i="53"/>
  <c r="E13" i="56"/>
  <c r="H13" i="56"/>
  <c r="M95" i="48"/>
  <c r="L101" i="57" s="1"/>
  <c r="L101" i="53"/>
  <c r="P12" i="53"/>
  <c r="P84" i="47"/>
  <c r="O70" i="57" s="1"/>
  <c r="O10" i="57" s="1"/>
  <c r="O70" i="56"/>
  <c r="O10" i="56" s="1"/>
  <c r="BD60" i="44"/>
  <c r="P30" i="55" s="1"/>
  <c r="O30" i="55"/>
  <c r="I64" i="44"/>
  <c r="H34" i="56" s="1"/>
  <c r="H34" i="53"/>
  <c r="H14" i="53" s="1"/>
  <c r="E13" i="57"/>
  <c r="C12" i="58"/>
  <c r="F64" i="44"/>
  <c r="E34" i="56" s="1"/>
  <c r="E34" i="53"/>
  <c r="E14" i="53" s="1"/>
  <c r="D12" i="58"/>
  <c r="K64" i="46"/>
  <c r="J54" i="56" s="1"/>
  <c r="J54" i="53"/>
  <c r="BD67" i="50"/>
  <c r="P137" i="55" s="1"/>
  <c r="O137" i="55"/>
  <c r="BO63" i="46"/>
  <c r="P49" i="55"/>
  <c r="P49" i="54"/>
  <c r="P9" i="54" s="1"/>
  <c r="K71" i="48"/>
  <c r="J101" i="53"/>
  <c r="K95" i="48"/>
  <c r="J101" i="57" s="1"/>
  <c r="AK61" i="44"/>
  <c r="BQ58" i="44" s="1"/>
  <c r="P31" i="54"/>
  <c r="C52" i="55"/>
  <c r="C12" i="55" s="1"/>
  <c r="C52" i="54"/>
  <c r="C12" i="54" s="1"/>
  <c r="E15" i="51"/>
  <c r="BD60" i="46"/>
  <c r="O50" i="55"/>
  <c r="O50" i="54"/>
  <c r="O10" i="54" s="1"/>
  <c r="BD67" i="48"/>
  <c r="BW63" i="48" s="1"/>
  <c r="O97" i="55"/>
  <c r="BD66" i="48"/>
  <c r="BV55" i="48" s="1"/>
  <c r="O96" i="55"/>
  <c r="I13" i="56"/>
  <c r="D101" i="53"/>
  <c r="E71" i="48"/>
  <c r="E95" i="48"/>
  <c r="D101" i="57" s="1"/>
  <c r="C13" i="56"/>
  <c r="AJ93" i="50"/>
  <c r="P139" i="58" s="1"/>
  <c r="AJ45" i="49"/>
  <c r="AB46" i="50"/>
  <c r="AU45" i="49"/>
  <c r="AA46" i="50"/>
  <c r="Y46" i="50"/>
  <c r="AF46" i="50"/>
  <c r="AD46" i="50"/>
  <c r="AS46" i="50"/>
  <c r="BZ61" i="50" s="1"/>
  <c r="Z46" i="50"/>
  <c r="W46" i="50"/>
  <c r="AJ69" i="50"/>
  <c r="X95" i="50"/>
  <c r="D141" i="58" s="1"/>
  <c r="X71" i="50"/>
  <c r="D141" i="54" s="1"/>
  <c r="AR71" i="50"/>
  <c r="D141" i="55" s="1"/>
  <c r="AJ20" i="49"/>
  <c r="Q47" i="49"/>
  <c r="P121" i="53" s="1"/>
  <c r="D95" i="49"/>
  <c r="C121" i="57" s="1"/>
  <c r="D71" i="49"/>
  <c r="C121" i="56" s="1"/>
  <c r="Q94" i="49"/>
  <c r="P120" i="57" s="1"/>
  <c r="Z95" i="49"/>
  <c r="F121" i="58" s="1"/>
  <c r="Z71" i="49"/>
  <c r="F121" i="54" s="1"/>
  <c r="AT71" i="49"/>
  <c r="F121" i="55" s="1"/>
  <c r="Y94" i="50"/>
  <c r="E140" i="58" s="1"/>
  <c r="Y70" i="50"/>
  <c r="E140" i="54" s="1"/>
  <c r="AS70" i="50"/>
  <c r="E140" i="55" s="1"/>
  <c r="M95" i="49"/>
  <c r="L121" i="57" s="1"/>
  <c r="M71" i="49"/>
  <c r="L121" i="56" s="1"/>
  <c r="P45" i="49"/>
  <c r="O119" i="53" s="1"/>
  <c r="AI21" i="49"/>
  <c r="BU45" i="49"/>
  <c r="BY66" i="49" s="1"/>
  <c r="BO45" i="49"/>
  <c r="BY64" i="49" s="1"/>
  <c r="D71" i="50"/>
  <c r="C141" i="56" s="1"/>
  <c r="D95" i="50"/>
  <c r="C141" i="57" s="1"/>
  <c r="Q47" i="50"/>
  <c r="Y70" i="49"/>
  <c r="E120" i="54" s="1"/>
  <c r="AS70" i="49"/>
  <c r="E120" i="55" s="1"/>
  <c r="Y94" i="49"/>
  <c r="E120" i="58" s="1"/>
  <c r="AJ20" i="50"/>
  <c r="I71" i="50"/>
  <c r="H141" i="56" s="1"/>
  <c r="I95" i="50"/>
  <c r="H141" i="57" s="1"/>
  <c r="AD94" i="49"/>
  <c r="J120" i="58" s="1"/>
  <c r="AD70" i="49"/>
  <c r="J120" i="54" s="1"/>
  <c r="AX70" i="49"/>
  <c r="J120" i="55" s="1"/>
  <c r="W70" i="49"/>
  <c r="C120" i="54" s="1"/>
  <c r="Q70" i="49"/>
  <c r="P120" i="56" s="1"/>
  <c r="AQ70" i="49"/>
  <c r="C120" i="55" s="1"/>
  <c r="W94" i="49"/>
  <c r="C120" i="58" s="1"/>
  <c r="AA94" i="50"/>
  <c r="G140" i="58" s="1"/>
  <c r="AU70" i="50"/>
  <c r="G140" i="55" s="1"/>
  <c r="X46" i="50"/>
  <c r="BJ22" i="50"/>
  <c r="BK22" i="50" s="1"/>
  <c r="BL22" i="50" s="1"/>
  <c r="P22" i="50" s="1"/>
  <c r="O140" i="51" s="1"/>
  <c r="AE46" i="50"/>
  <c r="AR46" i="50"/>
  <c r="BZ60" i="50" s="1"/>
  <c r="BZ68" i="50"/>
  <c r="AH46" i="50"/>
  <c r="BZ69" i="50"/>
  <c r="AG46" i="50"/>
  <c r="AT46" i="50"/>
  <c r="BZ62" i="50" s="1"/>
  <c r="P92" i="50"/>
  <c r="O138" i="57" s="1"/>
  <c r="AI44" i="50"/>
  <c r="AS46" i="49"/>
  <c r="BZ61" i="49" s="1"/>
  <c r="BZ68" i="49"/>
  <c r="AH46" i="49"/>
  <c r="BZ69" i="49"/>
  <c r="AR46" i="49"/>
  <c r="BZ60" i="49" s="1"/>
  <c r="AT46" i="49"/>
  <c r="BZ62" i="49" s="1"/>
  <c r="AE46" i="49"/>
  <c r="BJ22" i="49"/>
  <c r="BK22" i="49" s="1"/>
  <c r="BL22" i="49" s="1"/>
  <c r="P22" i="49" s="1"/>
  <c r="O120" i="51" s="1"/>
  <c r="AG46" i="49"/>
  <c r="AC46" i="49"/>
  <c r="X94" i="49"/>
  <c r="D120" i="58" s="1"/>
  <c r="X70" i="49"/>
  <c r="D120" i="54" s="1"/>
  <c r="AR70" i="49"/>
  <c r="D120" i="55" s="1"/>
  <c r="Y95" i="49"/>
  <c r="E121" i="58" s="1"/>
  <c r="Y71" i="49"/>
  <c r="E121" i="54" s="1"/>
  <c r="AS71" i="49"/>
  <c r="E121" i="55" s="1"/>
  <c r="W94" i="50"/>
  <c r="C140" i="58" s="1"/>
  <c r="W70" i="50"/>
  <c r="C140" i="54" s="1"/>
  <c r="Q70" i="50"/>
  <c r="P140" i="56" s="1"/>
  <c r="AQ70" i="50"/>
  <c r="C140" i="55" s="1"/>
  <c r="AD94" i="50"/>
  <c r="J140" i="58" s="1"/>
  <c r="AX70" i="50"/>
  <c r="J140" i="55" s="1"/>
  <c r="AD70" i="50"/>
  <c r="J140" i="54" s="1"/>
  <c r="X70" i="50"/>
  <c r="D140" i="54" s="1"/>
  <c r="X94" i="50"/>
  <c r="D140" i="58" s="1"/>
  <c r="AR70" i="50"/>
  <c r="D140" i="55" s="1"/>
  <c r="I71" i="49"/>
  <c r="H121" i="56" s="1"/>
  <c r="I95" i="49"/>
  <c r="H121" i="57" s="1"/>
  <c r="AT70" i="49"/>
  <c r="F120" i="55" s="1"/>
  <c r="Z94" i="49"/>
  <c r="F120" i="58" s="1"/>
  <c r="Z70" i="49"/>
  <c r="F120" i="54" s="1"/>
  <c r="M95" i="50"/>
  <c r="L141" i="57" s="1"/>
  <c r="M71" i="50"/>
  <c r="L141" i="56" s="1"/>
  <c r="AJ93" i="49"/>
  <c r="P119" i="58" s="1"/>
  <c r="AC94" i="49"/>
  <c r="I120" i="58" s="1"/>
  <c r="AC70" i="49"/>
  <c r="I120" i="54" s="1"/>
  <c r="AW70" i="49"/>
  <c r="I120" i="55" s="1"/>
  <c r="F95" i="50"/>
  <c r="E141" i="57" s="1"/>
  <c r="F71" i="50"/>
  <c r="E141" i="56" s="1"/>
  <c r="H95" i="50"/>
  <c r="G141" i="57" s="1"/>
  <c r="AA71" i="50"/>
  <c r="G141" i="54" s="1"/>
  <c r="H71" i="50"/>
  <c r="G141" i="56" s="1"/>
  <c r="J71" i="49"/>
  <c r="I121" i="56" s="1"/>
  <c r="J95" i="49"/>
  <c r="I121" i="57" s="1"/>
  <c r="AF46" i="49"/>
  <c r="Q94" i="50"/>
  <c r="P140" i="57" s="1"/>
  <c r="AD95" i="50"/>
  <c r="J141" i="58" s="1"/>
  <c r="AD71" i="50"/>
  <c r="J141" i="54" s="1"/>
  <c r="AX71" i="50"/>
  <c r="J141" i="55" s="1"/>
  <c r="AA46" i="49"/>
  <c r="Z94" i="50"/>
  <c r="F140" i="58" s="1"/>
  <c r="Z70" i="50"/>
  <c r="F140" i="54" s="1"/>
  <c r="AT70" i="50"/>
  <c r="F140" i="55" s="1"/>
  <c r="AJ45" i="50"/>
  <c r="AB46" i="49"/>
  <c r="AF70" i="49"/>
  <c r="L120" i="54" s="1"/>
  <c r="AZ70" i="49"/>
  <c r="L120" i="55" s="1"/>
  <c r="AF94" i="49"/>
  <c r="L120" i="58" s="1"/>
  <c r="AA71" i="49"/>
  <c r="G121" i="54" s="1"/>
  <c r="H71" i="49"/>
  <c r="G121" i="56" s="1"/>
  <c r="H95" i="49"/>
  <c r="G121" i="57" s="1"/>
  <c r="AB94" i="50"/>
  <c r="H140" i="58" s="1"/>
  <c r="AB70" i="50"/>
  <c r="H140" i="54" s="1"/>
  <c r="AV70" i="50"/>
  <c r="H140" i="55" s="1"/>
  <c r="AW70" i="50"/>
  <c r="I140" i="55" s="1"/>
  <c r="AC94" i="50"/>
  <c r="I140" i="58" s="1"/>
  <c r="AC70" i="50"/>
  <c r="I140" i="54" s="1"/>
  <c r="P45" i="50"/>
  <c r="O139" i="53" s="1"/>
  <c r="AI21" i="50"/>
  <c r="BO45" i="50"/>
  <c r="BY64" i="50" s="1"/>
  <c r="BU45" i="50"/>
  <c r="BY66" i="50" s="1"/>
  <c r="AW71" i="50"/>
  <c r="I141" i="55" s="1"/>
  <c r="AC95" i="50"/>
  <c r="I141" i="58" s="1"/>
  <c r="AC71" i="50"/>
  <c r="I141" i="54" s="1"/>
  <c r="E95" i="49"/>
  <c r="D121" i="57" s="1"/>
  <c r="E71" i="49"/>
  <c r="D121" i="56" s="1"/>
  <c r="AU45" i="50"/>
  <c r="AD46" i="49"/>
  <c r="AA94" i="49"/>
  <c r="G120" i="58" s="1"/>
  <c r="AU70" i="49"/>
  <c r="G120" i="55" s="1"/>
  <c r="CA47" i="50"/>
  <c r="AQ46" i="49"/>
  <c r="AJ69" i="49"/>
  <c r="G95" i="50"/>
  <c r="F141" i="57" s="1"/>
  <c r="G71" i="50"/>
  <c r="F141" i="56" s="1"/>
  <c r="AF94" i="50"/>
  <c r="L140" i="58" s="1"/>
  <c r="AF70" i="50"/>
  <c r="L140" i="54" s="1"/>
  <c r="AZ70" i="50"/>
  <c r="L140" i="55" s="1"/>
  <c r="P92" i="49"/>
  <c r="O118" i="57" s="1"/>
  <c r="AI44" i="49"/>
  <c r="AB70" i="49"/>
  <c r="H120" i="54" s="1"/>
  <c r="AB94" i="49"/>
  <c r="H120" i="58" s="1"/>
  <c r="AV70" i="49"/>
  <c r="H120" i="55" s="1"/>
  <c r="Y46" i="49"/>
  <c r="AV14" i="43"/>
  <c r="AW14" i="43"/>
  <c r="H86" i="43"/>
  <c r="K86" i="43"/>
  <c r="BX40" i="43"/>
  <c r="BD13" i="43"/>
  <c r="AZ71" i="48"/>
  <c r="L101" i="55" s="1"/>
  <c r="AF95" i="48"/>
  <c r="L101" i="58" s="1"/>
  <c r="AJ45" i="48"/>
  <c r="AU45" i="48"/>
  <c r="AI44" i="48"/>
  <c r="AI21" i="48"/>
  <c r="AJ21" i="48" s="1"/>
  <c r="BU45" i="48"/>
  <c r="BY66" i="48" s="1"/>
  <c r="BZ69" i="48"/>
  <c r="P45" i="48"/>
  <c r="Y46" i="48"/>
  <c r="AG46" i="48"/>
  <c r="Z71" i="48"/>
  <c r="F101" i="54" s="1"/>
  <c r="Y71" i="48"/>
  <c r="E101" i="54" s="1"/>
  <c r="AT46" i="48"/>
  <c r="BZ62" i="48" s="1"/>
  <c r="AQ46" i="48"/>
  <c r="BZ59" i="48" s="1"/>
  <c r="BZ68" i="48"/>
  <c r="AF46" i="48"/>
  <c r="Q94" i="48"/>
  <c r="P100" i="57" s="1"/>
  <c r="AT71" i="48"/>
  <c r="F101" i="55" s="1"/>
  <c r="AJ69" i="48"/>
  <c r="AJ93" i="48"/>
  <c r="P99" i="58" s="1"/>
  <c r="Y95" i="48"/>
  <c r="E101" i="58" s="1"/>
  <c r="AS46" i="48"/>
  <c r="BZ61" i="48" s="1"/>
  <c r="W46" i="48"/>
  <c r="AH46" i="48"/>
  <c r="AA46" i="48"/>
  <c r="AE46" i="48"/>
  <c r="Z46" i="48"/>
  <c r="AD46" i="48"/>
  <c r="BJ22" i="48"/>
  <c r="BK22" i="48" s="1"/>
  <c r="BL22" i="48" s="1"/>
  <c r="P22" i="48" s="1"/>
  <c r="X46" i="48"/>
  <c r="AR46" i="48"/>
  <c r="BO55" i="44"/>
  <c r="AF94" i="48"/>
  <c r="L100" i="58" s="1"/>
  <c r="AF70" i="48"/>
  <c r="L100" i="54" s="1"/>
  <c r="AZ70" i="48"/>
  <c r="L100" i="55" s="1"/>
  <c r="Y94" i="48"/>
  <c r="E100" i="58" s="1"/>
  <c r="Y70" i="48"/>
  <c r="E100" i="54" s="1"/>
  <c r="AS70" i="48"/>
  <c r="E100" i="55" s="1"/>
  <c r="Z94" i="48"/>
  <c r="F100" i="58" s="1"/>
  <c r="Z70" i="48"/>
  <c r="F100" i="54" s="1"/>
  <c r="AT70" i="48"/>
  <c r="F100" i="55" s="1"/>
  <c r="AC46" i="48"/>
  <c r="Q70" i="48"/>
  <c r="P100" i="56" s="1"/>
  <c r="BC68" i="48"/>
  <c r="BA46" i="48"/>
  <c r="W47" i="48"/>
  <c r="AC47" i="48"/>
  <c r="AA47" i="48"/>
  <c r="AC95" i="48"/>
  <c r="I101" i="58" s="1"/>
  <c r="AC71" i="48"/>
  <c r="I101" i="54" s="1"/>
  <c r="AW71" i="48"/>
  <c r="I101" i="55" s="1"/>
  <c r="CA69" i="48"/>
  <c r="CA68" i="48"/>
  <c r="AT47" i="48"/>
  <c r="AR47" i="48"/>
  <c r="BJ23" i="48"/>
  <c r="BK23" i="48" s="1"/>
  <c r="BL23" i="48" s="1"/>
  <c r="P23" i="48" s="1"/>
  <c r="O101" i="51" s="1"/>
  <c r="AH47" i="48"/>
  <c r="AF47" i="48"/>
  <c r="AD47" i="48"/>
  <c r="Z47" i="48"/>
  <c r="AG47" i="48"/>
  <c r="Y47" i="48"/>
  <c r="AS47" i="48"/>
  <c r="CA61" i="48" s="1"/>
  <c r="X47" i="48"/>
  <c r="W95" i="48"/>
  <c r="C101" i="58" s="1"/>
  <c r="W71" i="48"/>
  <c r="C101" i="54" s="1"/>
  <c r="Q71" i="48"/>
  <c r="P101" i="56" s="1"/>
  <c r="AQ71" i="48"/>
  <c r="C101" i="55" s="1"/>
  <c r="AB47" i="48"/>
  <c r="AA95" i="48"/>
  <c r="G101" i="58" s="1"/>
  <c r="AU71" i="48"/>
  <c r="G101" i="55" s="1"/>
  <c r="AE47" i="48"/>
  <c r="AB95" i="48"/>
  <c r="H101" i="58" s="1"/>
  <c r="AB71" i="48"/>
  <c r="H101" i="54" s="1"/>
  <c r="AV71" i="48"/>
  <c r="H101" i="55" s="1"/>
  <c r="AE95" i="48"/>
  <c r="K101" i="58" s="1"/>
  <c r="AE71" i="48"/>
  <c r="K101" i="54" s="1"/>
  <c r="AY71" i="48"/>
  <c r="K101" i="55" s="1"/>
  <c r="AX47" i="48"/>
  <c r="AW47" i="48"/>
  <c r="AZ47" i="48"/>
  <c r="X39" i="47"/>
  <c r="BU38" i="44"/>
  <c r="BR66" i="44" s="1"/>
  <c r="P38" i="44"/>
  <c r="AI14" i="44"/>
  <c r="AJ14" i="44" s="1"/>
  <c r="AJ62" i="47"/>
  <c r="P38" i="46"/>
  <c r="BO38" i="46"/>
  <c r="BR64" i="46" s="1"/>
  <c r="BJ15" i="44"/>
  <c r="BK15" i="44" s="1"/>
  <c r="BL15" i="44" s="1"/>
  <c r="P15" i="44" s="1"/>
  <c r="AD39" i="44"/>
  <c r="BJ15" i="47"/>
  <c r="BK15" i="47" s="1"/>
  <c r="BL15" i="47" s="1"/>
  <c r="P15" i="47" s="1"/>
  <c r="AS39" i="44"/>
  <c r="BS61" i="44" s="1"/>
  <c r="AB39" i="44"/>
  <c r="AA39" i="44"/>
  <c r="AT39" i="44"/>
  <c r="BS62" i="44" s="1"/>
  <c r="AQ39" i="44"/>
  <c r="BS59" i="44" s="1"/>
  <c r="Z39" i="44"/>
  <c r="AF39" i="44"/>
  <c r="BC60" i="47"/>
  <c r="BP63" i="46"/>
  <c r="AI14" i="46"/>
  <c r="AJ14" i="46" s="1"/>
  <c r="AU38" i="46"/>
  <c r="AJ38" i="47"/>
  <c r="AT39" i="47"/>
  <c r="BS62" i="47" s="1"/>
  <c r="AR39" i="47"/>
  <c r="BS60" i="47" s="1"/>
  <c r="AS39" i="47"/>
  <c r="BS61" i="47" s="1"/>
  <c r="AD39" i="47"/>
  <c r="Z39" i="47"/>
  <c r="AB39" i="47"/>
  <c r="AC39" i="47"/>
  <c r="Y39" i="47"/>
  <c r="AA39" i="47"/>
  <c r="AF39" i="47"/>
  <c r="BC61" i="46"/>
  <c r="Y39" i="46"/>
  <c r="AS39" i="46"/>
  <c r="BS61" i="46" s="1"/>
  <c r="BR59" i="46"/>
  <c r="AD39" i="46"/>
  <c r="AJ38" i="46"/>
  <c r="Z39" i="46"/>
  <c r="BJ15" i="46"/>
  <c r="BK15" i="46" s="1"/>
  <c r="BL15" i="46" s="1"/>
  <c r="P15" i="46" s="1"/>
  <c r="W39" i="44"/>
  <c r="Y39" i="44"/>
  <c r="AJ38" i="44"/>
  <c r="I62" i="43"/>
  <c r="AB86" i="43" s="1"/>
  <c r="I86" i="43"/>
  <c r="AD63" i="44"/>
  <c r="J33" i="54" s="1"/>
  <c r="AD87" i="44"/>
  <c r="J33" i="58" s="1"/>
  <c r="AX63" i="44"/>
  <c r="J33" i="55" s="1"/>
  <c r="H88" i="44"/>
  <c r="G34" i="57" s="1"/>
  <c r="AA64" i="44"/>
  <c r="G34" i="54" s="1"/>
  <c r="AB87" i="44"/>
  <c r="H33" i="58" s="1"/>
  <c r="AB63" i="44"/>
  <c r="H33" i="54" s="1"/>
  <c r="AV63" i="44"/>
  <c r="H33" i="55" s="1"/>
  <c r="E41" i="47"/>
  <c r="D75" i="53" s="1"/>
  <c r="E18" i="47"/>
  <c r="D76" i="51" s="1"/>
  <c r="I88" i="47"/>
  <c r="H74" i="57" s="1"/>
  <c r="I64" i="47"/>
  <c r="H74" i="56" s="1"/>
  <c r="AB87" i="47"/>
  <c r="H73" i="58" s="1"/>
  <c r="AB63" i="47"/>
  <c r="H73" i="54" s="1"/>
  <c r="AV63" i="47"/>
  <c r="H73" i="55" s="1"/>
  <c r="AQ39" i="46"/>
  <c r="G88" i="46"/>
  <c r="F54" i="57" s="1"/>
  <c r="G64" i="46"/>
  <c r="F54" i="56" s="1"/>
  <c r="I18" i="46"/>
  <c r="H56" i="51" s="1"/>
  <c r="I41" i="46"/>
  <c r="H55" i="53" s="1"/>
  <c r="D18" i="47"/>
  <c r="C76" i="51" s="1"/>
  <c r="Q17" i="47"/>
  <c r="P75" i="51" s="1"/>
  <c r="BR41" i="47"/>
  <c r="BU65" i="47" s="1"/>
  <c r="D41" i="47"/>
  <c r="C75" i="53" s="1"/>
  <c r="Z87" i="47"/>
  <c r="F73" i="58" s="1"/>
  <c r="Z63" i="47"/>
  <c r="F73" i="54" s="1"/>
  <c r="AT63" i="47"/>
  <c r="F73" i="55" s="1"/>
  <c r="E88" i="46"/>
  <c r="D54" i="57" s="1"/>
  <c r="E64" i="46"/>
  <c r="D54" i="56" s="1"/>
  <c r="J88" i="46"/>
  <c r="I54" i="57" s="1"/>
  <c r="J64" i="46"/>
  <c r="I54" i="56" s="1"/>
  <c r="AA87" i="46"/>
  <c r="G53" i="58" s="1"/>
  <c r="AU63" i="46"/>
  <c r="Q87" i="47"/>
  <c r="P73" i="57" s="1"/>
  <c r="AC63" i="46"/>
  <c r="AC87" i="46"/>
  <c r="I53" i="58" s="1"/>
  <c r="AW63" i="46"/>
  <c r="K41" i="46"/>
  <c r="K18" i="46"/>
  <c r="J56" i="51" s="1"/>
  <c r="AG87" i="43"/>
  <c r="N87" i="43"/>
  <c r="J62" i="43"/>
  <c r="AC86" i="43" s="1"/>
  <c r="J86" i="43"/>
  <c r="AC87" i="47"/>
  <c r="I73" i="58" s="1"/>
  <c r="AC63" i="47"/>
  <c r="I73" i="54" s="1"/>
  <c r="AW63" i="47"/>
  <c r="I73" i="55" s="1"/>
  <c r="E41" i="44"/>
  <c r="E18" i="44"/>
  <c r="D36" i="51" s="1"/>
  <c r="BR59" i="44"/>
  <c r="AU38" i="44"/>
  <c r="AJ62" i="46"/>
  <c r="AK62" i="46" s="1"/>
  <c r="BR58" i="46" s="1"/>
  <c r="E64" i="47"/>
  <c r="D74" i="56" s="1"/>
  <c r="E88" i="47"/>
  <c r="D74" i="57" s="1"/>
  <c r="M41" i="44"/>
  <c r="M18" i="44"/>
  <c r="L36" i="51" s="1"/>
  <c r="Q63" i="46"/>
  <c r="P53" i="56" s="1"/>
  <c r="W87" i="46"/>
  <c r="C53" i="58" s="1"/>
  <c r="W63" i="46"/>
  <c r="AQ63" i="46"/>
  <c r="X87" i="46"/>
  <c r="D53" i="58" s="1"/>
  <c r="X63" i="46"/>
  <c r="AR63" i="46"/>
  <c r="G41" i="46"/>
  <c r="F55" i="53" s="1"/>
  <c r="G18" i="46"/>
  <c r="F56" i="51" s="1"/>
  <c r="I88" i="46"/>
  <c r="H54" i="57" s="1"/>
  <c r="I64" i="46"/>
  <c r="H54" i="56" s="1"/>
  <c r="D64" i="47"/>
  <c r="C74" i="56" s="1"/>
  <c r="Q40" i="47"/>
  <c r="D88" i="47"/>
  <c r="C74" i="57" s="1"/>
  <c r="E41" i="46"/>
  <c r="D55" i="53" s="1"/>
  <c r="E18" i="46"/>
  <c r="D56" i="51" s="1"/>
  <c r="Y87" i="47"/>
  <c r="E73" i="58" s="1"/>
  <c r="Y63" i="47"/>
  <c r="E73" i="54" s="1"/>
  <c r="AS63" i="47"/>
  <c r="E73" i="55" s="1"/>
  <c r="W87" i="47"/>
  <c r="C73" i="58" s="1"/>
  <c r="Q63" i="47"/>
  <c r="P73" i="56" s="1"/>
  <c r="W63" i="47"/>
  <c r="C73" i="54" s="1"/>
  <c r="AQ63" i="47"/>
  <c r="C73" i="55" s="1"/>
  <c r="F88" i="47"/>
  <c r="E74" i="57" s="1"/>
  <c r="F64" i="47"/>
  <c r="E74" i="56" s="1"/>
  <c r="K88" i="46"/>
  <c r="J54" i="57" s="1"/>
  <c r="CA40" i="46"/>
  <c r="AE87" i="43"/>
  <c r="L87" i="43"/>
  <c r="M62" i="43"/>
  <c r="AF86" i="43" s="1"/>
  <c r="M86" i="43"/>
  <c r="E62" i="43"/>
  <c r="X86" i="43" s="1"/>
  <c r="E86" i="43"/>
  <c r="E88" i="44"/>
  <c r="D34" i="57" s="1"/>
  <c r="AJ13" i="44"/>
  <c r="J88" i="44"/>
  <c r="I34" i="57" s="1"/>
  <c r="M41" i="47"/>
  <c r="L75" i="53" s="1"/>
  <c r="M18" i="47"/>
  <c r="L76" i="51" s="1"/>
  <c r="I41" i="44"/>
  <c r="I18" i="44"/>
  <c r="H36" i="51" s="1"/>
  <c r="M88" i="44"/>
  <c r="L34" i="57" s="1"/>
  <c r="Z63" i="46"/>
  <c r="Z87" i="46"/>
  <c r="F53" i="58" s="1"/>
  <c r="AT63" i="46"/>
  <c r="F18" i="46"/>
  <c r="E56" i="51" s="1"/>
  <c r="F41" i="46"/>
  <c r="E55" i="53" s="1"/>
  <c r="Q87" i="46"/>
  <c r="P53" i="57" s="1"/>
  <c r="M41" i="46"/>
  <c r="L55" i="53" s="1"/>
  <c r="M18" i="46"/>
  <c r="L56" i="51" s="1"/>
  <c r="F88" i="44"/>
  <c r="E34" i="57" s="1"/>
  <c r="X39" i="44"/>
  <c r="F41" i="47"/>
  <c r="E75" i="53" s="1"/>
  <c r="F18" i="47"/>
  <c r="E76" i="51" s="1"/>
  <c r="AI37" i="44"/>
  <c r="P85" i="44"/>
  <c r="O31" i="57" s="1"/>
  <c r="AD87" i="46"/>
  <c r="J53" i="58" s="1"/>
  <c r="AD63" i="46"/>
  <c r="AX63" i="46"/>
  <c r="CA40" i="44"/>
  <c r="K88" i="44"/>
  <c r="J34" i="57" s="1"/>
  <c r="J41" i="44"/>
  <c r="J18" i="44"/>
  <c r="I36" i="51" s="1"/>
  <c r="M64" i="47"/>
  <c r="L74" i="56" s="1"/>
  <c r="M88" i="47"/>
  <c r="L74" i="57" s="1"/>
  <c r="I88" i="44"/>
  <c r="H34" i="57" s="1"/>
  <c r="F64" i="46"/>
  <c r="E54" i="56" s="1"/>
  <c r="F88" i="46"/>
  <c r="E54" i="57" s="1"/>
  <c r="AF63" i="47"/>
  <c r="L73" i="54" s="1"/>
  <c r="AF87" i="47"/>
  <c r="L73" i="58" s="1"/>
  <c r="AZ63" i="47"/>
  <c r="L73" i="55" s="1"/>
  <c r="H41" i="47"/>
  <c r="G75" i="53" s="1"/>
  <c r="H18" i="47"/>
  <c r="G76" i="51" s="1"/>
  <c r="BW41" i="47"/>
  <c r="BU67" i="47" s="1"/>
  <c r="AA39" i="46"/>
  <c r="AG39" i="46"/>
  <c r="AE39" i="46"/>
  <c r="BS68" i="46"/>
  <c r="BS69" i="46"/>
  <c r="AH39" i="46"/>
  <c r="M88" i="46"/>
  <c r="L54" i="57" s="1"/>
  <c r="M64" i="46"/>
  <c r="L54" i="56" s="1"/>
  <c r="AJ86" i="44"/>
  <c r="P32" i="58" s="1"/>
  <c r="F18" i="44"/>
  <c r="E36" i="51" s="1"/>
  <c r="F41" i="44"/>
  <c r="AF39" i="46"/>
  <c r="G62" i="43"/>
  <c r="Z86" i="43" s="1"/>
  <c r="G86" i="43"/>
  <c r="F62" i="43"/>
  <c r="Y86" i="43" s="1"/>
  <c r="F86" i="43"/>
  <c r="AG62" i="43"/>
  <c r="AG86" i="43"/>
  <c r="AC63" i="44"/>
  <c r="I33" i="54" s="1"/>
  <c r="AC87" i="44"/>
  <c r="I33" i="58" s="1"/>
  <c r="I13" i="58" s="1"/>
  <c r="AW63" i="44"/>
  <c r="I33" i="55" s="1"/>
  <c r="Z63" i="44"/>
  <c r="F33" i="54" s="1"/>
  <c r="Z87" i="44"/>
  <c r="F33" i="58" s="1"/>
  <c r="AT63" i="44"/>
  <c r="F33" i="55" s="1"/>
  <c r="K18" i="44"/>
  <c r="J36" i="51" s="1"/>
  <c r="K41" i="44"/>
  <c r="AA87" i="47"/>
  <c r="G73" i="58" s="1"/>
  <c r="AU63" i="47"/>
  <c r="G73" i="55" s="1"/>
  <c r="H88" i="47"/>
  <c r="G74" i="57" s="1"/>
  <c r="AA64" i="47"/>
  <c r="G74" i="54" s="1"/>
  <c r="H64" i="47"/>
  <c r="G74" i="56" s="1"/>
  <c r="G18" i="47"/>
  <c r="F76" i="51" s="1"/>
  <c r="G41" i="47"/>
  <c r="F75" i="53" s="1"/>
  <c r="Q87" i="44"/>
  <c r="P33" i="57" s="1"/>
  <c r="AJ62" i="44"/>
  <c r="CA40" i="47"/>
  <c r="K88" i="47"/>
  <c r="J74" i="57" s="1"/>
  <c r="D88" i="46"/>
  <c r="C54" i="57" s="1"/>
  <c r="Q40" i="46"/>
  <c r="D64" i="46"/>
  <c r="C54" i="56" s="1"/>
  <c r="O63" i="43"/>
  <c r="AH87" i="43" s="1"/>
  <c r="O87" i="43"/>
  <c r="X87" i="47"/>
  <c r="D73" i="58" s="1"/>
  <c r="X63" i="47"/>
  <c r="D73" i="54" s="1"/>
  <c r="AR63" i="47"/>
  <c r="D73" i="55" s="1"/>
  <c r="AA87" i="44"/>
  <c r="G33" i="58" s="1"/>
  <c r="AU63" i="44"/>
  <c r="G33" i="55" s="1"/>
  <c r="BP63" i="44"/>
  <c r="BP55" i="44"/>
  <c r="AJ86" i="47"/>
  <c r="P72" i="58" s="1"/>
  <c r="AF63" i="44"/>
  <c r="L33" i="54" s="1"/>
  <c r="AF87" i="44"/>
  <c r="L33" i="58" s="1"/>
  <c r="AZ63" i="44"/>
  <c r="L33" i="55" s="1"/>
  <c r="AB39" i="46"/>
  <c r="G88" i="47"/>
  <c r="F74" i="57" s="1"/>
  <c r="G64" i="47"/>
  <c r="F74" i="56" s="1"/>
  <c r="AC39" i="44"/>
  <c r="AE39" i="44"/>
  <c r="AG39" i="44"/>
  <c r="BS68" i="44"/>
  <c r="BS69" i="44"/>
  <c r="AH39" i="44"/>
  <c r="Y63" i="44"/>
  <c r="E33" i="54" s="1"/>
  <c r="Y87" i="44"/>
  <c r="E33" i="58" s="1"/>
  <c r="AS63" i="44"/>
  <c r="E33" i="55" s="1"/>
  <c r="D88" i="44"/>
  <c r="C34" i="57" s="1"/>
  <c r="Q40" i="44"/>
  <c r="AD87" i="47"/>
  <c r="J73" i="58" s="1"/>
  <c r="AD63" i="47"/>
  <c r="J73" i="54" s="1"/>
  <c r="AX63" i="47"/>
  <c r="J73" i="55" s="1"/>
  <c r="AF87" i="46"/>
  <c r="L53" i="58" s="1"/>
  <c r="AF63" i="46"/>
  <c r="AZ63" i="46"/>
  <c r="P61" i="47"/>
  <c r="AI37" i="47"/>
  <c r="K41" i="47"/>
  <c r="K18" i="47"/>
  <c r="J76" i="51" s="1"/>
  <c r="X87" i="44"/>
  <c r="D33" i="58" s="1"/>
  <c r="X63" i="44"/>
  <c r="D33" i="54" s="1"/>
  <c r="AR63" i="44"/>
  <c r="D33" i="55" s="1"/>
  <c r="Q17" i="46"/>
  <c r="P55" i="51" s="1"/>
  <c r="D18" i="46"/>
  <c r="C56" i="51" s="1"/>
  <c r="BR41" i="46"/>
  <c r="BU65" i="46" s="1"/>
  <c r="D41" i="46"/>
  <c r="C55" i="53" s="1"/>
  <c r="H41" i="46"/>
  <c r="H18" i="46"/>
  <c r="G56" i="51" s="1"/>
  <c r="BW41" i="46"/>
  <c r="BU67" i="46" s="1"/>
  <c r="G88" i="44"/>
  <c r="F34" i="57" s="1"/>
  <c r="AI14" i="47"/>
  <c r="P38" i="47"/>
  <c r="O72" i="53" s="1"/>
  <c r="BU38" i="47"/>
  <c r="BR66" i="47" s="1"/>
  <c r="BO38" i="47"/>
  <c r="BR64" i="47" s="1"/>
  <c r="J88" i="47"/>
  <c r="I74" i="57" s="1"/>
  <c r="J64" i="47"/>
  <c r="I74" i="56" s="1"/>
  <c r="Y87" i="46"/>
  <c r="E53" i="58" s="1"/>
  <c r="Y63" i="46"/>
  <c r="AS63" i="46"/>
  <c r="AB87" i="46"/>
  <c r="H53" i="58" s="1"/>
  <c r="AB63" i="46"/>
  <c r="AV63" i="46"/>
  <c r="BR59" i="47"/>
  <c r="AU38" i="47"/>
  <c r="W87" i="44"/>
  <c r="C33" i="58" s="1"/>
  <c r="AQ63" i="44"/>
  <c r="C33" i="55" s="1"/>
  <c r="Q17" i="44"/>
  <c r="P35" i="51" s="1"/>
  <c r="P15" i="51" s="1"/>
  <c r="D18" i="44"/>
  <c r="C36" i="51" s="1"/>
  <c r="D41" i="44"/>
  <c r="BR41" i="44"/>
  <c r="BU65" i="44" s="1"/>
  <c r="AJ13" i="47"/>
  <c r="AC39" i="46"/>
  <c r="H88" i="46"/>
  <c r="G54" i="57" s="1"/>
  <c r="AA64" i="46"/>
  <c r="G41" i="44"/>
  <c r="G18" i="44"/>
  <c r="F36" i="51" s="1"/>
  <c r="F16" i="51" s="1"/>
  <c r="H41" i="44"/>
  <c r="H18" i="44"/>
  <c r="G36" i="51" s="1"/>
  <c r="BW41" i="44"/>
  <c r="BU67" i="44" s="1"/>
  <c r="J18" i="47"/>
  <c r="I76" i="51" s="1"/>
  <c r="J41" i="47"/>
  <c r="I75" i="53" s="1"/>
  <c r="AJ86" i="46"/>
  <c r="P52" i="58" s="1"/>
  <c r="I18" i="47"/>
  <c r="H76" i="51" s="1"/>
  <c r="I41" i="47"/>
  <c r="H75" i="53" s="1"/>
  <c r="BO63" i="47"/>
  <c r="BO55" i="47"/>
  <c r="W39" i="46"/>
  <c r="AR39" i="46"/>
  <c r="BS60" i="46" s="1"/>
  <c r="J18" i="46"/>
  <c r="I56" i="51" s="1"/>
  <c r="J41" i="46"/>
  <c r="I55" i="53" s="1"/>
  <c r="AT39" i="46"/>
  <c r="BS62" i="46" s="1"/>
  <c r="W39" i="47"/>
  <c r="AH39" i="47"/>
  <c r="AG39" i="47"/>
  <c r="AE39" i="47"/>
  <c r="BS69" i="47"/>
  <c r="BS68" i="47"/>
  <c r="L47" i="47"/>
  <c r="BX47" i="47"/>
  <c r="N47" i="47"/>
  <c r="O47" i="47"/>
  <c r="N81" i="53" s="1"/>
  <c r="L94" i="47"/>
  <c r="K80" i="57" s="1"/>
  <c r="N94" i="47"/>
  <c r="M80" i="57" s="1"/>
  <c r="O94" i="47"/>
  <c r="N80" i="57" s="1"/>
  <c r="N20" i="57" s="1"/>
  <c r="O70" i="47"/>
  <c r="N80" i="56" s="1"/>
  <c r="N20" i="56" s="1"/>
  <c r="AG93" i="47"/>
  <c r="M79" i="58" s="1"/>
  <c r="AG69" i="47"/>
  <c r="M79" i="54" s="1"/>
  <c r="BA69" i="47"/>
  <c r="M79" i="55" s="1"/>
  <c r="AH93" i="47"/>
  <c r="N79" i="58" s="1"/>
  <c r="N19" i="58" s="1"/>
  <c r="AH69" i="47"/>
  <c r="N79" i="54" s="1"/>
  <c r="BB69" i="47"/>
  <c r="N79" i="55" s="1"/>
  <c r="AP46" i="47"/>
  <c r="AZ45" i="47"/>
  <c r="AW45" i="47"/>
  <c r="AX45" i="47"/>
  <c r="AE93" i="47"/>
  <c r="K79" i="58" s="1"/>
  <c r="AE69" i="47"/>
  <c r="K79" i="54" s="1"/>
  <c r="AY69" i="47"/>
  <c r="K79" i="55" s="1"/>
  <c r="BA44" i="47"/>
  <c r="B71" i="46"/>
  <c r="U71" i="46" s="1"/>
  <c r="AO71" i="46" s="1"/>
  <c r="B47" i="46"/>
  <c r="U23" i="46"/>
  <c r="AO23" i="46" s="1"/>
  <c r="BH23" i="46" s="1"/>
  <c r="AG93" i="46"/>
  <c r="M59" i="58" s="1"/>
  <c r="AG69" i="46"/>
  <c r="BA69" i="46"/>
  <c r="BA44" i="46"/>
  <c r="C95" i="46"/>
  <c r="V47" i="46"/>
  <c r="V95" i="46" s="1"/>
  <c r="AW45" i="46"/>
  <c r="AP46" i="46"/>
  <c r="AX45" i="46"/>
  <c r="AZ45" i="46"/>
  <c r="BQ45" i="46"/>
  <c r="BT45" i="46"/>
  <c r="O95" i="46"/>
  <c r="N61" i="57" s="1"/>
  <c r="O71" i="46"/>
  <c r="N61" i="56" s="1"/>
  <c r="BL47" i="46"/>
  <c r="BN47" i="46" s="1"/>
  <c r="BN46" i="46"/>
  <c r="AH94" i="46"/>
  <c r="N60" i="58" s="1"/>
  <c r="AH70" i="46"/>
  <c r="BB70" i="46"/>
  <c r="AE94" i="46"/>
  <c r="K60" i="58" s="1"/>
  <c r="AE70" i="46"/>
  <c r="AY70" i="46"/>
  <c r="N47" i="46"/>
  <c r="BX47" i="46"/>
  <c r="L95" i="46"/>
  <c r="K61" i="57" s="1"/>
  <c r="B94" i="46"/>
  <c r="U46" i="46"/>
  <c r="U94" i="46" s="1"/>
  <c r="N94" i="46"/>
  <c r="M60" i="57" s="1"/>
  <c r="AG95" i="44"/>
  <c r="M41" i="58" s="1"/>
  <c r="AG71" i="44"/>
  <c r="M41" i="54" s="1"/>
  <c r="BA71" i="44"/>
  <c r="M41" i="55" s="1"/>
  <c r="L94" i="44"/>
  <c r="K40" i="57" s="1"/>
  <c r="BL47" i="44"/>
  <c r="BN47" i="44" s="1"/>
  <c r="BN46" i="44"/>
  <c r="AE93" i="44"/>
  <c r="K39" i="58" s="1"/>
  <c r="K19" i="58" s="1"/>
  <c r="AE69" i="44"/>
  <c r="K39" i="54" s="1"/>
  <c r="AY69" i="44"/>
  <c r="K39" i="55" s="1"/>
  <c r="BT45" i="44"/>
  <c r="BQ45" i="44"/>
  <c r="AH94" i="44"/>
  <c r="N40" i="58" s="1"/>
  <c r="AH70" i="44"/>
  <c r="N40" i="54" s="1"/>
  <c r="BB70" i="44"/>
  <c r="N40" i="55" s="1"/>
  <c r="O95" i="44"/>
  <c r="N41" i="57" s="1"/>
  <c r="AZ47" i="44"/>
  <c r="AW47" i="44"/>
  <c r="AX47" i="44"/>
  <c r="L47" i="44"/>
  <c r="BW39" i="43"/>
  <c r="BS67" i="43" s="1"/>
  <c r="AD86" i="43"/>
  <c r="CA38" i="43"/>
  <c r="BC52" i="43"/>
  <c r="BD52" i="43" s="1"/>
  <c r="BA37" i="43"/>
  <c r="BA62" i="43"/>
  <c r="AA62" i="43"/>
  <c r="AA86" i="43"/>
  <c r="O17" i="43"/>
  <c r="O40" i="43"/>
  <c r="G16" i="43"/>
  <c r="G39" i="43"/>
  <c r="F16" i="43"/>
  <c r="F39" i="43"/>
  <c r="I16" i="43"/>
  <c r="I39" i="43"/>
  <c r="N17" i="43"/>
  <c r="N40" i="43"/>
  <c r="N64" i="43" s="1"/>
  <c r="L17" i="43"/>
  <c r="L40" i="43"/>
  <c r="L64" i="43" s="1"/>
  <c r="J16" i="43"/>
  <c r="J39" i="43"/>
  <c r="M16" i="43"/>
  <c r="M39" i="43"/>
  <c r="H16" i="43"/>
  <c r="H39" i="43"/>
  <c r="H63" i="43" s="1"/>
  <c r="BQ43" i="43"/>
  <c r="BT43" i="43"/>
  <c r="K16" i="43"/>
  <c r="K39" i="43"/>
  <c r="K63" i="43" s="1"/>
  <c r="E16" i="43"/>
  <c r="E39" i="43"/>
  <c r="AE62" i="43"/>
  <c r="AY62" i="43"/>
  <c r="AH62" i="43"/>
  <c r="BB62" i="43"/>
  <c r="AF61" i="43"/>
  <c r="AZ61" i="43"/>
  <c r="AD61" i="43"/>
  <c r="AX61" i="43"/>
  <c r="Y61" i="43"/>
  <c r="AS61" i="43"/>
  <c r="AC61" i="43"/>
  <c r="AW61" i="43"/>
  <c r="AB61" i="43"/>
  <c r="AV61" i="43"/>
  <c r="Z61" i="43"/>
  <c r="AT61" i="43"/>
  <c r="AU61" i="43"/>
  <c r="X61" i="43"/>
  <c r="AR61" i="43"/>
  <c r="BA15" i="43"/>
  <c r="AY15" i="43"/>
  <c r="AU14" i="43"/>
  <c r="AX15" i="43"/>
  <c r="AZ15" i="43"/>
  <c r="BL45" i="43"/>
  <c r="BM44" i="43"/>
  <c r="BN44" i="43" s="1"/>
  <c r="AX46" i="43"/>
  <c r="AP47" i="43"/>
  <c r="AW47" i="43" s="1"/>
  <c r="AZ46" i="43"/>
  <c r="BV55" i="49" l="1"/>
  <c r="P13" i="57"/>
  <c r="G16" i="51"/>
  <c r="C16" i="51"/>
  <c r="C14" i="57"/>
  <c r="X47" i="49"/>
  <c r="K20" i="57"/>
  <c r="AB47" i="49"/>
  <c r="BW63" i="49"/>
  <c r="BW55" i="49"/>
  <c r="K19" i="55"/>
  <c r="N19" i="54"/>
  <c r="N19" i="55"/>
  <c r="AD95" i="49"/>
  <c r="J121" i="58" s="1"/>
  <c r="AD71" i="49"/>
  <c r="J121" i="54" s="1"/>
  <c r="AX71" i="49"/>
  <c r="J121" i="55" s="1"/>
  <c r="W64" i="44"/>
  <c r="C34" i="54" s="1"/>
  <c r="K41" i="53"/>
  <c r="L71" i="44"/>
  <c r="K41" i="56" s="1"/>
  <c r="N71" i="46"/>
  <c r="M61" i="56" s="1"/>
  <c r="M61" i="53"/>
  <c r="K20" i="53"/>
  <c r="K19" i="54"/>
  <c r="M20" i="57"/>
  <c r="K60" i="55"/>
  <c r="K60" i="54"/>
  <c r="N21" i="53"/>
  <c r="M59" i="54"/>
  <c r="M19" i="54" s="1"/>
  <c r="M59" i="55"/>
  <c r="M19" i="55" s="1"/>
  <c r="M81" i="53"/>
  <c r="N71" i="47"/>
  <c r="M81" i="56" s="1"/>
  <c r="N60" i="55"/>
  <c r="N60" i="54"/>
  <c r="N20" i="54" s="1"/>
  <c r="M19" i="58"/>
  <c r="K81" i="53"/>
  <c r="L71" i="47"/>
  <c r="K81" i="56" s="1"/>
  <c r="K20" i="56"/>
  <c r="O12" i="51"/>
  <c r="H14" i="57"/>
  <c r="Q95" i="48"/>
  <c r="P101" i="57" s="1"/>
  <c r="AJ46" i="50"/>
  <c r="F13" i="58"/>
  <c r="C13" i="58"/>
  <c r="BW63" i="50"/>
  <c r="BW55" i="50"/>
  <c r="J14" i="56"/>
  <c r="L13" i="58"/>
  <c r="G14" i="57"/>
  <c r="BD68" i="48"/>
  <c r="BX55" i="48" s="1"/>
  <c r="O98" i="55"/>
  <c r="H65" i="44"/>
  <c r="G35" i="56" s="1"/>
  <c r="G35" i="53"/>
  <c r="D65" i="44"/>
  <c r="C35" i="56" s="1"/>
  <c r="C35" i="53"/>
  <c r="C15" i="53" s="1"/>
  <c r="AC40" i="44"/>
  <c r="P34" i="53"/>
  <c r="AK62" i="44"/>
  <c r="BR58" i="44" s="1"/>
  <c r="P32" i="54"/>
  <c r="F65" i="44"/>
  <c r="E35" i="56" s="1"/>
  <c r="E35" i="53"/>
  <c r="E15" i="53" s="1"/>
  <c r="J14" i="57"/>
  <c r="F53" i="55"/>
  <c r="F13" i="55" s="1"/>
  <c r="F53" i="54"/>
  <c r="F13" i="54" s="1"/>
  <c r="I14" i="57"/>
  <c r="C53" i="54"/>
  <c r="C13" i="54" s="1"/>
  <c r="C53" i="55"/>
  <c r="C13" i="55" s="1"/>
  <c r="BD61" i="46"/>
  <c r="BQ55" i="46" s="1"/>
  <c r="O51" i="55"/>
  <c r="O51" i="54"/>
  <c r="O11" i="54" s="1"/>
  <c r="AK69" i="49"/>
  <c r="BY58" i="49" s="1"/>
  <c r="P119" i="54"/>
  <c r="K65" i="47"/>
  <c r="J75" i="56" s="1"/>
  <c r="J75" i="53"/>
  <c r="P39" i="47"/>
  <c r="O73" i="53" s="1"/>
  <c r="O73" i="51"/>
  <c r="P85" i="47"/>
  <c r="O71" i="57" s="1"/>
  <c r="O11" i="57" s="1"/>
  <c r="O71" i="56"/>
  <c r="O11" i="56" s="1"/>
  <c r="K65" i="44"/>
  <c r="J35" i="56" s="1"/>
  <c r="J35" i="53"/>
  <c r="E16" i="51"/>
  <c r="J13" i="58"/>
  <c r="P39" i="46"/>
  <c r="O53" i="53" s="1"/>
  <c r="O53" i="51"/>
  <c r="BO39" i="44"/>
  <c r="BS64" i="44" s="1"/>
  <c r="O33" i="51"/>
  <c r="AK69" i="48"/>
  <c r="BY58" i="48" s="1"/>
  <c r="P99" i="54"/>
  <c r="AK69" i="50"/>
  <c r="BY58" i="50" s="1"/>
  <c r="P139" i="54"/>
  <c r="D101" i="56"/>
  <c r="AR71" i="48"/>
  <c r="D101" i="55" s="1"/>
  <c r="X71" i="48"/>
  <c r="D101" i="54" s="1"/>
  <c r="X95" i="48"/>
  <c r="D101" i="58" s="1"/>
  <c r="H14" i="56"/>
  <c r="D14" i="56"/>
  <c r="H53" i="55"/>
  <c r="H13" i="55" s="1"/>
  <c r="H53" i="54"/>
  <c r="H13" i="54" s="1"/>
  <c r="BW55" i="48"/>
  <c r="P97" i="55"/>
  <c r="G65" i="44"/>
  <c r="F35" i="56" s="1"/>
  <c r="F35" i="53"/>
  <c r="F15" i="53" s="1"/>
  <c r="E53" i="55"/>
  <c r="E53" i="54"/>
  <c r="E13" i="54" s="1"/>
  <c r="L53" i="55"/>
  <c r="L13" i="55" s="1"/>
  <c r="L53" i="54"/>
  <c r="L13" i="54" s="1"/>
  <c r="E13" i="55"/>
  <c r="J16" i="51"/>
  <c r="P12" i="58"/>
  <c r="J53" i="55"/>
  <c r="J13" i="55" s="1"/>
  <c r="J53" i="54"/>
  <c r="J13" i="54" s="1"/>
  <c r="E14" i="57"/>
  <c r="D14" i="57"/>
  <c r="G53" i="55"/>
  <c r="G13" i="55" s="1"/>
  <c r="G53" i="54"/>
  <c r="G13" i="54" s="1"/>
  <c r="BV63" i="49"/>
  <c r="BP55" i="46"/>
  <c r="P50" i="55"/>
  <c r="P50" i="54"/>
  <c r="P10" i="54" s="1"/>
  <c r="BD60" i="47"/>
  <c r="BP63" i="47" s="1"/>
  <c r="O70" i="55"/>
  <c r="O10" i="55" s="1"/>
  <c r="AQ47" i="50"/>
  <c r="CA59" i="50" s="1"/>
  <c r="P141" i="53"/>
  <c r="F14" i="57"/>
  <c r="E13" i="58"/>
  <c r="L14" i="57"/>
  <c r="D16" i="51"/>
  <c r="AI38" i="46"/>
  <c r="O52" i="53"/>
  <c r="J101" i="56"/>
  <c r="AD71" i="48"/>
  <c r="J101" i="54" s="1"/>
  <c r="AX71" i="48"/>
  <c r="J101" i="55" s="1"/>
  <c r="AD95" i="48"/>
  <c r="J101" i="58" s="1"/>
  <c r="C14" i="56"/>
  <c r="G14" i="53"/>
  <c r="W40" i="47"/>
  <c r="P74" i="53"/>
  <c r="BU46" i="48"/>
  <c r="BZ66" i="48" s="1"/>
  <c r="O100" i="51"/>
  <c r="AC40" i="46"/>
  <c r="P54" i="53"/>
  <c r="H16" i="51"/>
  <c r="L16" i="51"/>
  <c r="E65" i="44"/>
  <c r="D35" i="56" s="1"/>
  <c r="D35" i="53"/>
  <c r="D15" i="53" s="1"/>
  <c r="AK62" i="47"/>
  <c r="BR58" i="47" s="1"/>
  <c r="P72" i="54"/>
  <c r="P93" i="48"/>
  <c r="O99" i="57" s="1"/>
  <c r="O99" i="53"/>
  <c r="O9" i="55"/>
  <c r="F14" i="56"/>
  <c r="L14" i="56"/>
  <c r="G14" i="56"/>
  <c r="D13" i="58"/>
  <c r="G13" i="58"/>
  <c r="I65" i="44"/>
  <c r="H35" i="56" s="1"/>
  <c r="H35" i="53"/>
  <c r="H15" i="53" s="1"/>
  <c r="D53" i="55"/>
  <c r="D13" i="55" s="1"/>
  <c r="D53" i="54"/>
  <c r="D13" i="54" s="1"/>
  <c r="M65" i="44"/>
  <c r="L35" i="56" s="1"/>
  <c r="L35" i="53"/>
  <c r="L15" i="53" s="1"/>
  <c r="K65" i="46"/>
  <c r="J55" i="56" s="1"/>
  <c r="J55" i="53"/>
  <c r="H13" i="58"/>
  <c r="Z47" i="50"/>
  <c r="BV63" i="48"/>
  <c r="P96" i="55"/>
  <c r="E14" i="56"/>
  <c r="BO63" i="44"/>
  <c r="P29" i="55"/>
  <c r="P9" i="55" s="1"/>
  <c r="P13" i="56"/>
  <c r="J65" i="44"/>
  <c r="I35" i="56" s="1"/>
  <c r="I35" i="53"/>
  <c r="I15" i="53" s="1"/>
  <c r="H65" i="46"/>
  <c r="G55" i="56" s="1"/>
  <c r="G55" i="53"/>
  <c r="I16" i="51"/>
  <c r="I53" i="55"/>
  <c r="I13" i="55" s="1"/>
  <c r="I53" i="54"/>
  <c r="I13" i="54" s="1"/>
  <c r="P86" i="44"/>
  <c r="O32" i="57" s="1"/>
  <c r="O32" i="53"/>
  <c r="Q64" i="44"/>
  <c r="P34" i="56" s="1"/>
  <c r="J14" i="53"/>
  <c r="P13" i="53"/>
  <c r="I14" i="56"/>
  <c r="AS47" i="50"/>
  <c r="CA61" i="50" s="1"/>
  <c r="AJ46" i="49"/>
  <c r="AF47" i="50"/>
  <c r="Y47" i="50"/>
  <c r="AB47" i="50"/>
  <c r="AA47" i="50"/>
  <c r="W47" i="50"/>
  <c r="AA95" i="50"/>
  <c r="G141" i="58" s="1"/>
  <c r="AU71" i="50"/>
  <c r="G141" i="55" s="1"/>
  <c r="AI45" i="49"/>
  <c r="P93" i="49"/>
  <c r="O119" i="57" s="1"/>
  <c r="AQ47" i="49"/>
  <c r="AR47" i="49"/>
  <c r="CA60" i="49" s="1"/>
  <c r="AG47" i="49"/>
  <c r="CA69" i="49"/>
  <c r="BJ23" i="49"/>
  <c r="BK23" i="49" s="1"/>
  <c r="BL23" i="49" s="1"/>
  <c r="P23" i="49" s="1"/>
  <c r="O121" i="51" s="1"/>
  <c r="Z47" i="49"/>
  <c r="AH47" i="49"/>
  <c r="AE47" i="49"/>
  <c r="AS47" i="49"/>
  <c r="CA61" i="49" s="1"/>
  <c r="CA68" i="49"/>
  <c r="AD47" i="49"/>
  <c r="Y47" i="49"/>
  <c r="AT47" i="49"/>
  <c r="CA62" i="49" s="1"/>
  <c r="X95" i="49"/>
  <c r="D121" i="58" s="1"/>
  <c r="X71" i="49"/>
  <c r="D121" i="54" s="1"/>
  <c r="AR71" i="49"/>
  <c r="D121" i="55" s="1"/>
  <c r="AI45" i="50"/>
  <c r="P93" i="50"/>
  <c r="O139" i="57" s="1"/>
  <c r="AA47" i="49"/>
  <c r="AF47" i="49"/>
  <c r="BC68" i="49"/>
  <c r="P46" i="49"/>
  <c r="O120" i="53" s="1"/>
  <c r="AI22" i="49"/>
  <c r="BO46" i="49"/>
  <c r="BZ64" i="49" s="1"/>
  <c r="BU46" i="49"/>
  <c r="BZ66" i="49" s="1"/>
  <c r="AB95" i="50"/>
  <c r="H141" i="58" s="1"/>
  <c r="AB71" i="50"/>
  <c r="H141" i="54" s="1"/>
  <c r="AV71" i="50"/>
  <c r="H141" i="55" s="1"/>
  <c r="BZ59" i="49"/>
  <c r="AU46" i="49"/>
  <c r="AB95" i="49"/>
  <c r="H121" i="58" s="1"/>
  <c r="AB71" i="49"/>
  <c r="H121" i="54" s="1"/>
  <c r="AV71" i="49"/>
  <c r="H121" i="55" s="1"/>
  <c r="AJ70" i="49"/>
  <c r="AC47" i="50"/>
  <c r="AD47" i="50"/>
  <c r="CA69" i="50"/>
  <c r="CA68" i="50"/>
  <c r="AT47" i="50"/>
  <c r="CA62" i="50" s="1"/>
  <c r="X47" i="50"/>
  <c r="BJ23" i="50"/>
  <c r="BK23" i="50" s="1"/>
  <c r="BL23" i="50" s="1"/>
  <c r="P23" i="50" s="1"/>
  <c r="O141" i="51" s="1"/>
  <c r="AR47" i="50"/>
  <c r="CA60" i="50" s="1"/>
  <c r="AG47" i="50"/>
  <c r="AE47" i="50"/>
  <c r="AH47" i="50"/>
  <c r="AF71" i="49"/>
  <c r="L121" i="54" s="1"/>
  <c r="AF95" i="49"/>
  <c r="L121" i="58" s="1"/>
  <c r="AZ71" i="49"/>
  <c r="L121" i="55" s="1"/>
  <c r="AA95" i="49"/>
  <c r="G121" i="58" s="1"/>
  <c r="AU71" i="49"/>
  <c r="G121" i="55" s="1"/>
  <c r="AF71" i="50"/>
  <c r="L141" i="54" s="1"/>
  <c r="AF95" i="50"/>
  <c r="L141" i="58" s="1"/>
  <c r="AZ71" i="50"/>
  <c r="L141" i="55" s="1"/>
  <c r="BO46" i="50"/>
  <c r="BZ64" i="50" s="1"/>
  <c r="P46" i="50"/>
  <c r="O140" i="53" s="1"/>
  <c r="BU46" i="50"/>
  <c r="BZ66" i="50" s="1"/>
  <c r="AI22" i="50"/>
  <c r="BC68" i="50"/>
  <c r="Q95" i="50"/>
  <c r="P141" i="57" s="1"/>
  <c r="AC47" i="49"/>
  <c r="Y95" i="50"/>
  <c r="E141" i="58" s="1"/>
  <c r="Y71" i="50"/>
  <c r="E141" i="54" s="1"/>
  <c r="AS71" i="50"/>
  <c r="E141" i="55" s="1"/>
  <c r="W95" i="50"/>
  <c r="C141" i="58" s="1"/>
  <c r="W71" i="50"/>
  <c r="C141" i="54" s="1"/>
  <c r="Q71" i="50"/>
  <c r="P141" i="56" s="1"/>
  <c r="AQ71" i="50"/>
  <c r="C141" i="55" s="1"/>
  <c r="W47" i="49"/>
  <c r="AJ21" i="50"/>
  <c r="BC69" i="50"/>
  <c r="AC71" i="49"/>
  <c r="I121" i="54" s="1"/>
  <c r="AC95" i="49"/>
  <c r="I121" i="58" s="1"/>
  <c r="AW71" i="49"/>
  <c r="I121" i="55" s="1"/>
  <c r="AJ70" i="50"/>
  <c r="W95" i="49"/>
  <c r="C121" i="58" s="1"/>
  <c r="Q71" i="49"/>
  <c r="P121" i="56" s="1"/>
  <c r="AQ71" i="49"/>
  <c r="C121" i="55" s="1"/>
  <c r="W71" i="49"/>
  <c r="C121" i="54" s="1"/>
  <c r="AU46" i="50"/>
  <c r="Z95" i="50"/>
  <c r="F141" i="58" s="1"/>
  <c r="Z71" i="50"/>
  <c r="F141" i="54" s="1"/>
  <c r="AT71" i="50"/>
  <c r="F141" i="55" s="1"/>
  <c r="AJ94" i="50"/>
  <c r="P140" i="58" s="1"/>
  <c r="AJ94" i="49"/>
  <c r="P120" i="58" s="1"/>
  <c r="AJ21" i="49"/>
  <c r="BC69" i="49"/>
  <c r="Q95" i="49"/>
  <c r="P121" i="57" s="1"/>
  <c r="AV15" i="43"/>
  <c r="AW15" i="43"/>
  <c r="J87" i="43"/>
  <c r="BD14" i="43"/>
  <c r="K87" i="43"/>
  <c r="BA16" i="43"/>
  <c r="O88" i="43"/>
  <c r="BX41" i="43"/>
  <c r="H87" i="43"/>
  <c r="AI45" i="48"/>
  <c r="AU46" i="48"/>
  <c r="AJ94" i="48"/>
  <c r="P100" i="58" s="1"/>
  <c r="BO46" i="48"/>
  <c r="BZ64" i="48" s="1"/>
  <c r="AI22" i="48"/>
  <c r="AJ22" i="48" s="1"/>
  <c r="AJ70" i="48"/>
  <c r="AJ46" i="48"/>
  <c r="P46" i="48"/>
  <c r="BZ60" i="48"/>
  <c r="BA47" i="48"/>
  <c r="AJ47" i="48"/>
  <c r="P47" i="48"/>
  <c r="O101" i="53" s="1"/>
  <c r="AI23" i="48"/>
  <c r="BU47" i="48"/>
  <c r="CA66" i="48" s="1"/>
  <c r="BO47" i="48"/>
  <c r="CA64" i="48" s="1"/>
  <c r="CA60" i="48"/>
  <c r="AU47" i="48"/>
  <c r="BC69" i="48"/>
  <c r="CA62" i="48"/>
  <c r="CA59" i="48"/>
  <c r="AD40" i="47"/>
  <c r="AA40" i="47"/>
  <c r="BU39" i="47"/>
  <c r="BS66" i="47" s="1"/>
  <c r="P86" i="46"/>
  <c r="O52" i="57" s="1"/>
  <c r="BC61" i="47"/>
  <c r="BO39" i="47"/>
  <c r="BS64" i="47" s="1"/>
  <c r="AI38" i="44"/>
  <c r="P39" i="44"/>
  <c r="AT40" i="47"/>
  <c r="BT62" i="47" s="1"/>
  <c r="Z40" i="47"/>
  <c r="AS40" i="47"/>
  <c r="BT61" i="47" s="1"/>
  <c r="AF40" i="47"/>
  <c r="AU39" i="44"/>
  <c r="AC40" i="47"/>
  <c r="AI15" i="47"/>
  <c r="AJ15" i="47" s="1"/>
  <c r="BJ16" i="47"/>
  <c r="BK16" i="47" s="1"/>
  <c r="BL16" i="47" s="1"/>
  <c r="P16" i="47" s="1"/>
  <c r="AI15" i="44"/>
  <c r="AJ15" i="44" s="1"/>
  <c r="BU39" i="44"/>
  <c r="BS66" i="44" s="1"/>
  <c r="Y40" i="47"/>
  <c r="Q88" i="47"/>
  <c r="P74" i="57" s="1"/>
  <c r="AJ63" i="44"/>
  <c r="Q88" i="44"/>
  <c r="P34" i="57" s="1"/>
  <c r="Q88" i="46"/>
  <c r="P54" i="57" s="1"/>
  <c r="BU39" i="46"/>
  <c r="BS66" i="46" s="1"/>
  <c r="W40" i="46"/>
  <c r="AT40" i="46"/>
  <c r="BT62" i="46" s="1"/>
  <c r="AB40" i="44"/>
  <c r="BC61" i="44"/>
  <c r="AU39" i="47"/>
  <c r="AJ39" i="47"/>
  <c r="BO39" i="46"/>
  <c r="BS64" i="46" s="1"/>
  <c r="AI15" i="46"/>
  <c r="AJ15" i="46" s="1"/>
  <c r="AA40" i="46"/>
  <c r="AS40" i="44"/>
  <c r="BT61" i="44" s="1"/>
  <c r="AJ39" i="44"/>
  <c r="Z40" i="44"/>
  <c r="W64" i="46"/>
  <c r="W88" i="46"/>
  <c r="C54" i="58" s="1"/>
  <c r="Q64" i="46"/>
  <c r="P54" i="56" s="1"/>
  <c r="AQ64" i="46"/>
  <c r="J89" i="44"/>
  <c r="I35" i="57" s="1"/>
  <c r="G89" i="46"/>
  <c r="F55" i="57" s="1"/>
  <c r="G65" i="46"/>
  <c r="F55" i="56" s="1"/>
  <c r="D19" i="47"/>
  <c r="C77" i="51" s="1"/>
  <c r="D42" i="47"/>
  <c r="C76" i="53" s="1"/>
  <c r="BR42" i="47"/>
  <c r="BV65" i="47" s="1"/>
  <c r="Q18" i="47"/>
  <c r="P76" i="51" s="1"/>
  <c r="E63" i="43"/>
  <c r="X87" i="43" s="1"/>
  <c r="E87" i="43"/>
  <c r="I63" i="43"/>
  <c r="AB87" i="43" s="1"/>
  <c r="I87" i="43"/>
  <c r="J19" i="47"/>
  <c r="I77" i="51" s="1"/>
  <c r="J42" i="47"/>
  <c r="I76" i="53" s="1"/>
  <c r="AJ14" i="47"/>
  <c r="H89" i="46"/>
  <c r="G55" i="57" s="1"/>
  <c r="AA65" i="46"/>
  <c r="W88" i="44"/>
  <c r="C34" i="58" s="1"/>
  <c r="AQ64" i="44"/>
  <c r="C34" i="55" s="1"/>
  <c r="AQ40" i="46"/>
  <c r="AA88" i="47"/>
  <c r="G74" i="58" s="1"/>
  <c r="AU64" i="47"/>
  <c r="G74" i="55" s="1"/>
  <c r="K42" i="44"/>
  <c r="K19" i="44"/>
  <c r="J37" i="51" s="1"/>
  <c r="Y64" i="46"/>
  <c r="Y88" i="46"/>
  <c r="E54" i="58" s="1"/>
  <c r="AS64" i="46"/>
  <c r="J19" i="44"/>
  <c r="I37" i="51" s="1"/>
  <c r="J42" i="44"/>
  <c r="M19" i="46"/>
  <c r="L57" i="51" s="1"/>
  <c r="M42" i="46"/>
  <c r="L56" i="53" s="1"/>
  <c r="F65" i="46"/>
  <c r="E55" i="56" s="1"/>
  <c r="F89" i="46"/>
  <c r="E55" i="57" s="1"/>
  <c r="G19" i="46"/>
  <c r="F57" i="51" s="1"/>
  <c r="G42" i="46"/>
  <c r="F56" i="53" s="1"/>
  <c r="K42" i="46"/>
  <c r="K19" i="46"/>
  <c r="J57" i="51" s="1"/>
  <c r="AT40" i="44"/>
  <c r="BT62" i="44" s="1"/>
  <c r="I42" i="44"/>
  <c r="I19" i="44"/>
  <c r="H37" i="51" s="1"/>
  <c r="K89" i="46"/>
  <c r="J55" i="57" s="1"/>
  <c r="CA41" i="46"/>
  <c r="J65" i="46"/>
  <c r="I55" i="56" s="1"/>
  <c r="J89" i="46"/>
  <c r="I55" i="57" s="1"/>
  <c r="AA88" i="46"/>
  <c r="G54" i="58" s="1"/>
  <c r="AU64" i="46"/>
  <c r="AG40" i="46"/>
  <c r="BT69" i="46"/>
  <c r="BT68" i="46"/>
  <c r="AE40" i="46"/>
  <c r="AH40" i="46"/>
  <c r="F89" i="44"/>
  <c r="E35" i="57" s="1"/>
  <c r="H65" i="47"/>
  <c r="G75" i="56" s="1"/>
  <c r="AA65" i="47"/>
  <c r="G75" i="54" s="1"/>
  <c r="H89" i="47"/>
  <c r="G75" i="57" s="1"/>
  <c r="AB88" i="44"/>
  <c r="H34" i="58" s="1"/>
  <c r="AB64" i="44"/>
  <c r="H34" i="54" s="1"/>
  <c r="AV64" i="44"/>
  <c r="H34" i="55" s="1"/>
  <c r="BJ16" i="44"/>
  <c r="BK16" i="44" s="1"/>
  <c r="BL16" i="44" s="1"/>
  <c r="P16" i="44" s="1"/>
  <c r="O34" i="51" s="1"/>
  <c r="I89" i="44"/>
  <c r="H35" i="57" s="1"/>
  <c r="Y88" i="47"/>
  <c r="E74" i="58" s="1"/>
  <c r="Y64" i="47"/>
  <c r="E74" i="54" s="1"/>
  <c r="AS64" i="47"/>
  <c r="E74" i="55" s="1"/>
  <c r="AH40" i="47"/>
  <c r="AG40" i="47"/>
  <c r="BT68" i="47"/>
  <c r="BT69" i="47"/>
  <c r="AE40" i="47"/>
  <c r="M19" i="44"/>
  <c r="L37" i="51" s="1"/>
  <c r="M42" i="44"/>
  <c r="E42" i="47"/>
  <c r="D76" i="53" s="1"/>
  <c r="E19" i="47"/>
  <c r="D77" i="51" s="1"/>
  <c r="AA88" i="44"/>
  <c r="G34" i="58" s="1"/>
  <c r="AU64" i="44"/>
  <c r="G34" i="55" s="1"/>
  <c r="F63" i="43"/>
  <c r="Y87" i="43" s="1"/>
  <c r="F87" i="43"/>
  <c r="I65" i="47"/>
  <c r="H75" i="56" s="1"/>
  <c r="I89" i="47"/>
  <c r="H75" i="57" s="1"/>
  <c r="Q41" i="44"/>
  <c r="D89" i="44"/>
  <c r="C35" i="57" s="1"/>
  <c r="Z64" i="44"/>
  <c r="F34" i="54" s="1"/>
  <c r="Z88" i="44"/>
  <c r="F34" i="58" s="1"/>
  <c r="AT64" i="44"/>
  <c r="F34" i="55" s="1"/>
  <c r="D65" i="46"/>
  <c r="C55" i="56" s="1"/>
  <c r="Q41" i="46"/>
  <c r="D89" i="46"/>
  <c r="C55" i="57" s="1"/>
  <c r="K42" i="47"/>
  <c r="K19" i="47"/>
  <c r="J77" i="51" s="1"/>
  <c r="F42" i="44"/>
  <c r="F19" i="44"/>
  <c r="E37" i="51" s="1"/>
  <c r="AD40" i="44"/>
  <c r="AR40" i="44"/>
  <c r="BT60" i="44" s="1"/>
  <c r="W88" i="47"/>
  <c r="C74" i="58" s="1"/>
  <c r="Q64" i="47"/>
  <c r="P74" i="56" s="1"/>
  <c r="W64" i="47"/>
  <c r="C74" i="54" s="1"/>
  <c r="AQ64" i="47"/>
  <c r="C74" i="55" s="1"/>
  <c r="M89" i="44"/>
  <c r="L35" i="57" s="1"/>
  <c r="BC62" i="44"/>
  <c r="I65" i="46"/>
  <c r="H55" i="56" s="1"/>
  <c r="I89" i="46"/>
  <c r="H55" i="57" s="1"/>
  <c r="E65" i="47"/>
  <c r="D75" i="56" s="1"/>
  <c r="E89" i="47"/>
  <c r="D75" i="57" s="1"/>
  <c r="AC64" i="46"/>
  <c r="AC88" i="46"/>
  <c r="I54" i="58" s="1"/>
  <c r="AW64" i="46"/>
  <c r="J19" i="46"/>
  <c r="I57" i="51" s="1"/>
  <c r="J42" i="46"/>
  <c r="I56" i="53" s="1"/>
  <c r="H42" i="44"/>
  <c r="H19" i="44"/>
  <c r="G37" i="51" s="1"/>
  <c r="BW42" i="44"/>
  <c r="BV67" i="44" s="1"/>
  <c r="I42" i="47"/>
  <c r="H76" i="53" s="1"/>
  <c r="I19" i="47"/>
  <c r="H77" i="51" s="1"/>
  <c r="H89" i="44"/>
  <c r="G35" i="57" s="1"/>
  <c r="AA65" i="44"/>
  <c r="G35" i="54" s="1"/>
  <c r="D19" i="44"/>
  <c r="C37" i="51" s="1"/>
  <c r="BR42" i="44"/>
  <c r="BV65" i="44" s="1"/>
  <c r="D42" i="44"/>
  <c r="Q18" i="44"/>
  <c r="P36" i="51" s="1"/>
  <c r="K89" i="47"/>
  <c r="J75" i="57" s="1"/>
  <c r="CA41" i="47"/>
  <c r="G89" i="47"/>
  <c r="F75" i="57" s="1"/>
  <c r="G65" i="47"/>
  <c r="F75" i="56" s="1"/>
  <c r="Y40" i="44"/>
  <c r="M19" i="47"/>
  <c r="L77" i="51" s="1"/>
  <c r="M42" i="47"/>
  <c r="L76" i="53" s="1"/>
  <c r="X64" i="44"/>
  <c r="D34" i="54" s="1"/>
  <c r="X88" i="44"/>
  <c r="D34" i="58" s="1"/>
  <c r="AR64" i="44"/>
  <c r="D34" i="55" s="1"/>
  <c r="BJ16" i="46"/>
  <c r="BK16" i="46" s="1"/>
  <c r="BL16" i="46" s="1"/>
  <c r="P16" i="46" s="1"/>
  <c r="O54" i="51" s="1"/>
  <c r="AB40" i="46"/>
  <c r="X40" i="47"/>
  <c r="I42" i="46"/>
  <c r="H56" i="53" s="1"/>
  <c r="I19" i="46"/>
  <c r="H57" i="51" s="1"/>
  <c r="G63" i="43"/>
  <c r="Z87" i="43" s="1"/>
  <c r="G87" i="43"/>
  <c r="AG88" i="43"/>
  <c r="N88" i="43"/>
  <c r="AC88" i="47"/>
  <c r="I74" i="58" s="1"/>
  <c r="AC64" i="47"/>
  <c r="I74" i="54" s="1"/>
  <c r="AW64" i="47"/>
  <c r="I74" i="55" s="1"/>
  <c r="D19" i="46"/>
  <c r="C57" i="51" s="1"/>
  <c r="D42" i="46"/>
  <c r="C56" i="53" s="1"/>
  <c r="BR42" i="46"/>
  <c r="BV65" i="46" s="1"/>
  <c r="Q18" i="46"/>
  <c r="P56" i="51" s="1"/>
  <c r="AQ40" i="44"/>
  <c r="G42" i="47"/>
  <c r="F76" i="53" s="1"/>
  <c r="G19" i="47"/>
  <c r="F77" i="51" s="1"/>
  <c r="AF40" i="46"/>
  <c r="F42" i="47"/>
  <c r="E76" i="53" s="1"/>
  <c r="F19" i="47"/>
  <c r="E77" i="51" s="1"/>
  <c r="Y88" i="44"/>
  <c r="E34" i="58" s="1"/>
  <c r="Y64" i="44"/>
  <c r="E34" i="54" s="1"/>
  <c r="AS64" i="44"/>
  <c r="E34" i="55" s="1"/>
  <c r="AF40" i="44"/>
  <c r="M89" i="47"/>
  <c r="L75" i="57" s="1"/>
  <c r="M65" i="47"/>
  <c r="L75" i="56" s="1"/>
  <c r="AD40" i="46"/>
  <c r="AJ63" i="47"/>
  <c r="E42" i="46"/>
  <c r="D56" i="53" s="1"/>
  <c r="E19" i="46"/>
  <c r="D57" i="51" s="1"/>
  <c r="AB88" i="46"/>
  <c r="H54" i="58" s="1"/>
  <c r="AB64" i="46"/>
  <c r="AV64" i="46"/>
  <c r="AR40" i="47"/>
  <c r="BT60" i="47" s="1"/>
  <c r="E19" i="44"/>
  <c r="D37" i="51" s="1"/>
  <c r="E42" i="44"/>
  <c r="X40" i="46"/>
  <c r="Z40" i="46"/>
  <c r="AB40" i="47"/>
  <c r="AJ87" i="44"/>
  <c r="P33" i="58" s="1"/>
  <c r="M65" i="46"/>
  <c r="L55" i="56" s="1"/>
  <c r="M89" i="46"/>
  <c r="L55" i="57" s="1"/>
  <c r="F42" i="46"/>
  <c r="E56" i="53" s="1"/>
  <c r="F19" i="46"/>
  <c r="E57" i="51" s="1"/>
  <c r="BS59" i="46"/>
  <c r="AU39" i="46"/>
  <c r="AE88" i="43"/>
  <c r="L88" i="43"/>
  <c r="G42" i="44"/>
  <c r="G19" i="44"/>
  <c r="F37" i="51" s="1"/>
  <c r="W40" i="44"/>
  <c r="AF88" i="46"/>
  <c r="L54" i="58" s="1"/>
  <c r="AF64" i="46"/>
  <c r="AZ64" i="46"/>
  <c r="Y40" i="46"/>
  <c r="AF88" i="47"/>
  <c r="L74" i="58" s="1"/>
  <c r="AF64" i="47"/>
  <c r="L74" i="54" s="1"/>
  <c r="AZ64" i="47"/>
  <c r="L74" i="55" s="1"/>
  <c r="AD88" i="44"/>
  <c r="J34" i="58" s="1"/>
  <c r="AD64" i="44"/>
  <c r="J34" i="54" s="1"/>
  <c r="AX64" i="44"/>
  <c r="J34" i="55" s="1"/>
  <c r="F89" i="47"/>
  <c r="E75" i="57" s="1"/>
  <c r="F65" i="47"/>
  <c r="E75" i="56" s="1"/>
  <c r="AF64" i="44"/>
  <c r="L34" i="54" s="1"/>
  <c r="AF88" i="44"/>
  <c r="L34" i="58" s="1"/>
  <c r="AZ64" i="44"/>
  <c r="L34" i="55" s="1"/>
  <c r="E65" i="46"/>
  <c r="D55" i="56" s="1"/>
  <c r="E89" i="46"/>
  <c r="D55" i="57" s="1"/>
  <c r="AJ63" i="46"/>
  <c r="AK63" i="46" s="1"/>
  <c r="BS58" i="46" s="1"/>
  <c r="E89" i="44"/>
  <c r="D35" i="57" s="1"/>
  <c r="AR40" i="46"/>
  <c r="BT60" i="46" s="1"/>
  <c r="D89" i="47"/>
  <c r="C75" i="57" s="1"/>
  <c r="D65" i="47"/>
  <c r="C75" i="56" s="1"/>
  <c r="Q41" i="47"/>
  <c r="AS40" i="46"/>
  <c r="BT61" i="46" s="1"/>
  <c r="AB88" i="47"/>
  <c r="H74" i="58" s="1"/>
  <c r="AB64" i="47"/>
  <c r="H74" i="54" s="1"/>
  <c r="AV64" i="47"/>
  <c r="H74" i="55" s="1"/>
  <c r="H19" i="47"/>
  <c r="G77" i="51" s="1"/>
  <c r="H42" i="47"/>
  <c r="G76" i="53" s="1"/>
  <c r="BW42" i="47"/>
  <c r="BV67" i="47" s="1"/>
  <c r="M63" i="43"/>
  <c r="AF87" i="43" s="1"/>
  <c r="M87" i="43"/>
  <c r="AJ39" i="46"/>
  <c r="J65" i="47"/>
  <c r="I75" i="56" s="1"/>
  <c r="J89" i="47"/>
  <c r="I75" i="57" s="1"/>
  <c r="G89" i="44"/>
  <c r="F35" i="57" s="1"/>
  <c r="F15" i="57" s="1"/>
  <c r="AI38" i="47"/>
  <c r="P62" i="47"/>
  <c r="H42" i="46"/>
  <c r="BW42" i="46"/>
  <c r="BV67" i="46" s="1"/>
  <c r="H19" i="46"/>
  <c r="G57" i="51" s="1"/>
  <c r="X40" i="44"/>
  <c r="BT68" i="44"/>
  <c r="AH40" i="44"/>
  <c r="AE40" i="44"/>
  <c r="AG40" i="44"/>
  <c r="BT69" i="44"/>
  <c r="Z64" i="47"/>
  <c r="F74" i="54" s="1"/>
  <c r="Z88" i="47"/>
  <c r="F74" i="58" s="1"/>
  <c r="AT64" i="47"/>
  <c r="F74" i="55" s="1"/>
  <c r="AD88" i="47"/>
  <c r="J74" i="58" s="1"/>
  <c r="AD64" i="47"/>
  <c r="J74" i="54" s="1"/>
  <c r="AX64" i="47"/>
  <c r="J74" i="55" s="1"/>
  <c r="K89" i="44"/>
  <c r="J35" i="57" s="1"/>
  <c r="CA41" i="44"/>
  <c r="AC64" i="44"/>
  <c r="I34" i="54" s="1"/>
  <c r="AC88" i="44"/>
  <c r="I34" i="58" s="1"/>
  <c r="AW64" i="44"/>
  <c r="I34" i="55" s="1"/>
  <c r="AD88" i="46"/>
  <c r="J54" i="58" s="1"/>
  <c r="AD64" i="46"/>
  <c r="AX64" i="46"/>
  <c r="AJ87" i="47"/>
  <c r="P73" i="58" s="1"/>
  <c r="AQ40" i="47"/>
  <c r="AJ87" i="46"/>
  <c r="P53" i="58" s="1"/>
  <c r="X88" i="47"/>
  <c r="D74" i="58" s="1"/>
  <c r="X64" i="47"/>
  <c r="D74" i="54" s="1"/>
  <c r="AR64" i="47"/>
  <c r="D74" i="55" s="1"/>
  <c r="X88" i="46"/>
  <c r="D54" i="58" s="1"/>
  <c r="X64" i="46"/>
  <c r="AR64" i="46"/>
  <c r="Z88" i="46"/>
  <c r="F54" i="58" s="1"/>
  <c r="Z64" i="46"/>
  <c r="AT64" i="46"/>
  <c r="AA40" i="44"/>
  <c r="P87" i="46"/>
  <c r="O53" i="57" s="1"/>
  <c r="AE94" i="47"/>
  <c r="K80" i="58" s="1"/>
  <c r="AE70" i="47"/>
  <c r="K80" i="54" s="1"/>
  <c r="AY70" i="47"/>
  <c r="K80" i="55" s="1"/>
  <c r="BA45" i="47"/>
  <c r="AH94" i="47"/>
  <c r="N80" i="58" s="1"/>
  <c r="N20" i="58" s="1"/>
  <c r="AH70" i="47"/>
  <c r="N80" i="54" s="1"/>
  <c r="BB70" i="47"/>
  <c r="N80" i="55" s="1"/>
  <c r="AP47" i="47"/>
  <c r="AZ46" i="47"/>
  <c r="AX46" i="47"/>
  <c r="AW46" i="47"/>
  <c r="O95" i="47"/>
  <c r="N81" i="57" s="1"/>
  <c r="N21" i="57" s="1"/>
  <c r="O71" i="47"/>
  <c r="N81" i="56" s="1"/>
  <c r="N21" i="56" s="1"/>
  <c r="L95" i="47"/>
  <c r="K81" i="57" s="1"/>
  <c r="AG94" i="47"/>
  <c r="M80" i="58" s="1"/>
  <c r="AG70" i="47"/>
  <c r="M80" i="54" s="1"/>
  <c r="BA70" i="47"/>
  <c r="M80" i="55" s="1"/>
  <c r="N95" i="47"/>
  <c r="M81" i="57" s="1"/>
  <c r="AG94" i="46"/>
  <c r="M60" i="58" s="1"/>
  <c r="AG70" i="46"/>
  <c r="BA70" i="46"/>
  <c r="AE95" i="46"/>
  <c r="K61" i="58" s="1"/>
  <c r="AE71" i="46"/>
  <c r="AY71" i="46"/>
  <c r="AW46" i="46"/>
  <c r="AP47" i="46"/>
  <c r="AZ46" i="46"/>
  <c r="AX46" i="46"/>
  <c r="N95" i="46"/>
  <c r="M61" i="57" s="1"/>
  <c r="M21" i="57" s="1"/>
  <c r="BA45" i="46"/>
  <c r="BT46" i="46"/>
  <c r="BQ46" i="46"/>
  <c r="BT47" i="46"/>
  <c r="BQ47" i="46"/>
  <c r="B95" i="46"/>
  <c r="U47" i="46"/>
  <c r="U95" i="46" s="1"/>
  <c r="AH95" i="46"/>
  <c r="N61" i="58" s="1"/>
  <c r="AH71" i="46"/>
  <c r="BB71" i="46"/>
  <c r="BA47" i="44"/>
  <c r="BT46" i="44"/>
  <c r="BQ46" i="44"/>
  <c r="BT47" i="44"/>
  <c r="BQ47" i="44"/>
  <c r="L95" i="44"/>
  <c r="K41" i="57" s="1"/>
  <c r="K21" i="57" s="1"/>
  <c r="AH95" i="44"/>
  <c r="N41" i="58" s="1"/>
  <c r="AH71" i="44"/>
  <c r="N41" i="54" s="1"/>
  <c r="BB71" i="44"/>
  <c r="N41" i="55" s="1"/>
  <c r="AE94" i="44"/>
  <c r="K40" i="58" s="1"/>
  <c r="K20" i="58" s="1"/>
  <c r="AE70" i="44"/>
  <c r="K40" i="54" s="1"/>
  <c r="K20" i="54" s="1"/>
  <c r="AY70" i="44"/>
  <c r="K40" i="55" s="1"/>
  <c r="K20" i="55" s="1"/>
  <c r="BW40" i="43"/>
  <c r="BT67" i="43" s="1"/>
  <c r="AD87" i="43"/>
  <c r="CA39" i="43"/>
  <c r="BA38" i="43"/>
  <c r="O64" i="43"/>
  <c r="AA63" i="43"/>
  <c r="AA87" i="43"/>
  <c r="J63" i="43"/>
  <c r="AC87" i="43" s="1"/>
  <c r="E17" i="43"/>
  <c r="E40" i="43"/>
  <c r="M17" i="43"/>
  <c r="M40" i="43"/>
  <c r="I17" i="43"/>
  <c r="I40" i="43"/>
  <c r="K17" i="43"/>
  <c r="K40" i="43"/>
  <c r="K64" i="43" s="1"/>
  <c r="J17" i="43"/>
  <c r="J40" i="43"/>
  <c r="F17" i="43"/>
  <c r="F40" i="43"/>
  <c r="L18" i="43"/>
  <c r="L41" i="43"/>
  <c r="L65" i="43" s="1"/>
  <c r="G17" i="43"/>
  <c r="G40" i="43"/>
  <c r="BQ44" i="43"/>
  <c r="BT44" i="43"/>
  <c r="H17" i="43"/>
  <c r="H40" i="43"/>
  <c r="H64" i="43" s="1"/>
  <c r="N18" i="43"/>
  <c r="N41" i="43"/>
  <c r="N65" i="43" s="1"/>
  <c r="O18" i="43"/>
  <c r="O41" i="43"/>
  <c r="AF62" i="43"/>
  <c r="AZ62" i="43"/>
  <c r="AG63" i="43"/>
  <c r="BA63" i="43"/>
  <c r="AH63" i="43"/>
  <c r="BB63" i="43"/>
  <c r="Y62" i="43"/>
  <c r="AS62" i="43"/>
  <c r="AC62" i="43"/>
  <c r="AW62" i="43"/>
  <c r="AD62" i="43"/>
  <c r="AX62" i="43"/>
  <c r="AE63" i="43"/>
  <c r="AY63" i="43"/>
  <c r="X62" i="43"/>
  <c r="AR62" i="43"/>
  <c r="AU62" i="43"/>
  <c r="AB62" i="43"/>
  <c r="AV62" i="43"/>
  <c r="Z62" i="43"/>
  <c r="AT62" i="43"/>
  <c r="AU15" i="43"/>
  <c r="AY16" i="43"/>
  <c r="BL46" i="43"/>
  <c r="BM45" i="43"/>
  <c r="BN45" i="43" s="1"/>
  <c r="AX16" i="43"/>
  <c r="AZ16" i="43"/>
  <c r="AZ47" i="43"/>
  <c r="AX47" i="43"/>
  <c r="F17" i="51" l="1"/>
  <c r="M21" i="53"/>
  <c r="M21" i="56"/>
  <c r="AJ95" i="48"/>
  <c r="P101" i="58" s="1"/>
  <c r="N20" i="55"/>
  <c r="AI39" i="46"/>
  <c r="AI39" i="47"/>
  <c r="P63" i="47"/>
  <c r="O73" i="56" s="1"/>
  <c r="O13" i="56" s="1"/>
  <c r="K61" i="55"/>
  <c r="K61" i="54"/>
  <c r="E14" i="58"/>
  <c r="G14" i="58"/>
  <c r="M60" i="55"/>
  <c r="M20" i="55" s="1"/>
  <c r="M60" i="54"/>
  <c r="M20" i="54" s="1"/>
  <c r="K21" i="56"/>
  <c r="N61" i="55"/>
  <c r="N61" i="54"/>
  <c r="M20" i="58"/>
  <c r="K21" i="53"/>
  <c r="J14" i="58"/>
  <c r="D17" i="51"/>
  <c r="G17" i="51"/>
  <c r="L14" i="58"/>
  <c r="AJ71" i="48"/>
  <c r="P101" i="54" s="1"/>
  <c r="J15" i="53"/>
  <c r="D15" i="57"/>
  <c r="E17" i="51"/>
  <c r="P14" i="56"/>
  <c r="K66" i="47"/>
  <c r="J76" i="56" s="1"/>
  <c r="J76" i="53"/>
  <c r="AC41" i="44"/>
  <c r="P35" i="53"/>
  <c r="D14" i="58"/>
  <c r="F54" i="55"/>
  <c r="F14" i="55" s="1"/>
  <c r="F54" i="54"/>
  <c r="F14" i="54" s="1"/>
  <c r="I14" i="58"/>
  <c r="E66" i="44"/>
  <c r="D36" i="56" s="1"/>
  <c r="D36" i="53"/>
  <c r="D16" i="53" s="1"/>
  <c r="AK63" i="47"/>
  <c r="BS58" i="47" s="1"/>
  <c r="P73" i="54"/>
  <c r="P16" i="51"/>
  <c r="C15" i="57"/>
  <c r="H14" i="58"/>
  <c r="H17" i="51"/>
  <c r="J17" i="51"/>
  <c r="P94" i="48"/>
  <c r="O100" i="57" s="1"/>
  <c r="O100" i="53"/>
  <c r="O12" i="53"/>
  <c r="F15" i="56"/>
  <c r="P14" i="53"/>
  <c r="D66" i="44"/>
  <c r="C36" i="56" s="1"/>
  <c r="C36" i="53"/>
  <c r="C16" i="53" s="1"/>
  <c r="H66" i="44"/>
  <c r="G36" i="56" s="1"/>
  <c r="G36" i="53"/>
  <c r="M66" i="44"/>
  <c r="L36" i="56" s="1"/>
  <c r="L36" i="53"/>
  <c r="L16" i="53" s="1"/>
  <c r="G54" i="55"/>
  <c r="G14" i="55" s="1"/>
  <c r="G54" i="54"/>
  <c r="G14" i="54" s="1"/>
  <c r="AK70" i="48"/>
  <c r="BZ58" i="48" s="1"/>
  <c r="P100" i="54"/>
  <c r="BD69" i="49"/>
  <c r="P119" i="55" s="1"/>
  <c r="O119" i="55"/>
  <c r="BD69" i="50"/>
  <c r="P139" i="55" s="1"/>
  <c r="O139" i="55"/>
  <c r="D15" i="56"/>
  <c r="BQ63" i="46"/>
  <c r="P51" i="55"/>
  <c r="P51" i="54"/>
  <c r="P11" i="54" s="1"/>
  <c r="BU40" i="47"/>
  <c r="BT66" i="47" s="1"/>
  <c r="O74" i="51"/>
  <c r="O14" i="51" s="1"/>
  <c r="J15" i="57"/>
  <c r="H54" i="55"/>
  <c r="H14" i="55" s="1"/>
  <c r="H54" i="54"/>
  <c r="C17" i="51"/>
  <c r="AD41" i="46"/>
  <c r="P55" i="53"/>
  <c r="L17" i="51"/>
  <c r="J66" i="44"/>
  <c r="I36" i="56" s="1"/>
  <c r="I36" i="53"/>
  <c r="I16" i="53" s="1"/>
  <c r="P14" i="57"/>
  <c r="BD69" i="48"/>
  <c r="P99" i="55" s="1"/>
  <c r="O99" i="55"/>
  <c r="BD68" i="49"/>
  <c r="P118" i="55" s="1"/>
  <c r="O118" i="55"/>
  <c r="I15" i="56"/>
  <c r="H15" i="56"/>
  <c r="BP55" i="47"/>
  <c r="P70" i="55"/>
  <c r="P10" i="55" s="1"/>
  <c r="E15" i="56"/>
  <c r="C15" i="56"/>
  <c r="H66" i="46"/>
  <c r="G56" i="56" s="1"/>
  <c r="G56" i="53"/>
  <c r="W41" i="47"/>
  <c r="P75" i="53"/>
  <c r="D54" i="54"/>
  <c r="D14" i="54" s="1"/>
  <c r="D54" i="55"/>
  <c r="D14" i="55" s="1"/>
  <c r="P86" i="47"/>
  <c r="O72" i="57" s="1"/>
  <c r="O12" i="57" s="1"/>
  <c r="O72" i="56"/>
  <c r="O12" i="56" s="1"/>
  <c r="G66" i="44"/>
  <c r="F36" i="56" s="1"/>
  <c r="F36" i="53"/>
  <c r="F16" i="53" s="1"/>
  <c r="J54" i="55"/>
  <c r="J14" i="55" s="1"/>
  <c r="J54" i="54"/>
  <c r="J14" i="54" s="1"/>
  <c r="P13" i="58"/>
  <c r="BD62" i="44"/>
  <c r="P32" i="55" s="1"/>
  <c r="O32" i="55"/>
  <c r="H15" i="57"/>
  <c r="E15" i="57"/>
  <c r="K66" i="46"/>
  <c r="J56" i="56" s="1"/>
  <c r="J56" i="53"/>
  <c r="I17" i="51"/>
  <c r="BD61" i="44"/>
  <c r="BQ55" i="44" s="1"/>
  <c r="O31" i="55"/>
  <c r="AK63" i="44"/>
  <c r="BS58" i="44" s="1"/>
  <c r="P33" i="54"/>
  <c r="BD61" i="47"/>
  <c r="BQ63" i="47" s="1"/>
  <c r="O71" i="55"/>
  <c r="G15" i="53"/>
  <c r="K66" i="44"/>
  <c r="J36" i="56" s="1"/>
  <c r="J16" i="56" s="1"/>
  <c r="J36" i="53"/>
  <c r="G15" i="57"/>
  <c r="I54" i="55"/>
  <c r="I14" i="55" s="1"/>
  <c r="I54" i="54"/>
  <c r="I14" i="54" s="1"/>
  <c r="L15" i="57"/>
  <c r="E54" i="55"/>
  <c r="E14" i="55" s="1"/>
  <c r="E54" i="54"/>
  <c r="E14" i="54" s="1"/>
  <c r="G15" i="56"/>
  <c r="I66" i="44"/>
  <c r="H36" i="56" s="1"/>
  <c r="H36" i="53"/>
  <c r="H16" i="53" s="1"/>
  <c r="L54" i="55"/>
  <c r="L14" i="55" s="1"/>
  <c r="L54" i="54"/>
  <c r="L14" i="54" s="1"/>
  <c r="F14" i="58"/>
  <c r="C14" i="58"/>
  <c r="I15" i="57"/>
  <c r="AK70" i="50"/>
  <c r="BZ58" i="50" s="1"/>
  <c r="P140" i="54"/>
  <c r="BD68" i="50"/>
  <c r="P138" i="55" s="1"/>
  <c r="O138" i="55"/>
  <c r="AK70" i="49"/>
  <c r="BZ58" i="49" s="1"/>
  <c r="P120" i="54"/>
  <c r="J15" i="56"/>
  <c r="AI39" i="44"/>
  <c r="O33" i="53"/>
  <c r="O13" i="53" s="1"/>
  <c r="F66" i="44"/>
  <c r="E36" i="56" s="1"/>
  <c r="E36" i="53"/>
  <c r="E16" i="53" s="1"/>
  <c r="H14" i="54"/>
  <c r="C54" i="55"/>
  <c r="C14" i="55" s="1"/>
  <c r="C54" i="54"/>
  <c r="C14" i="54" s="1"/>
  <c r="L15" i="56"/>
  <c r="O13" i="51"/>
  <c r="BX63" i="48"/>
  <c r="P98" i="55"/>
  <c r="AJ47" i="49"/>
  <c r="AJ47" i="50"/>
  <c r="AJ95" i="50"/>
  <c r="P141" i="58" s="1"/>
  <c r="AJ71" i="50"/>
  <c r="AJ22" i="50"/>
  <c r="BC70" i="50"/>
  <c r="P47" i="50"/>
  <c r="O141" i="53" s="1"/>
  <c r="AI23" i="50"/>
  <c r="BU47" i="50"/>
  <c r="CA66" i="50" s="1"/>
  <c r="BO47" i="50"/>
  <c r="CA64" i="50" s="1"/>
  <c r="P94" i="50"/>
  <c r="O140" i="57" s="1"/>
  <c r="AI46" i="50"/>
  <c r="BY55" i="49"/>
  <c r="AJ71" i="49"/>
  <c r="AJ22" i="49"/>
  <c r="CA59" i="49"/>
  <c r="AU47" i="49"/>
  <c r="P94" i="49"/>
  <c r="O120" i="57" s="1"/>
  <c r="AI46" i="49"/>
  <c r="BX63" i="49"/>
  <c r="BX55" i="49"/>
  <c r="BU47" i="49"/>
  <c r="CA66" i="49" s="1"/>
  <c r="BO47" i="49"/>
  <c r="CA64" i="49" s="1"/>
  <c r="AI23" i="49"/>
  <c r="P47" i="49"/>
  <c r="O121" i="53" s="1"/>
  <c r="AJ95" i="49"/>
  <c r="P121" i="58" s="1"/>
  <c r="AU47" i="50"/>
  <c r="AV16" i="43"/>
  <c r="AW16" i="43"/>
  <c r="BA17" i="43"/>
  <c r="H88" i="43"/>
  <c r="K88" i="43"/>
  <c r="BD15" i="43"/>
  <c r="BX42" i="43"/>
  <c r="AI46" i="48"/>
  <c r="BC70" i="48"/>
  <c r="BY63" i="48"/>
  <c r="BY55" i="48"/>
  <c r="AJ23" i="48"/>
  <c r="P95" i="48"/>
  <c r="O101" i="57" s="1"/>
  <c r="AI47" i="48"/>
  <c r="BC62" i="46"/>
  <c r="P87" i="44"/>
  <c r="O33" i="57" s="1"/>
  <c r="AR41" i="46"/>
  <c r="BU60" i="46" s="1"/>
  <c r="BO40" i="47"/>
  <c r="BT64" i="47" s="1"/>
  <c r="AI16" i="47"/>
  <c r="AJ16" i="47" s="1"/>
  <c r="P40" i="47"/>
  <c r="X41" i="46"/>
  <c r="AF41" i="46"/>
  <c r="Z41" i="44"/>
  <c r="BJ17" i="44"/>
  <c r="BK17" i="44" s="1"/>
  <c r="BL17" i="44" s="1"/>
  <c r="P17" i="44" s="1"/>
  <c r="AD41" i="44"/>
  <c r="AA41" i="44"/>
  <c r="Y41" i="44"/>
  <c r="X41" i="44"/>
  <c r="AR41" i="44"/>
  <c r="BU60" i="44" s="1"/>
  <c r="AT41" i="44"/>
  <c r="BU62" i="44" s="1"/>
  <c r="AB41" i="44"/>
  <c r="AQ41" i="44"/>
  <c r="BU59" i="44" s="1"/>
  <c r="AS41" i="44"/>
  <c r="BU61" i="44" s="1"/>
  <c r="AF41" i="44"/>
  <c r="W41" i="44"/>
  <c r="AJ40" i="47"/>
  <c r="AQ41" i="47"/>
  <c r="BU59" i="47" s="1"/>
  <c r="AB41" i="46"/>
  <c r="AJ40" i="46"/>
  <c r="AH64" i="43"/>
  <c r="AH88" i="43"/>
  <c r="BW43" i="46"/>
  <c r="BW67" i="46" s="1"/>
  <c r="H43" i="46"/>
  <c r="H20" i="46"/>
  <c r="G58" i="51" s="1"/>
  <c r="X89" i="46"/>
  <c r="D55" i="58" s="1"/>
  <c r="X65" i="46"/>
  <c r="AR65" i="46"/>
  <c r="E90" i="44"/>
  <c r="D36" i="57" s="1"/>
  <c r="E20" i="46"/>
  <c r="D58" i="51" s="1"/>
  <c r="E43" i="46"/>
  <c r="D57" i="53" s="1"/>
  <c r="G20" i="47"/>
  <c r="F78" i="51" s="1"/>
  <c r="G43" i="47"/>
  <c r="F77" i="53" s="1"/>
  <c r="D43" i="46"/>
  <c r="C57" i="53" s="1"/>
  <c r="Q19" i="46"/>
  <c r="P57" i="51" s="1"/>
  <c r="D20" i="46"/>
  <c r="C58" i="51" s="1"/>
  <c r="BR43" i="46"/>
  <c r="BW65" i="46" s="1"/>
  <c r="P40" i="46"/>
  <c r="O54" i="53" s="1"/>
  <c r="AI16" i="46"/>
  <c r="BU40" i="46"/>
  <c r="BT66" i="46" s="1"/>
  <c r="BO40" i="46"/>
  <c r="BT64" i="46" s="1"/>
  <c r="Z41" i="47"/>
  <c r="BJ17" i="47"/>
  <c r="BK17" i="47" s="1"/>
  <c r="BL17" i="47" s="1"/>
  <c r="P17" i="47" s="1"/>
  <c r="O75" i="51" s="1"/>
  <c r="H43" i="44"/>
  <c r="H20" i="44"/>
  <c r="G38" i="51" s="1"/>
  <c r="BW43" i="44"/>
  <c r="BW67" i="44" s="1"/>
  <c r="X41" i="47"/>
  <c r="K90" i="47"/>
  <c r="J76" i="57" s="1"/>
  <c r="CA42" i="47"/>
  <c r="AB41" i="47"/>
  <c r="AB89" i="44"/>
  <c r="H35" i="58" s="1"/>
  <c r="AB65" i="44"/>
  <c r="H35" i="54" s="1"/>
  <c r="AV65" i="44"/>
  <c r="H35" i="55" s="1"/>
  <c r="AA41" i="47"/>
  <c r="AC41" i="46"/>
  <c r="G66" i="46"/>
  <c r="F56" i="56" s="1"/>
  <c r="G90" i="46"/>
  <c r="F56" i="57" s="1"/>
  <c r="CA42" i="44"/>
  <c r="K90" i="44"/>
  <c r="J36" i="57" s="1"/>
  <c r="AA41" i="46"/>
  <c r="J90" i="47"/>
  <c r="I76" i="57" s="1"/>
  <c r="J66" i="47"/>
  <c r="I76" i="56" s="1"/>
  <c r="F64" i="43"/>
  <c r="Y88" i="43" s="1"/>
  <c r="F88" i="43"/>
  <c r="M64" i="43"/>
  <c r="AF88" i="43" s="1"/>
  <c r="M88" i="43"/>
  <c r="Z89" i="44"/>
  <c r="F35" i="58" s="1"/>
  <c r="Z65" i="44"/>
  <c r="F35" i="54" s="1"/>
  <c r="AT65" i="44"/>
  <c r="F35" i="55" s="1"/>
  <c r="AJ40" i="44"/>
  <c r="AF89" i="46"/>
  <c r="L55" i="58" s="1"/>
  <c r="AF65" i="46"/>
  <c r="AZ65" i="46"/>
  <c r="E43" i="44"/>
  <c r="E20" i="44"/>
  <c r="D38" i="51" s="1"/>
  <c r="E90" i="46"/>
  <c r="D56" i="57" s="1"/>
  <c r="E66" i="46"/>
  <c r="D56" i="56" s="1"/>
  <c r="G90" i="47"/>
  <c r="F76" i="57" s="1"/>
  <c r="G66" i="47"/>
  <c r="F76" i="56" s="1"/>
  <c r="AS41" i="47"/>
  <c r="BU61" i="47" s="1"/>
  <c r="AD41" i="47"/>
  <c r="AA89" i="44"/>
  <c r="G35" i="58" s="1"/>
  <c r="AU65" i="44"/>
  <c r="G35" i="55" s="1"/>
  <c r="H90" i="44"/>
  <c r="G36" i="57" s="1"/>
  <c r="AA66" i="44"/>
  <c r="G36" i="54" s="1"/>
  <c r="AR41" i="47"/>
  <c r="BU60" i="47" s="1"/>
  <c r="AF89" i="44"/>
  <c r="L35" i="58" s="1"/>
  <c r="AF65" i="44"/>
  <c r="L35" i="54" s="1"/>
  <c r="AZ65" i="44"/>
  <c r="L35" i="55" s="1"/>
  <c r="W41" i="46"/>
  <c r="E43" i="47"/>
  <c r="D77" i="53" s="1"/>
  <c r="E20" i="47"/>
  <c r="D78" i="51" s="1"/>
  <c r="BC63" i="47"/>
  <c r="I43" i="44"/>
  <c r="I20" i="44"/>
  <c r="H38" i="51" s="1"/>
  <c r="G20" i="46"/>
  <c r="F58" i="51" s="1"/>
  <c r="G43" i="46"/>
  <c r="F57" i="53" s="1"/>
  <c r="J90" i="44"/>
  <c r="I36" i="57" s="1"/>
  <c r="AT41" i="46"/>
  <c r="BU62" i="46" s="1"/>
  <c r="J43" i="47"/>
  <c r="I77" i="53" s="1"/>
  <c r="J20" i="47"/>
  <c r="I78" i="51" s="1"/>
  <c r="AC65" i="44"/>
  <c r="I35" i="54" s="1"/>
  <c r="AC89" i="44"/>
  <c r="I35" i="58" s="1"/>
  <c r="AW65" i="44"/>
  <c r="I35" i="55" s="1"/>
  <c r="H90" i="46"/>
  <c r="G56" i="57" s="1"/>
  <c r="AA66" i="46"/>
  <c r="AC41" i="47"/>
  <c r="H90" i="47"/>
  <c r="G76" i="57" s="1"/>
  <c r="AA66" i="47"/>
  <c r="G76" i="54" s="1"/>
  <c r="H66" i="47"/>
  <c r="G76" i="56" s="1"/>
  <c r="X65" i="44"/>
  <c r="D35" i="54" s="1"/>
  <c r="X89" i="44"/>
  <c r="D35" i="58" s="1"/>
  <c r="AR65" i="44"/>
  <c r="D35" i="55" s="1"/>
  <c r="BT59" i="44"/>
  <c r="AU40" i="44"/>
  <c r="Z65" i="47"/>
  <c r="F75" i="54" s="1"/>
  <c r="Z89" i="47"/>
  <c r="F75" i="58" s="1"/>
  <c r="AT65" i="47"/>
  <c r="F75" i="55" s="1"/>
  <c r="Q42" i="44"/>
  <c r="D90" i="44"/>
  <c r="C36" i="57" s="1"/>
  <c r="AQ41" i="46"/>
  <c r="AB89" i="47"/>
  <c r="H75" i="58" s="1"/>
  <c r="AB65" i="47"/>
  <c r="H75" i="54" s="1"/>
  <c r="AV65" i="47"/>
  <c r="H75" i="55" s="1"/>
  <c r="E90" i="47"/>
  <c r="D76" i="57" s="1"/>
  <c r="E66" i="47"/>
  <c r="D76" i="56" s="1"/>
  <c r="AC89" i="46"/>
  <c r="I55" i="58" s="1"/>
  <c r="AC65" i="46"/>
  <c r="AW65" i="46"/>
  <c r="I90" i="44"/>
  <c r="H36" i="57" s="1"/>
  <c r="Y41" i="46"/>
  <c r="J43" i="44"/>
  <c r="J20" i="44"/>
  <c r="I38" i="51" s="1"/>
  <c r="AA89" i="46"/>
  <c r="G55" i="58" s="1"/>
  <c r="AU65" i="46"/>
  <c r="D90" i="47"/>
  <c r="C76" i="57" s="1"/>
  <c r="D66" i="47"/>
  <c r="C76" i="56" s="1"/>
  <c r="Q42" i="47"/>
  <c r="H43" i="47"/>
  <c r="G77" i="53" s="1"/>
  <c r="H20" i="47"/>
  <c r="G78" i="51" s="1"/>
  <c r="BW43" i="47"/>
  <c r="BW67" i="47" s="1"/>
  <c r="I43" i="47"/>
  <c r="H77" i="53" s="1"/>
  <c r="I20" i="47"/>
  <c r="H78" i="51" s="1"/>
  <c r="CA42" i="46"/>
  <c r="J90" i="46"/>
  <c r="I56" i="57" s="1"/>
  <c r="J66" i="46"/>
  <c r="I56" i="56" s="1"/>
  <c r="X65" i="47"/>
  <c r="D75" i="54" s="1"/>
  <c r="X89" i="47"/>
  <c r="D75" i="58" s="1"/>
  <c r="AR65" i="47"/>
  <c r="D75" i="55" s="1"/>
  <c r="Q89" i="46"/>
  <c r="P55" i="57" s="1"/>
  <c r="P40" i="44"/>
  <c r="O34" i="53" s="1"/>
  <c r="AI16" i="44"/>
  <c r="BU40" i="44"/>
  <c r="BT66" i="44" s="1"/>
  <c r="BO40" i="44"/>
  <c r="BT64" i="44" s="1"/>
  <c r="AA89" i="47"/>
  <c r="G75" i="58" s="1"/>
  <c r="AU65" i="47"/>
  <c r="G75" i="55" s="1"/>
  <c r="BT59" i="46"/>
  <c r="AU40" i="46"/>
  <c r="D43" i="47"/>
  <c r="C77" i="53" s="1"/>
  <c r="Q19" i="47"/>
  <c r="P77" i="51" s="1"/>
  <c r="BR43" i="47"/>
  <c r="BW65" i="47" s="1"/>
  <c r="D20" i="47"/>
  <c r="C78" i="51" s="1"/>
  <c r="E64" i="43"/>
  <c r="X88" i="43" s="1"/>
  <c r="E88" i="43"/>
  <c r="AC89" i="47"/>
  <c r="I75" i="58" s="1"/>
  <c r="AC65" i="47"/>
  <c r="I75" i="54" s="1"/>
  <c r="AW65" i="47"/>
  <c r="I75" i="55" s="1"/>
  <c r="BC63" i="46"/>
  <c r="AH41" i="47"/>
  <c r="BU68" i="47"/>
  <c r="AG41" i="47"/>
  <c r="BU69" i="47"/>
  <c r="AE41" i="47"/>
  <c r="Y41" i="47"/>
  <c r="AF41" i="47"/>
  <c r="F20" i="47"/>
  <c r="E78" i="51" s="1"/>
  <c r="F43" i="47"/>
  <c r="E77" i="53" s="1"/>
  <c r="I20" i="46"/>
  <c r="H58" i="51" s="1"/>
  <c r="I43" i="46"/>
  <c r="H57" i="53" s="1"/>
  <c r="AD65" i="47"/>
  <c r="J75" i="54" s="1"/>
  <c r="AD89" i="47"/>
  <c r="J75" i="58" s="1"/>
  <c r="AX65" i="47"/>
  <c r="J75" i="55" s="1"/>
  <c r="D20" i="44"/>
  <c r="C38" i="51" s="1"/>
  <c r="C18" i="51" s="1"/>
  <c r="D43" i="44"/>
  <c r="BR43" i="44"/>
  <c r="BW65" i="44" s="1"/>
  <c r="Q19" i="44"/>
  <c r="P37" i="51" s="1"/>
  <c r="I66" i="47"/>
  <c r="H76" i="56" s="1"/>
  <c r="I90" i="47"/>
  <c r="H76" i="57" s="1"/>
  <c r="J43" i="46"/>
  <c r="I57" i="53" s="1"/>
  <c r="J20" i="46"/>
  <c r="I58" i="51" s="1"/>
  <c r="AJ64" i="47"/>
  <c r="F43" i="44"/>
  <c r="F20" i="44"/>
  <c r="E38" i="51" s="1"/>
  <c r="AG41" i="46"/>
  <c r="BU68" i="46"/>
  <c r="BU69" i="46"/>
  <c r="AE41" i="46"/>
  <c r="AH41" i="46"/>
  <c r="M90" i="44"/>
  <c r="L36" i="57" s="1"/>
  <c r="BJ17" i="46"/>
  <c r="BK17" i="46" s="1"/>
  <c r="BL17" i="46" s="1"/>
  <c r="P17" i="46" s="1"/>
  <c r="O55" i="51" s="1"/>
  <c r="Y89" i="46"/>
  <c r="E55" i="58" s="1"/>
  <c r="Y65" i="46"/>
  <c r="AS65" i="46"/>
  <c r="Z41" i="46"/>
  <c r="J64" i="43"/>
  <c r="AC88" i="43" s="1"/>
  <c r="J88" i="43"/>
  <c r="O65" i="43"/>
  <c r="AH89" i="43" s="1"/>
  <c r="O89" i="43"/>
  <c r="G64" i="43"/>
  <c r="Z88" i="43" s="1"/>
  <c r="G88" i="43"/>
  <c r="BT59" i="47"/>
  <c r="AU40" i="47"/>
  <c r="Q65" i="47"/>
  <c r="P75" i="56" s="1"/>
  <c r="W65" i="47"/>
  <c r="C75" i="54" s="1"/>
  <c r="W89" i="47"/>
  <c r="C75" i="58" s="1"/>
  <c r="AQ65" i="47"/>
  <c r="C75" i="55" s="1"/>
  <c r="Y89" i="47"/>
  <c r="E75" i="58" s="1"/>
  <c r="Y65" i="47"/>
  <c r="E75" i="54" s="1"/>
  <c r="AS65" i="47"/>
  <c r="E75" i="55" s="1"/>
  <c r="G20" i="44"/>
  <c r="F38" i="51" s="1"/>
  <c r="F18" i="51" s="1"/>
  <c r="G43" i="44"/>
  <c r="F43" i="46"/>
  <c r="E57" i="53" s="1"/>
  <c r="F20" i="46"/>
  <c r="E58" i="51" s="1"/>
  <c r="AF89" i="47"/>
  <c r="L75" i="58" s="1"/>
  <c r="AF65" i="47"/>
  <c r="L75" i="54" s="1"/>
  <c r="AZ65" i="47"/>
  <c r="L75" i="55" s="1"/>
  <c r="F90" i="47"/>
  <c r="E76" i="57" s="1"/>
  <c r="F66" i="47"/>
  <c r="E76" i="56" s="1"/>
  <c r="I66" i="46"/>
  <c r="H56" i="56" s="1"/>
  <c r="I90" i="46"/>
  <c r="H56" i="57" s="1"/>
  <c r="M90" i="47"/>
  <c r="L76" i="57" s="1"/>
  <c r="M66" i="47"/>
  <c r="L76" i="56" s="1"/>
  <c r="F90" i="44"/>
  <c r="E36" i="57" s="1"/>
  <c r="Q65" i="46"/>
  <c r="P55" i="56" s="1"/>
  <c r="W89" i="46"/>
  <c r="C55" i="58" s="1"/>
  <c r="W65" i="46"/>
  <c r="AQ65" i="46"/>
  <c r="W89" i="44"/>
  <c r="C35" i="58" s="1"/>
  <c r="W65" i="44"/>
  <c r="C35" i="54" s="1"/>
  <c r="Q65" i="44"/>
  <c r="P35" i="56" s="1"/>
  <c r="AQ65" i="44"/>
  <c r="C35" i="55" s="1"/>
  <c r="M43" i="44"/>
  <c r="M20" i="44"/>
  <c r="L38" i="51" s="1"/>
  <c r="Y89" i="44"/>
  <c r="E35" i="58" s="1"/>
  <c r="Y65" i="44"/>
  <c r="E35" i="54" s="1"/>
  <c r="AS65" i="44"/>
  <c r="E35" i="55" s="1"/>
  <c r="K43" i="46"/>
  <c r="K20" i="46"/>
  <c r="J58" i="51" s="1"/>
  <c r="BC62" i="47"/>
  <c r="AS41" i="46"/>
  <c r="BU61" i="46" s="1"/>
  <c r="AJ88" i="46"/>
  <c r="P54" i="58" s="1"/>
  <c r="Q89" i="47"/>
  <c r="P75" i="57" s="1"/>
  <c r="G90" i="44"/>
  <c r="F36" i="57" s="1"/>
  <c r="F66" i="46"/>
  <c r="E56" i="56" s="1"/>
  <c r="F90" i="46"/>
  <c r="E56" i="57" s="1"/>
  <c r="M43" i="47"/>
  <c r="L77" i="53" s="1"/>
  <c r="M20" i="47"/>
  <c r="L78" i="51" s="1"/>
  <c r="AB89" i="46"/>
  <c r="H55" i="58" s="1"/>
  <c r="AB65" i="46"/>
  <c r="AV65" i="46"/>
  <c r="AJ88" i="47"/>
  <c r="P74" i="58" s="1"/>
  <c r="Q89" i="44"/>
  <c r="P35" i="57" s="1"/>
  <c r="AD89" i="46"/>
  <c r="J55" i="58" s="1"/>
  <c r="AD65" i="46"/>
  <c r="AX65" i="46"/>
  <c r="K90" i="46"/>
  <c r="J56" i="57" s="1"/>
  <c r="M90" i="46"/>
  <c r="L56" i="57" s="1"/>
  <c r="M66" i="46"/>
  <c r="L56" i="56" s="1"/>
  <c r="AJ64" i="44"/>
  <c r="Z65" i="46"/>
  <c r="Z89" i="46"/>
  <c r="F55" i="58" s="1"/>
  <c r="AT65" i="46"/>
  <c r="AJ64" i="46"/>
  <c r="AK64" i="46" s="1"/>
  <c r="BT58" i="46" s="1"/>
  <c r="AG89" i="43"/>
  <c r="N89" i="43"/>
  <c r="AE89" i="43"/>
  <c r="L89" i="43"/>
  <c r="I64" i="43"/>
  <c r="AB88" i="43" s="1"/>
  <c r="I88" i="43"/>
  <c r="AD65" i="44"/>
  <c r="J35" i="54" s="1"/>
  <c r="AD89" i="44"/>
  <c r="J35" i="58" s="1"/>
  <c r="AX65" i="44"/>
  <c r="J35" i="55" s="1"/>
  <c r="D90" i="46"/>
  <c r="C56" i="57" s="1"/>
  <c r="D66" i="46"/>
  <c r="C56" i="56" s="1"/>
  <c r="Q42" i="46"/>
  <c r="BR55" i="44"/>
  <c r="BR63" i="44"/>
  <c r="K43" i="47"/>
  <c r="K20" i="47"/>
  <c r="J78" i="51" s="1"/>
  <c r="AE41" i="44"/>
  <c r="AH41" i="44"/>
  <c r="AG41" i="44"/>
  <c r="BU68" i="44"/>
  <c r="BU69" i="44"/>
  <c r="AT41" i="47"/>
  <c r="BU62" i="47" s="1"/>
  <c r="M43" i="46"/>
  <c r="L57" i="53" s="1"/>
  <c r="M20" i="46"/>
  <c r="L58" i="51" s="1"/>
  <c r="K43" i="44"/>
  <c r="K20" i="44"/>
  <c r="J38" i="51" s="1"/>
  <c r="AJ88" i="44"/>
  <c r="P34" i="58" s="1"/>
  <c r="BA46" i="47"/>
  <c r="AE95" i="47"/>
  <c r="K81" i="58" s="1"/>
  <c r="AE71" i="47"/>
  <c r="K81" i="54" s="1"/>
  <c r="AY71" i="47"/>
  <c r="K81" i="55" s="1"/>
  <c r="AW47" i="47"/>
  <c r="AZ47" i="47"/>
  <c r="AX47" i="47"/>
  <c r="AG95" i="47"/>
  <c r="M81" i="58" s="1"/>
  <c r="AG71" i="47"/>
  <c r="M81" i="54" s="1"/>
  <c r="BA71" i="47"/>
  <c r="M81" i="55" s="1"/>
  <c r="AH95" i="47"/>
  <c r="N81" i="58" s="1"/>
  <c r="N21" i="58" s="1"/>
  <c r="AH71" i="47"/>
  <c r="N81" i="54" s="1"/>
  <c r="BB71" i="47"/>
  <c r="N81" i="55" s="1"/>
  <c r="N21" i="55" s="1"/>
  <c r="AG95" i="46"/>
  <c r="M61" i="58" s="1"/>
  <c r="AG71" i="46"/>
  <c r="BA71" i="46"/>
  <c r="AW47" i="46"/>
  <c r="AZ47" i="46"/>
  <c r="AX47" i="46"/>
  <c r="BA46" i="46"/>
  <c r="AE95" i="44"/>
  <c r="K41" i="58" s="1"/>
  <c r="K21" i="58" s="1"/>
  <c r="AE71" i="44"/>
  <c r="K41" i="54" s="1"/>
  <c r="AY71" i="44"/>
  <c r="K41" i="55" s="1"/>
  <c r="AC63" i="43"/>
  <c r="BW41" i="43"/>
  <c r="BU67" i="43" s="1"/>
  <c r="AD88" i="43"/>
  <c r="CA40" i="43"/>
  <c r="BA39" i="43"/>
  <c r="AW63" i="43"/>
  <c r="BB64" i="43"/>
  <c r="AA64" i="43"/>
  <c r="AA88" i="43"/>
  <c r="O19" i="43"/>
  <c r="O42" i="43"/>
  <c r="K18" i="43"/>
  <c r="K41" i="43"/>
  <c r="K65" i="43" s="1"/>
  <c r="N19" i="43"/>
  <c r="N42" i="43"/>
  <c r="N66" i="43" s="1"/>
  <c r="L19" i="43"/>
  <c r="L42" i="43"/>
  <c r="L66" i="43" s="1"/>
  <c r="I18" i="43"/>
  <c r="I41" i="43"/>
  <c r="H18" i="43"/>
  <c r="H41" i="43"/>
  <c r="H65" i="43" s="1"/>
  <c r="F18" i="43"/>
  <c r="F41" i="43"/>
  <c r="M18" i="43"/>
  <c r="M41" i="43"/>
  <c r="G18" i="43"/>
  <c r="G41" i="43"/>
  <c r="BQ45" i="43"/>
  <c r="BT45" i="43"/>
  <c r="J18" i="43"/>
  <c r="J41" i="43"/>
  <c r="E18" i="43"/>
  <c r="E41" i="43"/>
  <c r="X63" i="43"/>
  <c r="AR63" i="43"/>
  <c r="AF63" i="43"/>
  <c r="AZ63" i="43"/>
  <c r="AB63" i="43"/>
  <c r="AV63" i="43"/>
  <c r="AD63" i="43"/>
  <c r="AX63" i="43"/>
  <c r="AU63" i="43"/>
  <c r="Z63" i="43"/>
  <c r="AT63" i="43"/>
  <c r="AG64" i="43"/>
  <c r="BA64" i="43"/>
  <c r="AE64" i="43"/>
  <c r="AY64" i="43"/>
  <c r="Y63" i="43"/>
  <c r="AS63" i="43"/>
  <c r="AU16" i="43"/>
  <c r="AY17" i="43"/>
  <c r="BL47" i="43"/>
  <c r="BM47" i="43" s="1"/>
  <c r="BN47" i="43" s="1"/>
  <c r="BM46" i="43"/>
  <c r="BN46" i="43" s="1"/>
  <c r="AX17" i="43"/>
  <c r="AZ17" i="43"/>
  <c r="J16" i="53" l="1"/>
  <c r="BY55" i="50"/>
  <c r="N21" i="54"/>
  <c r="P87" i="47"/>
  <c r="O73" i="57" s="1"/>
  <c r="O13" i="57" s="1"/>
  <c r="BY63" i="49"/>
  <c r="K21" i="54"/>
  <c r="M21" i="58"/>
  <c r="M61" i="55"/>
  <c r="M21" i="55" s="1"/>
  <c r="M61" i="54"/>
  <c r="M21" i="54" s="1"/>
  <c r="K21" i="55"/>
  <c r="J16" i="57"/>
  <c r="H15" i="58"/>
  <c r="F16" i="57"/>
  <c r="I18" i="51"/>
  <c r="J18" i="51"/>
  <c r="D18" i="51"/>
  <c r="F15" i="58"/>
  <c r="AK71" i="48"/>
  <c r="CA58" i="48" s="1"/>
  <c r="BX55" i="50"/>
  <c r="I16" i="56"/>
  <c r="L18" i="51"/>
  <c r="BX63" i="50"/>
  <c r="J15" i="58"/>
  <c r="BD62" i="46"/>
  <c r="BR55" i="46" s="1"/>
  <c r="O52" i="55"/>
  <c r="O52" i="54"/>
  <c r="O12" i="54" s="1"/>
  <c r="L16" i="56"/>
  <c r="K67" i="44"/>
  <c r="J37" i="56" s="1"/>
  <c r="J37" i="53"/>
  <c r="M67" i="44"/>
  <c r="L37" i="56" s="1"/>
  <c r="L37" i="53"/>
  <c r="L17" i="53" s="1"/>
  <c r="P17" i="51"/>
  <c r="AC42" i="47"/>
  <c r="P76" i="53"/>
  <c r="H16" i="57"/>
  <c r="I16" i="57"/>
  <c r="G15" i="58"/>
  <c r="E67" i="44"/>
  <c r="D37" i="56" s="1"/>
  <c r="D37" i="53"/>
  <c r="D17" i="53" s="1"/>
  <c r="BY63" i="50"/>
  <c r="G16" i="53"/>
  <c r="J55" i="55"/>
  <c r="J15" i="55" s="1"/>
  <c r="J55" i="54"/>
  <c r="J15" i="54" s="1"/>
  <c r="BD62" i="47"/>
  <c r="P72" i="55" s="1"/>
  <c r="O72" i="55"/>
  <c r="E16" i="57"/>
  <c r="E18" i="51"/>
  <c r="I55" i="55"/>
  <c r="I55" i="54"/>
  <c r="I15" i="54" s="1"/>
  <c r="L55" i="55"/>
  <c r="L15" i="55" s="1"/>
  <c r="L55" i="54"/>
  <c r="L15" i="54" s="1"/>
  <c r="AK71" i="49"/>
  <c r="CA58" i="49" s="1"/>
  <c r="P121" i="54"/>
  <c r="E16" i="56"/>
  <c r="O11" i="55"/>
  <c r="G16" i="56"/>
  <c r="K67" i="47"/>
  <c r="J77" i="56" s="1"/>
  <c r="J77" i="53"/>
  <c r="F55" i="55"/>
  <c r="F15" i="55" s="1"/>
  <c r="F55" i="54"/>
  <c r="F15" i="54" s="1"/>
  <c r="P15" i="56"/>
  <c r="F67" i="44"/>
  <c r="E37" i="56" s="1"/>
  <c r="E37" i="53"/>
  <c r="E17" i="53" s="1"/>
  <c r="D67" i="44"/>
  <c r="C37" i="56" s="1"/>
  <c r="C37" i="53"/>
  <c r="C17" i="53" s="1"/>
  <c r="BD63" i="46"/>
  <c r="BS55" i="46" s="1"/>
  <c r="O53" i="55"/>
  <c r="O53" i="54"/>
  <c r="O13" i="54" s="1"/>
  <c r="C16" i="57"/>
  <c r="D15" i="58"/>
  <c r="I15" i="55"/>
  <c r="H67" i="46"/>
  <c r="G57" i="56" s="1"/>
  <c r="G57" i="53"/>
  <c r="AI40" i="47"/>
  <c r="O74" i="53"/>
  <c r="O14" i="53" s="1"/>
  <c r="BD70" i="50"/>
  <c r="P140" i="55" s="1"/>
  <c r="O140" i="55"/>
  <c r="BQ63" i="44"/>
  <c r="P31" i="55"/>
  <c r="F16" i="56"/>
  <c r="D16" i="56"/>
  <c r="P15" i="53"/>
  <c r="L16" i="57"/>
  <c r="AK64" i="47"/>
  <c r="BT58" i="47" s="1"/>
  <c r="P74" i="54"/>
  <c r="G55" i="55"/>
  <c r="G15" i="55" s="1"/>
  <c r="G55" i="54"/>
  <c r="G15" i="54" s="1"/>
  <c r="AB42" i="44"/>
  <c r="P36" i="53"/>
  <c r="I15" i="58"/>
  <c r="H18" i="51"/>
  <c r="L15" i="58"/>
  <c r="C16" i="56"/>
  <c r="K67" i="46"/>
  <c r="J57" i="56" s="1"/>
  <c r="J57" i="53"/>
  <c r="P15" i="57"/>
  <c r="C15" i="58"/>
  <c r="I67" i="44"/>
  <c r="H37" i="56" s="1"/>
  <c r="H37" i="53"/>
  <c r="H17" i="53" s="1"/>
  <c r="AK71" i="50"/>
  <c r="CA58" i="50" s="1"/>
  <c r="P141" i="54"/>
  <c r="AK64" i="44"/>
  <c r="BT58" i="44" s="1"/>
  <c r="P34" i="54"/>
  <c r="C55" i="55"/>
  <c r="C15" i="55" s="1"/>
  <c r="C55" i="54"/>
  <c r="C15" i="54" s="1"/>
  <c r="G67" i="44"/>
  <c r="F37" i="56" s="1"/>
  <c r="F37" i="53"/>
  <c r="F17" i="53" s="1"/>
  <c r="BD63" i="47"/>
  <c r="P73" i="55" s="1"/>
  <c r="O73" i="55"/>
  <c r="G18" i="51"/>
  <c r="D16" i="57"/>
  <c r="BO41" i="44"/>
  <c r="BU64" i="44" s="1"/>
  <c r="O35" i="51"/>
  <c r="O15" i="51" s="1"/>
  <c r="H16" i="56"/>
  <c r="E55" i="54"/>
  <c r="E15" i="54" s="1"/>
  <c r="E55" i="55"/>
  <c r="E15" i="55" s="1"/>
  <c r="AS42" i="46"/>
  <c r="BV61" i="46" s="1"/>
  <c r="P56" i="53"/>
  <c r="P14" i="58"/>
  <c r="H55" i="55"/>
  <c r="H15" i="55" s="1"/>
  <c r="H55" i="54"/>
  <c r="H15" i="54" s="1"/>
  <c r="E15" i="58"/>
  <c r="J67" i="44"/>
  <c r="I37" i="56" s="1"/>
  <c r="I37" i="53"/>
  <c r="I17" i="53" s="1"/>
  <c r="G16" i="57"/>
  <c r="H67" i="44"/>
  <c r="G37" i="56" s="1"/>
  <c r="G37" i="53"/>
  <c r="D55" i="55"/>
  <c r="D15" i="55" s="1"/>
  <c r="D55" i="54"/>
  <c r="D15" i="54" s="1"/>
  <c r="BD70" i="48"/>
  <c r="BZ63" i="48" s="1"/>
  <c r="O100" i="55"/>
  <c r="BQ55" i="47"/>
  <c r="P71" i="55"/>
  <c r="AJ23" i="50"/>
  <c r="AI47" i="50"/>
  <c r="P95" i="50"/>
  <c r="O141" i="57" s="1"/>
  <c r="BZ63" i="50"/>
  <c r="BZ55" i="50"/>
  <c r="P95" i="49"/>
  <c r="O121" i="57" s="1"/>
  <c r="AI47" i="49"/>
  <c r="AJ23" i="49"/>
  <c r="BC70" i="49"/>
  <c r="AV17" i="43"/>
  <c r="AW17" i="43"/>
  <c r="BA18" i="43"/>
  <c r="BX43" i="43"/>
  <c r="H89" i="43"/>
  <c r="K89" i="43"/>
  <c r="BD16" i="43"/>
  <c r="P41" i="44"/>
  <c r="BC63" i="44"/>
  <c r="BC71" i="48"/>
  <c r="P64" i="47"/>
  <c r="AI17" i="44"/>
  <c r="AJ17" i="44" s="1"/>
  <c r="BU41" i="44"/>
  <c r="BU66" i="44" s="1"/>
  <c r="Y42" i="44"/>
  <c r="AF42" i="44"/>
  <c r="Z42" i="44"/>
  <c r="W42" i="44"/>
  <c r="AS42" i="44"/>
  <c r="BV61" i="44" s="1"/>
  <c r="AF42" i="47"/>
  <c r="AU41" i="44"/>
  <c r="Q90" i="44"/>
  <c r="P36" i="57" s="1"/>
  <c r="AJ65" i="44"/>
  <c r="W42" i="46"/>
  <c r="AC42" i="44"/>
  <c r="AJ41" i="47"/>
  <c r="Z42" i="46"/>
  <c r="AF42" i="46"/>
  <c r="AD42" i="46"/>
  <c r="AB42" i="46"/>
  <c r="AJ41" i="44"/>
  <c r="M91" i="47"/>
  <c r="L77" i="57" s="1"/>
  <c r="M67" i="47"/>
  <c r="L77" i="56" s="1"/>
  <c r="Y66" i="44"/>
  <c r="E36" i="54" s="1"/>
  <c r="Y90" i="44"/>
  <c r="E36" i="58" s="1"/>
  <c r="AS66" i="44"/>
  <c r="E36" i="55" s="1"/>
  <c r="AB90" i="46"/>
  <c r="H56" i="58" s="1"/>
  <c r="AB66" i="46"/>
  <c r="AV66" i="46"/>
  <c r="F44" i="46"/>
  <c r="E58" i="53" s="1"/>
  <c r="F21" i="46"/>
  <c r="E59" i="51" s="1"/>
  <c r="AF90" i="44"/>
  <c r="L36" i="58" s="1"/>
  <c r="AF66" i="44"/>
  <c r="L36" i="54" s="1"/>
  <c r="AZ66" i="44"/>
  <c r="L36" i="55" s="1"/>
  <c r="BR44" i="47"/>
  <c r="BX65" i="47" s="1"/>
  <c r="D21" i="47"/>
  <c r="C79" i="51" s="1"/>
  <c r="D44" i="47"/>
  <c r="C78" i="53" s="1"/>
  <c r="Q20" i="47"/>
  <c r="P78" i="51" s="1"/>
  <c r="X66" i="46"/>
  <c r="X90" i="46"/>
  <c r="D56" i="58" s="1"/>
  <c r="AR66" i="46"/>
  <c r="E44" i="46"/>
  <c r="D58" i="53" s="1"/>
  <c r="E21" i="46"/>
  <c r="D59" i="51" s="1"/>
  <c r="K21" i="44"/>
  <c r="J39" i="51" s="1"/>
  <c r="K44" i="44"/>
  <c r="BJ18" i="46"/>
  <c r="BK18" i="46" s="1"/>
  <c r="BL18" i="46" s="1"/>
  <c r="P18" i="46" s="1"/>
  <c r="O56" i="51" s="1"/>
  <c r="Y42" i="46"/>
  <c r="AJ89" i="44"/>
  <c r="P35" i="58" s="1"/>
  <c r="Y42" i="47"/>
  <c r="F91" i="46"/>
  <c r="E57" i="57" s="1"/>
  <c r="F67" i="46"/>
  <c r="E57" i="56" s="1"/>
  <c r="AJ89" i="47"/>
  <c r="P75" i="58" s="1"/>
  <c r="F21" i="44"/>
  <c r="E39" i="51" s="1"/>
  <c r="F44" i="44"/>
  <c r="AB90" i="47"/>
  <c r="H76" i="58" s="1"/>
  <c r="AB66" i="47"/>
  <c r="H76" i="54" s="1"/>
  <c r="AV66" i="47"/>
  <c r="H76" i="55" s="1"/>
  <c r="AU41" i="47"/>
  <c r="Q66" i="47"/>
  <c r="P76" i="56" s="1"/>
  <c r="W90" i="47"/>
  <c r="C76" i="58" s="1"/>
  <c r="W66" i="47"/>
  <c r="C76" i="54" s="1"/>
  <c r="AQ66" i="47"/>
  <c r="C76" i="55" s="1"/>
  <c r="X90" i="47"/>
  <c r="D76" i="58" s="1"/>
  <c r="X66" i="47"/>
  <c r="D76" i="54" s="1"/>
  <c r="AR66" i="47"/>
  <c r="D76" i="55" s="1"/>
  <c r="AQ42" i="44"/>
  <c r="AG42" i="44"/>
  <c r="BV69" i="44"/>
  <c r="AH42" i="44"/>
  <c r="AE42" i="44"/>
  <c r="BV68" i="44"/>
  <c r="AA42" i="46"/>
  <c r="AT42" i="44"/>
  <c r="BV62" i="44" s="1"/>
  <c r="Q43" i="46"/>
  <c r="D91" i="46"/>
  <c r="C57" i="57" s="1"/>
  <c r="D67" i="46"/>
  <c r="C57" i="56" s="1"/>
  <c r="X42" i="44"/>
  <c r="H44" i="46"/>
  <c r="H21" i="46"/>
  <c r="G59" i="51" s="1"/>
  <c r="BW44" i="46"/>
  <c r="BX67" i="46" s="1"/>
  <c r="M65" i="43"/>
  <c r="AF89" i="43" s="1"/>
  <c r="M89" i="43"/>
  <c r="F44" i="47"/>
  <c r="E78" i="53" s="1"/>
  <c r="F21" i="47"/>
  <c r="E79" i="51" s="1"/>
  <c r="I67" i="47"/>
  <c r="H77" i="56" s="1"/>
  <c r="I91" i="47"/>
  <c r="H77" i="57" s="1"/>
  <c r="AQ42" i="47"/>
  <c r="AE42" i="47"/>
  <c r="AH42" i="47"/>
  <c r="BV68" i="47"/>
  <c r="BV69" i="47"/>
  <c r="AG42" i="47"/>
  <c r="AR42" i="47"/>
  <c r="BV60" i="47" s="1"/>
  <c r="AC90" i="44"/>
  <c r="I36" i="58" s="1"/>
  <c r="AC66" i="44"/>
  <c r="I36" i="54" s="1"/>
  <c r="AW66" i="44"/>
  <c r="I36" i="55" s="1"/>
  <c r="AD90" i="44"/>
  <c r="J36" i="58" s="1"/>
  <c r="AD66" i="44"/>
  <c r="J36" i="54" s="1"/>
  <c r="AX66" i="44"/>
  <c r="J36" i="55" s="1"/>
  <c r="J65" i="43"/>
  <c r="AC89" i="43" s="1"/>
  <c r="J89" i="43"/>
  <c r="F65" i="43"/>
  <c r="Y89" i="43" s="1"/>
  <c r="F89" i="43"/>
  <c r="AG90" i="43"/>
  <c r="N90" i="43"/>
  <c r="K91" i="44"/>
  <c r="J37" i="57" s="1"/>
  <c r="CA43" i="44"/>
  <c r="AD90" i="46"/>
  <c r="J56" i="58" s="1"/>
  <c r="AD66" i="46"/>
  <c r="AX66" i="46"/>
  <c r="Y90" i="47"/>
  <c r="E76" i="58" s="1"/>
  <c r="Y66" i="47"/>
  <c r="E76" i="54" s="1"/>
  <c r="AS66" i="47"/>
  <c r="E76" i="55" s="1"/>
  <c r="AJ65" i="47"/>
  <c r="F91" i="44"/>
  <c r="E37" i="57" s="1"/>
  <c r="AJ16" i="44"/>
  <c r="AC42" i="46"/>
  <c r="Q90" i="47"/>
  <c r="P76" i="57" s="1"/>
  <c r="W90" i="44"/>
  <c r="C36" i="58" s="1"/>
  <c r="W66" i="44"/>
  <c r="C36" i="54" s="1"/>
  <c r="Q66" i="44"/>
  <c r="P36" i="56" s="1"/>
  <c r="AQ66" i="44"/>
  <c r="C36" i="55" s="1"/>
  <c r="AT42" i="46"/>
  <c r="BV62" i="46" s="1"/>
  <c r="G91" i="46"/>
  <c r="F57" i="57" s="1"/>
  <c r="G67" i="46"/>
  <c r="F57" i="56" s="1"/>
  <c r="E44" i="47"/>
  <c r="D78" i="53" s="1"/>
  <c r="E21" i="47"/>
  <c r="D79" i="51" s="1"/>
  <c r="AA42" i="44"/>
  <c r="AS42" i="47"/>
  <c r="BV61" i="47" s="1"/>
  <c r="AC90" i="47"/>
  <c r="I76" i="58" s="1"/>
  <c r="AC66" i="47"/>
  <c r="I76" i="54" s="1"/>
  <c r="AW66" i="47"/>
  <c r="I76" i="55" s="1"/>
  <c r="AJ16" i="46"/>
  <c r="AR42" i="44"/>
  <c r="BV60" i="44" s="1"/>
  <c r="H91" i="46"/>
  <c r="G57" i="57" s="1"/>
  <c r="AA67" i="46"/>
  <c r="Y66" i="46"/>
  <c r="Y90" i="46"/>
  <c r="E56" i="58" s="1"/>
  <c r="AS66" i="46"/>
  <c r="AJ65" i="46"/>
  <c r="AK65" i="46" s="1"/>
  <c r="BU58" i="46" s="1"/>
  <c r="D91" i="47"/>
  <c r="C77" i="57" s="1"/>
  <c r="D67" i="47"/>
  <c r="C77" i="56" s="1"/>
  <c r="Q43" i="47"/>
  <c r="AC90" i="46"/>
  <c r="I56" i="58" s="1"/>
  <c r="AC66" i="46"/>
  <c r="AW66" i="46"/>
  <c r="AA42" i="47"/>
  <c r="J44" i="47"/>
  <c r="I78" i="53" s="1"/>
  <c r="J21" i="47"/>
  <c r="I79" i="51" s="1"/>
  <c r="G44" i="46"/>
  <c r="F58" i="53" s="1"/>
  <c r="G21" i="46"/>
  <c r="F59" i="51" s="1"/>
  <c r="E91" i="47"/>
  <c r="D77" i="57" s="1"/>
  <c r="E67" i="47"/>
  <c r="D77" i="56" s="1"/>
  <c r="Z42" i="47"/>
  <c r="AI40" i="46"/>
  <c r="P88" i="46"/>
  <c r="O54" i="57" s="1"/>
  <c r="G91" i="47"/>
  <c r="F77" i="57" s="1"/>
  <c r="G67" i="47"/>
  <c r="F77" i="56" s="1"/>
  <c r="X90" i="44"/>
  <c r="D36" i="58" s="1"/>
  <c r="X66" i="44"/>
  <c r="D36" i="54" s="1"/>
  <c r="AR66" i="44"/>
  <c r="D36" i="55" s="1"/>
  <c r="AE90" i="43"/>
  <c r="L90" i="43"/>
  <c r="G91" i="44"/>
  <c r="F37" i="57" s="1"/>
  <c r="P88" i="44"/>
  <c r="O34" i="57" s="1"/>
  <c r="AI40" i="44"/>
  <c r="AB90" i="44"/>
  <c r="H36" i="58" s="1"/>
  <c r="AB66" i="44"/>
  <c r="H36" i="54" s="1"/>
  <c r="AV66" i="44"/>
  <c r="H36" i="55" s="1"/>
  <c r="M44" i="46"/>
  <c r="L58" i="53" s="1"/>
  <c r="M21" i="46"/>
  <c r="L59" i="51" s="1"/>
  <c r="AQ42" i="46"/>
  <c r="AG42" i="46"/>
  <c r="BV69" i="46"/>
  <c r="BV68" i="46"/>
  <c r="AH42" i="46"/>
  <c r="AE42" i="46"/>
  <c r="M44" i="44"/>
  <c r="M21" i="44"/>
  <c r="L39" i="51" s="1"/>
  <c r="AJ89" i="46"/>
  <c r="P55" i="58" s="1"/>
  <c r="AF90" i="47"/>
  <c r="L76" i="58" s="1"/>
  <c r="AF66" i="47"/>
  <c r="L76" i="54" s="1"/>
  <c r="AZ66" i="47"/>
  <c r="L76" i="55" s="1"/>
  <c r="G44" i="44"/>
  <c r="G21" i="44"/>
  <c r="F39" i="51" s="1"/>
  <c r="I91" i="46"/>
  <c r="H57" i="57" s="1"/>
  <c r="I67" i="46"/>
  <c r="H57" i="56" s="1"/>
  <c r="AT42" i="47"/>
  <c r="BV62" i="47" s="1"/>
  <c r="AA90" i="46"/>
  <c r="G56" i="58" s="1"/>
  <c r="AU66" i="46"/>
  <c r="J91" i="47"/>
  <c r="I77" i="57" s="1"/>
  <c r="J67" i="47"/>
  <c r="I77" i="56" s="1"/>
  <c r="AJ41" i="46"/>
  <c r="Z90" i="47"/>
  <c r="F76" i="58" s="1"/>
  <c r="Z66" i="47"/>
  <c r="F76" i="54" s="1"/>
  <c r="AT66" i="47"/>
  <c r="F76" i="55" s="1"/>
  <c r="E44" i="44"/>
  <c r="E21" i="44"/>
  <c r="D39" i="51" s="1"/>
  <c r="AD42" i="47"/>
  <c r="H44" i="44"/>
  <c r="H21" i="44"/>
  <c r="G39" i="51" s="1"/>
  <c r="BW44" i="44"/>
  <c r="BX67" i="44" s="1"/>
  <c r="G44" i="47"/>
  <c r="F78" i="53" s="1"/>
  <c r="G21" i="47"/>
  <c r="F79" i="51" s="1"/>
  <c r="M67" i="46"/>
  <c r="L57" i="56" s="1"/>
  <c r="M91" i="46"/>
  <c r="L57" i="57" s="1"/>
  <c r="K44" i="47"/>
  <c r="K21" i="47"/>
  <c r="J79" i="51" s="1"/>
  <c r="W90" i="46"/>
  <c r="C56" i="58" s="1"/>
  <c r="W66" i="46"/>
  <c r="Q66" i="46"/>
  <c r="P56" i="56" s="1"/>
  <c r="AQ66" i="46"/>
  <c r="M91" i="44"/>
  <c r="L37" i="57" s="1"/>
  <c r="J44" i="46"/>
  <c r="I58" i="53" s="1"/>
  <c r="J21" i="46"/>
  <c r="I59" i="51" s="1"/>
  <c r="I44" i="46"/>
  <c r="H58" i="53" s="1"/>
  <c r="I21" i="46"/>
  <c r="H59" i="51" s="1"/>
  <c r="H44" i="47"/>
  <c r="G78" i="53" s="1"/>
  <c r="H21" i="47"/>
  <c r="G79" i="51" s="1"/>
  <c r="BW44" i="47"/>
  <c r="BX67" i="47" s="1"/>
  <c r="AA90" i="47"/>
  <c r="G76" i="58" s="1"/>
  <c r="AU66" i="47"/>
  <c r="G76" i="55" s="1"/>
  <c r="I44" i="44"/>
  <c r="I21" i="44"/>
  <c r="H39" i="51" s="1"/>
  <c r="AA90" i="44"/>
  <c r="G36" i="58" s="1"/>
  <c r="AU66" i="44"/>
  <c r="G36" i="55" s="1"/>
  <c r="E91" i="44"/>
  <c r="D37" i="57" s="1"/>
  <c r="AD42" i="44"/>
  <c r="Z90" i="46"/>
  <c r="F56" i="58" s="1"/>
  <c r="Z66" i="46"/>
  <c r="AT66" i="46"/>
  <c r="BJ18" i="47"/>
  <c r="BK18" i="47" s="1"/>
  <c r="BL18" i="47" s="1"/>
  <c r="P18" i="47" s="1"/>
  <c r="O76" i="51" s="1"/>
  <c r="H91" i="44"/>
  <c r="G37" i="57" s="1"/>
  <c r="AA67" i="44"/>
  <c r="G37" i="54" s="1"/>
  <c r="E65" i="43"/>
  <c r="X89" i="43" s="1"/>
  <c r="E89" i="43"/>
  <c r="I65" i="43"/>
  <c r="AB89" i="43" s="1"/>
  <c r="I89" i="43"/>
  <c r="CA43" i="47"/>
  <c r="K91" i="47"/>
  <c r="J77" i="57" s="1"/>
  <c r="Q90" i="46"/>
  <c r="P56" i="57" s="1"/>
  <c r="Z90" i="44"/>
  <c r="F36" i="58" s="1"/>
  <c r="Z66" i="44"/>
  <c r="F36" i="54" s="1"/>
  <c r="AT66" i="44"/>
  <c r="F36" i="55" s="1"/>
  <c r="K44" i="46"/>
  <c r="K21" i="46"/>
  <c r="J59" i="51" s="1"/>
  <c r="P41" i="46"/>
  <c r="O55" i="53" s="1"/>
  <c r="AI17" i="46"/>
  <c r="BO41" i="46"/>
  <c r="BU64" i="46" s="1"/>
  <c r="BU41" i="46"/>
  <c r="BU66" i="46" s="1"/>
  <c r="J91" i="46"/>
  <c r="I57" i="57" s="1"/>
  <c r="J67" i="46"/>
  <c r="I57" i="56" s="1"/>
  <c r="D91" i="44"/>
  <c r="C37" i="57" s="1"/>
  <c r="C17" i="57" s="1"/>
  <c r="Q43" i="44"/>
  <c r="H67" i="47"/>
  <c r="G77" i="56" s="1"/>
  <c r="AA67" i="47"/>
  <c r="G77" i="54" s="1"/>
  <c r="H91" i="47"/>
  <c r="G77" i="57" s="1"/>
  <c r="J44" i="44"/>
  <c r="J21" i="44"/>
  <c r="I39" i="51" s="1"/>
  <c r="AU41" i="46"/>
  <c r="BU59" i="46"/>
  <c r="I91" i="44"/>
  <c r="H37" i="57" s="1"/>
  <c r="X42" i="46"/>
  <c r="BJ18" i="44"/>
  <c r="BK18" i="44" s="1"/>
  <c r="BL18" i="44" s="1"/>
  <c r="P18" i="44" s="1"/>
  <c r="O36" i="51" s="1"/>
  <c r="O16" i="51" s="1"/>
  <c r="P41" i="47"/>
  <c r="O75" i="53" s="1"/>
  <c r="AI17" i="47"/>
  <c r="BO41" i="47"/>
  <c r="BU64" i="47" s="1"/>
  <c r="BU41" i="47"/>
  <c r="BU66" i="47" s="1"/>
  <c r="G65" i="43"/>
  <c r="Z89" i="43" s="1"/>
  <c r="G89" i="43"/>
  <c r="O66" i="43"/>
  <c r="AH90" i="43" s="1"/>
  <c r="O90" i="43"/>
  <c r="AF90" i="46"/>
  <c r="L56" i="58" s="1"/>
  <c r="AF66" i="46"/>
  <c r="AZ66" i="46"/>
  <c r="M44" i="47"/>
  <c r="L78" i="53" s="1"/>
  <c r="M21" i="47"/>
  <c r="L79" i="51" s="1"/>
  <c r="K91" i="46"/>
  <c r="J57" i="57" s="1"/>
  <c r="CA43" i="46"/>
  <c r="AB42" i="47"/>
  <c r="BR44" i="44"/>
  <c r="BX65" i="44" s="1"/>
  <c r="D44" i="44"/>
  <c r="Q20" i="44"/>
  <c r="P38" i="51" s="1"/>
  <c r="D21" i="44"/>
  <c r="C39" i="51" s="1"/>
  <c r="F91" i="47"/>
  <c r="E77" i="57" s="1"/>
  <c r="F67" i="47"/>
  <c r="E77" i="56" s="1"/>
  <c r="I44" i="47"/>
  <c r="H78" i="53" s="1"/>
  <c r="I21" i="47"/>
  <c r="H79" i="51" s="1"/>
  <c r="W42" i="47"/>
  <c r="J91" i="44"/>
  <c r="I37" i="57" s="1"/>
  <c r="X42" i="47"/>
  <c r="BS55" i="47"/>
  <c r="BS63" i="47"/>
  <c r="AR42" i="46"/>
  <c r="BV60" i="46" s="1"/>
  <c r="AD90" i="47"/>
  <c r="J76" i="58" s="1"/>
  <c r="AD66" i="47"/>
  <c r="J76" i="54" s="1"/>
  <c r="AX66" i="47"/>
  <c r="J76" i="55" s="1"/>
  <c r="Q20" i="46"/>
  <c r="P58" i="51" s="1"/>
  <c r="D44" i="46"/>
  <c r="C58" i="53" s="1"/>
  <c r="BR44" i="46"/>
  <c r="BX65" i="46" s="1"/>
  <c r="D21" i="46"/>
  <c r="C59" i="51" s="1"/>
  <c r="E67" i="46"/>
  <c r="D57" i="56" s="1"/>
  <c r="E91" i="46"/>
  <c r="D57" i="57" s="1"/>
  <c r="BA47" i="47"/>
  <c r="BA47" i="46"/>
  <c r="BW42" i="43"/>
  <c r="BV67" i="43" s="1"/>
  <c r="AD89" i="43"/>
  <c r="CA41" i="43"/>
  <c r="BA40" i="43"/>
  <c r="AA65" i="43"/>
  <c r="AA89" i="43"/>
  <c r="J19" i="43"/>
  <c r="J42" i="43"/>
  <c r="F19" i="43"/>
  <c r="F42" i="43"/>
  <c r="N20" i="43"/>
  <c r="N43" i="43"/>
  <c r="N67" i="43" s="1"/>
  <c r="BQ47" i="43"/>
  <c r="BT47" i="43"/>
  <c r="L20" i="43"/>
  <c r="L43" i="43"/>
  <c r="L67" i="43" s="1"/>
  <c r="BQ46" i="43"/>
  <c r="BT46" i="43"/>
  <c r="E19" i="43"/>
  <c r="E42" i="43"/>
  <c r="H19" i="43"/>
  <c r="H42" i="43"/>
  <c r="H66" i="43" s="1"/>
  <c r="K19" i="43"/>
  <c r="K42" i="43"/>
  <c r="K66" i="43" s="1"/>
  <c r="M19" i="43"/>
  <c r="M42" i="43"/>
  <c r="G19" i="43"/>
  <c r="G42" i="43"/>
  <c r="I19" i="43"/>
  <c r="I42" i="43"/>
  <c r="O20" i="43"/>
  <c r="O43" i="43"/>
  <c r="AG65" i="43"/>
  <c r="BA65" i="43"/>
  <c r="AD64" i="43"/>
  <c r="AX64" i="43"/>
  <c r="AE65" i="43"/>
  <c r="AY65" i="43"/>
  <c r="AH65" i="43"/>
  <c r="BB65" i="43"/>
  <c r="Y64" i="43"/>
  <c r="AS64" i="43"/>
  <c r="AF64" i="43"/>
  <c r="AZ64" i="43"/>
  <c r="X64" i="43"/>
  <c r="AR64" i="43"/>
  <c r="AC64" i="43"/>
  <c r="AW64" i="43"/>
  <c r="AB64" i="43"/>
  <c r="AV64" i="43"/>
  <c r="Z64" i="43"/>
  <c r="AT64" i="43"/>
  <c r="AU64" i="43"/>
  <c r="AU17" i="43"/>
  <c r="AY18" i="43"/>
  <c r="AZ18" i="43"/>
  <c r="AW18" i="43"/>
  <c r="AX18" i="43"/>
  <c r="H16" i="58" l="1"/>
  <c r="P11" i="55"/>
  <c r="P16" i="56"/>
  <c r="P15" i="58"/>
  <c r="C17" i="56"/>
  <c r="E19" i="51"/>
  <c r="BS63" i="46"/>
  <c r="H17" i="57"/>
  <c r="J16" i="58"/>
  <c r="D16" i="58"/>
  <c r="C16" i="58"/>
  <c r="O12" i="55"/>
  <c r="C19" i="51"/>
  <c r="L17" i="57"/>
  <c r="D17" i="57"/>
  <c r="K68" i="46"/>
  <c r="J58" i="56" s="1"/>
  <c r="J58" i="53"/>
  <c r="E16" i="58"/>
  <c r="P18" i="51"/>
  <c r="L56" i="55"/>
  <c r="L16" i="55" s="1"/>
  <c r="L56" i="54"/>
  <c r="I19" i="51"/>
  <c r="C56" i="55"/>
  <c r="C16" i="55" s="1"/>
  <c r="C56" i="54"/>
  <c r="C16" i="54" s="1"/>
  <c r="J56" i="55"/>
  <c r="J16" i="55" s="1"/>
  <c r="J56" i="54"/>
  <c r="J16" i="54" s="1"/>
  <c r="I16" i="58"/>
  <c r="H68" i="46"/>
  <c r="G58" i="56" s="1"/>
  <c r="G58" i="53"/>
  <c r="F68" i="44"/>
  <c r="E38" i="56" s="1"/>
  <c r="E38" i="53"/>
  <c r="E18" i="53" s="1"/>
  <c r="L16" i="58"/>
  <c r="I17" i="56"/>
  <c r="J17" i="53"/>
  <c r="E68" i="44"/>
  <c r="D38" i="56" s="1"/>
  <c r="D38" i="53"/>
  <c r="D18" i="53" s="1"/>
  <c r="BD71" i="48"/>
  <c r="P101" i="55" s="1"/>
  <c r="O101" i="55"/>
  <c r="BZ55" i="48"/>
  <c r="P100" i="55"/>
  <c r="I17" i="57"/>
  <c r="J68" i="44"/>
  <c r="I38" i="56" s="1"/>
  <c r="I38" i="53"/>
  <c r="I18" i="53" s="1"/>
  <c r="L19" i="51"/>
  <c r="K68" i="44"/>
  <c r="J38" i="56" s="1"/>
  <c r="J38" i="53"/>
  <c r="BD63" i="44"/>
  <c r="O33" i="55"/>
  <c r="O13" i="55" s="1"/>
  <c r="E17" i="56"/>
  <c r="J17" i="56"/>
  <c r="AS43" i="44"/>
  <c r="BW61" i="44" s="1"/>
  <c r="P37" i="53"/>
  <c r="L16" i="54"/>
  <c r="D68" i="44"/>
  <c r="C38" i="56" s="1"/>
  <c r="C38" i="53"/>
  <c r="C18" i="53" s="1"/>
  <c r="F16" i="58"/>
  <c r="M68" i="44"/>
  <c r="L38" i="56" s="1"/>
  <c r="L38" i="53"/>
  <c r="L18" i="53" s="1"/>
  <c r="F17" i="57"/>
  <c r="J19" i="51"/>
  <c r="G17" i="53"/>
  <c r="P16" i="53"/>
  <c r="F56" i="55"/>
  <c r="F16" i="55" s="1"/>
  <c r="F56" i="54"/>
  <c r="F16" i="54" s="1"/>
  <c r="G16" i="58"/>
  <c r="G19" i="51"/>
  <c r="E56" i="54"/>
  <c r="E16" i="54" s="1"/>
  <c r="E56" i="55"/>
  <c r="E16" i="55" s="1"/>
  <c r="E17" i="57"/>
  <c r="H56" i="55"/>
  <c r="H16" i="55" s="1"/>
  <c r="H56" i="54"/>
  <c r="H16" i="54" s="1"/>
  <c r="AK65" i="44"/>
  <c r="BU58" i="44" s="1"/>
  <c r="P35" i="54"/>
  <c r="AI41" i="44"/>
  <c r="O35" i="53"/>
  <c r="O15" i="53" s="1"/>
  <c r="BD70" i="49"/>
  <c r="P120" i="55" s="1"/>
  <c r="O120" i="55"/>
  <c r="G17" i="56"/>
  <c r="X43" i="47"/>
  <c r="P77" i="53"/>
  <c r="G17" i="57"/>
  <c r="F19" i="51"/>
  <c r="BR55" i="47"/>
  <c r="H19" i="51"/>
  <c r="H68" i="44"/>
  <c r="G38" i="56" s="1"/>
  <c r="G38" i="53"/>
  <c r="G68" i="44"/>
  <c r="F38" i="56" s="1"/>
  <c r="F38" i="53"/>
  <c r="F18" i="53" s="1"/>
  <c r="BR63" i="47"/>
  <c r="I56" i="55"/>
  <c r="I16" i="55" s="1"/>
  <c r="I56" i="54"/>
  <c r="I16" i="54" s="1"/>
  <c r="AK65" i="47"/>
  <c r="BU58" i="47" s="1"/>
  <c r="P75" i="54"/>
  <c r="J17" i="57"/>
  <c r="AS43" i="46"/>
  <c r="BW61" i="46" s="1"/>
  <c r="P57" i="53"/>
  <c r="P16" i="57"/>
  <c r="I68" i="44"/>
  <c r="H38" i="56" s="1"/>
  <c r="H38" i="53"/>
  <c r="H18" i="53" s="1"/>
  <c r="K68" i="47"/>
  <c r="J78" i="56" s="1"/>
  <c r="J78" i="53"/>
  <c r="D56" i="55"/>
  <c r="D16" i="55" s="1"/>
  <c r="D56" i="54"/>
  <c r="F17" i="56"/>
  <c r="H17" i="56"/>
  <c r="P53" i="55"/>
  <c r="P53" i="54"/>
  <c r="P13" i="54" s="1"/>
  <c r="D19" i="51"/>
  <c r="G56" i="55"/>
  <c r="G16" i="55" s="1"/>
  <c r="G56" i="54"/>
  <c r="G16" i="54" s="1"/>
  <c r="D16" i="54"/>
  <c r="P88" i="47"/>
  <c r="O74" i="57" s="1"/>
  <c r="O14" i="57" s="1"/>
  <c r="O74" i="56"/>
  <c r="O14" i="56" s="1"/>
  <c r="D17" i="56"/>
  <c r="L17" i="56"/>
  <c r="BR63" i="46"/>
  <c r="P52" i="55"/>
  <c r="P12" i="55" s="1"/>
  <c r="P52" i="54"/>
  <c r="P12" i="54" s="1"/>
  <c r="BC71" i="49"/>
  <c r="BC71" i="50"/>
  <c r="AV18" i="43"/>
  <c r="BA19" i="43"/>
  <c r="K90" i="43"/>
  <c r="H90" i="43"/>
  <c r="BD17" i="43"/>
  <c r="BX44" i="43"/>
  <c r="P89" i="44"/>
  <c r="O35" i="57" s="1"/>
  <c r="BS55" i="44"/>
  <c r="AD43" i="46"/>
  <c r="BC64" i="47"/>
  <c r="AC43" i="44"/>
  <c r="Y43" i="47"/>
  <c r="AF43" i="46"/>
  <c r="W43" i="44"/>
  <c r="AQ43" i="44"/>
  <c r="BW59" i="44" s="1"/>
  <c r="AT43" i="44"/>
  <c r="BW62" i="44" s="1"/>
  <c r="AJ42" i="46"/>
  <c r="AR43" i="47"/>
  <c r="BW60" i="47" s="1"/>
  <c r="AR43" i="46"/>
  <c r="BW60" i="46" s="1"/>
  <c r="BC64" i="44"/>
  <c r="BJ19" i="47"/>
  <c r="BK19" i="47" s="1"/>
  <c r="BL19" i="47" s="1"/>
  <c r="P19" i="47" s="1"/>
  <c r="AT43" i="47"/>
  <c r="BW62" i="47" s="1"/>
  <c r="AA43" i="44"/>
  <c r="AR43" i="44"/>
  <c r="BW60" i="44" s="1"/>
  <c r="AF43" i="44"/>
  <c r="Z43" i="44"/>
  <c r="AD43" i="44"/>
  <c r="AJ42" i="44"/>
  <c r="AB43" i="44"/>
  <c r="AC91" i="46"/>
  <c r="I57" i="58" s="1"/>
  <c r="AC67" i="46"/>
  <c r="AW67" i="46"/>
  <c r="H45" i="44"/>
  <c r="H22" i="44"/>
  <c r="G40" i="51" s="1"/>
  <c r="BW45" i="44"/>
  <c r="BY67" i="44" s="1"/>
  <c r="J45" i="47"/>
  <c r="I79" i="53" s="1"/>
  <c r="J22" i="47"/>
  <c r="I80" i="51" s="1"/>
  <c r="BW68" i="46"/>
  <c r="AH43" i="46"/>
  <c r="AE43" i="46"/>
  <c r="BW69" i="46"/>
  <c r="AG43" i="46"/>
  <c r="BV59" i="44"/>
  <c r="AU42" i="44"/>
  <c r="Y43" i="46"/>
  <c r="O67" i="43"/>
  <c r="AH91" i="43" s="1"/>
  <c r="O91" i="43"/>
  <c r="AE91" i="43"/>
  <c r="L91" i="43"/>
  <c r="J66" i="43"/>
  <c r="AC90" i="43" s="1"/>
  <c r="J90" i="43"/>
  <c r="I22" i="47"/>
  <c r="H80" i="51" s="1"/>
  <c r="I45" i="47"/>
  <c r="H79" i="53" s="1"/>
  <c r="AJ17" i="47"/>
  <c r="AA91" i="47"/>
  <c r="G77" i="58" s="1"/>
  <c r="AU67" i="47"/>
  <c r="G77" i="55" s="1"/>
  <c r="K45" i="46"/>
  <c r="K22" i="46"/>
  <c r="J60" i="51" s="1"/>
  <c r="I92" i="44"/>
  <c r="H38" i="57" s="1"/>
  <c r="I45" i="46"/>
  <c r="H59" i="53" s="1"/>
  <c r="I22" i="46"/>
  <c r="H60" i="51" s="1"/>
  <c r="H92" i="44"/>
  <c r="G38" i="57" s="1"/>
  <c r="AA68" i="44"/>
  <c r="G38" i="54" s="1"/>
  <c r="AB43" i="46"/>
  <c r="M45" i="46"/>
  <c r="L59" i="53" s="1"/>
  <c r="M22" i="46"/>
  <c r="L60" i="51" s="1"/>
  <c r="Z43" i="47"/>
  <c r="J92" i="47"/>
  <c r="I78" i="57" s="1"/>
  <c r="J68" i="47"/>
  <c r="I78" i="56" s="1"/>
  <c r="W67" i="47"/>
  <c r="C77" i="54" s="1"/>
  <c r="W91" i="47"/>
  <c r="C77" i="58" s="1"/>
  <c r="Q67" i="47"/>
  <c r="P77" i="56" s="1"/>
  <c r="AQ67" i="47"/>
  <c r="C77" i="55" s="1"/>
  <c r="Z43" i="46"/>
  <c r="AB67" i="47"/>
  <c r="H77" i="54" s="1"/>
  <c r="AB91" i="47"/>
  <c r="H77" i="58" s="1"/>
  <c r="AV67" i="47"/>
  <c r="H77" i="55" s="1"/>
  <c r="BW45" i="46"/>
  <c r="BY67" i="46" s="1"/>
  <c r="H45" i="46"/>
  <c r="H22" i="46"/>
  <c r="G60" i="51" s="1"/>
  <c r="Y91" i="46"/>
  <c r="E57" i="58" s="1"/>
  <c r="Y67" i="46"/>
  <c r="AS67" i="46"/>
  <c r="K45" i="44"/>
  <c r="K22" i="44"/>
  <c r="J40" i="51" s="1"/>
  <c r="D45" i="44"/>
  <c r="BR45" i="44"/>
  <c r="BY65" i="44" s="1"/>
  <c r="D22" i="44"/>
  <c r="C40" i="51" s="1"/>
  <c r="Q21" i="44"/>
  <c r="P39" i="51" s="1"/>
  <c r="I45" i="44"/>
  <c r="I22" i="44"/>
  <c r="H40" i="51" s="1"/>
  <c r="AE43" i="47"/>
  <c r="AH43" i="47"/>
  <c r="AG43" i="47"/>
  <c r="BW68" i="47"/>
  <c r="BW69" i="47"/>
  <c r="AJ90" i="44"/>
  <c r="P36" i="58" s="1"/>
  <c r="K92" i="44"/>
  <c r="J38" i="57" s="1"/>
  <c r="CA44" i="44"/>
  <c r="X43" i="46"/>
  <c r="D92" i="46"/>
  <c r="C58" i="57" s="1"/>
  <c r="D68" i="46"/>
  <c r="C58" i="56" s="1"/>
  <c r="Q44" i="46"/>
  <c r="I92" i="47"/>
  <c r="H78" i="57" s="1"/>
  <c r="I68" i="47"/>
  <c r="H78" i="56" s="1"/>
  <c r="Q44" i="44"/>
  <c r="D92" i="44"/>
  <c r="C38" i="57" s="1"/>
  <c r="P65" i="47"/>
  <c r="AI41" i="47"/>
  <c r="K92" i="46"/>
  <c r="J58" i="57" s="1"/>
  <c r="CA44" i="46"/>
  <c r="AA91" i="44"/>
  <c r="G37" i="58" s="1"/>
  <c r="AU67" i="44"/>
  <c r="G37" i="55" s="1"/>
  <c r="I92" i="46"/>
  <c r="H58" i="57" s="1"/>
  <c r="I68" i="46"/>
  <c r="H58" i="56" s="1"/>
  <c r="AF91" i="46"/>
  <c r="L57" i="58" s="1"/>
  <c r="AF67" i="46"/>
  <c r="AZ67" i="46"/>
  <c r="AB91" i="46"/>
  <c r="H57" i="58" s="1"/>
  <c r="AB67" i="46"/>
  <c r="AV67" i="46"/>
  <c r="M92" i="46"/>
  <c r="L58" i="57" s="1"/>
  <c r="M68" i="46"/>
  <c r="L58" i="56" s="1"/>
  <c r="Z91" i="44"/>
  <c r="F37" i="58" s="1"/>
  <c r="Z67" i="44"/>
  <c r="F37" i="54" s="1"/>
  <c r="AT67" i="44"/>
  <c r="F37" i="55" s="1"/>
  <c r="AS43" i="47"/>
  <c r="BW61" i="47" s="1"/>
  <c r="X91" i="47"/>
  <c r="D77" i="58" s="1"/>
  <c r="X67" i="47"/>
  <c r="D77" i="54" s="1"/>
  <c r="AR67" i="47"/>
  <c r="D77" i="55" s="1"/>
  <c r="Q91" i="47"/>
  <c r="P77" i="57" s="1"/>
  <c r="AA43" i="46"/>
  <c r="Z91" i="46"/>
  <c r="F57" i="58" s="1"/>
  <c r="Z67" i="46"/>
  <c r="AT67" i="46"/>
  <c r="AD91" i="44"/>
  <c r="J37" i="58" s="1"/>
  <c r="AD67" i="44"/>
  <c r="J37" i="54" s="1"/>
  <c r="AX67" i="44"/>
  <c r="J37" i="55" s="1"/>
  <c r="H92" i="46"/>
  <c r="G58" i="57" s="1"/>
  <c r="AA68" i="46"/>
  <c r="D45" i="46"/>
  <c r="C59" i="53" s="1"/>
  <c r="BR45" i="46"/>
  <c r="BY65" i="46" s="1"/>
  <c r="Q21" i="46"/>
  <c r="P59" i="51" s="1"/>
  <c r="D22" i="46"/>
  <c r="C60" i="51" s="1"/>
  <c r="AD91" i="46"/>
  <c r="J57" i="58" s="1"/>
  <c r="AD67" i="46"/>
  <c r="AX67" i="46"/>
  <c r="P42" i="44"/>
  <c r="O36" i="53" s="1"/>
  <c r="AI18" i="44"/>
  <c r="BO42" i="44"/>
  <c r="BV64" i="44" s="1"/>
  <c r="BU42" i="44"/>
  <c r="BV66" i="44" s="1"/>
  <c r="J22" i="44"/>
  <c r="I40" i="51" s="1"/>
  <c r="J45" i="44"/>
  <c r="AD91" i="47"/>
  <c r="J77" i="58" s="1"/>
  <c r="AD67" i="47"/>
  <c r="J77" i="54" s="1"/>
  <c r="AX67" i="47"/>
  <c r="J77" i="55" s="1"/>
  <c r="X91" i="44"/>
  <c r="D37" i="58" s="1"/>
  <c r="X67" i="44"/>
  <c r="D37" i="54" s="1"/>
  <c r="AR67" i="44"/>
  <c r="D37" i="55" s="1"/>
  <c r="AJ66" i="46"/>
  <c r="AK66" i="46" s="1"/>
  <c r="BV58" i="46" s="1"/>
  <c r="AA91" i="46"/>
  <c r="G57" i="58" s="1"/>
  <c r="AU67" i="46"/>
  <c r="F45" i="47"/>
  <c r="E79" i="53" s="1"/>
  <c r="F22" i="47"/>
  <c r="E80" i="51" s="1"/>
  <c r="AC43" i="47"/>
  <c r="Z91" i="47"/>
  <c r="F77" i="58" s="1"/>
  <c r="Z67" i="47"/>
  <c r="F77" i="54" s="1"/>
  <c r="AT67" i="47"/>
  <c r="F77" i="55" s="1"/>
  <c r="Y91" i="47"/>
  <c r="E77" i="58" s="1"/>
  <c r="Y67" i="47"/>
  <c r="E77" i="54" s="1"/>
  <c r="AS67" i="47"/>
  <c r="E77" i="55" s="1"/>
  <c r="J92" i="44"/>
  <c r="I38" i="57" s="1"/>
  <c r="X43" i="44"/>
  <c r="BW69" i="44"/>
  <c r="BW68" i="44"/>
  <c r="AH43" i="44"/>
  <c r="AE43" i="44"/>
  <c r="AG43" i="44"/>
  <c r="AJ17" i="46"/>
  <c r="J45" i="46"/>
  <c r="I59" i="53" s="1"/>
  <c r="J22" i="46"/>
  <c r="I60" i="51" s="1"/>
  <c r="AJ90" i="46"/>
  <c r="P56" i="58" s="1"/>
  <c r="G45" i="47"/>
  <c r="F79" i="53" s="1"/>
  <c r="G22" i="47"/>
  <c r="F80" i="51" s="1"/>
  <c r="AC67" i="47"/>
  <c r="I77" i="54" s="1"/>
  <c r="AC91" i="47"/>
  <c r="I77" i="58" s="1"/>
  <c r="AW67" i="47"/>
  <c r="I77" i="55" s="1"/>
  <c r="M45" i="44"/>
  <c r="M22" i="44"/>
  <c r="L40" i="51" s="1"/>
  <c r="F92" i="47"/>
  <c r="E78" i="57" s="1"/>
  <c r="F68" i="47"/>
  <c r="E78" i="56" s="1"/>
  <c r="AQ43" i="46"/>
  <c r="E45" i="46"/>
  <c r="D59" i="53" s="1"/>
  <c r="E22" i="46"/>
  <c r="D60" i="51" s="1"/>
  <c r="Q44" i="47"/>
  <c r="D92" i="47"/>
  <c r="C78" i="57" s="1"/>
  <c r="D68" i="47"/>
  <c r="C78" i="56" s="1"/>
  <c r="I66" i="43"/>
  <c r="AB90" i="43" s="1"/>
  <c r="I90" i="43"/>
  <c r="G66" i="43"/>
  <c r="Z90" i="43" s="1"/>
  <c r="G90" i="43"/>
  <c r="E66" i="43"/>
  <c r="X90" i="43" s="1"/>
  <c r="E90" i="43"/>
  <c r="AG91" i="43"/>
  <c r="N91" i="43"/>
  <c r="X91" i="46"/>
  <c r="D57" i="58" s="1"/>
  <c r="X67" i="46"/>
  <c r="AR67" i="46"/>
  <c r="M22" i="47"/>
  <c r="L80" i="51" s="1"/>
  <c r="M45" i="47"/>
  <c r="L79" i="53" s="1"/>
  <c r="AA43" i="47"/>
  <c r="W91" i="44"/>
  <c r="C37" i="58" s="1"/>
  <c r="Q67" i="44"/>
  <c r="P37" i="56" s="1"/>
  <c r="W67" i="44"/>
  <c r="C37" i="54" s="1"/>
  <c r="AQ67" i="44"/>
  <c r="C37" i="55" s="1"/>
  <c r="P89" i="46"/>
  <c r="O55" i="57" s="1"/>
  <c r="AI41" i="46"/>
  <c r="P42" i="47"/>
  <c r="O76" i="53" s="1"/>
  <c r="AI18" i="47"/>
  <c r="BU42" i="47"/>
  <c r="BV66" i="47" s="1"/>
  <c r="BO42" i="47"/>
  <c r="BV64" i="47" s="1"/>
  <c r="J92" i="46"/>
  <c r="I58" i="57" s="1"/>
  <c r="J68" i="46"/>
  <c r="I58" i="56" s="1"/>
  <c r="G92" i="47"/>
  <c r="F78" i="57" s="1"/>
  <c r="G68" i="47"/>
  <c r="F78" i="56" s="1"/>
  <c r="E45" i="44"/>
  <c r="E22" i="44"/>
  <c r="D40" i="51" s="1"/>
  <c r="G22" i="44"/>
  <c r="F40" i="51" s="1"/>
  <c r="G45" i="44"/>
  <c r="M92" i="44"/>
  <c r="L38" i="57" s="1"/>
  <c r="G22" i="46"/>
  <c r="F60" i="51" s="1"/>
  <c r="G45" i="46"/>
  <c r="F59" i="53" s="1"/>
  <c r="BC64" i="46"/>
  <c r="Y43" i="44"/>
  <c r="W43" i="46"/>
  <c r="AJ66" i="47"/>
  <c r="F92" i="44"/>
  <c r="E38" i="57" s="1"/>
  <c r="E92" i="46"/>
  <c r="D58" i="57" s="1"/>
  <c r="E68" i="46"/>
  <c r="D58" i="56" s="1"/>
  <c r="D22" i="47"/>
  <c r="C80" i="51" s="1"/>
  <c r="D45" i="47"/>
  <c r="C79" i="53" s="1"/>
  <c r="BR45" i="47"/>
  <c r="BY65" i="47" s="1"/>
  <c r="Q21" i="47"/>
  <c r="P79" i="51" s="1"/>
  <c r="F45" i="46"/>
  <c r="E59" i="53" s="1"/>
  <c r="F22" i="46"/>
  <c r="E60" i="51" s="1"/>
  <c r="AF43" i="47"/>
  <c r="AC91" i="44"/>
  <c r="I37" i="58" s="1"/>
  <c r="AC67" i="44"/>
  <c r="I37" i="54" s="1"/>
  <c r="AW67" i="44"/>
  <c r="I37" i="55" s="1"/>
  <c r="M92" i="47"/>
  <c r="L78" i="57" s="1"/>
  <c r="M68" i="47"/>
  <c r="L78" i="56" s="1"/>
  <c r="Q91" i="44"/>
  <c r="P37" i="57" s="1"/>
  <c r="H22" i="47"/>
  <c r="G80" i="51" s="1"/>
  <c r="H45" i="47"/>
  <c r="G79" i="53" s="1"/>
  <c r="BW45" i="47"/>
  <c r="BY67" i="47" s="1"/>
  <c r="K22" i="47"/>
  <c r="J80" i="51" s="1"/>
  <c r="K45" i="47"/>
  <c r="E92" i="44"/>
  <c r="D38" i="57" s="1"/>
  <c r="G92" i="44"/>
  <c r="F38" i="57" s="1"/>
  <c r="G92" i="46"/>
  <c r="F58" i="57" s="1"/>
  <c r="G68" i="46"/>
  <c r="F58" i="56" s="1"/>
  <c r="W43" i="47"/>
  <c r="E22" i="47"/>
  <c r="D80" i="51" s="1"/>
  <c r="E45" i="47"/>
  <c r="D79" i="53" s="1"/>
  <c r="Y67" i="44"/>
  <c r="E37" i="54" s="1"/>
  <c r="Y91" i="44"/>
  <c r="E37" i="58" s="1"/>
  <c r="AS67" i="44"/>
  <c r="E37" i="55" s="1"/>
  <c r="AU42" i="47"/>
  <c r="BV59" i="47"/>
  <c r="W67" i="46"/>
  <c r="Q67" i="46"/>
  <c r="P57" i="56" s="1"/>
  <c r="W91" i="46"/>
  <c r="C57" i="58" s="1"/>
  <c r="AQ67" i="46"/>
  <c r="AJ90" i="47"/>
  <c r="P76" i="58" s="1"/>
  <c r="F45" i="44"/>
  <c r="F22" i="44"/>
  <c r="E40" i="51" s="1"/>
  <c r="AI18" i="46"/>
  <c r="P42" i="46"/>
  <c r="O56" i="53" s="1"/>
  <c r="BU42" i="46"/>
  <c r="BV66" i="46" s="1"/>
  <c r="BO42" i="46"/>
  <c r="BV64" i="46" s="1"/>
  <c r="F68" i="46"/>
  <c r="E58" i="56" s="1"/>
  <c r="F92" i="46"/>
  <c r="E58" i="57" s="1"/>
  <c r="AF67" i="47"/>
  <c r="L77" i="54" s="1"/>
  <c r="AF91" i="47"/>
  <c r="L77" i="58" s="1"/>
  <c r="AZ67" i="47"/>
  <c r="L77" i="55" s="1"/>
  <c r="AB91" i="44"/>
  <c r="H37" i="58" s="1"/>
  <c r="AB67" i="44"/>
  <c r="H37" i="54" s="1"/>
  <c r="AV67" i="44"/>
  <c r="H37" i="55" s="1"/>
  <c r="M66" i="43"/>
  <c r="AF90" i="43" s="1"/>
  <c r="M90" i="43"/>
  <c r="F66" i="43"/>
  <c r="Y90" i="43" s="1"/>
  <c r="F90" i="43"/>
  <c r="AJ42" i="47"/>
  <c r="BJ19" i="46"/>
  <c r="BK19" i="46" s="1"/>
  <c r="BL19" i="46" s="1"/>
  <c r="P19" i="46" s="1"/>
  <c r="O57" i="51" s="1"/>
  <c r="AC43" i="46"/>
  <c r="AD43" i="47"/>
  <c r="H92" i="47"/>
  <c r="G78" i="57" s="1"/>
  <c r="AA68" i="47"/>
  <c r="G78" i="54" s="1"/>
  <c r="H68" i="47"/>
  <c r="G78" i="56" s="1"/>
  <c r="AF91" i="44"/>
  <c r="L37" i="58" s="1"/>
  <c r="L17" i="58" s="1"/>
  <c r="AF67" i="44"/>
  <c r="L37" i="54" s="1"/>
  <c r="AZ67" i="44"/>
  <c r="L37" i="55" s="1"/>
  <c r="K92" i="47"/>
  <c r="J78" i="57" s="1"/>
  <c r="CA44" i="47"/>
  <c r="AU42" i="46"/>
  <c r="BV59" i="46"/>
  <c r="AQ43" i="47"/>
  <c r="AT43" i="46"/>
  <c r="BW62" i="46" s="1"/>
  <c r="E92" i="47"/>
  <c r="D78" i="57" s="1"/>
  <c r="E68" i="47"/>
  <c r="D78" i="56" s="1"/>
  <c r="AJ66" i="44"/>
  <c r="BJ19" i="44"/>
  <c r="BK19" i="44" s="1"/>
  <c r="BL19" i="44" s="1"/>
  <c r="P19" i="44" s="1"/>
  <c r="O37" i="51" s="1"/>
  <c r="AB43" i="47"/>
  <c r="Q91" i="46"/>
  <c r="P57" i="57" s="1"/>
  <c r="BW43" i="43"/>
  <c r="BW67" i="43" s="1"/>
  <c r="AD90" i="43"/>
  <c r="CA42" i="43"/>
  <c r="BA41" i="43"/>
  <c r="AA66" i="43"/>
  <c r="AA90" i="43"/>
  <c r="G20" i="43"/>
  <c r="G43" i="43"/>
  <c r="E20" i="43"/>
  <c r="E43" i="43"/>
  <c r="N21" i="43"/>
  <c r="N44" i="43"/>
  <c r="N68" i="43" s="1"/>
  <c r="I20" i="43"/>
  <c r="I43" i="43"/>
  <c r="H20" i="43"/>
  <c r="H43" i="43"/>
  <c r="H67" i="43" s="1"/>
  <c r="M20" i="43"/>
  <c r="M43" i="43"/>
  <c r="F20" i="43"/>
  <c r="F43" i="43"/>
  <c r="O21" i="43"/>
  <c r="O44" i="43"/>
  <c r="K20" i="43"/>
  <c r="K43" i="43"/>
  <c r="K67" i="43" s="1"/>
  <c r="L21" i="43"/>
  <c r="L44" i="43"/>
  <c r="L68" i="43" s="1"/>
  <c r="J20" i="43"/>
  <c r="J43" i="43"/>
  <c r="Z65" i="43"/>
  <c r="AT65" i="43"/>
  <c r="AE66" i="43"/>
  <c r="AY66" i="43"/>
  <c r="AG66" i="43"/>
  <c r="BA66" i="43"/>
  <c r="AH66" i="43"/>
  <c r="BB66" i="43"/>
  <c r="Y65" i="43"/>
  <c r="AS65" i="43"/>
  <c r="AF65" i="43"/>
  <c r="AZ65" i="43"/>
  <c r="AD65" i="43"/>
  <c r="AX65" i="43"/>
  <c r="AB65" i="43"/>
  <c r="AV65" i="43"/>
  <c r="AU65" i="43"/>
  <c r="X65" i="43"/>
  <c r="AR65" i="43"/>
  <c r="AC65" i="43"/>
  <c r="AW65" i="43"/>
  <c r="AU18" i="43"/>
  <c r="AY19" i="43"/>
  <c r="AZ19" i="43"/>
  <c r="AV19" i="43"/>
  <c r="BA20" i="43"/>
  <c r="AW19" i="43"/>
  <c r="AX19" i="43"/>
  <c r="P17" i="56" l="1"/>
  <c r="G18" i="53"/>
  <c r="BZ55" i="49"/>
  <c r="D20" i="51"/>
  <c r="CA55" i="48"/>
  <c r="I17" i="58"/>
  <c r="E18" i="57"/>
  <c r="D17" i="58"/>
  <c r="BZ63" i="49"/>
  <c r="E20" i="51"/>
  <c r="P17" i="57"/>
  <c r="F20" i="51"/>
  <c r="C17" i="58"/>
  <c r="I18" i="57"/>
  <c r="O16" i="53"/>
  <c r="J18" i="53"/>
  <c r="P16" i="58"/>
  <c r="P19" i="51"/>
  <c r="CA63" i="48"/>
  <c r="D18" i="56"/>
  <c r="E17" i="58"/>
  <c r="D18" i="57"/>
  <c r="E69" i="44"/>
  <c r="D39" i="56" s="1"/>
  <c r="D39" i="53"/>
  <c r="D19" i="53" s="1"/>
  <c r="G57" i="55"/>
  <c r="G17" i="55" s="1"/>
  <c r="G57" i="54"/>
  <c r="G17" i="54" s="1"/>
  <c r="AT44" i="44"/>
  <c r="BX62" i="44" s="1"/>
  <c r="P38" i="53"/>
  <c r="J18" i="57"/>
  <c r="I69" i="44"/>
  <c r="H39" i="56" s="1"/>
  <c r="H39" i="53"/>
  <c r="H19" i="53" s="1"/>
  <c r="G20" i="51"/>
  <c r="BD64" i="47"/>
  <c r="BT55" i="47" s="1"/>
  <c r="O74" i="55"/>
  <c r="F18" i="56"/>
  <c r="L18" i="56"/>
  <c r="E18" i="56"/>
  <c r="K69" i="47"/>
  <c r="J79" i="56" s="1"/>
  <c r="J79" i="53"/>
  <c r="H57" i="55"/>
  <c r="H17" i="55" s="1"/>
  <c r="H57" i="54"/>
  <c r="H17" i="54" s="1"/>
  <c r="D57" i="55"/>
  <c r="D57" i="54"/>
  <c r="D17" i="54" s="1"/>
  <c r="I20" i="51"/>
  <c r="J17" i="58"/>
  <c r="G17" i="58"/>
  <c r="C20" i="51"/>
  <c r="I57" i="55"/>
  <c r="I17" i="55" s="1"/>
  <c r="I57" i="54"/>
  <c r="I17" i="54" s="1"/>
  <c r="G18" i="56"/>
  <c r="I18" i="56"/>
  <c r="J69" i="44"/>
  <c r="I39" i="56" s="1"/>
  <c r="I39" i="53"/>
  <c r="I19" i="53" s="1"/>
  <c r="H69" i="44"/>
  <c r="G39" i="56" s="1"/>
  <c r="G39" i="53"/>
  <c r="AK66" i="44"/>
  <c r="BV58" i="44" s="1"/>
  <c r="P36" i="54"/>
  <c r="D17" i="55"/>
  <c r="F57" i="55"/>
  <c r="F17" i="55" s="1"/>
  <c r="F57" i="54"/>
  <c r="F17" i="54" s="1"/>
  <c r="AQ44" i="46"/>
  <c r="BX59" i="46" s="1"/>
  <c r="P58" i="53"/>
  <c r="H69" i="46"/>
  <c r="G59" i="56" s="1"/>
  <c r="G59" i="53"/>
  <c r="H18" i="56"/>
  <c r="K69" i="46"/>
  <c r="J59" i="56" s="1"/>
  <c r="J59" i="53"/>
  <c r="H17" i="58"/>
  <c r="L18" i="57"/>
  <c r="L57" i="55"/>
  <c r="L17" i="55" s="1"/>
  <c r="L57" i="54"/>
  <c r="L17" i="54" s="1"/>
  <c r="D69" i="44"/>
  <c r="C39" i="56" s="1"/>
  <c r="C39" i="53"/>
  <c r="C19" i="53" s="1"/>
  <c r="G18" i="57"/>
  <c r="BD71" i="50"/>
  <c r="P141" i="55" s="1"/>
  <c r="O141" i="55"/>
  <c r="BS63" i="44"/>
  <c r="P33" i="55"/>
  <c r="P13" i="55" s="1"/>
  <c r="G69" i="44"/>
  <c r="F39" i="56" s="1"/>
  <c r="F39" i="53"/>
  <c r="F19" i="53" s="1"/>
  <c r="L20" i="51"/>
  <c r="J20" i="51"/>
  <c r="BO43" i="47"/>
  <c r="BW64" i="47" s="1"/>
  <c r="O77" i="51"/>
  <c r="O17" i="51" s="1"/>
  <c r="BD71" i="49"/>
  <c r="P121" i="55" s="1"/>
  <c r="O121" i="55"/>
  <c r="C18" i="56"/>
  <c r="C57" i="55"/>
  <c r="C17" i="55" s="1"/>
  <c r="C57" i="54"/>
  <c r="C17" i="54" s="1"/>
  <c r="AK66" i="47"/>
  <c r="BV58" i="47" s="1"/>
  <c r="P76" i="54"/>
  <c r="M69" i="44"/>
  <c r="L39" i="56" s="1"/>
  <c r="L39" i="53"/>
  <c r="L19" i="53" s="1"/>
  <c r="F17" i="58"/>
  <c r="P89" i="47"/>
  <c r="O75" i="57" s="1"/>
  <c r="O15" i="57" s="1"/>
  <c r="O75" i="56"/>
  <c r="O15" i="56" s="1"/>
  <c r="K69" i="44"/>
  <c r="J39" i="56" s="1"/>
  <c r="J39" i="53"/>
  <c r="BD64" i="44"/>
  <c r="O34" i="55"/>
  <c r="J18" i="56"/>
  <c r="BD64" i="46"/>
  <c r="BT55" i="46" s="1"/>
  <c r="O54" i="55"/>
  <c r="O54" i="54"/>
  <c r="O14" i="54" s="1"/>
  <c r="F69" i="44"/>
  <c r="E39" i="56" s="1"/>
  <c r="E39" i="53"/>
  <c r="E19" i="53" s="1"/>
  <c r="F18" i="57"/>
  <c r="AC44" i="47"/>
  <c r="P78" i="53"/>
  <c r="J57" i="55"/>
  <c r="J17" i="55" s="1"/>
  <c r="J57" i="54"/>
  <c r="J17" i="54" s="1"/>
  <c r="C18" i="57"/>
  <c r="H20" i="51"/>
  <c r="E57" i="55"/>
  <c r="E17" i="55" s="1"/>
  <c r="E57" i="54"/>
  <c r="E17" i="54" s="1"/>
  <c r="H18" i="57"/>
  <c r="P17" i="53"/>
  <c r="BD18" i="43"/>
  <c r="BX45" i="43"/>
  <c r="K91" i="43"/>
  <c r="H91" i="43"/>
  <c r="AS44" i="46"/>
  <c r="BX61" i="46" s="1"/>
  <c r="X44" i="46"/>
  <c r="BC65" i="44"/>
  <c r="AC44" i="46"/>
  <c r="AB44" i="46"/>
  <c r="Z44" i="46"/>
  <c r="AA44" i="46"/>
  <c r="AF44" i="46"/>
  <c r="W44" i="46"/>
  <c r="AT44" i="46"/>
  <c r="BX62" i="46" s="1"/>
  <c r="AJ67" i="47"/>
  <c r="AI19" i="47"/>
  <c r="AJ19" i="47" s="1"/>
  <c r="AR44" i="44"/>
  <c r="BX60" i="44" s="1"/>
  <c r="AU43" i="44"/>
  <c r="P43" i="47"/>
  <c r="BU43" i="47"/>
  <c r="BW66" i="47" s="1"/>
  <c r="AD44" i="46"/>
  <c r="AR44" i="46"/>
  <c r="BX60" i="46" s="1"/>
  <c r="AJ43" i="44"/>
  <c r="AC44" i="44"/>
  <c r="BJ20" i="44"/>
  <c r="BK20" i="44" s="1"/>
  <c r="BL20" i="44" s="1"/>
  <c r="P20" i="44" s="1"/>
  <c r="Y44" i="44"/>
  <c r="AD44" i="44"/>
  <c r="AF44" i="44"/>
  <c r="Z44" i="44"/>
  <c r="AS44" i="44"/>
  <c r="BX61" i="44" s="1"/>
  <c r="AQ44" i="44"/>
  <c r="G23" i="47"/>
  <c r="F81" i="51" s="1"/>
  <c r="G46" i="47"/>
  <c r="F80" i="53" s="1"/>
  <c r="G93" i="46"/>
  <c r="F59" i="57" s="1"/>
  <c r="G69" i="46"/>
  <c r="F59" i="56" s="1"/>
  <c r="J93" i="44"/>
  <c r="I39" i="57" s="1"/>
  <c r="O68" i="43"/>
  <c r="AH92" i="43" s="1"/>
  <c r="O92" i="43"/>
  <c r="J67" i="43"/>
  <c r="AC91" i="43" s="1"/>
  <c r="J91" i="43"/>
  <c r="AE92" i="43"/>
  <c r="L92" i="43"/>
  <c r="M67" i="43"/>
  <c r="AF91" i="43" s="1"/>
  <c r="M91" i="43"/>
  <c r="E67" i="43"/>
  <c r="X91" i="43" s="1"/>
  <c r="E91" i="43"/>
  <c r="X92" i="47"/>
  <c r="D78" i="58" s="1"/>
  <c r="X68" i="47"/>
  <c r="D78" i="54" s="1"/>
  <c r="AR68" i="47"/>
  <c r="D78" i="55" s="1"/>
  <c r="AD44" i="47"/>
  <c r="AA92" i="47"/>
  <c r="G78" i="58" s="1"/>
  <c r="AU68" i="47"/>
  <c r="G78" i="55" s="1"/>
  <c r="F46" i="44"/>
  <c r="F23" i="44"/>
  <c r="E41" i="51" s="1"/>
  <c r="AJ43" i="47"/>
  <c r="X92" i="46"/>
  <c r="D58" i="58" s="1"/>
  <c r="X68" i="46"/>
  <c r="AR68" i="46"/>
  <c r="BT63" i="46"/>
  <c r="G93" i="44"/>
  <c r="F39" i="57" s="1"/>
  <c r="M93" i="47"/>
  <c r="L79" i="57" s="1"/>
  <c r="M69" i="47"/>
  <c r="L79" i="56" s="1"/>
  <c r="Q92" i="47"/>
  <c r="P78" i="57" s="1"/>
  <c r="Y92" i="47"/>
  <c r="E78" i="58" s="1"/>
  <c r="Y68" i="47"/>
  <c r="E78" i="54" s="1"/>
  <c r="AS68" i="47"/>
  <c r="E78" i="55" s="1"/>
  <c r="AC68" i="44"/>
  <c r="I38" i="54" s="1"/>
  <c r="AC92" i="44"/>
  <c r="I38" i="58" s="1"/>
  <c r="AW68" i="44"/>
  <c r="I38" i="55" s="1"/>
  <c r="D93" i="46"/>
  <c r="C59" i="57" s="1"/>
  <c r="D69" i="46"/>
  <c r="C59" i="56" s="1"/>
  <c r="Q45" i="46"/>
  <c r="AB44" i="47"/>
  <c r="Q45" i="44"/>
  <c r="D93" i="44"/>
  <c r="C39" i="57" s="1"/>
  <c r="BW46" i="46"/>
  <c r="BZ67" i="46" s="1"/>
  <c r="H46" i="46"/>
  <c r="H23" i="46"/>
  <c r="G61" i="51" s="1"/>
  <c r="M46" i="46"/>
  <c r="L60" i="53" s="1"/>
  <c r="M23" i="46"/>
  <c r="L61" i="51" s="1"/>
  <c r="K93" i="46"/>
  <c r="J59" i="57" s="1"/>
  <c r="CA45" i="46"/>
  <c r="J93" i="47"/>
  <c r="I79" i="57" s="1"/>
  <c r="J69" i="47"/>
  <c r="I79" i="56" s="1"/>
  <c r="G46" i="44"/>
  <c r="G23" i="44"/>
  <c r="F41" i="51" s="1"/>
  <c r="H93" i="46"/>
  <c r="G59" i="57" s="1"/>
  <c r="AA69" i="46"/>
  <c r="AC68" i="46"/>
  <c r="AC92" i="46"/>
  <c r="I58" i="58" s="1"/>
  <c r="AW68" i="46"/>
  <c r="K23" i="44"/>
  <c r="J41" i="51" s="1"/>
  <c r="K46" i="44"/>
  <c r="I93" i="46"/>
  <c r="H59" i="57" s="1"/>
  <c r="I69" i="46"/>
  <c r="H59" i="56" s="1"/>
  <c r="BW59" i="47"/>
  <c r="AU43" i="47"/>
  <c r="Z68" i="46"/>
  <c r="Z92" i="46"/>
  <c r="F58" i="58" s="1"/>
  <c r="AT68" i="46"/>
  <c r="Y92" i="44"/>
  <c r="E38" i="58" s="1"/>
  <c r="Y68" i="44"/>
  <c r="E38" i="54" s="1"/>
  <c r="AS68" i="44"/>
  <c r="E38" i="55" s="1"/>
  <c r="G46" i="46"/>
  <c r="F60" i="53" s="1"/>
  <c r="G23" i="46"/>
  <c r="F61" i="51" s="1"/>
  <c r="AJ67" i="44"/>
  <c r="M23" i="44"/>
  <c r="L41" i="51" s="1"/>
  <c r="M46" i="44"/>
  <c r="J46" i="44"/>
  <c r="J23" i="44"/>
  <c r="I41" i="51" s="1"/>
  <c r="AA92" i="46"/>
  <c r="G58" i="58" s="1"/>
  <c r="AU68" i="46"/>
  <c r="BJ20" i="46"/>
  <c r="BK20" i="46" s="1"/>
  <c r="BL20" i="46" s="1"/>
  <c r="P20" i="46" s="1"/>
  <c r="O58" i="51" s="1"/>
  <c r="W44" i="44"/>
  <c r="K93" i="44"/>
  <c r="J39" i="57" s="1"/>
  <c r="CA45" i="44"/>
  <c r="AA44" i="44"/>
  <c r="AB44" i="44"/>
  <c r="BC65" i="47"/>
  <c r="H46" i="44"/>
  <c r="H23" i="44"/>
  <c r="G41" i="51" s="1"/>
  <c r="BW46" i="44"/>
  <c r="BZ67" i="44" s="1"/>
  <c r="AS44" i="47"/>
  <c r="BX61" i="47" s="1"/>
  <c r="AG44" i="47"/>
  <c r="AH44" i="47"/>
  <c r="AE44" i="47"/>
  <c r="BX69" i="47"/>
  <c r="BX68" i="47"/>
  <c r="M93" i="46"/>
  <c r="L59" i="57" s="1"/>
  <c r="M69" i="46"/>
  <c r="L59" i="56" s="1"/>
  <c r="I46" i="46"/>
  <c r="H60" i="53" s="1"/>
  <c r="I23" i="46"/>
  <c r="H61" i="51" s="1"/>
  <c r="Y68" i="46"/>
  <c r="Y92" i="46"/>
  <c r="E58" i="58" s="1"/>
  <c r="AS68" i="46"/>
  <c r="AI19" i="44"/>
  <c r="P43" i="44"/>
  <c r="O37" i="53" s="1"/>
  <c r="BU43" i="44"/>
  <c r="BW66" i="44" s="1"/>
  <c r="BO43" i="44"/>
  <c r="BW64" i="44" s="1"/>
  <c r="AJ91" i="46"/>
  <c r="P57" i="58" s="1"/>
  <c r="D93" i="47"/>
  <c r="C79" i="57" s="1"/>
  <c r="D69" i="47"/>
  <c r="C79" i="56" s="1"/>
  <c r="Q45" i="47"/>
  <c r="E23" i="44"/>
  <c r="D41" i="51" s="1"/>
  <c r="E46" i="44"/>
  <c r="E23" i="46"/>
  <c r="D61" i="51" s="1"/>
  <c r="E46" i="46"/>
  <c r="D60" i="53" s="1"/>
  <c r="M93" i="44"/>
  <c r="L39" i="57" s="1"/>
  <c r="F46" i="47"/>
  <c r="E80" i="53" s="1"/>
  <c r="F23" i="47"/>
  <c r="E81" i="51" s="1"/>
  <c r="AD92" i="44"/>
  <c r="J38" i="58" s="1"/>
  <c r="AD68" i="44"/>
  <c r="J38" i="54" s="1"/>
  <c r="AX68" i="44"/>
  <c r="J38" i="55" s="1"/>
  <c r="AC92" i="47"/>
  <c r="I78" i="58" s="1"/>
  <c r="AC68" i="47"/>
  <c r="I78" i="54" s="1"/>
  <c r="AW68" i="47"/>
  <c r="I78" i="55" s="1"/>
  <c r="AB92" i="44"/>
  <c r="H38" i="58" s="1"/>
  <c r="AB68" i="44"/>
  <c r="H38" i="54" s="1"/>
  <c r="AV68" i="44"/>
  <c r="H38" i="55" s="1"/>
  <c r="H93" i="44"/>
  <c r="G39" i="57" s="1"/>
  <c r="AA69" i="44"/>
  <c r="G39" i="54" s="1"/>
  <c r="AD92" i="47"/>
  <c r="J78" i="58" s="1"/>
  <c r="AD68" i="47"/>
  <c r="J78" i="54" s="1"/>
  <c r="AX68" i="47"/>
  <c r="J78" i="55" s="1"/>
  <c r="H93" i="47"/>
  <c r="G79" i="57" s="1"/>
  <c r="AA69" i="47"/>
  <c r="G79" i="54" s="1"/>
  <c r="H69" i="47"/>
  <c r="G79" i="56" s="1"/>
  <c r="I67" i="43"/>
  <c r="AB91" i="43" s="1"/>
  <c r="I91" i="43"/>
  <c r="P43" i="46"/>
  <c r="O57" i="53" s="1"/>
  <c r="AI19" i="46"/>
  <c r="BU43" i="46"/>
  <c r="BW66" i="46" s="1"/>
  <c r="BO43" i="46"/>
  <c r="BW64" i="46" s="1"/>
  <c r="P90" i="46"/>
  <c r="O56" i="57" s="1"/>
  <c r="AI42" i="46"/>
  <c r="K93" i="47"/>
  <c r="J79" i="57" s="1"/>
  <c r="CA45" i="47"/>
  <c r="D46" i="47"/>
  <c r="C80" i="53" s="1"/>
  <c r="BR46" i="47"/>
  <c r="BZ65" i="47" s="1"/>
  <c r="Q22" i="47"/>
  <c r="P80" i="51" s="1"/>
  <c r="D23" i="47"/>
  <c r="C81" i="51" s="1"/>
  <c r="E93" i="44"/>
  <c r="D39" i="57" s="1"/>
  <c r="AJ91" i="44"/>
  <c r="P37" i="58" s="1"/>
  <c r="W44" i="47"/>
  <c r="E93" i="46"/>
  <c r="D59" i="57" s="1"/>
  <c r="E69" i="46"/>
  <c r="D59" i="56" s="1"/>
  <c r="J46" i="46"/>
  <c r="I60" i="53" s="1"/>
  <c r="J23" i="46"/>
  <c r="I61" i="51" s="1"/>
  <c r="F69" i="47"/>
  <c r="E79" i="56" s="1"/>
  <c r="F93" i="47"/>
  <c r="E79" i="57" s="1"/>
  <c r="Q22" i="46"/>
  <c r="P60" i="51" s="1"/>
  <c r="D23" i="46"/>
  <c r="C61" i="51" s="1"/>
  <c r="D46" i="46"/>
  <c r="C60" i="53" s="1"/>
  <c r="BR46" i="46"/>
  <c r="BZ65" i="46" s="1"/>
  <c r="Q92" i="44"/>
  <c r="P38" i="57" s="1"/>
  <c r="Y44" i="46"/>
  <c r="AG44" i="46"/>
  <c r="AE44" i="46"/>
  <c r="BX69" i="46"/>
  <c r="BX68" i="46"/>
  <c r="AH44" i="46"/>
  <c r="I46" i="44"/>
  <c r="I23" i="44"/>
  <c r="H41" i="51" s="1"/>
  <c r="AA92" i="44"/>
  <c r="G38" i="58" s="1"/>
  <c r="G18" i="58" s="1"/>
  <c r="AU68" i="44"/>
  <c r="G38" i="55" s="1"/>
  <c r="M46" i="47"/>
  <c r="L80" i="53" s="1"/>
  <c r="M23" i="47"/>
  <c r="L81" i="51" s="1"/>
  <c r="F67" i="43"/>
  <c r="Y91" i="43" s="1"/>
  <c r="F91" i="43"/>
  <c r="AG92" i="43"/>
  <c r="N92" i="43"/>
  <c r="X44" i="47"/>
  <c r="BJ20" i="47"/>
  <c r="BK20" i="47" s="1"/>
  <c r="BL20" i="47" s="1"/>
  <c r="P20" i="47" s="1"/>
  <c r="O78" i="51" s="1"/>
  <c r="AT44" i="47"/>
  <c r="BX62" i="47" s="1"/>
  <c r="AJ18" i="46"/>
  <c r="AJ67" i="46"/>
  <c r="AK67" i="46" s="1"/>
  <c r="BW58" i="46" s="1"/>
  <c r="E69" i="47"/>
  <c r="D79" i="56" s="1"/>
  <c r="E93" i="47"/>
  <c r="D79" i="57" s="1"/>
  <c r="K23" i="47"/>
  <c r="J81" i="51" s="1"/>
  <c r="K46" i="47"/>
  <c r="AF44" i="47"/>
  <c r="F46" i="46"/>
  <c r="E60" i="53" s="1"/>
  <c r="F23" i="46"/>
  <c r="E61" i="51" s="1"/>
  <c r="AJ43" i="46"/>
  <c r="AF92" i="44"/>
  <c r="L38" i="58" s="1"/>
  <c r="AF68" i="44"/>
  <c r="L38" i="54" s="1"/>
  <c r="AZ68" i="44"/>
  <c r="L38" i="55" s="1"/>
  <c r="Z44" i="47"/>
  <c r="AJ18" i="47"/>
  <c r="AQ44" i="47"/>
  <c r="BX59" i="47" s="1"/>
  <c r="AU43" i="46"/>
  <c r="BW59" i="46"/>
  <c r="J69" i="46"/>
  <c r="I59" i="56" s="1"/>
  <c r="J93" i="46"/>
  <c r="I59" i="57" s="1"/>
  <c r="AJ18" i="44"/>
  <c r="AF92" i="46"/>
  <c r="L58" i="58" s="1"/>
  <c r="AF68" i="46"/>
  <c r="AZ68" i="46"/>
  <c r="AD92" i="46"/>
  <c r="J58" i="58" s="1"/>
  <c r="AD68" i="46"/>
  <c r="AX68" i="46"/>
  <c r="X44" i="44"/>
  <c r="AG44" i="44"/>
  <c r="BX69" i="44"/>
  <c r="BX68" i="44"/>
  <c r="AH44" i="44"/>
  <c r="AE44" i="44"/>
  <c r="W92" i="46"/>
  <c r="C58" i="58" s="1"/>
  <c r="Q68" i="46"/>
  <c r="P58" i="56" s="1"/>
  <c r="W68" i="46"/>
  <c r="AQ68" i="46"/>
  <c r="I93" i="44"/>
  <c r="H39" i="57" s="1"/>
  <c r="BR46" i="44"/>
  <c r="BZ65" i="44" s="1"/>
  <c r="D46" i="44"/>
  <c r="D23" i="44"/>
  <c r="C41" i="51" s="1"/>
  <c r="Q22" i="44"/>
  <c r="P40" i="51" s="1"/>
  <c r="I93" i="47"/>
  <c r="H79" i="57" s="1"/>
  <c r="I69" i="47"/>
  <c r="H79" i="56" s="1"/>
  <c r="F93" i="44"/>
  <c r="E39" i="57" s="1"/>
  <c r="AB68" i="47"/>
  <c r="H78" i="54" s="1"/>
  <c r="AB92" i="47"/>
  <c r="H78" i="58" s="1"/>
  <c r="AV68" i="47"/>
  <c r="H78" i="55" s="1"/>
  <c r="AJ91" i="47"/>
  <c r="P77" i="58" s="1"/>
  <c r="G67" i="43"/>
  <c r="Z91" i="43" s="1"/>
  <c r="G91" i="43"/>
  <c r="X92" i="44"/>
  <c r="D38" i="58" s="1"/>
  <c r="D18" i="58" s="1"/>
  <c r="X68" i="44"/>
  <c r="D38" i="54" s="1"/>
  <c r="AR68" i="44"/>
  <c r="D38" i="55" s="1"/>
  <c r="H46" i="47"/>
  <c r="G80" i="53" s="1"/>
  <c r="H23" i="47"/>
  <c r="G81" i="51" s="1"/>
  <c r="BW46" i="47"/>
  <c r="BZ67" i="47" s="1"/>
  <c r="G93" i="47"/>
  <c r="F79" i="57" s="1"/>
  <c r="G69" i="47"/>
  <c r="F79" i="56" s="1"/>
  <c r="AR44" i="47"/>
  <c r="AA44" i="47"/>
  <c r="E23" i="47"/>
  <c r="D81" i="51" s="1"/>
  <c r="E46" i="47"/>
  <c r="D80" i="53" s="1"/>
  <c r="Z92" i="44"/>
  <c r="F38" i="58" s="1"/>
  <c r="Z68" i="44"/>
  <c r="F38" i="54" s="1"/>
  <c r="AT68" i="44"/>
  <c r="F38" i="55" s="1"/>
  <c r="AF68" i="47"/>
  <c r="L78" i="54" s="1"/>
  <c r="AF92" i="47"/>
  <c r="L78" i="58" s="1"/>
  <c r="AZ68" i="47"/>
  <c r="L78" i="55" s="1"/>
  <c r="F93" i="46"/>
  <c r="E59" i="57" s="1"/>
  <c r="F69" i="46"/>
  <c r="E59" i="56" s="1"/>
  <c r="Z92" i="47"/>
  <c r="F78" i="58" s="1"/>
  <c r="Z68" i="47"/>
  <c r="F78" i="54" s="1"/>
  <c r="AT68" i="47"/>
  <c r="F78" i="55" s="1"/>
  <c r="AI42" i="47"/>
  <c r="P66" i="47"/>
  <c r="W92" i="47"/>
  <c r="C78" i="58" s="1"/>
  <c r="W68" i="47"/>
  <c r="C78" i="54" s="1"/>
  <c r="Q68" i="47"/>
  <c r="P78" i="56" s="1"/>
  <c r="AQ68" i="47"/>
  <c r="C78" i="55" s="1"/>
  <c r="Y44" i="47"/>
  <c r="BC65" i="46"/>
  <c r="P90" i="44"/>
  <c r="O36" i="57" s="1"/>
  <c r="AI42" i="44"/>
  <c r="AB92" i="46"/>
  <c r="H58" i="58" s="1"/>
  <c r="AB68" i="46"/>
  <c r="AV68" i="46"/>
  <c r="Q68" i="44"/>
  <c r="P38" i="56" s="1"/>
  <c r="W92" i="44"/>
  <c r="C38" i="58" s="1"/>
  <c r="W68" i="44"/>
  <c r="C38" i="54" s="1"/>
  <c r="AQ68" i="44"/>
  <c r="C38" i="55" s="1"/>
  <c r="Q92" i="46"/>
  <c r="P58" i="57" s="1"/>
  <c r="K46" i="46"/>
  <c r="K23" i="46"/>
  <c r="J61" i="51" s="1"/>
  <c r="I23" i="47"/>
  <c r="H81" i="51" s="1"/>
  <c r="I46" i="47"/>
  <c r="H80" i="53" s="1"/>
  <c r="J46" i="47"/>
  <c r="I80" i="53" s="1"/>
  <c r="J23" i="47"/>
  <c r="I81" i="51" s="1"/>
  <c r="BW44" i="43"/>
  <c r="BX67" i="43" s="1"/>
  <c r="AD91" i="43"/>
  <c r="CA43" i="43"/>
  <c r="BA42" i="43"/>
  <c r="AA67" i="43"/>
  <c r="AA91" i="43"/>
  <c r="O22" i="43"/>
  <c r="O45" i="43"/>
  <c r="I21" i="43"/>
  <c r="I44" i="43"/>
  <c r="J21" i="43"/>
  <c r="J44" i="43"/>
  <c r="F21" i="43"/>
  <c r="F44" i="43"/>
  <c r="N22" i="43"/>
  <c r="N45" i="43"/>
  <c r="N69" i="43" s="1"/>
  <c r="L22" i="43"/>
  <c r="L45" i="43"/>
  <c r="L69" i="43" s="1"/>
  <c r="M21" i="43"/>
  <c r="M44" i="43"/>
  <c r="E21" i="43"/>
  <c r="E44" i="43"/>
  <c r="K21" i="43"/>
  <c r="K44" i="43"/>
  <c r="K68" i="43" s="1"/>
  <c r="H21" i="43"/>
  <c r="H44" i="43"/>
  <c r="H68" i="43" s="1"/>
  <c r="G21" i="43"/>
  <c r="G44" i="43"/>
  <c r="X66" i="43"/>
  <c r="AR66" i="43"/>
  <c r="AH67" i="43"/>
  <c r="BB67" i="43"/>
  <c r="Z66" i="43"/>
  <c r="AT66" i="43"/>
  <c r="AB66" i="43"/>
  <c r="AV66" i="43"/>
  <c r="AF66" i="43"/>
  <c r="AZ66" i="43"/>
  <c r="AU66" i="43"/>
  <c r="AE67" i="43"/>
  <c r="AY67" i="43"/>
  <c r="AC66" i="43"/>
  <c r="AW66" i="43"/>
  <c r="Y66" i="43"/>
  <c r="AS66" i="43"/>
  <c r="AD66" i="43"/>
  <c r="AX66" i="43"/>
  <c r="AG67" i="43"/>
  <c r="BA67" i="43"/>
  <c r="AU19" i="43"/>
  <c r="AY20" i="43"/>
  <c r="AZ20" i="43"/>
  <c r="BA21" i="43"/>
  <c r="AX20" i="43"/>
  <c r="AW20" i="43"/>
  <c r="AV20" i="43"/>
  <c r="F21" i="51" l="1"/>
  <c r="G19" i="57"/>
  <c r="CA55" i="50"/>
  <c r="H19" i="57"/>
  <c r="L19" i="57"/>
  <c r="J19" i="56"/>
  <c r="G19" i="53"/>
  <c r="G19" i="56"/>
  <c r="E18" i="58"/>
  <c r="CA55" i="49"/>
  <c r="I18" i="58"/>
  <c r="F19" i="57"/>
  <c r="J21" i="51"/>
  <c r="F70" i="44"/>
  <c r="E40" i="56" s="1"/>
  <c r="E40" i="53"/>
  <c r="E20" i="53" s="1"/>
  <c r="AK67" i="47"/>
  <c r="BW58" i="47" s="1"/>
  <c r="P77" i="54"/>
  <c r="K70" i="46"/>
  <c r="J60" i="56" s="1"/>
  <c r="J60" i="53"/>
  <c r="E19" i="57"/>
  <c r="C58" i="55"/>
  <c r="C18" i="55" s="1"/>
  <c r="C58" i="54"/>
  <c r="C18" i="54" s="1"/>
  <c r="H21" i="51"/>
  <c r="P18" i="57"/>
  <c r="J19" i="57"/>
  <c r="L21" i="51"/>
  <c r="I58" i="55"/>
  <c r="I18" i="55" s="1"/>
  <c r="I58" i="54"/>
  <c r="I18" i="54" s="1"/>
  <c r="C19" i="57"/>
  <c r="I19" i="57"/>
  <c r="BD65" i="44"/>
  <c r="O35" i="55"/>
  <c r="CA63" i="49"/>
  <c r="J19" i="53"/>
  <c r="BT63" i="47"/>
  <c r="P74" i="55"/>
  <c r="I70" i="44"/>
  <c r="H40" i="56" s="1"/>
  <c r="H40" i="53"/>
  <c r="H20" i="53" s="1"/>
  <c r="AK67" i="44"/>
  <c r="BW58" i="44" s="1"/>
  <c r="P37" i="54"/>
  <c r="AC45" i="44"/>
  <c r="P39" i="53"/>
  <c r="E19" i="56"/>
  <c r="I19" i="56"/>
  <c r="M70" i="44"/>
  <c r="L40" i="56" s="1"/>
  <c r="L40" i="53"/>
  <c r="L20" i="53" s="1"/>
  <c r="BT63" i="44"/>
  <c r="P34" i="55"/>
  <c r="P90" i="47"/>
  <c r="O76" i="57" s="1"/>
  <c r="O16" i="57" s="1"/>
  <c r="O76" i="56"/>
  <c r="O16" i="56" s="1"/>
  <c r="J58" i="55"/>
  <c r="J18" i="55" s="1"/>
  <c r="J58" i="54"/>
  <c r="L18" i="58"/>
  <c r="E70" i="44"/>
  <c r="D40" i="56" s="1"/>
  <c r="D40" i="53"/>
  <c r="D20" i="53" s="1"/>
  <c r="G21" i="51"/>
  <c r="D58" i="55"/>
  <c r="D18" i="55" s="1"/>
  <c r="D58" i="54"/>
  <c r="D18" i="54" s="1"/>
  <c r="AI43" i="47"/>
  <c r="O77" i="53"/>
  <c r="O17" i="53" s="1"/>
  <c r="CA63" i="50"/>
  <c r="H19" i="56"/>
  <c r="D19" i="56"/>
  <c r="BD65" i="46"/>
  <c r="BU63" i="46" s="1"/>
  <c r="O55" i="55"/>
  <c r="O55" i="54"/>
  <c r="O15" i="54" s="1"/>
  <c r="P20" i="51"/>
  <c r="J18" i="54"/>
  <c r="D21" i="51"/>
  <c r="H70" i="44"/>
  <c r="G40" i="56" s="1"/>
  <c r="G40" i="53"/>
  <c r="G58" i="55"/>
  <c r="G18" i="55" s="1"/>
  <c r="G58" i="54"/>
  <c r="G18" i="54" s="1"/>
  <c r="AS45" i="46"/>
  <c r="BY61" i="46" s="1"/>
  <c r="P59" i="53"/>
  <c r="K70" i="47"/>
  <c r="J80" i="56" s="1"/>
  <c r="J80" i="53"/>
  <c r="F58" i="55"/>
  <c r="F18" i="55" s="1"/>
  <c r="F58" i="54"/>
  <c r="F18" i="54" s="1"/>
  <c r="C18" i="58"/>
  <c r="C21" i="51"/>
  <c r="P17" i="58"/>
  <c r="J18" i="58"/>
  <c r="AQ45" i="47"/>
  <c r="BY59" i="47" s="1"/>
  <c r="P79" i="53"/>
  <c r="E58" i="55"/>
  <c r="E18" i="55" s="1"/>
  <c r="E58" i="54"/>
  <c r="E18" i="54" s="1"/>
  <c r="BD65" i="47"/>
  <c r="P75" i="55" s="1"/>
  <c r="O75" i="55"/>
  <c r="AI20" i="44"/>
  <c r="AJ20" i="44" s="1"/>
  <c r="O38" i="51"/>
  <c r="O18" i="51" s="1"/>
  <c r="BT55" i="44"/>
  <c r="P54" i="55"/>
  <c r="P54" i="54"/>
  <c r="P14" i="54" s="1"/>
  <c r="F19" i="56"/>
  <c r="C19" i="56"/>
  <c r="P18" i="53"/>
  <c r="P18" i="56"/>
  <c r="F18" i="58"/>
  <c r="D70" i="44"/>
  <c r="C40" i="56" s="1"/>
  <c r="C40" i="53"/>
  <c r="C20" i="53" s="1"/>
  <c r="L58" i="55"/>
  <c r="L18" i="55" s="1"/>
  <c r="L58" i="54"/>
  <c r="L18" i="54" s="1"/>
  <c r="D19" i="57"/>
  <c r="I21" i="51"/>
  <c r="H58" i="55"/>
  <c r="H18" i="55" s="1"/>
  <c r="H58" i="54"/>
  <c r="H18" i="54" s="1"/>
  <c r="H18" i="58"/>
  <c r="J70" i="44"/>
  <c r="I40" i="56" s="1"/>
  <c r="I40" i="53"/>
  <c r="I20" i="53" s="1"/>
  <c r="K70" i="44"/>
  <c r="J40" i="56" s="1"/>
  <c r="J40" i="53"/>
  <c r="G70" i="44"/>
  <c r="F40" i="56" s="1"/>
  <c r="F40" i="53"/>
  <c r="F20" i="53" s="1"/>
  <c r="H70" i="46"/>
  <c r="G60" i="56" s="1"/>
  <c r="G60" i="53"/>
  <c r="E21" i="51"/>
  <c r="O14" i="55"/>
  <c r="L19" i="56"/>
  <c r="BD19" i="43"/>
  <c r="H92" i="43"/>
  <c r="K92" i="43"/>
  <c r="N93" i="43"/>
  <c r="BX46" i="43"/>
  <c r="P44" i="44"/>
  <c r="BU44" i="44"/>
  <c r="BX66" i="44" s="1"/>
  <c r="BO44" i="44"/>
  <c r="BX64" i="44" s="1"/>
  <c r="AU44" i="44"/>
  <c r="AJ68" i="44"/>
  <c r="AA45" i="47"/>
  <c r="AB45" i="47"/>
  <c r="AB45" i="46"/>
  <c r="AA45" i="46"/>
  <c r="X45" i="46"/>
  <c r="AR45" i="46"/>
  <c r="BY60" i="46" s="1"/>
  <c r="Y45" i="46"/>
  <c r="Y45" i="44"/>
  <c r="AD45" i="44"/>
  <c r="AB45" i="44"/>
  <c r="BX59" i="44"/>
  <c r="X45" i="44"/>
  <c r="AA45" i="44"/>
  <c r="AF45" i="44"/>
  <c r="BJ21" i="44"/>
  <c r="BK21" i="44" s="1"/>
  <c r="BL21" i="44" s="1"/>
  <c r="P21" i="44" s="1"/>
  <c r="AR45" i="47"/>
  <c r="BY60" i="47" s="1"/>
  <c r="AD45" i="47"/>
  <c r="X45" i="47"/>
  <c r="BJ21" i="47"/>
  <c r="BK21" i="47" s="1"/>
  <c r="BL21" i="47" s="1"/>
  <c r="P21" i="47" s="1"/>
  <c r="AT45" i="47"/>
  <c r="BY62" i="47" s="1"/>
  <c r="Z45" i="47"/>
  <c r="Y45" i="47"/>
  <c r="P67" i="47"/>
  <c r="AS45" i="47"/>
  <c r="BY61" i="47" s="1"/>
  <c r="W45" i="47"/>
  <c r="BJ21" i="46"/>
  <c r="BK21" i="46" s="1"/>
  <c r="BL21" i="46" s="1"/>
  <c r="P21" i="46" s="1"/>
  <c r="AF45" i="46"/>
  <c r="AU44" i="46"/>
  <c r="AC45" i="46"/>
  <c r="W45" i="46"/>
  <c r="AJ44" i="46"/>
  <c r="AT45" i="46"/>
  <c r="BY62" i="46" s="1"/>
  <c r="AD45" i="46"/>
  <c r="AT45" i="44"/>
  <c r="BY62" i="44" s="1"/>
  <c r="W45" i="44"/>
  <c r="AR45" i="44"/>
  <c r="BY60" i="44" s="1"/>
  <c r="CA46" i="46"/>
  <c r="J70" i="46"/>
  <c r="I60" i="56" s="1"/>
  <c r="J94" i="46"/>
  <c r="I60" i="57" s="1"/>
  <c r="AA93" i="44"/>
  <c r="G39" i="58" s="1"/>
  <c r="AU69" i="44"/>
  <c r="G39" i="55" s="1"/>
  <c r="AJ44" i="44"/>
  <c r="G94" i="44"/>
  <c r="F40" i="57" s="1"/>
  <c r="G68" i="43"/>
  <c r="Z92" i="43" s="1"/>
  <c r="G92" i="43"/>
  <c r="M68" i="43"/>
  <c r="AF92" i="43" s="1"/>
  <c r="M92" i="43"/>
  <c r="J68" i="43"/>
  <c r="AC92" i="43" s="1"/>
  <c r="J92" i="43"/>
  <c r="I94" i="47"/>
  <c r="H80" i="57" s="1"/>
  <c r="I70" i="47"/>
  <c r="H80" i="56" s="1"/>
  <c r="AJ92" i="44"/>
  <c r="P38" i="58" s="1"/>
  <c r="AU44" i="47"/>
  <c r="BX60" i="47"/>
  <c r="H94" i="47"/>
  <c r="G80" i="57" s="1"/>
  <c r="AA70" i="47"/>
  <c r="G80" i="54" s="1"/>
  <c r="H70" i="47"/>
  <c r="G80" i="56" s="1"/>
  <c r="AB93" i="44"/>
  <c r="H39" i="58" s="1"/>
  <c r="AB69" i="44"/>
  <c r="H39" i="54" s="1"/>
  <c r="AV69" i="44"/>
  <c r="H39" i="55" s="1"/>
  <c r="D47" i="46"/>
  <c r="C61" i="53" s="1"/>
  <c r="BR47" i="46"/>
  <c r="CA65" i="46" s="1"/>
  <c r="Q23" i="46"/>
  <c r="P61" i="51" s="1"/>
  <c r="X93" i="44"/>
  <c r="D39" i="58" s="1"/>
  <c r="X69" i="44"/>
  <c r="D39" i="54" s="1"/>
  <c r="AR69" i="44"/>
  <c r="D39" i="55" s="1"/>
  <c r="F94" i="47"/>
  <c r="E80" i="57" s="1"/>
  <c r="F70" i="47"/>
  <c r="E80" i="56" s="1"/>
  <c r="Q93" i="47"/>
  <c r="P79" i="57" s="1"/>
  <c r="AI20" i="46"/>
  <c r="P44" i="46"/>
  <c r="O58" i="53" s="1"/>
  <c r="BO44" i="46"/>
  <c r="BX64" i="46" s="1"/>
  <c r="BU44" i="46"/>
  <c r="BX66" i="46" s="1"/>
  <c r="M47" i="44"/>
  <c r="AC45" i="47"/>
  <c r="Q93" i="46"/>
  <c r="P59" i="57" s="1"/>
  <c r="AF45" i="47"/>
  <c r="P44" i="47"/>
  <c r="O78" i="53" s="1"/>
  <c r="AI20" i="47"/>
  <c r="BU44" i="47"/>
  <c r="BX66" i="47" s="1"/>
  <c r="BO44" i="47"/>
  <c r="BX64" i="47" s="1"/>
  <c r="Q46" i="47"/>
  <c r="D94" i="47"/>
  <c r="C80" i="57" s="1"/>
  <c r="D70" i="47"/>
  <c r="C80" i="56" s="1"/>
  <c r="AA93" i="47"/>
  <c r="G79" i="58" s="1"/>
  <c r="AU69" i="47"/>
  <c r="G79" i="55" s="1"/>
  <c r="F47" i="47"/>
  <c r="E81" i="53" s="1"/>
  <c r="E47" i="46"/>
  <c r="D61" i="53" s="1"/>
  <c r="Q69" i="47"/>
  <c r="P79" i="56" s="1"/>
  <c r="W93" i="47"/>
  <c r="C79" i="58" s="1"/>
  <c r="W69" i="47"/>
  <c r="C79" i="54" s="1"/>
  <c r="AQ69" i="47"/>
  <c r="C79" i="55" s="1"/>
  <c r="AJ19" i="44"/>
  <c r="AF93" i="46"/>
  <c r="L59" i="58" s="1"/>
  <c r="AF69" i="46"/>
  <c r="AZ69" i="46"/>
  <c r="M94" i="44"/>
  <c r="L40" i="57" s="1"/>
  <c r="AD93" i="46"/>
  <c r="J59" i="58" s="1"/>
  <c r="AD69" i="46"/>
  <c r="AX69" i="46"/>
  <c r="W93" i="46"/>
  <c r="C59" i="58" s="1"/>
  <c r="Q69" i="46"/>
  <c r="P59" i="56" s="1"/>
  <c r="W69" i="46"/>
  <c r="AQ69" i="46"/>
  <c r="F94" i="44"/>
  <c r="E40" i="57" s="1"/>
  <c r="I47" i="47"/>
  <c r="H81" i="53" s="1"/>
  <c r="BC66" i="44"/>
  <c r="BC66" i="47"/>
  <c r="F47" i="46"/>
  <c r="E61" i="53" s="1"/>
  <c r="AJ19" i="46"/>
  <c r="CA46" i="44"/>
  <c r="K94" i="44"/>
  <c r="J40" i="57" s="1"/>
  <c r="AC93" i="47"/>
  <c r="I79" i="58" s="1"/>
  <c r="AC69" i="47"/>
  <c r="I79" i="54" s="1"/>
  <c r="AW69" i="47"/>
  <c r="I79" i="55" s="1"/>
  <c r="W93" i="44"/>
  <c r="C39" i="58" s="1"/>
  <c r="C19" i="58" s="1"/>
  <c r="Q69" i="44"/>
  <c r="P39" i="56" s="1"/>
  <c r="W69" i="44"/>
  <c r="C39" i="54" s="1"/>
  <c r="AQ69" i="44"/>
  <c r="C39" i="55" s="1"/>
  <c r="AF93" i="47"/>
  <c r="L79" i="58" s="1"/>
  <c r="AF69" i="47"/>
  <c r="L79" i="54" s="1"/>
  <c r="AZ69" i="47"/>
  <c r="L79" i="55" s="1"/>
  <c r="AC69" i="44"/>
  <c r="I39" i="54" s="1"/>
  <c r="AC93" i="44"/>
  <c r="I39" i="58" s="1"/>
  <c r="AW69" i="44"/>
  <c r="I39" i="55" s="1"/>
  <c r="I68" i="43"/>
  <c r="AB92" i="43" s="1"/>
  <c r="I92" i="43"/>
  <c r="X93" i="47"/>
  <c r="D79" i="58" s="1"/>
  <c r="X69" i="47"/>
  <c r="D79" i="54" s="1"/>
  <c r="AR69" i="47"/>
  <c r="D79" i="55" s="1"/>
  <c r="AF69" i="44"/>
  <c r="L39" i="54" s="1"/>
  <c r="AF93" i="44"/>
  <c r="L39" i="58" s="1"/>
  <c r="AZ69" i="44"/>
  <c r="L39" i="55" s="1"/>
  <c r="M47" i="46"/>
  <c r="L61" i="53" s="1"/>
  <c r="D94" i="46"/>
  <c r="C60" i="57" s="1"/>
  <c r="D70" i="46"/>
  <c r="C60" i="56" s="1"/>
  <c r="Q46" i="46"/>
  <c r="X93" i="46"/>
  <c r="D59" i="58" s="1"/>
  <c r="X69" i="46"/>
  <c r="AR69" i="46"/>
  <c r="P91" i="46"/>
  <c r="O57" i="57" s="1"/>
  <c r="AI43" i="46"/>
  <c r="E94" i="44"/>
  <c r="D40" i="57" s="1"/>
  <c r="K47" i="44"/>
  <c r="Q93" i="44"/>
  <c r="P39" i="57" s="1"/>
  <c r="K47" i="46"/>
  <c r="AJ68" i="47"/>
  <c r="Y69" i="46"/>
  <c r="Y93" i="46"/>
  <c r="E59" i="58" s="1"/>
  <c r="AS69" i="46"/>
  <c r="Z69" i="47"/>
  <c r="F79" i="54" s="1"/>
  <c r="Z93" i="47"/>
  <c r="F79" i="58" s="1"/>
  <c r="AT69" i="47"/>
  <c r="F79" i="55" s="1"/>
  <c r="Y93" i="44"/>
  <c r="E39" i="58" s="1"/>
  <c r="Y69" i="44"/>
  <c r="E39" i="54" s="1"/>
  <c r="AS69" i="44"/>
  <c r="E39" i="55" s="1"/>
  <c r="D47" i="44"/>
  <c r="BR47" i="44"/>
  <c r="CA65" i="44" s="1"/>
  <c r="Q23" i="44"/>
  <c r="P41" i="51" s="1"/>
  <c r="I47" i="44"/>
  <c r="AD93" i="47"/>
  <c r="J79" i="58" s="1"/>
  <c r="AD69" i="47"/>
  <c r="J79" i="54" s="1"/>
  <c r="AX69" i="47"/>
  <c r="J79" i="55" s="1"/>
  <c r="E47" i="44"/>
  <c r="G47" i="46"/>
  <c r="F61" i="53" s="1"/>
  <c r="AA93" i="46"/>
  <c r="G59" i="58" s="1"/>
  <c r="AU69" i="46"/>
  <c r="M94" i="46"/>
  <c r="L60" i="57" s="1"/>
  <c r="M70" i="46"/>
  <c r="L60" i="56" s="1"/>
  <c r="AQ45" i="44"/>
  <c r="AG45" i="44"/>
  <c r="AE45" i="44"/>
  <c r="BY68" i="44"/>
  <c r="BY69" i="44"/>
  <c r="AH45" i="44"/>
  <c r="Z45" i="44"/>
  <c r="Z45" i="46"/>
  <c r="G94" i="47"/>
  <c r="F80" i="57" s="1"/>
  <c r="G70" i="47"/>
  <c r="F80" i="56" s="1"/>
  <c r="AE93" i="43"/>
  <c r="L93" i="43"/>
  <c r="O69" i="43"/>
  <c r="AH93" i="43" s="1"/>
  <c r="O93" i="43"/>
  <c r="K94" i="46"/>
  <c r="J60" i="57" s="1"/>
  <c r="AJ92" i="47"/>
  <c r="P78" i="58" s="1"/>
  <c r="D94" i="44"/>
  <c r="C40" i="57" s="1"/>
  <c r="C20" i="57" s="1"/>
  <c r="Q46" i="44"/>
  <c r="AJ92" i="46"/>
  <c r="P58" i="58" s="1"/>
  <c r="BC66" i="46"/>
  <c r="I94" i="44"/>
  <c r="H40" i="57" s="1"/>
  <c r="Y93" i="47"/>
  <c r="E79" i="58" s="1"/>
  <c r="Y69" i="47"/>
  <c r="E79" i="54" s="1"/>
  <c r="AS69" i="47"/>
  <c r="E79" i="55" s="1"/>
  <c r="AJ44" i="47"/>
  <c r="BR47" i="47"/>
  <c r="CA65" i="47" s="1"/>
  <c r="Q23" i="47"/>
  <c r="P81" i="51" s="1"/>
  <c r="D47" i="47"/>
  <c r="C81" i="53" s="1"/>
  <c r="I47" i="46"/>
  <c r="H61" i="53" s="1"/>
  <c r="J47" i="44"/>
  <c r="G94" i="46"/>
  <c r="F60" i="57" s="1"/>
  <c r="G70" i="46"/>
  <c r="F60" i="56" s="1"/>
  <c r="AS45" i="44"/>
  <c r="BY61" i="44" s="1"/>
  <c r="G47" i="47"/>
  <c r="F81" i="53" s="1"/>
  <c r="M94" i="47"/>
  <c r="L80" i="57" s="1"/>
  <c r="M70" i="47"/>
  <c r="L80" i="56" s="1"/>
  <c r="F70" i="46"/>
  <c r="E60" i="56" s="1"/>
  <c r="F94" i="46"/>
  <c r="E60" i="57" s="1"/>
  <c r="J47" i="47"/>
  <c r="I81" i="53" s="1"/>
  <c r="E70" i="47"/>
  <c r="D80" i="56" s="1"/>
  <c r="E94" i="47"/>
  <c r="D80" i="57" s="1"/>
  <c r="AC69" i="46"/>
  <c r="AC93" i="46"/>
  <c r="I59" i="58" s="1"/>
  <c r="AW69" i="46"/>
  <c r="K94" i="47"/>
  <c r="J80" i="57" s="1"/>
  <c r="CA46" i="47"/>
  <c r="I94" i="46"/>
  <c r="H60" i="57" s="1"/>
  <c r="I70" i="46"/>
  <c r="H60" i="56" s="1"/>
  <c r="H47" i="44"/>
  <c r="BW47" i="44"/>
  <c r="CA67" i="44" s="1"/>
  <c r="AD93" i="44"/>
  <c r="J39" i="58" s="1"/>
  <c r="AD69" i="44"/>
  <c r="J39" i="54" s="1"/>
  <c r="AX69" i="44"/>
  <c r="J39" i="55" s="1"/>
  <c r="J94" i="44"/>
  <c r="I40" i="57" s="1"/>
  <c r="BW47" i="46"/>
  <c r="CA67" i="46" s="1"/>
  <c r="H47" i="46"/>
  <c r="Z93" i="44"/>
  <c r="F39" i="58" s="1"/>
  <c r="Z69" i="44"/>
  <c r="F39" i="54" s="1"/>
  <c r="AT69" i="44"/>
  <c r="F39" i="55" s="1"/>
  <c r="Z93" i="46"/>
  <c r="F59" i="58" s="1"/>
  <c r="Z69" i="46"/>
  <c r="AT69" i="46"/>
  <c r="H47" i="47"/>
  <c r="G81" i="53" s="1"/>
  <c r="BW47" i="47"/>
  <c r="CA67" i="47" s="1"/>
  <c r="AJ68" i="46"/>
  <c r="AK68" i="46" s="1"/>
  <c r="BX58" i="46" s="1"/>
  <c r="E68" i="43"/>
  <c r="X92" i="43" s="1"/>
  <c r="E92" i="43"/>
  <c r="F68" i="43"/>
  <c r="Y92" i="43" s="1"/>
  <c r="F92" i="43"/>
  <c r="J94" i="47"/>
  <c r="I80" i="57" s="1"/>
  <c r="J70" i="47"/>
  <c r="I80" i="56" s="1"/>
  <c r="E47" i="47"/>
  <c r="D81" i="53" s="1"/>
  <c r="AB93" i="47"/>
  <c r="H79" i="58" s="1"/>
  <c r="AB69" i="47"/>
  <c r="H79" i="54" s="1"/>
  <c r="AV69" i="47"/>
  <c r="H79" i="55" s="1"/>
  <c r="K47" i="47"/>
  <c r="M47" i="47"/>
  <c r="L81" i="53" s="1"/>
  <c r="J47" i="46"/>
  <c r="I61" i="53" s="1"/>
  <c r="E94" i="46"/>
  <c r="D60" i="57" s="1"/>
  <c r="E70" i="46"/>
  <c r="D60" i="56" s="1"/>
  <c r="AE45" i="47"/>
  <c r="BY69" i="47"/>
  <c r="AG45" i="47"/>
  <c r="BY68" i="47"/>
  <c r="AH45" i="47"/>
  <c r="P91" i="44"/>
  <c r="O37" i="57" s="1"/>
  <c r="AI43" i="44"/>
  <c r="H94" i="44"/>
  <c r="G40" i="57" s="1"/>
  <c r="G20" i="57" s="1"/>
  <c r="AA70" i="44"/>
  <c r="G40" i="54" s="1"/>
  <c r="AB93" i="46"/>
  <c r="H59" i="58" s="1"/>
  <c r="AB69" i="46"/>
  <c r="AV69" i="46"/>
  <c r="G47" i="44"/>
  <c r="H94" i="46"/>
  <c r="G60" i="57" s="1"/>
  <c r="AA70" i="46"/>
  <c r="AQ45" i="46"/>
  <c r="BY68" i="46"/>
  <c r="AH45" i="46"/>
  <c r="AE45" i="46"/>
  <c r="BY69" i="46"/>
  <c r="AG45" i="46"/>
  <c r="F47" i="44"/>
  <c r="BW45" i="43"/>
  <c r="BY67" i="43" s="1"/>
  <c r="AD92" i="43"/>
  <c r="CA44" i="43"/>
  <c r="BA43" i="43"/>
  <c r="AA68" i="43"/>
  <c r="AA92" i="43"/>
  <c r="E22" i="43"/>
  <c r="E45" i="43"/>
  <c r="F22" i="43"/>
  <c r="F45" i="43"/>
  <c r="G22" i="43"/>
  <c r="G45" i="43"/>
  <c r="M22" i="43"/>
  <c r="M45" i="43"/>
  <c r="J22" i="43"/>
  <c r="J45" i="43"/>
  <c r="H22" i="43"/>
  <c r="H45" i="43"/>
  <c r="H69" i="43" s="1"/>
  <c r="L23" i="43"/>
  <c r="L46" i="43"/>
  <c r="L70" i="43" s="1"/>
  <c r="I22" i="43"/>
  <c r="I45" i="43"/>
  <c r="K22" i="43"/>
  <c r="K45" i="43"/>
  <c r="K69" i="43" s="1"/>
  <c r="N23" i="43"/>
  <c r="N46" i="43"/>
  <c r="N70" i="43" s="1"/>
  <c r="O23" i="43"/>
  <c r="O46" i="43"/>
  <c r="Y67" i="43"/>
  <c r="AS67" i="43"/>
  <c r="Z67" i="43"/>
  <c r="AT67" i="43"/>
  <c r="AG68" i="43"/>
  <c r="BA68" i="43"/>
  <c r="X67" i="43"/>
  <c r="AR67" i="43"/>
  <c r="AU67" i="43"/>
  <c r="AE68" i="43"/>
  <c r="AY68" i="43"/>
  <c r="AB67" i="43"/>
  <c r="AV67" i="43"/>
  <c r="AD67" i="43"/>
  <c r="AX67" i="43"/>
  <c r="AF67" i="43"/>
  <c r="AZ67" i="43"/>
  <c r="AC67" i="43"/>
  <c r="AW67" i="43"/>
  <c r="AH68" i="43"/>
  <c r="BB68" i="43"/>
  <c r="AU20" i="43"/>
  <c r="AY21" i="43"/>
  <c r="AZ21" i="43"/>
  <c r="AX21" i="43"/>
  <c r="AV21" i="43"/>
  <c r="BA22" i="43"/>
  <c r="AW21" i="43"/>
  <c r="BU55" i="46" l="1"/>
  <c r="L19" i="58"/>
  <c r="J20" i="53"/>
  <c r="BU55" i="47"/>
  <c r="BU63" i="47"/>
  <c r="E19" i="58"/>
  <c r="J19" i="58"/>
  <c r="F19" i="58"/>
  <c r="P19" i="56"/>
  <c r="I19" i="58"/>
  <c r="BD66" i="47"/>
  <c r="P76" i="55" s="1"/>
  <c r="O76" i="55"/>
  <c r="BO45" i="44"/>
  <c r="BY64" i="44" s="1"/>
  <c r="O39" i="51"/>
  <c r="BJ22" i="44"/>
  <c r="BK22" i="44" s="1"/>
  <c r="BL22" i="44" s="1"/>
  <c r="P22" i="44" s="1"/>
  <c r="O40" i="51" s="1"/>
  <c r="P40" i="53"/>
  <c r="AK68" i="47"/>
  <c r="BX58" i="47" s="1"/>
  <c r="P78" i="54"/>
  <c r="BD66" i="44"/>
  <c r="P36" i="55" s="1"/>
  <c r="O36" i="55"/>
  <c r="F20" i="57"/>
  <c r="F20" i="56"/>
  <c r="C20" i="56"/>
  <c r="P14" i="55"/>
  <c r="O15" i="55"/>
  <c r="F59" i="55"/>
  <c r="F59" i="54"/>
  <c r="F19" i="54" s="1"/>
  <c r="K71" i="46"/>
  <c r="J61" i="56" s="1"/>
  <c r="J61" i="53"/>
  <c r="AF46" i="47"/>
  <c r="P80" i="53"/>
  <c r="M71" i="44"/>
  <c r="L41" i="56" s="1"/>
  <c r="L41" i="53"/>
  <c r="L21" i="53" s="1"/>
  <c r="H19" i="58"/>
  <c r="BU55" i="44"/>
  <c r="P35" i="55"/>
  <c r="P91" i="47"/>
  <c r="O77" i="57" s="1"/>
  <c r="O17" i="57" s="1"/>
  <c r="O77" i="56"/>
  <c r="O17" i="56" s="1"/>
  <c r="I20" i="57"/>
  <c r="G71" i="44"/>
  <c r="F41" i="56" s="1"/>
  <c r="F41" i="53"/>
  <c r="F21" i="53" s="1"/>
  <c r="P19" i="57"/>
  <c r="AQ46" i="46"/>
  <c r="BZ59" i="46" s="1"/>
  <c r="P60" i="53"/>
  <c r="E20" i="57"/>
  <c r="L20" i="57"/>
  <c r="AI44" i="44"/>
  <c r="O38" i="53"/>
  <c r="O18" i="53" s="1"/>
  <c r="J20" i="56"/>
  <c r="J59" i="55"/>
  <c r="J19" i="55" s="1"/>
  <c r="J59" i="54"/>
  <c r="J19" i="54" s="1"/>
  <c r="H59" i="55"/>
  <c r="H19" i="55" s="1"/>
  <c r="H59" i="54"/>
  <c r="H19" i="54" s="1"/>
  <c r="K71" i="47"/>
  <c r="J81" i="56" s="1"/>
  <c r="J81" i="53"/>
  <c r="I59" i="55"/>
  <c r="I19" i="55" s="1"/>
  <c r="I59" i="54"/>
  <c r="I19" i="54" s="1"/>
  <c r="J71" i="44"/>
  <c r="I41" i="56" s="1"/>
  <c r="I41" i="53"/>
  <c r="I21" i="53" s="1"/>
  <c r="I71" i="44"/>
  <c r="H41" i="56" s="1"/>
  <c r="H41" i="53"/>
  <c r="H21" i="53" s="1"/>
  <c r="K71" i="44"/>
  <c r="J41" i="56" s="1"/>
  <c r="J41" i="53"/>
  <c r="J20" i="57"/>
  <c r="C59" i="55"/>
  <c r="C19" i="55" s="1"/>
  <c r="C59" i="54"/>
  <c r="C19" i="54" s="1"/>
  <c r="L59" i="55"/>
  <c r="L59" i="54"/>
  <c r="L19" i="54" s="1"/>
  <c r="D19" i="58"/>
  <c r="BO45" i="47"/>
  <c r="BY64" i="47" s="1"/>
  <c r="O79" i="51"/>
  <c r="BU63" i="44"/>
  <c r="G20" i="53"/>
  <c r="P55" i="55"/>
  <c r="P55" i="54"/>
  <c r="P15" i="54" s="1"/>
  <c r="L20" i="56"/>
  <c r="H20" i="56"/>
  <c r="D59" i="55"/>
  <c r="D19" i="55" s="1"/>
  <c r="D59" i="54"/>
  <c r="D19" i="54" s="1"/>
  <c r="P18" i="58"/>
  <c r="F71" i="44"/>
  <c r="E41" i="56" s="1"/>
  <c r="E41" i="53"/>
  <c r="E21" i="53" s="1"/>
  <c r="F19" i="55"/>
  <c r="G59" i="55"/>
  <c r="G19" i="55" s="1"/>
  <c r="G59" i="54"/>
  <c r="G19" i="54" s="1"/>
  <c r="P21" i="51"/>
  <c r="D20" i="57"/>
  <c r="P45" i="46"/>
  <c r="O59" i="53" s="1"/>
  <c r="O59" i="51"/>
  <c r="I20" i="56"/>
  <c r="G20" i="56"/>
  <c r="H71" i="46"/>
  <c r="G61" i="56" s="1"/>
  <c r="G61" i="53"/>
  <c r="E71" i="44"/>
  <c r="D41" i="56" s="1"/>
  <c r="D41" i="53"/>
  <c r="D21" i="53" s="1"/>
  <c r="H20" i="57"/>
  <c r="E59" i="54"/>
  <c r="E19" i="54" s="1"/>
  <c r="E59" i="55"/>
  <c r="E19" i="55" s="1"/>
  <c r="G19" i="58"/>
  <c r="E20" i="56"/>
  <c r="H71" i="44"/>
  <c r="G41" i="56" s="1"/>
  <c r="G41" i="53"/>
  <c r="BD66" i="46"/>
  <c r="BV55" i="46" s="1"/>
  <c r="O56" i="55"/>
  <c r="O56" i="54"/>
  <c r="O16" i="54" s="1"/>
  <c r="D71" i="44"/>
  <c r="C41" i="56" s="1"/>
  <c r="C41" i="53"/>
  <c r="C21" i="53" s="1"/>
  <c r="L19" i="55"/>
  <c r="AK68" i="44"/>
  <c r="BX58" i="44" s="1"/>
  <c r="P38" i="54"/>
  <c r="D20" i="56"/>
  <c r="P19" i="53"/>
  <c r="O47" i="43"/>
  <c r="L47" i="43"/>
  <c r="L71" i="43" s="1"/>
  <c r="H93" i="43"/>
  <c r="BD20" i="43"/>
  <c r="BX47" i="43"/>
  <c r="K93" i="43"/>
  <c r="AT46" i="44"/>
  <c r="BZ62" i="44" s="1"/>
  <c r="BU45" i="46"/>
  <c r="BY66" i="46" s="1"/>
  <c r="AQ46" i="44"/>
  <c r="BZ59" i="44" s="1"/>
  <c r="AI21" i="46"/>
  <c r="AJ21" i="46" s="1"/>
  <c r="X46" i="46"/>
  <c r="AB46" i="46"/>
  <c r="AC46" i="47"/>
  <c r="P92" i="44"/>
  <c r="O38" i="57" s="1"/>
  <c r="AI21" i="47"/>
  <c r="AJ21" i="47" s="1"/>
  <c r="BO45" i="46"/>
  <c r="BY64" i="46" s="1"/>
  <c r="W46" i="44"/>
  <c r="BU45" i="44"/>
  <c r="BY66" i="44" s="1"/>
  <c r="AI21" i="44"/>
  <c r="AJ21" i="44" s="1"/>
  <c r="P45" i="44"/>
  <c r="AD46" i="44"/>
  <c r="BC67" i="47"/>
  <c r="BU45" i="47"/>
  <c r="BY66" i="47" s="1"/>
  <c r="P45" i="47"/>
  <c r="AU45" i="47"/>
  <c r="AJ45" i="47"/>
  <c r="AJ45" i="46"/>
  <c r="AJ45" i="44"/>
  <c r="Z46" i="46"/>
  <c r="BJ22" i="46"/>
  <c r="BK22" i="46" s="1"/>
  <c r="BL22" i="46" s="1"/>
  <c r="P22" i="46" s="1"/>
  <c r="W46" i="46"/>
  <c r="AR46" i="46"/>
  <c r="BZ60" i="46" s="1"/>
  <c r="AT46" i="46"/>
  <c r="BZ62" i="46" s="1"/>
  <c r="Y46" i="46"/>
  <c r="AA46" i="46"/>
  <c r="AS46" i="46"/>
  <c r="BZ61" i="46" s="1"/>
  <c r="BC67" i="46"/>
  <c r="AD46" i="46"/>
  <c r="AC46" i="44"/>
  <c r="AA46" i="44"/>
  <c r="AB46" i="44"/>
  <c r="P46" i="44"/>
  <c r="O40" i="53" s="1"/>
  <c r="AI22" i="44"/>
  <c r="BU46" i="44"/>
  <c r="BZ66" i="44" s="1"/>
  <c r="BO46" i="44"/>
  <c r="BZ64" i="44" s="1"/>
  <c r="AA94" i="44"/>
  <c r="G40" i="58" s="1"/>
  <c r="AU70" i="44"/>
  <c r="G40" i="55" s="1"/>
  <c r="M95" i="47"/>
  <c r="L81" i="57" s="1"/>
  <c r="M71" i="47"/>
  <c r="L81" i="56" s="1"/>
  <c r="E95" i="47"/>
  <c r="D81" i="57" s="1"/>
  <c r="E71" i="47"/>
  <c r="D81" i="56" s="1"/>
  <c r="AD46" i="47"/>
  <c r="X46" i="47"/>
  <c r="AD70" i="46"/>
  <c r="AD94" i="46"/>
  <c r="J60" i="58" s="1"/>
  <c r="AX70" i="46"/>
  <c r="Z94" i="47"/>
  <c r="F80" i="58" s="1"/>
  <c r="Z70" i="47"/>
  <c r="F80" i="54" s="1"/>
  <c r="AT70" i="47"/>
  <c r="F80" i="55" s="1"/>
  <c r="K95" i="46"/>
  <c r="J61" i="57" s="1"/>
  <c r="CA47" i="46"/>
  <c r="Q94" i="46"/>
  <c r="P60" i="57" s="1"/>
  <c r="I95" i="47"/>
  <c r="H81" i="57" s="1"/>
  <c r="I71" i="47"/>
  <c r="H81" i="56" s="1"/>
  <c r="AJ93" i="46"/>
  <c r="P59" i="58" s="1"/>
  <c r="Q94" i="47"/>
  <c r="P80" i="57" s="1"/>
  <c r="AI44" i="46"/>
  <c r="P92" i="46"/>
  <c r="O58" i="57" s="1"/>
  <c r="G95" i="44"/>
  <c r="F41" i="57" s="1"/>
  <c r="P93" i="46"/>
  <c r="O59" i="57" s="1"/>
  <c r="I95" i="46"/>
  <c r="H61" i="57" s="1"/>
  <c r="I71" i="46"/>
  <c r="H61" i="56" s="1"/>
  <c r="AQ46" i="47"/>
  <c r="BZ69" i="47"/>
  <c r="AE46" i="47"/>
  <c r="BZ68" i="47"/>
  <c r="AG46" i="47"/>
  <c r="AH46" i="47"/>
  <c r="AJ20" i="46"/>
  <c r="AT46" i="47"/>
  <c r="BZ62" i="47" s="1"/>
  <c r="AB46" i="47"/>
  <c r="AG94" i="43"/>
  <c r="N94" i="43"/>
  <c r="F69" i="43"/>
  <c r="Y93" i="43" s="1"/>
  <c r="F93" i="43"/>
  <c r="BY59" i="46"/>
  <c r="AU45" i="46"/>
  <c r="K95" i="47"/>
  <c r="J81" i="57" s="1"/>
  <c r="CA47" i="47"/>
  <c r="AC94" i="47"/>
  <c r="I80" i="58" s="1"/>
  <c r="AC70" i="47"/>
  <c r="I80" i="54" s="1"/>
  <c r="AW70" i="47"/>
  <c r="I80" i="55" s="1"/>
  <c r="AA71" i="44"/>
  <c r="G41" i="54" s="1"/>
  <c r="H95" i="44"/>
  <c r="G41" i="57" s="1"/>
  <c r="AD94" i="47"/>
  <c r="J80" i="58" s="1"/>
  <c r="AD70" i="47"/>
  <c r="J80" i="54" s="1"/>
  <c r="AX70" i="47"/>
  <c r="J80" i="55" s="1"/>
  <c r="X94" i="47"/>
  <c r="D80" i="58" s="1"/>
  <c r="X70" i="47"/>
  <c r="D80" i="54" s="1"/>
  <c r="AR70" i="47"/>
  <c r="D80" i="55" s="1"/>
  <c r="Z94" i="46"/>
  <c r="F60" i="58" s="1"/>
  <c r="Z70" i="46"/>
  <c r="AT70" i="46"/>
  <c r="X46" i="44"/>
  <c r="AH46" i="44"/>
  <c r="AE46" i="44"/>
  <c r="AG46" i="44"/>
  <c r="BZ68" i="44"/>
  <c r="BZ69" i="44"/>
  <c r="BY59" i="44"/>
  <c r="AU45" i="44"/>
  <c r="E95" i="44"/>
  <c r="D41" i="57" s="1"/>
  <c r="M71" i="46"/>
  <c r="L61" i="56" s="1"/>
  <c r="M95" i="46"/>
  <c r="L61" i="57" s="1"/>
  <c r="AJ69" i="44"/>
  <c r="Y46" i="44"/>
  <c r="BC67" i="44"/>
  <c r="E95" i="46"/>
  <c r="D61" i="57" s="1"/>
  <c r="E71" i="46"/>
  <c r="D61" i="56" s="1"/>
  <c r="W46" i="47"/>
  <c r="AA46" i="47"/>
  <c r="AB94" i="47"/>
  <c r="H80" i="58" s="1"/>
  <c r="AB70" i="47"/>
  <c r="H80" i="54" s="1"/>
  <c r="AV70" i="47"/>
  <c r="H80" i="55" s="1"/>
  <c r="AS46" i="44"/>
  <c r="BZ61" i="44" s="1"/>
  <c r="AF94" i="47"/>
  <c r="L80" i="58" s="1"/>
  <c r="AF70" i="47"/>
  <c r="L80" i="54" s="1"/>
  <c r="AZ70" i="47"/>
  <c r="L80" i="55" s="1"/>
  <c r="X94" i="46"/>
  <c r="D60" i="58" s="1"/>
  <c r="X70" i="46"/>
  <c r="AR70" i="46"/>
  <c r="H95" i="47"/>
  <c r="G81" i="57" s="1"/>
  <c r="AA71" i="47"/>
  <c r="G81" i="54" s="1"/>
  <c r="H71" i="47"/>
  <c r="G81" i="56" s="1"/>
  <c r="W70" i="44"/>
  <c r="C40" i="54" s="1"/>
  <c r="Q70" i="44"/>
  <c r="P40" i="56" s="1"/>
  <c r="W94" i="44"/>
  <c r="C40" i="58" s="1"/>
  <c r="AQ70" i="44"/>
  <c r="C40" i="55" s="1"/>
  <c r="AF46" i="46"/>
  <c r="K95" i="44"/>
  <c r="J41" i="57" s="1"/>
  <c r="CA47" i="44"/>
  <c r="AD94" i="44"/>
  <c r="J40" i="58" s="1"/>
  <c r="AD70" i="44"/>
  <c r="J40" i="54" s="1"/>
  <c r="AX70" i="44"/>
  <c r="J40" i="55" s="1"/>
  <c r="Y70" i="44"/>
  <c r="E40" i="54" s="1"/>
  <c r="Y94" i="44"/>
  <c r="E40" i="58" s="1"/>
  <c r="AS70" i="44"/>
  <c r="E40" i="55" s="1"/>
  <c r="Y46" i="47"/>
  <c r="AA94" i="47"/>
  <c r="G80" i="58" s="1"/>
  <c r="AU70" i="47"/>
  <c r="G80" i="55" s="1"/>
  <c r="Z46" i="44"/>
  <c r="G95" i="46"/>
  <c r="F61" i="57" s="1"/>
  <c r="G71" i="46"/>
  <c r="F61" i="56" s="1"/>
  <c r="J69" i="43"/>
  <c r="AC93" i="43" s="1"/>
  <c r="J93" i="43"/>
  <c r="E69" i="43"/>
  <c r="X93" i="43" s="1"/>
  <c r="E93" i="43"/>
  <c r="F95" i="44"/>
  <c r="E41" i="57" s="1"/>
  <c r="H95" i="46"/>
  <c r="G61" i="57" s="1"/>
  <c r="AA71" i="46"/>
  <c r="AC94" i="44"/>
  <c r="I40" i="58" s="1"/>
  <c r="AC70" i="44"/>
  <c r="I40" i="54" s="1"/>
  <c r="AW70" i="44"/>
  <c r="I40" i="55" s="1"/>
  <c r="AB70" i="46"/>
  <c r="AB94" i="46"/>
  <c r="H60" i="58" s="1"/>
  <c r="AV70" i="46"/>
  <c r="J95" i="47"/>
  <c r="I81" i="57" s="1"/>
  <c r="J71" i="47"/>
  <c r="I81" i="56" s="1"/>
  <c r="D95" i="47"/>
  <c r="C81" i="57" s="1"/>
  <c r="D71" i="47"/>
  <c r="C81" i="56" s="1"/>
  <c r="Q47" i="47"/>
  <c r="AB70" i="44"/>
  <c r="H40" i="54" s="1"/>
  <c r="AB94" i="44"/>
  <c r="H40" i="58" s="1"/>
  <c r="H20" i="58" s="1"/>
  <c r="AV70" i="44"/>
  <c r="H40" i="55" s="1"/>
  <c r="Q94" i="44"/>
  <c r="P40" i="57" s="1"/>
  <c r="AF94" i="46"/>
  <c r="L60" i="58" s="1"/>
  <c r="AF70" i="46"/>
  <c r="AZ70" i="46"/>
  <c r="D95" i="44"/>
  <c r="C41" i="57" s="1"/>
  <c r="Q47" i="44"/>
  <c r="AR46" i="44"/>
  <c r="BZ60" i="44" s="1"/>
  <c r="AJ93" i="44"/>
  <c r="P39" i="58" s="1"/>
  <c r="F95" i="46"/>
  <c r="E61" i="57" s="1"/>
  <c r="F71" i="46"/>
  <c r="E61" i="56" s="1"/>
  <c r="AF46" i="44"/>
  <c r="F71" i="47"/>
  <c r="E81" i="56" s="1"/>
  <c r="F95" i="47"/>
  <c r="E81" i="57" s="1"/>
  <c r="Y94" i="47"/>
  <c r="E80" i="58" s="1"/>
  <c r="Y70" i="47"/>
  <c r="E80" i="54" s="1"/>
  <c r="AS70" i="47"/>
  <c r="E80" i="55" s="1"/>
  <c r="Z70" i="44"/>
  <c r="F40" i="54" s="1"/>
  <c r="Z94" i="44"/>
  <c r="F40" i="58" s="1"/>
  <c r="F20" i="58" s="1"/>
  <c r="AT70" i="44"/>
  <c r="F40" i="55" s="1"/>
  <c r="AC94" i="46"/>
  <c r="I60" i="58" s="1"/>
  <c r="AC70" i="46"/>
  <c r="AW70" i="46"/>
  <c r="G69" i="43"/>
  <c r="Z93" i="43" s="1"/>
  <c r="G93" i="43"/>
  <c r="J95" i="44"/>
  <c r="I41" i="57" s="1"/>
  <c r="X94" i="44"/>
  <c r="D40" i="58" s="1"/>
  <c r="X70" i="44"/>
  <c r="D40" i="54" s="1"/>
  <c r="AR70" i="44"/>
  <c r="D40" i="55" s="1"/>
  <c r="BV55" i="47"/>
  <c r="BV63" i="47"/>
  <c r="AJ69" i="47"/>
  <c r="AJ20" i="47"/>
  <c r="M95" i="44"/>
  <c r="L41" i="57" s="1"/>
  <c r="D95" i="46"/>
  <c r="C61" i="57" s="1"/>
  <c r="D71" i="46"/>
  <c r="C61" i="56" s="1"/>
  <c r="Q47" i="46"/>
  <c r="AE94" i="43"/>
  <c r="L94" i="43"/>
  <c r="I69" i="43"/>
  <c r="AB93" i="43" s="1"/>
  <c r="I93" i="43"/>
  <c r="M69" i="43"/>
  <c r="AF93" i="43" s="1"/>
  <c r="M93" i="43"/>
  <c r="AG69" i="43"/>
  <c r="AG93" i="43"/>
  <c r="AA94" i="46"/>
  <c r="G60" i="58" s="1"/>
  <c r="AU70" i="46"/>
  <c r="J71" i="46"/>
  <c r="I61" i="56" s="1"/>
  <c r="J95" i="46"/>
  <c r="I61" i="57" s="1"/>
  <c r="G95" i="47"/>
  <c r="F81" i="57" s="1"/>
  <c r="G71" i="47"/>
  <c r="F81" i="56" s="1"/>
  <c r="AS46" i="47"/>
  <c r="BZ61" i="47" s="1"/>
  <c r="AC46" i="46"/>
  <c r="AG46" i="46"/>
  <c r="BZ69" i="46"/>
  <c r="AE46" i="46"/>
  <c r="BZ68" i="46"/>
  <c r="AH46" i="46"/>
  <c r="BV63" i="44"/>
  <c r="BV55" i="44"/>
  <c r="AJ69" i="46"/>
  <c r="AK69" i="46" s="1"/>
  <c r="BY58" i="46" s="1"/>
  <c r="AF94" i="44"/>
  <c r="L40" i="58" s="1"/>
  <c r="AF70" i="44"/>
  <c r="L40" i="54" s="1"/>
  <c r="AZ70" i="44"/>
  <c r="L40" i="55" s="1"/>
  <c r="AJ93" i="47"/>
  <c r="P79" i="58" s="1"/>
  <c r="P68" i="47"/>
  <c r="AI44" i="47"/>
  <c r="O70" i="43"/>
  <c r="AH94" i="43" s="1"/>
  <c r="O94" i="43"/>
  <c r="BJ22" i="47"/>
  <c r="BK22" i="47" s="1"/>
  <c r="BL22" i="47" s="1"/>
  <c r="P22" i="47" s="1"/>
  <c r="O80" i="51" s="1"/>
  <c r="AR46" i="47"/>
  <c r="BZ60" i="47" s="1"/>
  <c r="Y70" i="46"/>
  <c r="Y94" i="46"/>
  <c r="E60" i="58" s="1"/>
  <c r="AS70" i="46"/>
  <c r="Z46" i="47"/>
  <c r="I95" i="44"/>
  <c r="H41" i="57" s="1"/>
  <c r="Q70" i="46"/>
  <c r="P60" i="56" s="1"/>
  <c r="W70" i="46"/>
  <c r="W94" i="46"/>
  <c r="C60" i="58" s="1"/>
  <c r="AQ70" i="46"/>
  <c r="W94" i="47"/>
  <c r="C80" i="58" s="1"/>
  <c r="W70" i="47"/>
  <c r="C80" i="54" s="1"/>
  <c r="Q70" i="47"/>
  <c r="P80" i="56" s="1"/>
  <c r="AQ70" i="47"/>
  <c r="C80" i="55" s="1"/>
  <c r="BW46" i="43"/>
  <c r="BZ67" i="43" s="1"/>
  <c r="AD93" i="43"/>
  <c r="CA45" i="43"/>
  <c r="BA44" i="43"/>
  <c r="BA69" i="43"/>
  <c r="AA69" i="43"/>
  <c r="AA93" i="43"/>
  <c r="N47" i="43"/>
  <c r="N71" i="43" s="1"/>
  <c r="I23" i="43"/>
  <c r="I46" i="43"/>
  <c r="M23" i="43"/>
  <c r="M46" i="43"/>
  <c r="G23" i="43"/>
  <c r="G46" i="43"/>
  <c r="H23" i="43"/>
  <c r="H46" i="43"/>
  <c r="H70" i="43" s="1"/>
  <c r="F23" i="43"/>
  <c r="F46" i="43"/>
  <c r="K23" i="43"/>
  <c r="K46" i="43"/>
  <c r="K70" i="43" s="1"/>
  <c r="J23" i="43"/>
  <c r="J46" i="43"/>
  <c r="E23" i="43"/>
  <c r="E46" i="43"/>
  <c r="AE69" i="43"/>
  <c r="AY69" i="43"/>
  <c r="AF68" i="43"/>
  <c r="AZ68" i="43"/>
  <c r="AD68" i="43"/>
  <c r="AX68" i="43"/>
  <c r="Z68" i="43"/>
  <c r="AT68" i="43"/>
  <c r="AC68" i="43"/>
  <c r="AW68" i="43"/>
  <c r="AB68" i="43"/>
  <c r="AV68" i="43"/>
  <c r="X68" i="43"/>
  <c r="AR68" i="43"/>
  <c r="AH69" i="43"/>
  <c r="BB69" i="43"/>
  <c r="Y68" i="43"/>
  <c r="AS68" i="43"/>
  <c r="AU68" i="43"/>
  <c r="AU21" i="43"/>
  <c r="AY22" i="43"/>
  <c r="AW22" i="43"/>
  <c r="BA23" i="43"/>
  <c r="AZ22" i="43"/>
  <c r="AV22" i="43"/>
  <c r="AX22" i="43"/>
  <c r="L21" i="57" l="1"/>
  <c r="P20" i="57"/>
  <c r="AI45" i="46"/>
  <c r="L20" i="58"/>
  <c r="J21" i="53"/>
  <c r="BV63" i="46"/>
  <c r="I20" i="58"/>
  <c r="C20" i="58"/>
  <c r="I21" i="57"/>
  <c r="P15" i="55"/>
  <c r="J60" i="55"/>
  <c r="J20" i="55" s="1"/>
  <c r="J60" i="54"/>
  <c r="J20" i="54" s="1"/>
  <c r="C21" i="56"/>
  <c r="P19" i="58"/>
  <c r="H60" i="55"/>
  <c r="H20" i="55" s="1"/>
  <c r="H60" i="54"/>
  <c r="H20" i="54" s="1"/>
  <c r="E21" i="57"/>
  <c r="J20" i="58"/>
  <c r="G21" i="57"/>
  <c r="P69" i="47"/>
  <c r="O79" i="53"/>
  <c r="J21" i="56"/>
  <c r="F60" i="55"/>
  <c r="F20" i="55" s="1"/>
  <c r="F60" i="54"/>
  <c r="F20" i="54" s="1"/>
  <c r="AK69" i="47"/>
  <c r="BY58" i="47" s="1"/>
  <c r="P79" i="54"/>
  <c r="BD67" i="44"/>
  <c r="P37" i="55" s="1"/>
  <c r="O37" i="55"/>
  <c r="G20" i="58"/>
  <c r="F21" i="56"/>
  <c r="P20" i="53"/>
  <c r="G60" i="55"/>
  <c r="G20" i="55" s="1"/>
  <c r="G60" i="54"/>
  <c r="G20" i="54" s="1"/>
  <c r="I60" i="55"/>
  <c r="I20" i="55" s="1"/>
  <c r="I60" i="54"/>
  <c r="I20" i="54" s="1"/>
  <c r="Z47" i="44"/>
  <c r="P41" i="53"/>
  <c r="J21" i="57"/>
  <c r="F21" i="57"/>
  <c r="P46" i="46"/>
  <c r="O60" i="53" s="1"/>
  <c r="O60" i="51"/>
  <c r="BD67" i="47"/>
  <c r="BW63" i="47" s="1"/>
  <c r="O77" i="55"/>
  <c r="P56" i="55"/>
  <c r="P16" i="55" s="1"/>
  <c r="P56" i="54"/>
  <c r="P16" i="54" s="1"/>
  <c r="H21" i="56"/>
  <c r="L21" i="56"/>
  <c r="O16" i="55"/>
  <c r="O20" i="51"/>
  <c r="H21" i="57"/>
  <c r="D60" i="55"/>
  <c r="D60" i="54"/>
  <c r="AK69" i="44"/>
  <c r="BY58" i="44" s="1"/>
  <c r="P39" i="54"/>
  <c r="BD67" i="46"/>
  <c r="BW63" i="46" s="1"/>
  <c r="O57" i="55"/>
  <c r="O57" i="54"/>
  <c r="O17" i="54" s="1"/>
  <c r="G21" i="53"/>
  <c r="O19" i="51"/>
  <c r="C60" i="55"/>
  <c r="C20" i="55" s="1"/>
  <c r="C60" i="54"/>
  <c r="C20" i="54" s="1"/>
  <c r="C21" i="57"/>
  <c r="AR47" i="47"/>
  <c r="CA60" i="47" s="1"/>
  <c r="P81" i="53"/>
  <c r="AD47" i="46"/>
  <c r="P61" i="53"/>
  <c r="D20" i="55"/>
  <c r="L60" i="55"/>
  <c r="L20" i="55" s="1"/>
  <c r="L60" i="54"/>
  <c r="L20" i="54" s="1"/>
  <c r="E20" i="58"/>
  <c r="P93" i="44"/>
  <c r="O39" i="57" s="1"/>
  <c r="O39" i="53"/>
  <c r="G21" i="56"/>
  <c r="I21" i="56"/>
  <c r="E60" i="55"/>
  <c r="E20" i="55" s="1"/>
  <c r="E60" i="54"/>
  <c r="E20" i="54" s="1"/>
  <c r="E21" i="56"/>
  <c r="P92" i="47"/>
  <c r="O78" i="57" s="1"/>
  <c r="O18" i="57" s="1"/>
  <c r="O78" i="56"/>
  <c r="O18" i="56" s="1"/>
  <c r="D20" i="54"/>
  <c r="D20" i="58"/>
  <c r="P20" i="56"/>
  <c r="D21" i="57"/>
  <c r="D21" i="56"/>
  <c r="O71" i="43"/>
  <c r="AH95" i="43" s="1"/>
  <c r="L95" i="43"/>
  <c r="O95" i="43"/>
  <c r="J47" i="43"/>
  <c r="G47" i="43"/>
  <c r="AE95" i="43"/>
  <c r="BD21" i="43"/>
  <c r="K94" i="43"/>
  <c r="K47" i="43"/>
  <c r="M47" i="43"/>
  <c r="F47" i="43"/>
  <c r="I47" i="43"/>
  <c r="H94" i="43"/>
  <c r="BU46" i="46"/>
  <c r="BZ66" i="46" s="1"/>
  <c r="AI45" i="44"/>
  <c r="BC68" i="44"/>
  <c r="BO46" i="46"/>
  <c r="BZ64" i="46" s="1"/>
  <c r="AC47" i="46"/>
  <c r="AJ70" i="46"/>
  <c r="AK70" i="46" s="1"/>
  <c r="BZ58" i="46" s="1"/>
  <c r="AF47" i="46"/>
  <c r="AA47" i="46"/>
  <c r="AR47" i="46"/>
  <c r="CA60" i="46" s="1"/>
  <c r="BJ23" i="47"/>
  <c r="BK23" i="47" s="1"/>
  <c r="BL23" i="47" s="1"/>
  <c r="P23" i="47" s="1"/>
  <c r="AI45" i="47"/>
  <c r="AQ47" i="46"/>
  <c r="CA59" i="46" s="1"/>
  <c r="W47" i="46"/>
  <c r="AU46" i="46"/>
  <c r="AS47" i="47"/>
  <c r="CA61" i="47" s="1"/>
  <c r="BC68" i="47"/>
  <c r="Y47" i="47"/>
  <c r="AC47" i="47"/>
  <c r="Z47" i="47"/>
  <c r="AA47" i="47"/>
  <c r="W47" i="47"/>
  <c r="AQ47" i="47"/>
  <c r="CA59" i="47" s="1"/>
  <c r="AI22" i="46"/>
  <c r="AJ22" i="46" s="1"/>
  <c r="AJ46" i="46"/>
  <c r="AJ46" i="44"/>
  <c r="BC69" i="44"/>
  <c r="AB47" i="44"/>
  <c r="AA47" i="44"/>
  <c r="AB95" i="46"/>
  <c r="H61" i="58" s="1"/>
  <c r="AB71" i="46"/>
  <c r="AV71" i="46"/>
  <c r="BJ23" i="46"/>
  <c r="BK23" i="46" s="1"/>
  <c r="BL23" i="46" s="1"/>
  <c r="P23" i="46" s="1"/>
  <c r="O61" i="51" s="1"/>
  <c r="AA95" i="46"/>
  <c r="G61" i="58" s="1"/>
  <c r="AU71" i="46"/>
  <c r="AJ94" i="46"/>
  <c r="P60" i="58" s="1"/>
  <c r="AJ94" i="44"/>
  <c r="P40" i="58" s="1"/>
  <c r="X95" i="46"/>
  <c r="D61" i="58" s="1"/>
  <c r="X71" i="46"/>
  <c r="AR71" i="46"/>
  <c r="AT47" i="44"/>
  <c r="CA62" i="44" s="1"/>
  <c r="F70" i="43"/>
  <c r="Y94" i="43" s="1"/>
  <c r="F94" i="43"/>
  <c r="Z95" i="47"/>
  <c r="F81" i="58" s="1"/>
  <c r="Z71" i="47"/>
  <c r="F81" i="54" s="1"/>
  <c r="AT71" i="47"/>
  <c r="F81" i="55" s="1"/>
  <c r="E70" i="43"/>
  <c r="X94" i="43" s="1"/>
  <c r="E94" i="43"/>
  <c r="AG95" i="43"/>
  <c r="N95" i="43"/>
  <c r="Y47" i="46"/>
  <c r="AH47" i="46"/>
  <c r="AG47" i="46"/>
  <c r="AE47" i="46"/>
  <c r="CA68" i="46"/>
  <c r="CA69" i="46"/>
  <c r="AD47" i="47"/>
  <c r="CA69" i="47"/>
  <c r="CA68" i="47"/>
  <c r="AG47" i="47"/>
  <c r="AH47" i="47"/>
  <c r="AE47" i="47"/>
  <c r="AS47" i="46"/>
  <c r="CA61" i="46" s="1"/>
  <c r="BJ23" i="44"/>
  <c r="BK23" i="44" s="1"/>
  <c r="BL23" i="44" s="1"/>
  <c r="P23" i="44" s="1"/>
  <c r="O41" i="51" s="1"/>
  <c r="AF95" i="46"/>
  <c r="L61" i="58" s="1"/>
  <c r="AF71" i="46"/>
  <c r="AZ71" i="46"/>
  <c r="AD95" i="47"/>
  <c r="J81" i="58" s="1"/>
  <c r="AD71" i="47"/>
  <c r="J81" i="54" s="1"/>
  <c r="AX71" i="47"/>
  <c r="J81" i="55" s="1"/>
  <c r="X47" i="47"/>
  <c r="I70" i="43"/>
  <c r="AB94" i="43" s="1"/>
  <c r="I94" i="43"/>
  <c r="AI22" i="47"/>
  <c r="P46" i="47"/>
  <c r="O80" i="53" s="1"/>
  <c r="O20" i="53" s="1"/>
  <c r="BO46" i="47"/>
  <c r="BZ64" i="47" s="1"/>
  <c r="BU46" i="47"/>
  <c r="BZ66" i="47" s="1"/>
  <c r="P94" i="46"/>
  <c r="O60" i="57" s="1"/>
  <c r="W95" i="46"/>
  <c r="C61" i="58" s="1"/>
  <c r="Q71" i="46"/>
  <c r="P61" i="56" s="1"/>
  <c r="W71" i="46"/>
  <c r="AQ71" i="46"/>
  <c r="W47" i="44"/>
  <c r="W95" i="47"/>
  <c r="C81" i="58" s="1"/>
  <c r="W71" i="47"/>
  <c r="C81" i="54" s="1"/>
  <c r="Q71" i="47"/>
  <c r="P81" i="56" s="1"/>
  <c r="AQ71" i="47"/>
  <c r="C81" i="55" s="1"/>
  <c r="Y47" i="44"/>
  <c r="Z47" i="46"/>
  <c r="AD47" i="44"/>
  <c r="AJ70" i="44"/>
  <c r="AR47" i="44"/>
  <c r="CA60" i="44" s="1"/>
  <c r="AA95" i="44"/>
  <c r="G41" i="58" s="1"/>
  <c r="AU71" i="44"/>
  <c r="G41" i="55" s="1"/>
  <c r="AU46" i="47"/>
  <c r="BZ59" i="47"/>
  <c r="AD95" i="46"/>
  <c r="J61" i="58" s="1"/>
  <c r="AD71" i="46"/>
  <c r="AX71" i="46"/>
  <c r="AU46" i="44"/>
  <c r="X95" i="47"/>
  <c r="D81" i="58" s="1"/>
  <c r="X71" i="47"/>
  <c r="D81" i="54" s="1"/>
  <c r="AR71" i="47"/>
  <c r="D81" i="55" s="1"/>
  <c r="BC68" i="46"/>
  <c r="BC69" i="47"/>
  <c r="AS47" i="44"/>
  <c r="CA61" i="44" s="1"/>
  <c r="AB47" i="47"/>
  <c r="AJ22" i="44"/>
  <c r="Q95" i="47"/>
  <c r="P81" i="57" s="1"/>
  <c r="Z95" i="46"/>
  <c r="F61" i="58" s="1"/>
  <c r="Z71" i="46"/>
  <c r="AT71" i="46"/>
  <c r="AC95" i="46"/>
  <c r="I61" i="58" s="1"/>
  <c r="AC71" i="46"/>
  <c r="AW71" i="46"/>
  <c r="AF47" i="44"/>
  <c r="AC47" i="44"/>
  <c r="Y95" i="47"/>
  <c r="E81" i="58" s="1"/>
  <c r="Y71" i="47"/>
  <c r="E81" i="54" s="1"/>
  <c r="AS71" i="47"/>
  <c r="E81" i="55" s="1"/>
  <c r="W95" i="44"/>
  <c r="C41" i="58" s="1"/>
  <c r="W71" i="44"/>
  <c r="C41" i="54" s="1"/>
  <c r="Q71" i="44"/>
  <c r="P41" i="56" s="1"/>
  <c r="AQ71" i="44"/>
  <c r="C41" i="55" s="1"/>
  <c r="AD71" i="44"/>
  <c r="J41" i="54" s="1"/>
  <c r="AD95" i="44"/>
  <c r="J41" i="58" s="1"/>
  <c r="AX71" i="44"/>
  <c r="J41" i="55" s="1"/>
  <c r="AT47" i="47"/>
  <c r="CA62" i="47" s="1"/>
  <c r="X95" i="44"/>
  <c r="D41" i="58" s="1"/>
  <c r="X71" i="44"/>
  <c r="D41" i="54" s="1"/>
  <c r="AR71" i="44"/>
  <c r="D41" i="55" s="1"/>
  <c r="AB95" i="47"/>
  <c r="H81" i="58" s="1"/>
  <c r="AB71" i="47"/>
  <c r="H81" i="54" s="1"/>
  <c r="AV71" i="47"/>
  <c r="H81" i="55" s="1"/>
  <c r="AF47" i="47"/>
  <c r="P94" i="44"/>
  <c r="O40" i="57" s="1"/>
  <c r="AI46" i="44"/>
  <c r="G70" i="43"/>
  <c r="Z94" i="43" s="1"/>
  <c r="G94" i="43"/>
  <c r="Q95" i="46"/>
  <c r="P61" i="57" s="1"/>
  <c r="AQ47" i="44"/>
  <c r="CA68" i="44"/>
  <c r="CA69" i="44"/>
  <c r="AH47" i="44"/>
  <c r="AE47" i="44"/>
  <c r="AG47" i="44"/>
  <c r="Y95" i="44"/>
  <c r="E41" i="58" s="1"/>
  <c r="Y71" i="44"/>
  <c r="E41" i="54" s="1"/>
  <c r="AS71" i="44"/>
  <c r="E41" i="55" s="1"/>
  <c r="X47" i="44"/>
  <c r="M70" i="43"/>
  <c r="AF94" i="43" s="1"/>
  <c r="M94" i="43"/>
  <c r="AJ70" i="47"/>
  <c r="AB95" i="44"/>
  <c r="H41" i="58" s="1"/>
  <c r="AB71" i="44"/>
  <c r="H41" i="54" s="1"/>
  <c r="AV71" i="44"/>
  <c r="H41" i="55" s="1"/>
  <c r="AF71" i="44"/>
  <c r="L41" i="54" s="1"/>
  <c r="AF95" i="44"/>
  <c r="L41" i="58" s="1"/>
  <c r="AZ71" i="44"/>
  <c r="L41" i="55" s="1"/>
  <c r="Q95" i="44"/>
  <c r="P41" i="57" s="1"/>
  <c r="AC95" i="47"/>
  <c r="I81" i="58" s="1"/>
  <c r="AC71" i="47"/>
  <c r="I81" i="54" s="1"/>
  <c r="AW71" i="47"/>
  <c r="I81" i="55" s="1"/>
  <c r="AT47" i="46"/>
  <c r="CA62" i="46" s="1"/>
  <c r="AA95" i="47"/>
  <c r="G81" i="58" s="1"/>
  <c r="AU71" i="47"/>
  <c r="G81" i="55" s="1"/>
  <c r="AJ46" i="47"/>
  <c r="Z95" i="44"/>
  <c r="F41" i="58" s="1"/>
  <c r="F21" i="58" s="1"/>
  <c r="Z71" i="44"/>
  <c r="F41" i="54" s="1"/>
  <c r="AT71" i="44"/>
  <c r="F41" i="55" s="1"/>
  <c r="AF71" i="47"/>
  <c r="L81" i="54" s="1"/>
  <c r="AF95" i="47"/>
  <c r="L81" i="58" s="1"/>
  <c r="AZ71" i="47"/>
  <c r="L81" i="55" s="1"/>
  <c r="J70" i="43"/>
  <c r="AC94" i="43" s="1"/>
  <c r="J94" i="43"/>
  <c r="AJ94" i="47"/>
  <c r="P80" i="58" s="1"/>
  <c r="AC95" i="44"/>
  <c r="I41" i="58" s="1"/>
  <c r="I21" i="58" s="1"/>
  <c r="AC71" i="44"/>
  <c r="I41" i="54" s="1"/>
  <c r="AW71" i="44"/>
  <c r="I41" i="55" s="1"/>
  <c r="Y95" i="46"/>
  <c r="E61" i="58" s="1"/>
  <c r="Y71" i="46"/>
  <c r="AS71" i="46"/>
  <c r="X47" i="46"/>
  <c r="AB47" i="46"/>
  <c r="BC69" i="46"/>
  <c r="BW47" i="43"/>
  <c r="CA67" i="43" s="1"/>
  <c r="AD94" i="43"/>
  <c r="CA46" i="43"/>
  <c r="BA45" i="43"/>
  <c r="E47" i="43"/>
  <c r="AA70" i="43"/>
  <c r="AA94" i="43"/>
  <c r="H47" i="43"/>
  <c r="H71" i="43" s="1"/>
  <c r="AF69" i="43"/>
  <c r="AZ69" i="43"/>
  <c r="AB69" i="43"/>
  <c r="AV69" i="43"/>
  <c r="AH70" i="43"/>
  <c r="BB70" i="43"/>
  <c r="X69" i="43"/>
  <c r="AR69" i="43"/>
  <c r="AG70" i="43"/>
  <c r="BA70" i="43"/>
  <c r="Z69" i="43"/>
  <c r="AT69" i="43"/>
  <c r="AD69" i="43"/>
  <c r="AX69" i="43"/>
  <c r="AE70" i="43"/>
  <c r="AY70" i="43"/>
  <c r="AU69" i="43"/>
  <c r="Y69" i="43"/>
  <c r="AS69" i="43"/>
  <c r="AC69" i="43"/>
  <c r="AW69" i="43"/>
  <c r="AU22" i="43"/>
  <c r="AY23" i="43"/>
  <c r="AV23" i="43"/>
  <c r="AX23" i="43"/>
  <c r="AZ23" i="43"/>
  <c r="AW23" i="43"/>
  <c r="P21" i="53" l="1"/>
  <c r="AI46" i="46"/>
  <c r="BW55" i="44"/>
  <c r="BW63" i="44"/>
  <c r="J21" i="58"/>
  <c r="H21" i="58"/>
  <c r="P20" i="58"/>
  <c r="BD69" i="46"/>
  <c r="BY63" i="46" s="1"/>
  <c r="O59" i="55"/>
  <c r="O59" i="54"/>
  <c r="O19" i="54" s="1"/>
  <c r="AK70" i="47"/>
  <c r="BZ58" i="47" s="1"/>
  <c r="P80" i="54"/>
  <c r="D21" i="58"/>
  <c r="C21" i="58"/>
  <c r="BD69" i="47"/>
  <c r="P79" i="55" s="1"/>
  <c r="O79" i="55"/>
  <c r="AK70" i="44"/>
  <c r="BZ58" i="44" s="1"/>
  <c r="P40" i="54"/>
  <c r="BW55" i="46"/>
  <c r="P57" i="55"/>
  <c r="P57" i="54"/>
  <c r="P17" i="54" s="1"/>
  <c r="P21" i="57"/>
  <c r="F61" i="55"/>
  <c r="F21" i="55" s="1"/>
  <c r="F61" i="54"/>
  <c r="F21" i="54" s="1"/>
  <c r="C61" i="55"/>
  <c r="C21" i="55" s="1"/>
  <c r="C61" i="54"/>
  <c r="C21" i="54" s="1"/>
  <c r="L61" i="55"/>
  <c r="L21" i="55" s="1"/>
  <c r="L61" i="54"/>
  <c r="L21" i="54" s="1"/>
  <c r="G61" i="55"/>
  <c r="G21" i="55" s="1"/>
  <c r="G61" i="54"/>
  <c r="G21" i="54" s="1"/>
  <c r="BD69" i="44"/>
  <c r="BY55" i="44" s="1"/>
  <c r="O39" i="55"/>
  <c r="P47" i="47"/>
  <c r="O81" i="53" s="1"/>
  <c r="O81" i="51"/>
  <c r="O21" i="51" s="1"/>
  <c r="BW55" i="47"/>
  <c r="P77" i="55"/>
  <c r="BD68" i="46"/>
  <c r="BX63" i="46" s="1"/>
  <c r="O58" i="55"/>
  <c r="O58" i="54"/>
  <c r="O18" i="54" s="1"/>
  <c r="BD68" i="44"/>
  <c r="O38" i="55"/>
  <c r="O19" i="53"/>
  <c r="O17" i="55"/>
  <c r="P93" i="47"/>
  <c r="O79" i="57" s="1"/>
  <c r="O19" i="57" s="1"/>
  <c r="O79" i="56"/>
  <c r="O19" i="56" s="1"/>
  <c r="E61" i="55"/>
  <c r="E21" i="55" s="1"/>
  <c r="E61" i="54"/>
  <c r="E21" i="54" s="1"/>
  <c r="BD68" i="47"/>
  <c r="BX55" i="47" s="1"/>
  <c r="O78" i="55"/>
  <c r="L21" i="58"/>
  <c r="G21" i="58"/>
  <c r="D61" i="55"/>
  <c r="D21" i="55" s="1"/>
  <c r="D61" i="54"/>
  <c r="D21" i="54" s="1"/>
  <c r="H61" i="55"/>
  <c r="H21" i="55" s="1"/>
  <c r="H61" i="54"/>
  <c r="H21" i="54" s="1"/>
  <c r="E21" i="58"/>
  <c r="P21" i="56"/>
  <c r="I61" i="55"/>
  <c r="I21" i="55" s="1"/>
  <c r="I61" i="54"/>
  <c r="I21" i="54" s="1"/>
  <c r="J61" i="54"/>
  <c r="J21" i="54" s="1"/>
  <c r="J61" i="55"/>
  <c r="J21" i="55" s="1"/>
  <c r="K71" i="43"/>
  <c r="AD95" i="43" s="1"/>
  <c r="F95" i="43"/>
  <c r="J95" i="43"/>
  <c r="I95" i="43"/>
  <c r="G71" i="43"/>
  <c r="Z95" i="43" s="1"/>
  <c r="J71" i="43"/>
  <c r="AC95" i="43" s="1"/>
  <c r="I71" i="43"/>
  <c r="AB95" i="43" s="1"/>
  <c r="M95" i="43"/>
  <c r="F71" i="43"/>
  <c r="Y95" i="43" s="1"/>
  <c r="M71" i="43"/>
  <c r="AF95" i="43" s="1"/>
  <c r="G95" i="43"/>
  <c r="K95" i="43"/>
  <c r="BD22" i="43"/>
  <c r="BO47" i="47"/>
  <c r="CA64" i="47" s="1"/>
  <c r="AJ47" i="46"/>
  <c r="AJ95" i="44"/>
  <c r="P41" i="58" s="1"/>
  <c r="BU47" i="47"/>
  <c r="CA66" i="47" s="1"/>
  <c r="AI23" i="47"/>
  <c r="AJ23" i="47" s="1"/>
  <c r="AJ47" i="47"/>
  <c r="BC70" i="44"/>
  <c r="AJ95" i="46"/>
  <c r="P61" i="58" s="1"/>
  <c r="AI46" i="47"/>
  <c r="P70" i="47"/>
  <c r="AJ22" i="47"/>
  <c r="BC70" i="46"/>
  <c r="CA47" i="43"/>
  <c r="H95" i="43"/>
  <c r="AJ71" i="47"/>
  <c r="CA59" i="44"/>
  <c r="AU47" i="44"/>
  <c r="AJ95" i="47"/>
  <c r="P81" i="58" s="1"/>
  <c r="P47" i="44"/>
  <c r="O41" i="53" s="1"/>
  <c r="AI23" i="44"/>
  <c r="BO47" i="44"/>
  <c r="CA64" i="44" s="1"/>
  <c r="BU47" i="44"/>
  <c r="CA66" i="44" s="1"/>
  <c r="AJ47" i="44"/>
  <c r="AU47" i="46"/>
  <c r="E71" i="43"/>
  <c r="X95" i="43" s="1"/>
  <c r="E95" i="43"/>
  <c r="BX55" i="46"/>
  <c r="AU47" i="47"/>
  <c r="AJ71" i="44"/>
  <c r="AJ71" i="46"/>
  <c r="AK71" i="46" s="1"/>
  <c r="CA58" i="46" s="1"/>
  <c r="P47" i="46"/>
  <c r="O61" i="53" s="1"/>
  <c r="AI23" i="46"/>
  <c r="BO47" i="46"/>
  <c r="CA64" i="46" s="1"/>
  <c r="BU47" i="46"/>
  <c r="CA66" i="46" s="1"/>
  <c r="BA47" i="43"/>
  <c r="BA46" i="43"/>
  <c r="AA71" i="43"/>
  <c r="AA95" i="43"/>
  <c r="AU70" i="43"/>
  <c r="AH71" i="43"/>
  <c r="BB71" i="43"/>
  <c r="AE71" i="43"/>
  <c r="AY71" i="43"/>
  <c r="Z70" i="43"/>
  <c r="AT70" i="43"/>
  <c r="AF70" i="43"/>
  <c r="AZ70" i="43"/>
  <c r="AD70" i="43"/>
  <c r="AX70" i="43"/>
  <c r="Y70" i="43"/>
  <c r="AS70" i="43"/>
  <c r="AC70" i="43"/>
  <c r="AW70" i="43"/>
  <c r="AB70" i="43"/>
  <c r="AV70" i="43"/>
  <c r="AG71" i="43"/>
  <c r="BA71" i="43"/>
  <c r="X70" i="43"/>
  <c r="AR70" i="43"/>
  <c r="AU23" i="43"/>
  <c r="P71" i="47" l="1"/>
  <c r="P95" i="47" s="1"/>
  <c r="O81" i="57" s="1"/>
  <c r="O21" i="53"/>
  <c r="BY63" i="47"/>
  <c r="BY55" i="46"/>
  <c r="BY55" i="47"/>
  <c r="P17" i="55"/>
  <c r="AI47" i="47"/>
  <c r="P21" i="58"/>
  <c r="BD70" i="46"/>
  <c r="BZ63" i="46" s="1"/>
  <c r="O60" i="55"/>
  <c r="O60" i="54"/>
  <c r="O20" i="54" s="1"/>
  <c r="AK71" i="44"/>
  <c r="CA58" i="44" s="1"/>
  <c r="P41" i="54"/>
  <c r="O19" i="55"/>
  <c r="P94" i="47"/>
  <c r="O80" i="57" s="1"/>
  <c r="O20" i="57" s="1"/>
  <c r="O80" i="56"/>
  <c r="O20" i="56" s="1"/>
  <c r="P58" i="55"/>
  <c r="P58" i="54"/>
  <c r="P18" i="54" s="1"/>
  <c r="BY63" i="44"/>
  <c r="P39" i="55"/>
  <c r="AK71" i="47"/>
  <c r="CA58" i="47" s="1"/>
  <c r="P81" i="54"/>
  <c r="BX63" i="47"/>
  <c r="P78" i="55"/>
  <c r="O18" i="55"/>
  <c r="P59" i="55"/>
  <c r="P59" i="54"/>
  <c r="P19" i="54" s="1"/>
  <c r="BD70" i="44"/>
  <c r="P40" i="55" s="1"/>
  <c r="O40" i="55"/>
  <c r="BX63" i="44"/>
  <c r="P38" i="55"/>
  <c r="BX55" i="44"/>
  <c r="BD23" i="43"/>
  <c r="BC70" i="47"/>
  <c r="AI47" i="44"/>
  <c r="P95" i="44"/>
  <c r="O41" i="57" s="1"/>
  <c r="AJ23" i="46"/>
  <c r="P95" i="46"/>
  <c r="O61" i="57" s="1"/>
  <c r="AI47" i="46"/>
  <c r="BC71" i="47"/>
  <c r="AJ23" i="44"/>
  <c r="AB71" i="43"/>
  <c r="AV71" i="43"/>
  <c r="X71" i="43"/>
  <c r="AR71" i="43"/>
  <c r="Z71" i="43"/>
  <c r="AT71" i="43"/>
  <c r="AU71" i="43"/>
  <c r="Y71" i="43"/>
  <c r="AS71" i="43"/>
  <c r="AF71" i="43"/>
  <c r="AZ71" i="43"/>
  <c r="AD71" i="43"/>
  <c r="AX71" i="43"/>
  <c r="AC71" i="43"/>
  <c r="AW71" i="43"/>
  <c r="O81" i="56" l="1"/>
  <c r="O21" i="56" s="1"/>
  <c r="O21" i="57"/>
  <c r="BZ63" i="44"/>
  <c r="BZ55" i="44"/>
  <c r="BZ55" i="46"/>
  <c r="P19" i="55"/>
  <c r="BD71" i="47"/>
  <c r="P81" i="55" s="1"/>
  <c r="O81" i="55"/>
  <c r="BD70" i="47"/>
  <c r="O80" i="55"/>
  <c r="O20" i="55" s="1"/>
  <c r="P18" i="55"/>
  <c r="P60" i="55"/>
  <c r="P60" i="54"/>
  <c r="P20" i="54" s="1"/>
  <c r="BC71" i="46"/>
  <c r="BC71" i="44"/>
  <c r="D5" i="43"/>
  <c r="CA63" i="47" l="1"/>
  <c r="CA55" i="47"/>
  <c r="BZ55" i="47"/>
  <c r="P80" i="55"/>
  <c r="P20" i="55" s="1"/>
  <c r="BD71" i="46"/>
  <c r="O61" i="55"/>
  <c r="O61" i="54"/>
  <c r="O21" i="54" s="1"/>
  <c r="BD71" i="44"/>
  <c r="CA55" i="44" s="1"/>
  <c r="O41" i="55"/>
  <c r="BZ63" i="47"/>
  <c r="BR29" i="43"/>
  <c r="BI65" i="43" s="1"/>
  <c r="D6" i="43"/>
  <c r="D29" i="43"/>
  <c r="Q5" i="43"/>
  <c r="O21" i="55" l="1"/>
  <c r="CA63" i="44"/>
  <c r="P41" i="55"/>
  <c r="CA55" i="46"/>
  <c r="P61" i="55"/>
  <c r="P61" i="54"/>
  <c r="P21" i="54" s="1"/>
  <c r="CA63" i="46"/>
  <c r="D53" i="43"/>
  <c r="W77" i="43" s="1"/>
  <c r="AJ77" i="43" s="1"/>
  <c r="D77" i="43"/>
  <c r="Q77" i="43" s="1"/>
  <c r="BR30" i="43"/>
  <c r="BJ65" i="43" s="1"/>
  <c r="D7" i="43"/>
  <c r="D30" i="43"/>
  <c r="Q6" i="43"/>
  <c r="Q29" i="43"/>
  <c r="P21" i="55" l="1"/>
  <c r="D54" i="43"/>
  <c r="W78" i="43" s="1"/>
  <c r="AJ78" i="43" s="1"/>
  <c r="D78" i="43"/>
  <c r="Q78" i="43" s="1"/>
  <c r="BI68" i="43"/>
  <c r="BI69" i="43"/>
  <c r="BR31" i="43"/>
  <c r="BK65" i="43" s="1"/>
  <c r="D8" i="43"/>
  <c r="D31" i="43"/>
  <c r="AQ29" i="43"/>
  <c r="BI59" i="43" s="1"/>
  <c r="AD29" i="43"/>
  <c r="AF29" i="43"/>
  <c r="AR29" i="43"/>
  <c r="BI60" i="43" s="1"/>
  <c r="BJ5" i="43"/>
  <c r="AE29" i="43"/>
  <c r="Y29" i="43"/>
  <c r="Z29" i="43"/>
  <c r="AG29" i="43"/>
  <c r="AB29" i="43"/>
  <c r="AS29" i="43"/>
  <c r="BI61" i="43" s="1"/>
  <c r="AC29" i="43"/>
  <c r="AT29" i="43"/>
  <c r="X29" i="43"/>
  <c r="AH29" i="43"/>
  <c r="AA29" i="43"/>
  <c r="Q7" i="43"/>
  <c r="W29" i="43"/>
  <c r="Q30" i="43"/>
  <c r="Q53" i="43"/>
  <c r="W53" i="43"/>
  <c r="AJ53" i="43" s="1"/>
  <c r="AK53" i="43" s="1"/>
  <c r="BI58" i="43" s="1"/>
  <c r="AQ53" i="43"/>
  <c r="D55" i="43" l="1"/>
  <c r="W79" i="43" s="1"/>
  <c r="AJ79" i="43" s="1"/>
  <c r="D79" i="43"/>
  <c r="Q79" i="43" s="1"/>
  <c r="BI62" i="43"/>
  <c r="BK5" i="43"/>
  <c r="BL5" i="43" s="1"/>
  <c r="BJ69" i="43"/>
  <c r="BJ68" i="43"/>
  <c r="BR32" i="43"/>
  <c r="BL65" i="43" s="1"/>
  <c r="D9" i="43"/>
  <c r="D32" i="43"/>
  <c r="AQ30" i="43"/>
  <c r="BJ59" i="43" s="1"/>
  <c r="W30" i="43"/>
  <c r="AC30" i="43"/>
  <c r="Z30" i="43"/>
  <c r="Y30" i="43"/>
  <c r="AF30" i="43"/>
  <c r="AT30" i="43"/>
  <c r="AS30" i="43"/>
  <c r="BJ61" i="43" s="1"/>
  <c r="AD30" i="43"/>
  <c r="X30" i="43"/>
  <c r="AB30" i="43"/>
  <c r="AA30" i="43"/>
  <c r="BJ6" i="43"/>
  <c r="AE30" i="43"/>
  <c r="AG30" i="43"/>
  <c r="AR30" i="43"/>
  <c r="BJ60" i="43" s="1"/>
  <c r="AH30" i="43"/>
  <c r="Q54" i="43"/>
  <c r="W54" i="43"/>
  <c r="AJ54" i="43" s="1"/>
  <c r="AK54" i="43" s="1"/>
  <c r="BJ58" i="43" s="1"/>
  <c r="AQ54" i="43"/>
  <c r="AJ29" i="43"/>
  <c r="Q31" i="43"/>
  <c r="Q8" i="43"/>
  <c r="AU29" i="43"/>
  <c r="D56" i="43" l="1"/>
  <c r="W80" i="43" s="1"/>
  <c r="AJ80" i="43" s="1"/>
  <c r="D80" i="43"/>
  <c r="Q80" i="43" s="1"/>
  <c r="BJ62" i="43"/>
  <c r="BK6" i="43"/>
  <c r="BL6" i="43" s="1"/>
  <c r="P5" i="43"/>
  <c r="W31" i="43"/>
  <c r="BK69" i="43"/>
  <c r="BK68" i="43"/>
  <c r="BR33" i="43"/>
  <c r="BM65" i="43" s="1"/>
  <c r="D10" i="43"/>
  <c r="D33" i="43"/>
  <c r="AU30" i="43"/>
  <c r="AJ30" i="43"/>
  <c r="AQ31" i="43"/>
  <c r="BK59" i="43" s="1"/>
  <c r="Q9" i="43"/>
  <c r="Q32" i="43"/>
  <c r="AG31" i="43"/>
  <c r="AF31" i="43"/>
  <c r="AD31" i="43"/>
  <c r="AH31" i="43"/>
  <c r="AT31" i="43"/>
  <c r="Z31" i="43"/>
  <c r="Y31" i="43"/>
  <c r="AR31" i="43"/>
  <c r="BK60" i="43" s="1"/>
  <c r="AB31" i="43"/>
  <c r="X31" i="43"/>
  <c r="AS31" i="43"/>
  <c r="BK61" i="43" s="1"/>
  <c r="AC31" i="43"/>
  <c r="AA31" i="43"/>
  <c r="BJ7" i="43"/>
  <c r="AE31" i="43"/>
  <c r="W55" i="43"/>
  <c r="AJ55" i="43" s="1"/>
  <c r="AK55" i="43" s="1"/>
  <c r="BK58" i="43" s="1"/>
  <c r="Q55" i="43"/>
  <c r="AQ55" i="43"/>
  <c r="AI5" i="43" l="1"/>
  <c r="D57" i="43"/>
  <c r="W81" i="43" s="1"/>
  <c r="AJ81" i="43" s="1"/>
  <c r="D81" i="43"/>
  <c r="Q81" i="43" s="1"/>
  <c r="BK62" i="43"/>
  <c r="BU29" i="43"/>
  <c r="BI66" i="43" s="1"/>
  <c r="P29" i="43"/>
  <c r="BO29" i="43"/>
  <c r="BI64" i="43" s="1"/>
  <c r="BK7" i="43"/>
  <c r="BL7" i="43" s="1"/>
  <c r="P6" i="43"/>
  <c r="AQ32" i="43"/>
  <c r="BL59" i="43" s="1"/>
  <c r="BL69" i="43"/>
  <c r="BL68" i="43"/>
  <c r="BR34" i="43"/>
  <c r="BN65" i="43" s="1"/>
  <c r="D11" i="43"/>
  <c r="D34" i="43"/>
  <c r="AU31" i="43"/>
  <c r="AJ31" i="43"/>
  <c r="Q33" i="43"/>
  <c r="AB32" i="43"/>
  <c r="Z32" i="43"/>
  <c r="AH32" i="43"/>
  <c r="AR32" i="43"/>
  <c r="BL60" i="43" s="1"/>
  <c r="AE32" i="43"/>
  <c r="AS32" i="43"/>
  <c r="BL61" i="43" s="1"/>
  <c r="AD32" i="43"/>
  <c r="AC32" i="43"/>
  <c r="Y32" i="43"/>
  <c r="AG32" i="43"/>
  <c r="AT32" i="43"/>
  <c r="BJ8" i="43"/>
  <c r="X32" i="43"/>
  <c r="AA32" i="43"/>
  <c r="AF32" i="43"/>
  <c r="Q10" i="43"/>
  <c r="W32" i="43"/>
  <c r="Q56" i="43"/>
  <c r="W56" i="43"/>
  <c r="AJ56" i="43" s="1"/>
  <c r="AK56" i="43" s="1"/>
  <c r="BL58" i="43" s="1"/>
  <c r="AQ56" i="43"/>
  <c r="AI6" i="43" l="1"/>
  <c r="D58" i="43"/>
  <c r="W82" i="43" s="1"/>
  <c r="AJ82" i="43" s="1"/>
  <c r="D82" i="43"/>
  <c r="Q82" i="43" s="1"/>
  <c r="BL62" i="43"/>
  <c r="BO30" i="43"/>
  <c r="BJ64" i="43" s="1"/>
  <c r="P30" i="43"/>
  <c r="BU30" i="43"/>
  <c r="BJ66" i="43" s="1"/>
  <c r="P7" i="43"/>
  <c r="AI29" i="43"/>
  <c r="AJ5" i="43"/>
  <c r="BK8" i="43"/>
  <c r="BL8" i="43" s="1"/>
  <c r="W33" i="43"/>
  <c r="BM68" i="43"/>
  <c r="BM69" i="43"/>
  <c r="BR35" i="43"/>
  <c r="BO65" i="43" s="1"/>
  <c r="D12" i="43"/>
  <c r="D35" i="43"/>
  <c r="AU32" i="43"/>
  <c r="AJ32" i="43"/>
  <c r="AA33" i="43"/>
  <c r="AR33" i="43"/>
  <c r="BM60" i="43" s="1"/>
  <c r="AS33" i="43"/>
  <c r="BM61" i="43" s="1"/>
  <c r="BJ9" i="43"/>
  <c r="AF33" i="43"/>
  <c r="AB33" i="43"/>
  <c r="AD33" i="43"/>
  <c r="Z33" i="43"/>
  <c r="AG33" i="43"/>
  <c r="AH33" i="43"/>
  <c r="X33" i="43"/>
  <c r="AE33" i="43"/>
  <c r="Y33" i="43"/>
  <c r="AT33" i="43"/>
  <c r="AC33" i="43"/>
  <c r="Q34" i="43"/>
  <c r="Q57" i="43"/>
  <c r="W57" i="43"/>
  <c r="AJ57" i="43" s="1"/>
  <c r="AK57" i="43" s="1"/>
  <c r="BM58" i="43" s="1"/>
  <c r="AQ57" i="43"/>
  <c r="AQ33" i="43"/>
  <c r="BM59" i="43" s="1"/>
  <c r="Q11" i="43"/>
  <c r="AI7" i="43" l="1"/>
  <c r="D59" i="43"/>
  <c r="W83" i="43" s="1"/>
  <c r="AJ83" i="43" s="1"/>
  <c r="D83" i="43"/>
  <c r="Q83" i="43" s="1"/>
  <c r="BC53" i="43"/>
  <c r="BD53" i="43" s="1"/>
  <c r="BI63" i="43" s="1"/>
  <c r="P77" i="43"/>
  <c r="BM62" i="43"/>
  <c r="P8" i="43"/>
  <c r="P31" i="43"/>
  <c r="BU31" i="43"/>
  <c r="BK66" i="43" s="1"/>
  <c r="BO31" i="43"/>
  <c r="BK64" i="43" s="1"/>
  <c r="AJ6" i="43"/>
  <c r="BK9" i="43"/>
  <c r="BL9" i="43" s="1"/>
  <c r="AI30" i="43"/>
  <c r="AQ34" i="43"/>
  <c r="BN59" i="43" s="1"/>
  <c r="BN68" i="43"/>
  <c r="BN69" i="43"/>
  <c r="BR36" i="43"/>
  <c r="BP65" i="43" s="1"/>
  <c r="D13" i="43"/>
  <c r="D36" i="43"/>
  <c r="AJ33" i="43"/>
  <c r="Q12" i="43"/>
  <c r="W34" i="43"/>
  <c r="W58" i="43"/>
  <c r="AJ58" i="43" s="1"/>
  <c r="AK58" i="43" s="1"/>
  <c r="BN58" i="43" s="1"/>
  <c r="Q58" i="43"/>
  <c r="AQ58" i="43"/>
  <c r="AU33" i="43"/>
  <c r="AG34" i="43"/>
  <c r="AT34" i="43"/>
  <c r="AF34" i="43"/>
  <c r="AS34" i="43"/>
  <c r="BN61" i="43" s="1"/>
  <c r="AA34" i="43"/>
  <c r="AR34" i="43"/>
  <c r="BN60" i="43" s="1"/>
  <c r="Z34" i="43"/>
  <c r="Y34" i="43"/>
  <c r="X34" i="43"/>
  <c r="AH34" i="43"/>
  <c r="AB34" i="43"/>
  <c r="AC34" i="43"/>
  <c r="AD34" i="43"/>
  <c r="AE34" i="43"/>
  <c r="BJ10" i="43"/>
  <c r="Q35" i="43"/>
  <c r="D60" i="43" l="1"/>
  <c r="W84" i="43" s="1"/>
  <c r="AJ84" i="43" s="1"/>
  <c r="D84" i="43"/>
  <c r="Q84" i="43" s="1"/>
  <c r="BI55" i="43"/>
  <c r="BC54" i="43"/>
  <c r="BD54" i="43" s="1"/>
  <c r="BJ55" i="43" s="1"/>
  <c r="P78" i="43"/>
  <c r="AI8" i="43"/>
  <c r="AJ8" i="43" s="1"/>
  <c r="BN62" i="43"/>
  <c r="P32" i="43"/>
  <c r="BU32" i="43"/>
  <c r="BL66" i="43" s="1"/>
  <c r="BO32" i="43"/>
  <c r="BL64" i="43" s="1"/>
  <c r="AJ7" i="43"/>
  <c r="AI31" i="43"/>
  <c r="P9" i="43"/>
  <c r="BK10" i="43"/>
  <c r="BL10" i="43" s="1"/>
  <c r="AQ35" i="43"/>
  <c r="BO59" i="43" s="1"/>
  <c r="BO68" i="43"/>
  <c r="BO69" i="43"/>
  <c r="BR37" i="43"/>
  <c r="BQ65" i="43" s="1"/>
  <c r="D14" i="43"/>
  <c r="D37" i="43"/>
  <c r="W35" i="43"/>
  <c r="AU34" i="43"/>
  <c r="AJ34" i="43"/>
  <c r="Q59" i="43"/>
  <c r="W59" i="43"/>
  <c r="AJ59" i="43" s="1"/>
  <c r="AK59" i="43" s="1"/>
  <c r="BO58" i="43" s="1"/>
  <c r="AQ59" i="43"/>
  <c r="AD35" i="43"/>
  <c r="AT35" i="43"/>
  <c r="AS35" i="43"/>
  <c r="BO61" i="43" s="1"/>
  <c r="AG35" i="43"/>
  <c r="X35" i="43"/>
  <c r="AF35" i="43"/>
  <c r="AR35" i="43"/>
  <c r="BO60" i="43" s="1"/>
  <c r="Z35" i="43"/>
  <c r="AA35" i="43"/>
  <c r="AC35" i="43"/>
  <c r="AH35" i="43"/>
  <c r="AE35" i="43"/>
  <c r="BJ11" i="43"/>
  <c r="Y35" i="43"/>
  <c r="AB35" i="43"/>
  <c r="Q36" i="43"/>
  <c r="Q13" i="43"/>
  <c r="AI9" i="43" l="1"/>
  <c r="P80" i="43"/>
  <c r="D61" i="43"/>
  <c r="W85" i="43" s="1"/>
  <c r="AJ85" i="43" s="1"/>
  <c r="D85" i="43"/>
  <c r="Q85" i="43" s="1"/>
  <c r="BC55" i="43"/>
  <c r="BD55" i="43" s="1"/>
  <c r="BK63" i="43" s="1"/>
  <c r="P79" i="43"/>
  <c r="BJ63" i="43"/>
  <c r="BO62" i="43"/>
  <c r="P10" i="43"/>
  <c r="AI32" i="43"/>
  <c r="BU33" i="43"/>
  <c r="BM66" i="43" s="1"/>
  <c r="P33" i="43"/>
  <c r="BO33" i="43"/>
  <c r="BM64" i="43" s="1"/>
  <c r="BK11" i="43"/>
  <c r="BL11" i="43" s="1"/>
  <c r="AQ36" i="43"/>
  <c r="BP59" i="43" s="1"/>
  <c r="BP69" i="43"/>
  <c r="BP68" i="43"/>
  <c r="BR38" i="43"/>
  <c r="BR65" i="43" s="1"/>
  <c r="D15" i="43"/>
  <c r="D38" i="43"/>
  <c r="AU35" i="43"/>
  <c r="W36" i="43"/>
  <c r="AJ35" i="43"/>
  <c r="Q14" i="43"/>
  <c r="AS36" i="43"/>
  <c r="BP61" i="43" s="1"/>
  <c r="AF36" i="43"/>
  <c r="Y36" i="43"/>
  <c r="AG36" i="43"/>
  <c r="BJ12" i="43"/>
  <c r="AT36" i="43"/>
  <c r="AR36" i="43"/>
  <c r="BP60" i="43" s="1"/>
  <c r="AA36" i="43"/>
  <c r="AB36" i="43"/>
  <c r="AD36" i="43"/>
  <c r="X36" i="43"/>
  <c r="AE36" i="43"/>
  <c r="AH36" i="43"/>
  <c r="AC36" i="43"/>
  <c r="Z36" i="43"/>
  <c r="Q37" i="43"/>
  <c r="Q60" i="43"/>
  <c r="W60" i="43"/>
  <c r="AJ60" i="43" s="1"/>
  <c r="AK60" i="43" s="1"/>
  <c r="BP58" i="43" s="1"/>
  <c r="AQ60" i="43"/>
  <c r="BC56" i="43" l="1"/>
  <c r="BD56" i="43" s="1"/>
  <c r="BL63" i="43" s="1"/>
  <c r="AI10" i="43"/>
  <c r="AJ10" i="43" s="1"/>
  <c r="BK55" i="43"/>
  <c r="D62" i="43"/>
  <c r="W86" i="43" s="1"/>
  <c r="AJ86" i="43" s="1"/>
  <c r="D86" i="43"/>
  <c r="Q86" i="43" s="1"/>
  <c r="BP62" i="43"/>
  <c r="BO34" i="43"/>
  <c r="BN64" i="43" s="1"/>
  <c r="P34" i="43"/>
  <c r="BU34" i="43"/>
  <c r="BN66" i="43" s="1"/>
  <c r="AI33" i="43"/>
  <c r="BK12" i="43"/>
  <c r="BL12" i="43" s="1"/>
  <c r="P11" i="43"/>
  <c r="AJ9" i="43"/>
  <c r="W37" i="43"/>
  <c r="BQ69" i="43"/>
  <c r="BQ68" i="43"/>
  <c r="BR39" i="43"/>
  <c r="BS65" i="43" s="1"/>
  <c r="D16" i="43"/>
  <c r="D39" i="43"/>
  <c r="AU36" i="43"/>
  <c r="AJ36" i="43"/>
  <c r="Q38" i="43"/>
  <c r="Q61" i="43"/>
  <c r="W61" i="43"/>
  <c r="AJ61" i="43" s="1"/>
  <c r="AK61" i="43" s="1"/>
  <c r="BQ58" i="43" s="1"/>
  <c r="AQ61" i="43"/>
  <c r="Q15" i="43"/>
  <c r="Z37" i="43"/>
  <c r="AC37" i="43"/>
  <c r="BJ13" i="43"/>
  <c r="AG37" i="43"/>
  <c r="AF37" i="43"/>
  <c r="AH37" i="43"/>
  <c r="AD37" i="43"/>
  <c r="AT37" i="43"/>
  <c r="AB37" i="43"/>
  <c r="X37" i="43"/>
  <c r="Y37" i="43"/>
  <c r="AR37" i="43"/>
  <c r="BQ60" i="43" s="1"/>
  <c r="AE37" i="43"/>
  <c r="AA37" i="43"/>
  <c r="AS37" i="43"/>
  <c r="BQ61" i="43" s="1"/>
  <c r="AQ37" i="43"/>
  <c r="BQ59" i="43" s="1"/>
  <c r="BL55" i="43" l="1"/>
  <c r="P82" i="43"/>
  <c r="AI11" i="43"/>
  <c r="D63" i="43"/>
  <c r="W87" i="43" s="1"/>
  <c r="AJ87" i="43" s="1"/>
  <c r="D87" i="43"/>
  <c r="Q87" i="43" s="1"/>
  <c r="BC57" i="43"/>
  <c r="BD57" i="43" s="1"/>
  <c r="BM55" i="43" s="1"/>
  <c r="P81" i="43"/>
  <c r="BQ62" i="43"/>
  <c r="AI34" i="43"/>
  <c r="P35" i="43"/>
  <c r="BU35" i="43"/>
  <c r="BO66" i="43" s="1"/>
  <c r="BO35" i="43"/>
  <c r="BO64" i="43" s="1"/>
  <c r="BK13" i="43"/>
  <c r="BL13" i="43" s="1"/>
  <c r="P12" i="43"/>
  <c r="BR69" i="43"/>
  <c r="BR68" i="43"/>
  <c r="BR40" i="43"/>
  <c r="BT65" i="43" s="1"/>
  <c r="D17" i="43"/>
  <c r="D40" i="43"/>
  <c r="AU37" i="43"/>
  <c r="AJ37" i="43"/>
  <c r="Q62" i="43"/>
  <c r="W62" i="43"/>
  <c r="AJ62" i="43" s="1"/>
  <c r="AK62" i="43" s="1"/>
  <c r="BR58" i="43" s="1"/>
  <c r="AQ62" i="43"/>
  <c r="AR38" i="43"/>
  <c r="BR60" i="43" s="1"/>
  <c r="AF38" i="43"/>
  <c r="AS38" i="43"/>
  <c r="BR61" i="43" s="1"/>
  <c r="Y38" i="43"/>
  <c r="AD38" i="43"/>
  <c r="AC38" i="43"/>
  <c r="AE38" i="43"/>
  <c r="AG38" i="43"/>
  <c r="AT38" i="43"/>
  <c r="BJ14" i="43"/>
  <c r="AA38" i="43"/>
  <c r="X38" i="43"/>
  <c r="Z38" i="43"/>
  <c r="AH38" i="43"/>
  <c r="AB38" i="43"/>
  <c r="AQ38" i="43"/>
  <c r="BR59" i="43" s="1"/>
  <c r="Q39" i="43"/>
  <c r="Q16" i="43"/>
  <c r="W38" i="43"/>
  <c r="BC58" i="43" l="1"/>
  <c r="BD58" i="43" s="1"/>
  <c r="BN63" i="43" s="1"/>
  <c r="AI12" i="43"/>
  <c r="D64" i="43"/>
  <c r="W88" i="43" s="1"/>
  <c r="AJ88" i="43" s="1"/>
  <c r="D88" i="43"/>
  <c r="Q88" i="43" s="1"/>
  <c r="BM63" i="43"/>
  <c r="BR62" i="43"/>
  <c r="P13" i="43"/>
  <c r="AJ11" i="43"/>
  <c r="BK14" i="43"/>
  <c r="BL14" i="43" s="1"/>
  <c r="AI35" i="43"/>
  <c r="BU36" i="43"/>
  <c r="BP66" i="43" s="1"/>
  <c r="BO36" i="43"/>
  <c r="BP64" i="43" s="1"/>
  <c r="P36" i="43"/>
  <c r="W39" i="43"/>
  <c r="BS69" i="43"/>
  <c r="BS68" i="43"/>
  <c r="BR41" i="43"/>
  <c r="BU65" i="43" s="1"/>
  <c r="D18" i="43"/>
  <c r="D41" i="43"/>
  <c r="AU38" i="43"/>
  <c r="Q17" i="43"/>
  <c r="W63" i="43"/>
  <c r="AJ63" i="43" s="1"/>
  <c r="AK63" i="43" s="1"/>
  <c r="BS58" i="43" s="1"/>
  <c r="Q63" i="43"/>
  <c r="AQ63" i="43"/>
  <c r="Z39" i="43"/>
  <c r="BJ15" i="43"/>
  <c r="AR39" i="43"/>
  <c r="BS60" i="43" s="1"/>
  <c r="AF39" i="43"/>
  <c r="X39" i="43"/>
  <c r="AB39" i="43"/>
  <c r="AT39" i="43"/>
  <c r="AC39" i="43"/>
  <c r="AS39" i="43"/>
  <c r="BS61" i="43" s="1"/>
  <c r="AD39" i="43"/>
  <c r="Y39" i="43"/>
  <c r="AA39" i="43"/>
  <c r="AE39" i="43"/>
  <c r="AH39" i="43"/>
  <c r="AG39" i="43"/>
  <c r="AQ39" i="43"/>
  <c r="BS59" i="43" s="1"/>
  <c r="AJ38" i="43"/>
  <c r="Q40" i="43"/>
  <c r="BN55" i="43" l="1"/>
  <c r="AI13" i="43"/>
  <c r="D65" i="43"/>
  <c r="W89" i="43" s="1"/>
  <c r="AJ89" i="43" s="1"/>
  <c r="D89" i="43"/>
  <c r="Q89" i="43" s="1"/>
  <c r="BC59" i="43"/>
  <c r="BD59" i="43" s="1"/>
  <c r="BO63" i="43" s="1"/>
  <c r="P83" i="43"/>
  <c r="BS62" i="43"/>
  <c r="P14" i="43"/>
  <c r="AI36" i="43"/>
  <c r="AJ12" i="43"/>
  <c r="BK15" i="43"/>
  <c r="BL15" i="43" s="1"/>
  <c r="BU37" i="43"/>
  <c r="BQ66" i="43" s="1"/>
  <c r="BO37" i="43"/>
  <c r="BQ64" i="43" s="1"/>
  <c r="P37" i="43"/>
  <c r="W40" i="43"/>
  <c r="BT69" i="43"/>
  <c r="BT68" i="43"/>
  <c r="BR42" i="43"/>
  <c r="BV65" i="43" s="1"/>
  <c r="D19" i="43"/>
  <c r="D42" i="43"/>
  <c r="AJ39" i="43"/>
  <c r="Q41" i="43"/>
  <c r="Q18" i="43"/>
  <c r="W64" i="43"/>
  <c r="AJ64" i="43" s="1"/>
  <c r="AK64" i="43" s="1"/>
  <c r="BT58" i="43" s="1"/>
  <c r="Q64" i="43"/>
  <c r="AQ64" i="43"/>
  <c r="AU39" i="43"/>
  <c r="Y40" i="43"/>
  <c r="Z40" i="43"/>
  <c r="AS40" i="43"/>
  <c r="BT61" i="43" s="1"/>
  <c r="AD40" i="43"/>
  <c r="AH40" i="43"/>
  <c r="AE40" i="43"/>
  <c r="AB40" i="43"/>
  <c r="AF40" i="43"/>
  <c r="AT40" i="43"/>
  <c r="AA40" i="43"/>
  <c r="AG40" i="43"/>
  <c r="X40" i="43"/>
  <c r="AR40" i="43"/>
  <c r="BT60" i="43" s="1"/>
  <c r="AC40" i="43"/>
  <c r="BJ16" i="43"/>
  <c r="AQ40" i="43"/>
  <c r="BT59" i="43" s="1"/>
  <c r="AI14" i="43" l="1"/>
  <c r="D66" i="43"/>
  <c r="W90" i="43" s="1"/>
  <c r="AJ90" i="43" s="1"/>
  <c r="D90" i="43"/>
  <c r="Q90" i="43" s="1"/>
  <c r="BC60" i="43"/>
  <c r="BD60" i="43" s="1"/>
  <c r="BP55" i="43" s="1"/>
  <c r="P84" i="43"/>
  <c r="BO55" i="43"/>
  <c r="BT62" i="43"/>
  <c r="AI37" i="43"/>
  <c r="P38" i="43"/>
  <c r="BU38" i="43"/>
  <c r="BR66" i="43" s="1"/>
  <c r="BO38" i="43"/>
  <c r="BR64" i="43" s="1"/>
  <c r="AJ13" i="43"/>
  <c r="BK16" i="43"/>
  <c r="BL16" i="43" s="1"/>
  <c r="P15" i="43"/>
  <c r="BU69" i="43"/>
  <c r="BU68" i="43"/>
  <c r="BR43" i="43"/>
  <c r="BW65" i="43" s="1"/>
  <c r="D20" i="43"/>
  <c r="D43" i="43"/>
  <c r="AJ40" i="43"/>
  <c r="AS41" i="43"/>
  <c r="BU61" i="43" s="1"/>
  <c r="AT41" i="43"/>
  <c r="AA41" i="43"/>
  <c r="AB41" i="43"/>
  <c r="AC41" i="43"/>
  <c r="AF41" i="43"/>
  <c r="AD41" i="43"/>
  <c r="X41" i="43"/>
  <c r="AE41" i="43"/>
  <c r="Y41" i="43"/>
  <c r="AH41" i="43"/>
  <c r="AR41" i="43"/>
  <c r="BU60" i="43" s="1"/>
  <c r="BJ17" i="43"/>
  <c r="AG41" i="43"/>
  <c r="Z41" i="43"/>
  <c r="AU40" i="43"/>
  <c r="Q42" i="43"/>
  <c r="AQ41" i="43"/>
  <c r="BU59" i="43" s="1"/>
  <c r="W41" i="43"/>
  <c r="Q19" i="43"/>
  <c r="Q65" i="43"/>
  <c r="W65" i="43"/>
  <c r="AJ65" i="43" s="1"/>
  <c r="AK65" i="43" s="1"/>
  <c r="BU58" i="43" s="1"/>
  <c r="AQ65" i="43"/>
  <c r="AI15" i="43" l="1"/>
  <c r="D67" i="43"/>
  <c r="W91" i="43" s="1"/>
  <c r="AJ91" i="43" s="1"/>
  <c r="D91" i="43"/>
  <c r="Q91" i="43" s="1"/>
  <c r="BC61" i="43"/>
  <c r="BD61" i="43" s="1"/>
  <c r="BQ55" i="43" s="1"/>
  <c r="P85" i="43"/>
  <c r="BP63" i="43"/>
  <c r="BU62" i="43"/>
  <c r="P39" i="43"/>
  <c r="BO39" i="43"/>
  <c r="BS64" i="43" s="1"/>
  <c r="BU39" i="43"/>
  <c r="BS66" i="43" s="1"/>
  <c r="AJ14" i="43"/>
  <c r="AI38" i="43"/>
  <c r="BK17" i="43"/>
  <c r="BL17" i="43" s="1"/>
  <c r="P16" i="43"/>
  <c r="AQ42" i="43"/>
  <c r="BV59" i="43" s="1"/>
  <c r="BV68" i="43"/>
  <c r="BV69" i="43"/>
  <c r="BR44" i="43"/>
  <c r="BX65" i="43" s="1"/>
  <c r="D21" i="43"/>
  <c r="D44" i="43"/>
  <c r="Q20" i="43"/>
  <c r="W42" i="43"/>
  <c r="AJ41" i="43"/>
  <c r="Q66" i="43"/>
  <c r="W66" i="43"/>
  <c r="AJ66" i="43" s="1"/>
  <c r="AK66" i="43" s="1"/>
  <c r="BV58" i="43" s="1"/>
  <c r="AQ66" i="43"/>
  <c r="Q43" i="43"/>
  <c r="AE42" i="43"/>
  <c r="BJ18" i="43"/>
  <c r="Y42" i="43"/>
  <c r="AR42" i="43"/>
  <c r="BV60" i="43" s="1"/>
  <c r="AF42" i="43"/>
  <c r="AS42" i="43"/>
  <c r="BV61" i="43" s="1"/>
  <c r="AH42" i="43"/>
  <c r="AT42" i="43"/>
  <c r="AD42" i="43"/>
  <c r="AC42" i="43"/>
  <c r="Z42" i="43"/>
  <c r="AG42" i="43"/>
  <c r="AA42" i="43"/>
  <c r="AB42" i="43"/>
  <c r="X42" i="43"/>
  <c r="AU41" i="43"/>
  <c r="AI16" i="43" l="1"/>
  <c r="D68" i="43"/>
  <c r="W92" i="43" s="1"/>
  <c r="AJ92" i="43" s="1"/>
  <c r="D92" i="43"/>
  <c r="Q92" i="43" s="1"/>
  <c r="BQ63" i="43"/>
  <c r="BC62" i="43"/>
  <c r="BD62" i="43" s="1"/>
  <c r="BR63" i="43" s="1"/>
  <c r="P86" i="43"/>
  <c r="BV62" i="43"/>
  <c r="BK18" i="43"/>
  <c r="BL18" i="43" s="1"/>
  <c r="P40" i="43"/>
  <c r="BU40" i="43"/>
  <c r="BT66" i="43" s="1"/>
  <c r="BO40" i="43"/>
  <c r="BT64" i="43" s="1"/>
  <c r="AJ15" i="43"/>
  <c r="P17" i="43"/>
  <c r="AI39" i="43"/>
  <c r="BW69" i="43"/>
  <c r="BW68" i="43"/>
  <c r="BR45" i="43"/>
  <c r="BY65" i="43" s="1"/>
  <c r="D22" i="43"/>
  <c r="D45" i="43"/>
  <c r="AU42" i="43"/>
  <c r="Q21" i="43"/>
  <c r="X43" i="43"/>
  <c r="AF43" i="43"/>
  <c r="AH43" i="43"/>
  <c r="Y43" i="43"/>
  <c r="Z43" i="43"/>
  <c r="AE43" i="43"/>
  <c r="BJ19" i="43"/>
  <c r="AD43" i="43"/>
  <c r="AB43" i="43"/>
  <c r="AT43" i="43"/>
  <c r="AC43" i="43"/>
  <c r="AG43" i="43"/>
  <c r="AS43" i="43"/>
  <c r="BW61" i="43" s="1"/>
  <c r="AA43" i="43"/>
  <c r="AR43" i="43"/>
  <c r="BW60" i="43" s="1"/>
  <c r="Q67" i="43"/>
  <c r="W67" i="43"/>
  <c r="AJ67" i="43" s="1"/>
  <c r="AK67" i="43" s="1"/>
  <c r="BW58" i="43" s="1"/>
  <c r="AQ67" i="43"/>
  <c r="AJ42" i="43"/>
  <c r="W43" i="43"/>
  <c r="AQ43" i="43"/>
  <c r="BW59" i="43" s="1"/>
  <c r="Q44" i="43"/>
  <c r="AI17" i="43" l="1"/>
  <c r="D69" i="43"/>
  <c r="W93" i="43" s="1"/>
  <c r="AJ93" i="43" s="1"/>
  <c r="D93" i="43"/>
  <c r="Q93" i="43" s="1"/>
  <c r="BR55" i="43"/>
  <c r="BC63" i="43"/>
  <c r="BD63" i="43" s="1"/>
  <c r="BS63" i="43" s="1"/>
  <c r="P87" i="43"/>
  <c r="BW62" i="43"/>
  <c r="AJ16" i="43"/>
  <c r="AI40" i="43"/>
  <c r="P41" i="43"/>
  <c r="BU41" i="43"/>
  <c r="BU66" i="43" s="1"/>
  <c r="BO41" i="43"/>
  <c r="BU64" i="43" s="1"/>
  <c r="P18" i="43"/>
  <c r="BK19" i="43"/>
  <c r="BL19" i="43" s="1"/>
  <c r="W44" i="43"/>
  <c r="BX69" i="43"/>
  <c r="BX68" i="43"/>
  <c r="BR46" i="43"/>
  <c r="BZ65" i="43" s="1"/>
  <c r="D23" i="43"/>
  <c r="D46" i="43"/>
  <c r="AJ43" i="43"/>
  <c r="Q22" i="43"/>
  <c r="Q45" i="43"/>
  <c r="AS44" i="43"/>
  <c r="BX61" i="43" s="1"/>
  <c r="AC44" i="43"/>
  <c r="AG44" i="43"/>
  <c r="X44" i="43"/>
  <c r="AD44" i="43"/>
  <c r="Z44" i="43"/>
  <c r="AT44" i="43"/>
  <c r="AF44" i="43"/>
  <c r="AR44" i="43"/>
  <c r="BX60" i="43" s="1"/>
  <c r="BJ20" i="43"/>
  <c r="AB44" i="43"/>
  <c r="AE44" i="43"/>
  <c r="AA44" i="43"/>
  <c r="AH44" i="43"/>
  <c r="Y44" i="43"/>
  <c r="AQ44" i="43"/>
  <c r="BX59" i="43" s="1"/>
  <c r="W68" i="43"/>
  <c r="AJ68" i="43" s="1"/>
  <c r="AK68" i="43" s="1"/>
  <c r="BX58" i="43" s="1"/>
  <c r="Q68" i="43"/>
  <c r="AQ68" i="43"/>
  <c r="AU43" i="43"/>
  <c r="AI18" i="43" l="1"/>
  <c r="D70" i="43"/>
  <c r="W94" i="43" s="1"/>
  <c r="AJ94" i="43" s="1"/>
  <c r="D94" i="43"/>
  <c r="Q94" i="43" s="1"/>
  <c r="BC64" i="43"/>
  <c r="BD64" i="43" s="1"/>
  <c r="BT55" i="43" s="1"/>
  <c r="P88" i="43"/>
  <c r="BS55" i="43"/>
  <c r="BX62" i="43"/>
  <c r="AI41" i="43"/>
  <c r="AJ17" i="43"/>
  <c r="BK20" i="43"/>
  <c r="BL20" i="43" s="1"/>
  <c r="P19" i="43"/>
  <c r="P42" i="43"/>
  <c r="BU42" i="43"/>
  <c r="BV66" i="43" s="1"/>
  <c r="BO42" i="43"/>
  <c r="BV64" i="43" s="1"/>
  <c r="AQ45" i="43"/>
  <c r="BY59" i="43" s="1"/>
  <c r="BY69" i="43"/>
  <c r="BY68" i="43"/>
  <c r="D47" i="43"/>
  <c r="BR47" i="43"/>
  <c r="CA65" i="43" s="1"/>
  <c r="AU44" i="43"/>
  <c r="W45" i="43"/>
  <c r="AJ44" i="43"/>
  <c r="Q69" i="43"/>
  <c r="W69" i="43"/>
  <c r="AJ69" i="43" s="1"/>
  <c r="AK69" i="43" s="1"/>
  <c r="BY58" i="43" s="1"/>
  <c r="AQ69" i="43"/>
  <c r="AE45" i="43"/>
  <c r="BJ21" i="43"/>
  <c r="Y45" i="43"/>
  <c r="AD45" i="43"/>
  <c r="AS45" i="43"/>
  <c r="BY61" i="43" s="1"/>
  <c r="AB45" i="43"/>
  <c r="AA45" i="43"/>
  <c r="AG45" i="43"/>
  <c r="AT45" i="43"/>
  <c r="X45" i="43"/>
  <c r="Z45" i="43"/>
  <c r="AF45" i="43"/>
  <c r="AR45" i="43"/>
  <c r="BY60" i="43" s="1"/>
  <c r="AH45" i="43"/>
  <c r="AC45" i="43"/>
  <c r="Q23" i="43"/>
  <c r="Q46" i="43"/>
  <c r="AI19" i="43" l="1"/>
  <c r="D71" i="43"/>
  <c r="W95" i="43" s="1"/>
  <c r="AJ95" i="43" s="1"/>
  <c r="D95" i="43"/>
  <c r="Q95" i="43" s="1"/>
  <c r="BC65" i="43"/>
  <c r="BD65" i="43" s="1"/>
  <c r="BU55" i="43" s="1"/>
  <c r="P89" i="43"/>
  <c r="BT63" i="43"/>
  <c r="BY62" i="43"/>
  <c r="P43" i="43"/>
  <c r="BU43" i="43"/>
  <c r="BW66" i="43" s="1"/>
  <c r="BO43" i="43"/>
  <c r="BW64" i="43" s="1"/>
  <c r="P20" i="43"/>
  <c r="AI42" i="43"/>
  <c r="BK21" i="43"/>
  <c r="BL21" i="43" s="1"/>
  <c r="AJ18" i="43"/>
  <c r="BZ69" i="43"/>
  <c r="BZ68" i="43"/>
  <c r="AJ45" i="43"/>
  <c r="AU45" i="43"/>
  <c r="Q47" i="43"/>
  <c r="AT46" i="43"/>
  <c r="AE46" i="43"/>
  <c r="AA46" i="43"/>
  <c r="Y46" i="43"/>
  <c r="Z46" i="43"/>
  <c r="BJ22" i="43"/>
  <c r="AG46" i="43"/>
  <c r="AR46" i="43"/>
  <c r="BZ60" i="43" s="1"/>
  <c r="AF46" i="43"/>
  <c r="AC46" i="43"/>
  <c r="X46" i="43"/>
  <c r="AH46" i="43"/>
  <c r="AS46" i="43"/>
  <c r="BZ61" i="43" s="1"/>
  <c r="AD46" i="43"/>
  <c r="AB46" i="43"/>
  <c r="W46" i="43"/>
  <c r="Q70" i="43"/>
  <c r="W70" i="43"/>
  <c r="AJ70" i="43" s="1"/>
  <c r="AK70" i="43" s="1"/>
  <c r="BZ58" i="43" s="1"/>
  <c r="AQ70" i="43"/>
  <c r="AQ46" i="43"/>
  <c r="BZ59" i="43" s="1"/>
  <c r="AI20" i="43" l="1"/>
  <c r="BJ23" i="43"/>
  <c r="BK23" i="43" s="1"/>
  <c r="BL23" i="43" s="1"/>
  <c r="BU63" i="43"/>
  <c r="BC66" i="43"/>
  <c r="BD66" i="43" s="1"/>
  <c r="BV55" i="43" s="1"/>
  <c r="P90" i="43"/>
  <c r="BZ62" i="43"/>
  <c r="P21" i="43"/>
  <c r="BK22" i="43"/>
  <c r="BL22" i="43" s="1"/>
  <c r="P44" i="43"/>
  <c r="BU44" i="43"/>
  <c r="BX66" i="43" s="1"/>
  <c r="BO44" i="43"/>
  <c r="BX64" i="43" s="1"/>
  <c r="AI43" i="43"/>
  <c r="AJ19" i="43"/>
  <c r="CA69" i="43"/>
  <c r="CA68" i="43"/>
  <c r="AJ46" i="43"/>
  <c r="AU46" i="43"/>
  <c r="AE47" i="43"/>
  <c r="AT47" i="43"/>
  <c r="AA47" i="43"/>
  <c r="AG47" i="43"/>
  <c r="AR47" i="43"/>
  <c r="CA60" i="43" s="1"/>
  <c r="Y47" i="43"/>
  <c r="AS47" i="43"/>
  <c r="CA61" i="43" s="1"/>
  <c r="AB47" i="43"/>
  <c r="Z47" i="43"/>
  <c r="AH47" i="43"/>
  <c r="AD47" i="43"/>
  <c r="X47" i="43"/>
  <c r="AC47" i="43"/>
  <c r="AF47" i="43"/>
  <c r="W47" i="43"/>
  <c r="AQ47" i="43"/>
  <c r="CA59" i="43" s="1"/>
  <c r="Q71" i="43"/>
  <c r="W71" i="43"/>
  <c r="AJ71" i="43" s="1"/>
  <c r="AK71" i="43" s="1"/>
  <c r="CA58" i="43" s="1"/>
  <c r="AQ71" i="43"/>
  <c r="BV63" i="43" l="1"/>
  <c r="BC67" i="43"/>
  <c r="BD67" i="43" s="1"/>
  <c r="BW55" i="43" s="1"/>
  <c r="P91" i="43"/>
  <c r="BU45" i="43"/>
  <c r="BY66" i="43" s="1"/>
  <c r="AI21" i="43"/>
  <c r="CA62" i="43"/>
  <c r="BO45" i="43"/>
  <c r="BY64" i="43" s="1"/>
  <c r="P45" i="43"/>
  <c r="AI44" i="43"/>
  <c r="AJ20" i="43"/>
  <c r="P22" i="43"/>
  <c r="P23" i="43"/>
  <c r="AJ47" i="43"/>
  <c r="AU47" i="43"/>
  <c r="AI22" i="43" l="1"/>
  <c r="BW63" i="43"/>
  <c r="BC68" i="43"/>
  <c r="BD68" i="43" s="1"/>
  <c r="BX63" i="43" s="1"/>
  <c r="P92" i="43"/>
  <c r="AI23" i="43"/>
  <c r="AJ23" i="43" s="1"/>
  <c r="AJ21" i="43"/>
  <c r="AI45" i="43"/>
  <c r="BO47" i="43"/>
  <c r="CA64" i="43" s="1"/>
  <c r="BU47" i="43"/>
  <c r="CA66" i="43" s="1"/>
  <c r="P46" i="43"/>
  <c r="BO46" i="43"/>
  <c r="BZ64" i="43" s="1"/>
  <c r="BU46" i="43"/>
  <c r="BZ66" i="43" s="1"/>
  <c r="P47" i="43"/>
  <c r="BC71" i="43" l="1"/>
  <c r="BD71" i="43" s="1"/>
  <c r="CA55" i="43" s="1"/>
  <c r="BX55" i="43"/>
  <c r="BC69" i="43"/>
  <c r="BD69" i="43" s="1"/>
  <c r="BY63" i="43" s="1"/>
  <c r="P93" i="43"/>
  <c r="AI47" i="43"/>
  <c r="AI46" i="43"/>
  <c r="AJ22" i="43"/>
  <c r="P95" i="43" l="1"/>
  <c r="CA63" i="43"/>
  <c r="BY55" i="43"/>
  <c r="BC70" i="43"/>
  <c r="BD70" i="43" s="1"/>
  <c r="BZ63" i="43" s="1"/>
  <c r="P94" i="43"/>
  <c r="BZ5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G2" authorId="0" shapeId="0" xr:uid="{769B2E54-9E5F-4D75-9C13-D8C4044E96B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 - 57%
65% will be used though</t>
        </r>
      </text>
    </comment>
    <comment ref="G3" authorId="0" shapeId="0" xr:uid="{598FBC3F-AC34-4107-8D50-2443FBB706AA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N3" authorId="0" shapeId="0" xr:uid="{D8492B14-9976-489B-B7DA-64C4EA209AE1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n/a, but assumed to be similar to ccgt</t>
        </r>
      </text>
    </comment>
    <comment ref="G4" authorId="0" shapeId="0" xr:uid="{90185411-3957-43F7-8BC4-63EA7125F2B2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K6" authorId="0" shapeId="0" xr:uid="{7353C2AB-302D-4D78-AFC7-3C750D107886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tCO2/Gwhe
different calculation</t>
        </r>
      </text>
    </comment>
    <comment ref="E9" authorId="0" shapeId="0" xr:uid="{0746465E-CABB-47EC-B43C-A65F8FDFBE9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commercial: 15-20%, ave 17.5%</t>
        </r>
      </text>
    </comment>
    <comment ref="L9" authorId="0" shapeId="0" xr:uid="{1EBBA510-80AB-4A8A-8547-C6724F6078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IEA : 1,119 USD/kW
https://www.iea.org/data-and-statistics/charts/capital-costs-of-utility-scale-solar-pv-in-selected-emerging-economies
real formula:
=AVERAGE(0.79,0.56,0.41,1.19,0.84,0.62,1.32,0.94,0.69)</t>
        </r>
      </text>
    </comment>
    <comment ref="E10" authorId="0" shapeId="0" xr:uid="{B56ADBB6-5452-42F7-AD9C-C1391F737063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theoretical, betz limit</t>
        </r>
      </text>
    </comment>
    <comment ref="G11" authorId="0" shapeId="0" xr:uid="{F99A182E-0235-491C-8CDF-54ED142AA4C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F14" authorId="0" shapeId="0" xr:uid="{2583B95F-3902-444F-B00F-5135F5328A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E15" authorId="0" shapeId="0" xr:uid="{736496BE-FF18-45FD-8A48-58C32B115218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AC round-trip efficiency</t>
        </r>
      </text>
    </comment>
    <comment ref="F15" authorId="0" shapeId="0" xr:uid="{58F0BA87-D570-4131-8D65-339B5600BCF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M15" authorId="0" shapeId="0" xr:uid="{024CECB6-B8DB-4C74-8071-6C23DFDD8E24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USD/mwh/year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C5" authorId="0" shapeId="0" xr:uid="{098D9687-5037-451E-8F34-4DF68DB5C81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Minus 356.74MW (80% of 396.5 MW max) from Java-Bali transmission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E62" authorId="0" shapeId="0" xr:uid="{57300049-2BD7-4E32-AD9E-9CB5E90827CC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taken from Bali data</t>
        </r>
      </text>
    </comment>
  </commentList>
</comments>
</file>

<file path=xl/sharedStrings.xml><?xml version="1.0" encoding="utf-8"?>
<sst xmlns="http://schemas.openxmlformats.org/spreadsheetml/2006/main" count="1055" uniqueCount="183">
  <si>
    <t>region</t>
  </si>
  <si>
    <t>year</t>
  </si>
  <si>
    <t>%</t>
  </si>
  <si>
    <t>INDONESIA</t>
  </si>
  <si>
    <t>SUMATERA</t>
  </si>
  <si>
    <t>KALIMANTAN</t>
  </si>
  <si>
    <t>SULAWESI</t>
  </si>
  <si>
    <t>MALUKU_PAPUA</t>
  </si>
  <si>
    <t>demand</t>
  </si>
  <si>
    <t>residential</t>
  </si>
  <si>
    <t>commercial</t>
  </si>
  <si>
    <t>public</t>
  </si>
  <si>
    <t>industrial</t>
  </si>
  <si>
    <t>gwh</t>
  </si>
  <si>
    <t>supply</t>
  </si>
  <si>
    <t>coal</t>
  </si>
  <si>
    <t>geothermal</t>
  </si>
  <si>
    <t>solar</t>
  </si>
  <si>
    <t>wind</t>
  </si>
  <si>
    <t>biomass</t>
  </si>
  <si>
    <t>capacity</t>
  </si>
  <si>
    <t>mw</t>
  </si>
  <si>
    <t>cost</t>
  </si>
  <si>
    <t>usd</t>
  </si>
  <si>
    <t>co2</t>
  </si>
  <si>
    <t>total</t>
  </si>
  <si>
    <t>potential</t>
  </si>
  <si>
    <t>waste</t>
  </si>
  <si>
    <t>ocean</t>
  </si>
  <si>
    <t>primary energy</t>
  </si>
  <si>
    <t>losses</t>
  </si>
  <si>
    <t>battery</t>
  </si>
  <si>
    <t>s</t>
  </si>
  <si>
    <t>source</t>
  </si>
  <si>
    <t>ocgt</t>
  </si>
  <si>
    <t>ccgt</t>
  </si>
  <si>
    <t>reciprocating</t>
  </si>
  <si>
    <t>lhydro</t>
  </si>
  <si>
    <t>mhydro</t>
  </si>
  <si>
    <t>index_first</t>
  </si>
  <si>
    <t>index_second</t>
  </si>
  <si>
    <t>index_third</t>
  </si>
  <si>
    <t>r</t>
  </si>
  <si>
    <t>st</t>
  </si>
  <si>
    <t>description</t>
  </si>
  <si>
    <t>coal base power station</t>
  </si>
  <si>
    <t>open/simple cycle gas turbine</t>
  </si>
  <si>
    <t>combine cycle gas turbine</t>
  </si>
  <si>
    <t>reciprocating diesel and gas engine</t>
  </si>
  <si>
    <t>large hydro</t>
  </si>
  <si>
    <t>micro hydro</t>
  </si>
  <si>
    <t>solar PV</t>
  </si>
  <si>
    <t>wind power</t>
  </si>
  <si>
    <t>ocean (mainly tidal and current)</t>
  </si>
  <si>
    <t>solid biomass based</t>
  </si>
  <si>
    <t>municipal waste</t>
  </si>
  <si>
    <t>pumped hydro storage</t>
  </si>
  <si>
    <t>National region (total)</t>
  </si>
  <si>
    <t>All provinces in Sumatera</t>
  </si>
  <si>
    <t>All provinces in Kalimantan</t>
  </si>
  <si>
    <t>All provinces in Sulawesi</t>
  </si>
  <si>
    <t>All provinces in Maluku &amp; Papua</t>
  </si>
  <si>
    <t>set</t>
  </si>
  <si>
    <t>name</t>
  </si>
  <si>
    <t>no</t>
  </si>
  <si>
    <t>unit</t>
  </si>
  <si>
    <t>sc</t>
  </si>
  <si>
    <t>sr</t>
  </si>
  <si>
    <t>sb</t>
  </si>
  <si>
    <t>sd</t>
  </si>
  <si>
    <t>sv</t>
  </si>
  <si>
    <t>variable</t>
  </si>
  <si>
    <t>add capacity</t>
  </si>
  <si>
    <t>gj</t>
  </si>
  <si>
    <t>desc</t>
  </si>
  <si>
    <t>technical data</t>
  </si>
  <si>
    <t>efficiency</t>
  </si>
  <si>
    <t>minimum capacity per plant</t>
  </si>
  <si>
    <t>co2 emission factor</t>
  </si>
  <si>
    <t>index</t>
  </si>
  <si>
    <t>data type</t>
  </si>
  <si>
    <t>average</t>
  </si>
  <si>
    <t>all</t>
  </si>
  <si>
    <t>diesel</t>
  </si>
  <si>
    <t>utility</t>
  </si>
  <si>
    <t>onshore, large</t>
  </si>
  <si>
    <t>cf (capacity factor)</t>
  </si>
  <si>
    <t>of (outage factor)</t>
  </si>
  <si>
    <t>pf (outage factor, planned)</t>
  </si>
  <si>
    <t>Incineration</t>
  </si>
  <si>
    <t>ff (outage factor, forced)</t>
  </si>
  <si>
    <t>financial data</t>
  </si>
  <si>
    <t>capital cost</t>
  </si>
  <si>
    <t>variable O&amp;M cost</t>
  </si>
  <si>
    <t>fuel cost</t>
  </si>
  <si>
    <t>$/mw</t>
  </si>
  <si>
    <t>fixed O&amp;M cost per year</t>
  </si>
  <si>
    <t>$/mwh</t>
  </si>
  <si>
    <t>type</t>
  </si>
  <si>
    <t>gen</t>
  </si>
  <si>
    <t>sto</t>
  </si>
  <si>
    <t>$/mmbtu</t>
  </si>
  <si>
    <t>Data Source</t>
  </si>
  <si>
    <t>Buku bauran energi nasional 2020</t>
  </si>
  <si>
    <t>URL</t>
  </si>
  <si>
    <t>Dewan Energi Nasional | Publikasi (den.go.id)</t>
  </si>
  <si>
    <t>Statistik Listrik Indonesia 2015-2019</t>
  </si>
  <si>
    <t>Badan Pusat Statistik (bps.go.id)</t>
  </si>
  <si>
    <t>All provinces in Java</t>
  </si>
  <si>
    <t>All provinces in Bali, and Nusa tenggara</t>
  </si>
  <si>
    <t>JAWA</t>
  </si>
  <si>
    <t>BALI_NT</t>
  </si>
  <si>
    <t>Technology Data (ESDM) 2021 &amp; LAZARD 2017</t>
  </si>
  <si>
    <t>RUKN Indonesia (2018)</t>
  </si>
  <si>
    <t>remaining potential</t>
  </si>
  <si>
    <t>growth</t>
  </si>
  <si>
    <t>gas</t>
  </si>
  <si>
    <t>oil</t>
  </si>
  <si>
    <t>var</t>
  </si>
  <si>
    <t>nrn</t>
  </si>
  <si>
    <t>supply group</t>
  </si>
  <si>
    <t>supply from coal</t>
  </si>
  <si>
    <t>supply from gas</t>
  </si>
  <si>
    <t>supply fron new and renwable energy</t>
  </si>
  <si>
    <t>&gt;coal</t>
  </si>
  <si>
    <t>&gt;gas</t>
  </si>
  <si>
    <t>&lt;oil</t>
  </si>
  <si>
    <t>&gt;nrn</t>
  </si>
  <si>
    <t>supply from reciprocating (gas, oil, and dual fuel)</t>
  </si>
  <si>
    <t>sup_gwh</t>
  </si>
  <si>
    <t>sup_percent</t>
  </si>
  <si>
    <t>sup_share</t>
  </si>
  <si>
    <t>cap_mw</t>
  </si>
  <si>
    <t>add_mw</t>
  </si>
  <si>
    <t>prim_pj</t>
  </si>
  <si>
    <t>co2_ton</t>
  </si>
  <si>
    <t>cost_musd</t>
  </si>
  <si>
    <t>remain_pot</t>
  </si>
  <si>
    <t>only for renewable energy</t>
  </si>
  <si>
    <t>storage</t>
  </si>
  <si>
    <t>storage fraction</t>
  </si>
  <si>
    <t>storage mwh</t>
  </si>
  <si>
    <t>cap</t>
  </si>
  <si>
    <t>peak_growth</t>
  </si>
  <si>
    <t>nc_peak_mw</t>
  </si>
  <si>
    <t>capital</t>
  </si>
  <si>
    <t>fixed</t>
  </si>
  <si>
    <t>fuel</t>
  </si>
  <si>
    <t>eff</t>
  </si>
  <si>
    <t>cf</t>
  </si>
  <si>
    <t>of</t>
  </si>
  <si>
    <t>ton</t>
  </si>
  <si>
    <t>var_share</t>
  </si>
  <si>
    <t>variable share</t>
  </si>
  <si>
    <t>stor_frac</t>
  </si>
  <si>
    <t>reserve_margin</t>
  </si>
  <si>
    <t>epsb_mw</t>
  </si>
  <si>
    <t>peak_margin</t>
  </si>
  <si>
    <t>margin</t>
  </si>
  <si>
    <t>sdf</t>
  </si>
  <si>
    <t>capital considered zero in first year</t>
  </si>
  <si>
    <t>proj_rukn</t>
  </si>
  <si>
    <t>baseload</t>
  </si>
  <si>
    <t>eps!=sv_mw</t>
  </si>
  <si>
    <t>peaker</t>
  </si>
  <si>
    <t>eppk_mw</t>
  </si>
  <si>
    <t>tco2/TJ</t>
  </si>
  <si>
    <t>unproven_mw</t>
  </si>
  <si>
    <t>Ocean</t>
  </si>
  <si>
    <t>from total nrn</t>
  </si>
  <si>
    <t>unproven_%_mw</t>
  </si>
  <si>
    <t>peaker_%_mw</t>
  </si>
  <si>
    <t>baseload_%_mw</t>
  </si>
  <si>
    <t>recipro</t>
  </si>
  <si>
    <t>Macros</t>
  </si>
  <si>
    <t>Sol</t>
  </si>
  <si>
    <t>Sol min</t>
  </si>
  <si>
    <t>total nrn</t>
  </si>
  <si>
    <t>sol_share_nrn</t>
  </si>
  <si>
    <t>Sol_growth</t>
  </si>
  <si>
    <t>sup_PJ</t>
  </si>
  <si>
    <t>los_PJ</t>
  </si>
  <si>
    <t>sup_gwh_tot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</si>
</sst>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.0000%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43" fontId="0" fillId="0" borderId="0" xfId="1" applyFont="1" applyAlignment="1">
      <alignment vertical="center"/>
    </xf>
    <xf numFmtId="11" fontId="0" fillId="0" borderId="0" xfId="0" applyNumberFormat="1" applyAlignment="1">
      <alignment vertical="center"/>
    </xf>
    <xf numFmtId="0" fontId="5" fillId="0" borderId="0" xfId="2"/>
    <xf numFmtId="43" fontId="0" fillId="0" borderId="0" xfId="1" applyFont="1"/>
    <xf numFmtId="2" fontId="0" fillId="0" borderId="0" xfId="1" applyNumberFormat="1" applyFont="1"/>
    <xf numFmtId="2" fontId="0" fillId="0" borderId="0" xfId="1" applyNumberFormat="1" applyFont="1" applyAlignment="1">
      <alignment vertical="center"/>
    </xf>
    <xf numFmtId="2" fontId="5" fillId="0" borderId="0" xfId="1" applyNumberFormat="1" applyFont="1"/>
    <xf numFmtId="1" fontId="0" fillId="0" borderId="0" xfId="1" applyNumberFormat="1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0" xfId="3" applyNumberFormat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0" fillId="0" borderId="5" xfId="0" applyNumberFormat="1" applyBorder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65" fontId="0" fillId="0" borderId="0" xfId="3" applyNumberFormat="1" applyFont="1"/>
    <xf numFmtId="43" fontId="0" fillId="3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66" fontId="0" fillId="0" borderId="0" xfId="3" applyNumberFormat="1" applyFont="1" applyBorder="1" applyAlignment="1">
      <alignment horizontal="center" vertical="center"/>
    </xf>
    <xf numFmtId="43" fontId="0" fillId="0" borderId="7" xfId="0" applyNumberFormat="1" applyBorder="1" applyAlignment="1">
      <alignment horizontal="center" vertical="center"/>
    </xf>
    <xf numFmtId="2" fontId="0" fillId="0" borderId="0" xfId="0" applyNumberFormat="1"/>
    <xf numFmtId="43" fontId="0" fillId="0" borderId="0" xfId="0" applyNumberFormat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proj_rukn!$C$2:$C$21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D-4D39-9ED4-7F6AFED62BFD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proj_rukn!$C$22:$C$41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D-4D39-9ED4-7F6AFED62BFD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proj_rukn!$C$42:$C$61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DD-4D39-9ED4-7F6AFED62BFD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proj_rukn!$C$62:$C$81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DD-4D39-9ED4-7F6AFED62BFD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proj_rukn!$C$82:$C$101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DD-4D39-9ED4-7F6AFED62BFD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proj_rukn!$C$102:$C$121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DD-4D39-9ED4-7F6AFED62BFD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proj_rukn!$C$122:$C$141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DD-4D39-9ED4-7F6AFED62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Supply /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proj_rukn!$D$2:$D$21</c:f>
              <c:numCache>
                <c:formatCode>_(* #,##0.00_);_(* \(#,##0.00\);_(* "-"??_);_(@_)</c:formatCode>
                <c:ptCount val="20"/>
                <c:pt idx="0">
                  <c:v>316000</c:v>
                </c:pt>
                <c:pt idx="1">
                  <c:v>345000</c:v>
                </c:pt>
                <c:pt idx="2">
                  <c:v>388000</c:v>
                </c:pt>
                <c:pt idx="3">
                  <c:v>410000</c:v>
                </c:pt>
                <c:pt idx="4">
                  <c:v>434000</c:v>
                </c:pt>
                <c:pt idx="5">
                  <c:v>467000</c:v>
                </c:pt>
                <c:pt idx="6">
                  <c:v>500000</c:v>
                </c:pt>
                <c:pt idx="7">
                  <c:v>541000</c:v>
                </c:pt>
                <c:pt idx="8">
                  <c:v>589000</c:v>
                </c:pt>
                <c:pt idx="9">
                  <c:v>620000</c:v>
                </c:pt>
                <c:pt idx="10">
                  <c:v>653000</c:v>
                </c:pt>
                <c:pt idx="11">
                  <c:v>688000</c:v>
                </c:pt>
                <c:pt idx="12">
                  <c:v>728000</c:v>
                </c:pt>
                <c:pt idx="13">
                  <c:v>771000</c:v>
                </c:pt>
                <c:pt idx="14">
                  <c:v>813000</c:v>
                </c:pt>
                <c:pt idx="15">
                  <c:v>862000</c:v>
                </c:pt>
                <c:pt idx="16">
                  <c:v>911000</c:v>
                </c:pt>
                <c:pt idx="17">
                  <c:v>966000</c:v>
                </c:pt>
                <c:pt idx="18">
                  <c:v>1023000</c:v>
                </c:pt>
                <c:pt idx="19">
                  <c:v>1089000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6-417B-A5E5-9922C4BAF275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proj_rukn!$D$22:$D$41</c:f>
              <c:numCache>
                <c:formatCode>_(* #,##0.00_);_(* \(#,##0.00\);_(* "-"??_);_(@_)</c:formatCode>
                <c:ptCount val="20"/>
                <c:pt idx="0">
                  <c:v>59549</c:v>
                </c:pt>
                <c:pt idx="1">
                  <c:v>65908</c:v>
                </c:pt>
                <c:pt idx="2">
                  <c:v>71772</c:v>
                </c:pt>
                <c:pt idx="3">
                  <c:v>77828</c:v>
                </c:pt>
                <c:pt idx="4">
                  <c:v>84581</c:v>
                </c:pt>
                <c:pt idx="5">
                  <c:v>93559</c:v>
                </c:pt>
                <c:pt idx="6">
                  <c:v>102816</c:v>
                </c:pt>
                <c:pt idx="7">
                  <c:v>128296</c:v>
                </c:pt>
                <c:pt idx="8">
                  <c:v>139472</c:v>
                </c:pt>
                <c:pt idx="9">
                  <c:v>151305</c:v>
                </c:pt>
                <c:pt idx="10">
                  <c:v>164294</c:v>
                </c:pt>
                <c:pt idx="11">
                  <c:v>172978</c:v>
                </c:pt>
                <c:pt idx="12">
                  <c:v>183458</c:v>
                </c:pt>
                <c:pt idx="13">
                  <c:v>193824</c:v>
                </c:pt>
                <c:pt idx="14">
                  <c:v>203086</c:v>
                </c:pt>
                <c:pt idx="15">
                  <c:v>216115</c:v>
                </c:pt>
                <c:pt idx="16">
                  <c:v>228779</c:v>
                </c:pt>
                <c:pt idx="17">
                  <c:v>250009</c:v>
                </c:pt>
                <c:pt idx="18">
                  <c:v>280090</c:v>
                </c:pt>
                <c:pt idx="19">
                  <c:v>305476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66-417B-A5E5-9922C4BAF275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proj_rukn!$D$42:$D$61</c:f>
              <c:numCache>
                <c:formatCode>_(* #,##0.00_);_(* \(#,##0.00\);_(* "-"??_);_(@_)</c:formatCode>
                <c:ptCount val="20"/>
                <c:pt idx="0">
                  <c:v>202127</c:v>
                </c:pt>
                <c:pt idx="1">
                  <c:v>218489</c:v>
                </c:pt>
                <c:pt idx="2">
                  <c:v>234371</c:v>
                </c:pt>
                <c:pt idx="3">
                  <c:v>246346</c:v>
                </c:pt>
                <c:pt idx="4">
                  <c:v>257911</c:v>
                </c:pt>
                <c:pt idx="5">
                  <c:v>270906</c:v>
                </c:pt>
                <c:pt idx="6">
                  <c:v>283248</c:v>
                </c:pt>
                <c:pt idx="7">
                  <c:v>287643</c:v>
                </c:pt>
                <c:pt idx="8">
                  <c:v>309568</c:v>
                </c:pt>
                <c:pt idx="9">
                  <c:v>325403</c:v>
                </c:pt>
                <c:pt idx="10">
                  <c:v>341319</c:v>
                </c:pt>
                <c:pt idx="11">
                  <c:v>360133</c:v>
                </c:pt>
                <c:pt idx="12">
                  <c:v>384883</c:v>
                </c:pt>
                <c:pt idx="13">
                  <c:v>412240</c:v>
                </c:pt>
                <c:pt idx="14">
                  <c:v>439426</c:v>
                </c:pt>
                <c:pt idx="15">
                  <c:v>468696</c:v>
                </c:pt>
                <c:pt idx="16">
                  <c:v>498643</c:v>
                </c:pt>
                <c:pt idx="17">
                  <c:v>522192</c:v>
                </c:pt>
                <c:pt idx="18">
                  <c:v>538846</c:v>
                </c:pt>
                <c:pt idx="19">
                  <c:v>569240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66-417B-A5E5-9922C4BAF275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proj_rukn!$D$62:$D$81</c:f>
              <c:numCache>
                <c:formatCode>_(* #,##0.00_);_(* \(#,##0.00\);_(* "-"??_);_(@_)</c:formatCode>
                <c:ptCount val="20"/>
                <c:pt idx="0">
                  <c:v>7544</c:v>
                </c:pt>
                <c:pt idx="1">
                  <c:v>7919</c:v>
                </c:pt>
                <c:pt idx="2">
                  <c:v>10148</c:v>
                </c:pt>
                <c:pt idx="3">
                  <c:v>10291</c:v>
                </c:pt>
                <c:pt idx="4">
                  <c:v>10370</c:v>
                </c:pt>
                <c:pt idx="5">
                  <c:v>10595</c:v>
                </c:pt>
                <c:pt idx="6">
                  <c:v>10803</c:v>
                </c:pt>
                <c:pt idx="7">
                  <c:v>10911</c:v>
                </c:pt>
                <c:pt idx="8">
                  <c:v>11090</c:v>
                </c:pt>
                <c:pt idx="9">
                  <c:v>11403</c:v>
                </c:pt>
                <c:pt idx="10">
                  <c:v>11753</c:v>
                </c:pt>
                <c:pt idx="11">
                  <c:v>14675</c:v>
                </c:pt>
                <c:pt idx="12">
                  <c:v>14966</c:v>
                </c:pt>
                <c:pt idx="13">
                  <c:v>15267</c:v>
                </c:pt>
                <c:pt idx="14">
                  <c:v>15564</c:v>
                </c:pt>
                <c:pt idx="15">
                  <c:v>16407</c:v>
                </c:pt>
                <c:pt idx="16">
                  <c:v>16707</c:v>
                </c:pt>
                <c:pt idx="17">
                  <c:v>19879</c:v>
                </c:pt>
                <c:pt idx="18">
                  <c:v>22692</c:v>
                </c:pt>
                <c:pt idx="19">
                  <c:v>24125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66-417B-A5E5-9922C4BAF275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proj_rukn!$D$82:$D$101</c:f>
              <c:numCache>
                <c:formatCode>_(* #,##0.00_);_(* \(#,##0.00\);_(* "-"??_);_(@_)</c:formatCode>
                <c:ptCount val="20"/>
                <c:pt idx="0">
                  <c:v>14441</c:v>
                </c:pt>
                <c:pt idx="1">
                  <c:v>15363</c:v>
                </c:pt>
                <c:pt idx="2">
                  <c:v>18197</c:v>
                </c:pt>
                <c:pt idx="3">
                  <c:v>19061</c:v>
                </c:pt>
                <c:pt idx="4">
                  <c:v>22010</c:v>
                </c:pt>
                <c:pt idx="5">
                  <c:v>27410</c:v>
                </c:pt>
                <c:pt idx="6">
                  <c:v>33090</c:v>
                </c:pt>
                <c:pt idx="7">
                  <c:v>38999</c:v>
                </c:pt>
                <c:pt idx="8">
                  <c:v>47079</c:v>
                </c:pt>
                <c:pt idx="9">
                  <c:v>48622</c:v>
                </c:pt>
                <c:pt idx="10">
                  <c:v>46241</c:v>
                </c:pt>
                <c:pt idx="11">
                  <c:v>46979</c:v>
                </c:pt>
                <c:pt idx="12">
                  <c:v>49346</c:v>
                </c:pt>
                <c:pt idx="13">
                  <c:v>51500</c:v>
                </c:pt>
                <c:pt idx="14">
                  <c:v>53666</c:v>
                </c:pt>
                <c:pt idx="15">
                  <c:v>58995</c:v>
                </c:pt>
                <c:pt idx="16">
                  <c:v>62599</c:v>
                </c:pt>
                <c:pt idx="17">
                  <c:v>64468</c:v>
                </c:pt>
                <c:pt idx="18">
                  <c:v>66336</c:v>
                </c:pt>
                <c:pt idx="19">
                  <c:v>68956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66-417B-A5E5-9922C4BAF275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proj_rukn!$D$102:$D$121</c:f>
              <c:numCache>
                <c:formatCode>_(* #,##0.00_);_(* \(#,##0.00\);_(* "-"??_);_(@_)</c:formatCode>
                <c:ptCount val="20"/>
                <c:pt idx="0">
                  <c:v>23609</c:v>
                </c:pt>
                <c:pt idx="1">
                  <c:v>25304</c:v>
                </c:pt>
                <c:pt idx="2">
                  <c:v>37157</c:v>
                </c:pt>
                <c:pt idx="3">
                  <c:v>38986</c:v>
                </c:pt>
                <c:pt idx="4">
                  <c:v>41321</c:v>
                </c:pt>
                <c:pt idx="5">
                  <c:v>44645</c:v>
                </c:pt>
                <c:pt idx="6">
                  <c:v>48570</c:v>
                </c:pt>
                <c:pt idx="7">
                  <c:v>51769</c:v>
                </c:pt>
                <c:pt idx="8">
                  <c:v>55759</c:v>
                </c:pt>
                <c:pt idx="9">
                  <c:v>57611</c:v>
                </c:pt>
                <c:pt idx="10">
                  <c:v>49430</c:v>
                </c:pt>
                <c:pt idx="11">
                  <c:v>48107</c:v>
                </c:pt>
                <c:pt idx="12">
                  <c:v>53463</c:v>
                </c:pt>
                <c:pt idx="13">
                  <c:v>52763</c:v>
                </c:pt>
                <c:pt idx="14">
                  <c:v>52681</c:v>
                </c:pt>
                <c:pt idx="15">
                  <c:v>55625</c:v>
                </c:pt>
                <c:pt idx="16">
                  <c:v>57647</c:v>
                </c:pt>
                <c:pt idx="17">
                  <c:v>60064</c:v>
                </c:pt>
                <c:pt idx="18">
                  <c:v>64892</c:v>
                </c:pt>
                <c:pt idx="19">
                  <c:v>70463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66-417B-A5E5-9922C4BAF275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proj_rukn!$D$122:$D$141</c:f>
              <c:numCache>
                <c:formatCode>_(* #,##0.00_);_(* \(#,##0.00\);_(* "-"??_);_(@_)</c:formatCode>
                <c:ptCount val="20"/>
                <c:pt idx="0">
                  <c:v>8971</c:v>
                </c:pt>
                <c:pt idx="1">
                  <c:v>11551</c:v>
                </c:pt>
                <c:pt idx="2">
                  <c:v>16244</c:v>
                </c:pt>
                <c:pt idx="3">
                  <c:v>17453</c:v>
                </c:pt>
                <c:pt idx="4">
                  <c:v>18185</c:v>
                </c:pt>
                <c:pt idx="5">
                  <c:v>19719</c:v>
                </c:pt>
                <c:pt idx="6">
                  <c:v>21647</c:v>
                </c:pt>
                <c:pt idx="7">
                  <c:v>23380</c:v>
                </c:pt>
                <c:pt idx="8">
                  <c:v>25698</c:v>
                </c:pt>
                <c:pt idx="9">
                  <c:v>26027</c:v>
                </c:pt>
                <c:pt idx="10">
                  <c:v>26322</c:v>
                </c:pt>
                <c:pt idx="11">
                  <c:v>26862</c:v>
                </c:pt>
                <c:pt idx="12">
                  <c:v>27264</c:v>
                </c:pt>
                <c:pt idx="13">
                  <c:v>27712</c:v>
                </c:pt>
                <c:pt idx="14">
                  <c:v>28120</c:v>
                </c:pt>
                <c:pt idx="15">
                  <c:v>28697</c:v>
                </c:pt>
                <c:pt idx="16">
                  <c:v>29236</c:v>
                </c:pt>
                <c:pt idx="17">
                  <c:v>29865</c:v>
                </c:pt>
                <c:pt idx="18">
                  <c:v>30507</c:v>
                </c:pt>
                <c:pt idx="19">
                  <c:v>31317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66-417B-A5E5-9922C4BAF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533400</xdr:colOff>
      <xdr:row>36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24</xdr:col>
      <xdr:colOff>533400</xdr:colOff>
      <xdr:row>36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stalled_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Capacity"/>
      <sheetName val="Generation"/>
      <sheetName val="Transmitted"/>
      <sheetName val="Fuel"/>
    </sheetNames>
    <sheetDataSet>
      <sheetData sheetId="0"/>
      <sheetData sheetId="1">
        <row r="6">
          <cell r="C6">
            <v>11.5</v>
          </cell>
          <cell r="D6"/>
          <cell r="E6"/>
          <cell r="F6">
            <v>216.21</v>
          </cell>
          <cell r="G6"/>
          <cell r="H6">
            <v>2.64</v>
          </cell>
          <cell r="I6">
            <v>9.1999999999999993</v>
          </cell>
          <cell r="J6"/>
          <cell r="K6"/>
        </row>
        <row r="7">
          <cell r="C7">
            <v>2216.5</v>
          </cell>
          <cell r="D7">
            <v>302.45999999999998</v>
          </cell>
          <cell r="E7">
            <v>817.88</v>
          </cell>
          <cell r="F7">
            <v>918.90000000000009</v>
          </cell>
          <cell r="G7">
            <v>342</v>
          </cell>
          <cell r="H7">
            <v>1036.3</v>
          </cell>
          <cell r="I7">
            <v>15</v>
          </cell>
          <cell r="J7"/>
          <cell r="K7">
            <v>30</v>
          </cell>
        </row>
        <row r="8">
          <cell r="C8">
            <v>424</v>
          </cell>
          <cell r="D8"/>
          <cell r="E8"/>
          <cell r="F8">
            <v>34.76</v>
          </cell>
          <cell r="G8">
            <v>85</v>
          </cell>
          <cell r="H8">
            <v>243</v>
          </cell>
          <cell r="I8">
            <v>34.92</v>
          </cell>
          <cell r="J8"/>
          <cell r="K8"/>
        </row>
        <row r="9">
          <cell r="C9">
            <v>125</v>
          </cell>
          <cell r="D9"/>
          <cell r="E9">
            <v>30</v>
          </cell>
          <cell r="F9">
            <v>183.42000000000002</v>
          </cell>
          <cell r="G9">
            <v>30</v>
          </cell>
          <cell r="H9"/>
          <cell r="I9"/>
          <cell r="J9"/>
          <cell r="K9">
            <v>4.8</v>
          </cell>
        </row>
        <row r="10">
          <cell r="C10"/>
          <cell r="D10"/>
          <cell r="E10"/>
          <cell r="F10">
            <v>52.769999999999996</v>
          </cell>
          <cell r="G10"/>
          <cell r="H10"/>
          <cell r="I10"/>
          <cell r="J10"/>
          <cell r="K10"/>
        </row>
        <row r="11">
          <cell r="C11">
            <v>2178.21</v>
          </cell>
          <cell r="D11">
            <v>513.37</v>
          </cell>
          <cell r="E11">
            <v>420</v>
          </cell>
          <cell r="F11">
            <v>507.52</v>
          </cell>
          <cell r="G11">
            <v>110</v>
          </cell>
          <cell r="H11">
            <v>608.41999999999996</v>
          </cell>
          <cell r="I11">
            <v>11.14</v>
          </cell>
          <cell r="J11"/>
          <cell r="K11"/>
        </row>
        <row r="12">
          <cell r="C12"/>
          <cell r="D12"/>
          <cell r="E12"/>
          <cell r="F12">
            <v>53.01</v>
          </cell>
          <cell r="G12"/>
          <cell r="H12">
            <v>13.6</v>
          </cell>
          <cell r="I12"/>
          <cell r="J12"/>
          <cell r="K12"/>
        </row>
        <row r="13">
          <cell r="C13">
            <v>67</v>
          </cell>
          <cell r="D13"/>
          <cell r="E13"/>
          <cell r="F13">
            <v>4.38</v>
          </cell>
          <cell r="G13">
            <v>110</v>
          </cell>
          <cell r="H13">
            <v>56</v>
          </cell>
          <cell r="I13"/>
          <cell r="J13"/>
          <cell r="K13"/>
        </row>
        <row r="14">
          <cell r="C14">
            <v>119.92</v>
          </cell>
          <cell r="D14"/>
          <cell r="E14"/>
          <cell r="F14">
            <v>163.87</v>
          </cell>
          <cell r="G14"/>
          <cell r="H14"/>
          <cell r="I14"/>
          <cell r="J14">
            <v>0.33</v>
          </cell>
          <cell r="K14">
            <v>1.8</v>
          </cell>
        </row>
        <row r="15">
          <cell r="C15">
            <v>186</v>
          </cell>
          <cell r="D15">
            <v>437.87</v>
          </cell>
          <cell r="E15">
            <v>21.55</v>
          </cell>
          <cell r="F15">
            <v>359.71999999999997</v>
          </cell>
          <cell r="G15"/>
          <cell r="H15"/>
          <cell r="I15"/>
          <cell r="J15">
            <v>0.8</v>
          </cell>
          <cell r="K15"/>
        </row>
        <row r="16">
          <cell r="C16">
            <v>400</v>
          </cell>
          <cell r="D16"/>
          <cell r="E16">
            <v>3104.3</v>
          </cell>
          <cell r="F16">
            <v>0</v>
          </cell>
          <cell r="G16"/>
          <cell r="H16"/>
          <cell r="I16"/>
          <cell r="J16"/>
          <cell r="K16"/>
        </row>
        <row r="17">
          <cell r="C17">
            <v>2916</v>
          </cell>
          <cell r="D17">
            <v>2082.6</v>
          </cell>
          <cell r="E17">
            <v>2123</v>
          </cell>
          <cell r="F17">
            <v>0</v>
          </cell>
          <cell r="G17">
            <v>1144.8</v>
          </cell>
          <cell r="H17">
            <v>1983.86</v>
          </cell>
          <cell r="I17">
            <v>14.3</v>
          </cell>
          <cell r="J17">
            <v>1</v>
          </cell>
          <cell r="K17">
            <v>8</v>
          </cell>
        </row>
        <row r="18">
          <cell r="C18">
            <v>5690</v>
          </cell>
          <cell r="D18">
            <v>55</v>
          </cell>
          <cell r="E18">
            <v>1033.9000000000001</v>
          </cell>
          <cell r="F18">
            <v>0</v>
          </cell>
          <cell r="G18">
            <v>60</v>
          </cell>
          <cell r="H18">
            <v>322.14</v>
          </cell>
          <cell r="I18">
            <v>1.78</v>
          </cell>
          <cell r="J18"/>
          <cell r="K18"/>
        </row>
        <row r="19">
          <cell r="C19"/>
          <cell r="D19"/>
          <cell r="E19"/>
          <cell r="F19">
            <v>0</v>
          </cell>
          <cell r="G19"/>
          <cell r="H19"/>
          <cell r="I19"/>
          <cell r="J19"/>
          <cell r="K19"/>
        </row>
        <row r="20">
          <cell r="C20">
            <v>7255</v>
          </cell>
          <cell r="D20">
            <v>750.74</v>
          </cell>
          <cell r="E20">
            <v>2739.83</v>
          </cell>
          <cell r="F20">
            <v>32.39</v>
          </cell>
          <cell r="G20"/>
          <cell r="H20">
            <v>293.35000000000002</v>
          </cell>
          <cell r="I20">
            <v>1.27</v>
          </cell>
          <cell r="J20"/>
          <cell r="K20"/>
        </row>
        <row r="21">
          <cell r="C21">
            <v>6784</v>
          </cell>
          <cell r="D21">
            <v>8.4</v>
          </cell>
          <cell r="E21">
            <v>860</v>
          </cell>
          <cell r="F21">
            <v>0.74</v>
          </cell>
          <cell r="G21"/>
          <cell r="H21"/>
          <cell r="I21"/>
          <cell r="J21"/>
          <cell r="K21"/>
        </row>
        <row r="22">
          <cell r="C22">
            <v>426</v>
          </cell>
          <cell r="D22">
            <v>610.53</v>
          </cell>
          <cell r="E22"/>
          <cell r="F22">
            <v>2.96</v>
          </cell>
          <cell r="G22"/>
          <cell r="H22"/>
          <cell r="I22">
            <v>2</v>
          </cell>
          <cell r="J22">
            <v>0.03</v>
          </cell>
          <cell r="K22"/>
        </row>
        <row r="23">
          <cell r="C23">
            <v>373.08</v>
          </cell>
          <cell r="D23">
            <v>50</v>
          </cell>
          <cell r="E23"/>
          <cell r="F23">
            <v>355.82</v>
          </cell>
          <cell r="G23"/>
          <cell r="H23">
            <v>2.02</v>
          </cell>
          <cell r="I23">
            <v>14</v>
          </cell>
          <cell r="J23">
            <v>0.83</v>
          </cell>
          <cell r="K23"/>
        </row>
        <row r="24">
          <cell r="C24">
            <v>77</v>
          </cell>
          <cell r="D24"/>
          <cell r="E24"/>
          <cell r="F24">
            <v>223.27</v>
          </cell>
          <cell r="G24">
            <v>24.6</v>
          </cell>
          <cell r="H24">
            <v>5.28</v>
          </cell>
          <cell r="I24"/>
          <cell r="J24">
            <v>3.27</v>
          </cell>
          <cell r="K24"/>
        </row>
        <row r="25">
          <cell r="C25">
            <v>277</v>
          </cell>
          <cell r="D25"/>
          <cell r="E25"/>
          <cell r="F25">
            <v>285.27</v>
          </cell>
          <cell r="G25"/>
          <cell r="H25">
            <v>234.27</v>
          </cell>
          <cell r="I25">
            <v>3.2</v>
          </cell>
          <cell r="J25">
            <v>0.18</v>
          </cell>
          <cell r="K25">
            <v>5</v>
          </cell>
        </row>
        <row r="26">
          <cell r="C26">
            <v>126</v>
          </cell>
          <cell r="D26"/>
          <cell r="E26"/>
          <cell r="F26">
            <v>130.51</v>
          </cell>
          <cell r="G26"/>
          <cell r="H26"/>
          <cell r="I26"/>
          <cell r="J26"/>
          <cell r="K26"/>
        </row>
        <row r="27">
          <cell r="C27">
            <v>1727</v>
          </cell>
          <cell r="D27">
            <v>255</v>
          </cell>
          <cell r="E27">
            <v>60</v>
          </cell>
          <cell r="F27">
            <v>895.81</v>
          </cell>
          <cell r="G27"/>
          <cell r="H27">
            <v>30</v>
          </cell>
          <cell r="I27"/>
          <cell r="J27"/>
          <cell r="K27">
            <v>83</v>
          </cell>
        </row>
        <row r="28">
          <cell r="C28">
            <v>313</v>
          </cell>
          <cell r="D28">
            <v>239.73</v>
          </cell>
          <cell r="E28"/>
          <cell r="F28">
            <v>222.68</v>
          </cell>
          <cell r="G28"/>
          <cell r="H28"/>
          <cell r="I28">
            <v>0.26</v>
          </cell>
          <cell r="J28">
            <v>0.43</v>
          </cell>
          <cell r="K28">
            <v>9.75</v>
          </cell>
        </row>
        <row r="29">
          <cell r="C29">
            <v>7.5</v>
          </cell>
          <cell r="D29">
            <v>40.299999999999997</v>
          </cell>
          <cell r="E29"/>
          <cell r="F29">
            <v>190.4</v>
          </cell>
          <cell r="G29"/>
          <cell r="H29"/>
          <cell r="I29"/>
          <cell r="J29"/>
          <cell r="K29"/>
        </row>
        <row r="30">
          <cell r="C30">
            <v>141</v>
          </cell>
          <cell r="D30"/>
          <cell r="E30"/>
          <cell r="F30">
            <v>65.27</v>
          </cell>
          <cell r="G30">
            <v>80</v>
          </cell>
          <cell r="H30">
            <v>5.25</v>
          </cell>
          <cell r="I30">
            <v>3</v>
          </cell>
          <cell r="J30">
            <v>0.98</v>
          </cell>
          <cell r="K30"/>
        </row>
        <row r="31">
          <cell r="C31">
            <v>1198</v>
          </cell>
          <cell r="D31">
            <v>66</v>
          </cell>
          <cell r="E31"/>
          <cell r="F31">
            <v>223.81</v>
          </cell>
          <cell r="G31"/>
          <cell r="H31">
            <v>235.95</v>
          </cell>
          <cell r="I31">
            <v>22.45</v>
          </cell>
          <cell r="J31"/>
          <cell r="K31"/>
        </row>
        <row r="32">
          <cell r="C32">
            <v>1321.5</v>
          </cell>
          <cell r="D32">
            <v>222.72</v>
          </cell>
          <cell r="E32">
            <v>315</v>
          </cell>
          <cell r="F32">
            <v>517.41999999999996</v>
          </cell>
          <cell r="G32"/>
          <cell r="H32">
            <v>586.07000000000005</v>
          </cell>
          <cell r="I32">
            <v>32.1</v>
          </cell>
          <cell r="J32">
            <v>0.79</v>
          </cell>
          <cell r="K32"/>
        </row>
        <row r="33">
          <cell r="C33">
            <v>94</v>
          </cell>
          <cell r="D33"/>
          <cell r="E33"/>
          <cell r="F33">
            <v>54</v>
          </cell>
          <cell r="G33"/>
          <cell r="H33">
            <v>0.5</v>
          </cell>
          <cell r="I33"/>
          <cell r="J33">
            <v>0.42</v>
          </cell>
          <cell r="K33">
            <v>0.5</v>
          </cell>
        </row>
        <row r="34">
          <cell r="C34">
            <v>21</v>
          </cell>
          <cell r="D34"/>
          <cell r="E34"/>
          <cell r="F34">
            <v>27.66</v>
          </cell>
          <cell r="G34"/>
          <cell r="H34">
            <v>1.2</v>
          </cell>
          <cell r="I34">
            <v>5</v>
          </cell>
          <cell r="J34">
            <v>2.0499999999999998</v>
          </cell>
          <cell r="K34"/>
        </row>
        <row r="35">
          <cell r="C35">
            <v>60</v>
          </cell>
          <cell r="D35"/>
          <cell r="E35"/>
          <cell r="F35">
            <v>7.77</v>
          </cell>
          <cell r="G35"/>
          <cell r="H35"/>
          <cell r="I35"/>
          <cell r="J35"/>
          <cell r="K35"/>
        </row>
        <row r="36">
          <cell r="C36">
            <v>14</v>
          </cell>
          <cell r="D36"/>
          <cell r="E36"/>
          <cell r="F36">
            <v>348.33000000000004</v>
          </cell>
          <cell r="G36"/>
          <cell r="H36"/>
          <cell r="I36"/>
          <cell r="J36">
            <v>1.1000000000000001</v>
          </cell>
          <cell r="K36"/>
        </row>
        <row r="37">
          <cell r="C37"/>
          <cell r="D37"/>
          <cell r="E37"/>
          <cell r="F37">
            <v>118.96</v>
          </cell>
          <cell r="G37"/>
          <cell r="H37"/>
          <cell r="I37"/>
          <cell r="J37">
            <v>1.31</v>
          </cell>
          <cell r="K37"/>
        </row>
        <row r="38">
          <cell r="C38"/>
          <cell r="D38">
            <v>4</v>
          </cell>
          <cell r="E38"/>
          <cell r="F38">
            <v>137.47999999999999</v>
          </cell>
          <cell r="G38"/>
          <cell r="H38">
            <v>4.66</v>
          </cell>
          <cell r="I38"/>
          <cell r="J38">
            <v>1.78</v>
          </cell>
          <cell r="K38"/>
        </row>
        <row r="39">
          <cell r="C39">
            <v>265</v>
          </cell>
          <cell r="D39"/>
          <cell r="E39"/>
          <cell r="F39">
            <v>288.29000000000002</v>
          </cell>
          <cell r="G39"/>
          <cell r="H39">
            <v>25.13</v>
          </cell>
          <cell r="I39"/>
          <cell r="J39">
            <v>2.2200000000000002</v>
          </cell>
          <cell r="K39"/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.go.id/index.php/publikasi/index/BauranEnergi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bps.go.id/publication/2020/12/21/156002f4b8b460ef941fa985/statistik-listrik-2014-2019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0A26-C1F6-4DD8-BF43-26A7E856B6F2}">
  <sheetPr codeName="Sheet1"/>
  <dimension ref="A1:H32"/>
  <sheetViews>
    <sheetView workbookViewId="0">
      <selection activeCell="B31" sqref="B31"/>
    </sheetView>
  </sheetViews>
  <sheetFormatPr defaultRowHeight="15" x14ac:dyDescent="0.25"/>
  <cols>
    <col min="1" max="1" width="11.7109375" style="3" customWidth="1"/>
    <col min="2" max="2" width="21.42578125" style="4" customWidth="1"/>
    <col min="3" max="3" width="15.42578125" style="3" customWidth="1"/>
    <col min="4" max="4" width="10.5703125" style="1" bestFit="1" customWidth="1"/>
    <col min="5" max="5" width="13.42578125" style="1" bestFit="1" customWidth="1"/>
    <col min="6" max="6" width="11.28515625" style="1" bestFit="1" customWidth="1"/>
    <col min="7" max="7" width="11.28515625" style="1" customWidth="1"/>
    <col min="8" max="8" width="34.28515625" style="2" customWidth="1"/>
    <col min="9" max="9" width="21" customWidth="1"/>
    <col min="10" max="10" width="12.140625" customWidth="1"/>
  </cols>
  <sheetData>
    <row r="1" spans="1:8" x14ac:dyDescent="0.25">
      <c r="A1" s="3" t="s">
        <v>64</v>
      </c>
      <c r="B1" s="4" t="s">
        <v>63</v>
      </c>
      <c r="C1" s="3" t="s">
        <v>62</v>
      </c>
      <c r="D1" s="1" t="s">
        <v>39</v>
      </c>
      <c r="E1" s="1" t="s">
        <v>40</v>
      </c>
      <c r="F1" s="1" t="s">
        <v>41</v>
      </c>
      <c r="G1" s="1" t="s">
        <v>65</v>
      </c>
      <c r="H1" s="1" t="s">
        <v>44</v>
      </c>
    </row>
    <row r="2" spans="1:8" x14ac:dyDescent="0.25">
      <c r="A2" s="3">
        <v>1</v>
      </c>
      <c r="B2" s="4" t="s">
        <v>15</v>
      </c>
      <c r="C2" s="3" t="s">
        <v>33</v>
      </c>
      <c r="D2" s="1" t="s">
        <v>32</v>
      </c>
      <c r="E2" s="1" t="s">
        <v>66</v>
      </c>
      <c r="F2" s="1" t="s">
        <v>68</v>
      </c>
      <c r="H2" s="2" t="s">
        <v>45</v>
      </c>
    </row>
    <row r="3" spans="1:8" x14ac:dyDescent="0.25">
      <c r="A3" s="3">
        <f>A2+1</f>
        <v>2</v>
      </c>
      <c r="B3" s="4" t="s">
        <v>34</v>
      </c>
      <c r="C3" s="3" t="s">
        <v>33</v>
      </c>
      <c r="D3" s="1" t="s">
        <v>32</v>
      </c>
      <c r="E3" s="1" t="s">
        <v>66</v>
      </c>
      <c r="F3" s="1" t="s">
        <v>69</v>
      </c>
      <c r="H3" s="2" t="s">
        <v>46</v>
      </c>
    </row>
    <row r="4" spans="1:8" x14ac:dyDescent="0.25">
      <c r="A4" s="3">
        <f t="shared" ref="A4:A28" si="0">A3+1</f>
        <v>3</v>
      </c>
      <c r="B4" s="4" t="s">
        <v>35</v>
      </c>
      <c r="C4" s="3" t="s">
        <v>33</v>
      </c>
      <c r="D4" s="1" t="s">
        <v>32</v>
      </c>
      <c r="E4" s="1" t="s">
        <v>66</v>
      </c>
      <c r="F4" s="1" t="s">
        <v>68</v>
      </c>
      <c r="H4" s="2" t="s">
        <v>47</v>
      </c>
    </row>
    <row r="5" spans="1:8" x14ac:dyDescent="0.25">
      <c r="A5" s="3">
        <f t="shared" si="0"/>
        <v>4</v>
      </c>
      <c r="B5" s="4" t="s">
        <v>36</v>
      </c>
      <c r="C5" s="3" t="s">
        <v>33</v>
      </c>
      <c r="D5" s="1" t="s">
        <v>32</v>
      </c>
      <c r="E5" s="1" t="s">
        <v>66</v>
      </c>
      <c r="F5" s="1" t="s">
        <v>69</v>
      </c>
      <c r="H5" s="2" t="s">
        <v>48</v>
      </c>
    </row>
    <row r="6" spans="1:8" x14ac:dyDescent="0.25">
      <c r="A6" s="3">
        <f t="shared" si="0"/>
        <v>5</v>
      </c>
      <c r="B6" s="4" t="s">
        <v>16</v>
      </c>
      <c r="C6" s="3" t="s">
        <v>33</v>
      </c>
      <c r="D6" s="1" t="s">
        <v>32</v>
      </c>
      <c r="E6" s="1" t="s">
        <v>67</v>
      </c>
      <c r="F6" s="1" t="s">
        <v>68</v>
      </c>
      <c r="H6" s="2" t="s">
        <v>16</v>
      </c>
    </row>
    <row r="7" spans="1:8" x14ac:dyDescent="0.25">
      <c r="A7" s="3">
        <f t="shared" si="0"/>
        <v>6</v>
      </c>
      <c r="B7" s="4" t="s">
        <v>37</v>
      </c>
      <c r="C7" s="3" t="s">
        <v>33</v>
      </c>
      <c r="D7" s="1" t="s">
        <v>32</v>
      </c>
      <c r="E7" s="1" t="s">
        <v>67</v>
      </c>
      <c r="F7" s="1" t="s">
        <v>69</v>
      </c>
      <c r="H7" s="2" t="s">
        <v>49</v>
      </c>
    </row>
    <row r="8" spans="1:8" x14ac:dyDescent="0.25">
      <c r="A8" s="3">
        <f t="shared" si="0"/>
        <v>7</v>
      </c>
      <c r="B8" s="4" t="s">
        <v>38</v>
      </c>
      <c r="C8" s="3" t="s">
        <v>33</v>
      </c>
      <c r="D8" s="1" t="s">
        <v>32</v>
      </c>
      <c r="E8" s="1" t="s">
        <v>67</v>
      </c>
      <c r="F8" s="1" t="s">
        <v>69</v>
      </c>
      <c r="H8" s="2" t="s">
        <v>50</v>
      </c>
    </row>
    <row r="9" spans="1:8" x14ac:dyDescent="0.25">
      <c r="A9" s="3">
        <f t="shared" si="0"/>
        <v>8</v>
      </c>
      <c r="B9" s="4" t="s">
        <v>17</v>
      </c>
      <c r="C9" s="3" t="s">
        <v>33</v>
      </c>
      <c r="D9" s="1" t="s">
        <v>32</v>
      </c>
      <c r="E9" s="1" t="s">
        <v>67</v>
      </c>
      <c r="F9" s="1" t="s">
        <v>70</v>
      </c>
      <c r="H9" s="2" t="s">
        <v>51</v>
      </c>
    </row>
    <row r="10" spans="1:8" x14ac:dyDescent="0.25">
      <c r="A10" s="3">
        <f t="shared" si="0"/>
        <v>9</v>
      </c>
      <c r="B10" s="4" t="s">
        <v>18</v>
      </c>
      <c r="C10" s="3" t="s">
        <v>33</v>
      </c>
      <c r="D10" s="1" t="s">
        <v>32</v>
      </c>
      <c r="E10" s="1" t="s">
        <v>67</v>
      </c>
      <c r="F10" s="1" t="s">
        <v>70</v>
      </c>
      <c r="H10" s="2" t="s">
        <v>52</v>
      </c>
    </row>
    <row r="11" spans="1:8" x14ac:dyDescent="0.25">
      <c r="A11" s="3">
        <f t="shared" si="0"/>
        <v>10</v>
      </c>
      <c r="B11" s="4" t="s">
        <v>19</v>
      </c>
      <c r="C11" s="3" t="s">
        <v>33</v>
      </c>
      <c r="D11" s="1" t="s">
        <v>32</v>
      </c>
      <c r="E11" s="1" t="s">
        <v>67</v>
      </c>
      <c r="F11" s="1" t="s">
        <v>68</v>
      </c>
      <c r="H11" s="2" t="s">
        <v>54</v>
      </c>
    </row>
    <row r="12" spans="1:8" x14ac:dyDescent="0.25">
      <c r="A12" s="3">
        <f t="shared" si="0"/>
        <v>11</v>
      </c>
      <c r="B12" s="4" t="s">
        <v>28</v>
      </c>
      <c r="C12" s="3" t="s">
        <v>33</v>
      </c>
      <c r="D12" s="1" t="s">
        <v>32</v>
      </c>
      <c r="E12" s="1" t="s">
        <v>67</v>
      </c>
      <c r="F12" s="1" t="s">
        <v>70</v>
      </c>
      <c r="H12" s="2" t="s">
        <v>53</v>
      </c>
    </row>
    <row r="13" spans="1:8" x14ac:dyDescent="0.25">
      <c r="A13" s="3">
        <f t="shared" si="0"/>
        <v>12</v>
      </c>
      <c r="B13" s="4" t="s">
        <v>27</v>
      </c>
      <c r="C13" s="3" t="s">
        <v>33</v>
      </c>
      <c r="D13" s="1" t="s">
        <v>32</v>
      </c>
      <c r="E13" s="1" t="s">
        <v>67</v>
      </c>
      <c r="F13" s="1" t="s">
        <v>68</v>
      </c>
      <c r="H13" s="2" t="s">
        <v>55</v>
      </c>
    </row>
    <row r="14" spans="1:8" x14ac:dyDescent="0.25">
      <c r="A14" s="3">
        <f t="shared" si="0"/>
        <v>13</v>
      </c>
      <c r="B14" s="4" t="s">
        <v>139</v>
      </c>
      <c r="C14" s="3" t="s">
        <v>33</v>
      </c>
      <c r="D14" s="1" t="s">
        <v>32</v>
      </c>
      <c r="E14" s="1" t="s">
        <v>43</v>
      </c>
      <c r="H14" s="2" t="s">
        <v>56</v>
      </c>
    </row>
    <row r="15" spans="1:8" x14ac:dyDescent="0.25">
      <c r="A15" s="3">
        <f t="shared" si="0"/>
        <v>14</v>
      </c>
      <c r="B15" s="4" t="s">
        <v>3</v>
      </c>
      <c r="C15" s="3" t="s">
        <v>0</v>
      </c>
      <c r="D15" s="1" t="s">
        <v>42</v>
      </c>
      <c r="H15" s="2" t="s">
        <v>57</v>
      </c>
    </row>
    <row r="16" spans="1:8" x14ac:dyDescent="0.25">
      <c r="A16" s="3">
        <f t="shared" si="0"/>
        <v>15</v>
      </c>
      <c r="B16" s="4" t="s">
        <v>4</v>
      </c>
      <c r="C16" s="3" t="s">
        <v>0</v>
      </c>
      <c r="D16" s="1" t="s">
        <v>42</v>
      </c>
      <c r="H16" s="2" t="s">
        <v>58</v>
      </c>
    </row>
    <row r="17" spans="1:8" x14ac:dyDescent="0.25">
      <c r="A17" s="3">
        <f t="shared" si="0"/>
        <v>16</v>
      </c>
      <c r="B17" s="4" t="s">
        <v>110</v>
      </c>
      <c r="C17" s="3" t="s">
        <v>0</v>
      </c>
      <c r="D17" s="1" t="s">
        <v>42</v>
      </c>
      <c r="H17" s="2" t="s">
        <v>108</v>
      </c>
    </row>
    <row r="18" spans="1:8" x14ac:dyDescent="0.25">
      <c r="A18" s="3">
        <f t="shared" si="0"/>
        <v>17</v>
      </c>
      <c r="B18" s="4" t="s">
        <v>111</v>
      </c>
      <c r="C18" s="3" t="s">
        <v>0</v>
      </c>
      <c r="D18" s="1" t="s">
        <v>42</v>
      </c>
      <c r="H18" s="2" t="s">
        <v>109</v>
      </c>
    </row>
    <row r="19" spans="1:8" x14ac:dyDescent="0.25">
      <c r="A19" s="3">
        <f t="shared" si="0"/>
        <v>18</v>
      </c>
      <c r="B19" s="4" t="s">
        <v>5</v>
      </c>
      <c r="C19" s="3" t="s">
        <v>0</v>
      </c>
      <c r="D19" s="1" t="s">
        <v>42</v>
      </c>
      <c r="H19" s="2" t="s">
        <v>59</v>
      </c>
    </row>
    <row r="20" spans="1:8" x14ac:dyDescent="0.25">
      <c r="A20" s="3">
        <f t="shared" si="0"/>
        <v>19</v>
      </c>
      <c r="B20" s="4" t="s">
        <v>6</v>
      </c>
      <c r="C20" s="3" t="s">
        <v>0</v>
      </c>
      <c r="D20" s="1" t="s">
        <v>42</v>
      </c>
      <c r="H20" s="2" t="s">
        <v>60</v>
      </c>
    </row>
    <row r="21" spans="1:8" x14ac:dyDescent="0.25">
      <c r="A21" s="3">
        <f t="shared" si="0"/>
        <v>20</v>
      </c>
      <c r="B21" s="4" t="s">
        <v>7</v>
      </c>
      <c r="C21" s="3" t="s">
        <v>0</v>
      </c>
      <c r="D21" s="1" t="s">
        <v>42</v>
      </c>
      <c r="H21" s="2" t="s">
        <v>61</v>
      </c>
    </row>
    <row r="22" spans="1:8" x14ac:dyDescent="0.25">
      <c r="A22" s="3">
        <f t="shared" si="0"/>
        <v>21</v>
      </c>
      <c r="B22" s="4" t="s">
        <v>0</v>
      </c>
      <c r="C22" s="3" t="s">
        <v>118</v>
      </c>
    </row>
    <row r="23" spans="1:8" x14ac:dyDescent="0.25">
      <c r="A23" s="3">
        <f t="shared" si="0"/>
        <v>22</v>
      </c>
      <c r="B23" s="4" t="s">
        <v>1</v>
      </c>
      <c r="C23" s="3" t="s">
        <v>118</v>
      </c>
    </row>
    <row r="24" spans="1:8" x14ac:dyDescent="0.25">
      <c r="A24" s="3">
        <f t="shared" si="0"/>
        <v>23</v>
      </c>
      <c r="B24" s="4" t="s">
        <v>15</v>
      </c>
      <c r="C24" s="3" t="s">
        <v>120</v>
      </c>
      <c r="H24" s="2" t="s">
        <v>121</v>
      </c>
    </row>
    <row r="25" spans="1:8" x14ac:dyDescent="0.25">
      <c r="A25" s="3">
        <f t="shared" si="0"/>
        <v>24</v>
      </c>
      <c r="B25" s="4" t="s">
        <v>116</v>
      </c>
      <c r="C25" s="3" t="s">
        <v>120</v>
      </c>
      <c r="H25" s="2" t="s">
        <v>122</v>
      </c>
    </row>
    <row r="26" spans="1:8" x14ac:dyDescent="0.25">
      <c r="A26" s="3">
        <f t="shared" si="0"/>
        <v>25</v>
      </c>
      <c r="B26" s="4" t="s">
        <v>36</v>
      </c>
      <c r="C26" s="3" t="s">
        <v>120</v>
      </c>
      <c r="H26" s="2" t="s">
        <v>128</v>
      </c>
    </row>
    <row r="27" spans="1:8" x14ac:dyDescent="0.25">
      <c r="A27" s="3">
        <f t="shared" si="0"/>
        <v>26</v>
      </c>
      <c r="B27" s="4" t="s">
        <v>119</v>
      </c>
      <c r="C27" s="3" t="s">
        <v>120</v>
      </c>
      <c r="H27" s="2" t="s">
        <v>123</v>
      </c>
    </row>
    <row r="28" spans="1:8" x14ac:dyDescent="0.25">
      <c r="A28" s="3">
        <f t="shared" si="0"/>
        <v>27</v>
      </c>
      <c r="B28" s="4" t="s">
        <v>25</v>
      </c>
      <c r="C28" s="4"/>
    </row>
    <row r="29" spans="1:8" x14ac:dyDescent="0.25">
      <c r="C29" s="4"/>
    </row>
    <row r="30" spans="1:8" x14ac:dyDescent="0.25">
      <c r="C30" s="4"/>
    </row>
    <row r="31" spans="1:8" x14ac:dyDescent="0.25">
      <c r="C31" s="4"/>
    </row>
    <row r="32" spans="1:8" x14ac:dyDescent="0.25">
      <c r="C32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246-E45C-4BD9-93D3-6C97923096DF}">
  <sheetPr codeName="Sheet2"/>
  <dimension ref="A1:E157"/>
  <sheetViews>
    <sheetView workbookViewId="0">
      <selection activeCell="C19" sqref="C19"/>
    </sheetView>
  </sheetViews>
  <sheetFormatPr defaultRowHeight="15" x14ac:dyDescent="0.25"/>
  <cols>
    <col min="1" max="1" width="11.7109375" style="3" customWidth="1"/>
    <col min="2" max="2" width="17.5703125" style="4" customWidth="1"/>
    <col min="3" max="3" width="17.5703125" style="3" customWidth="1"/>
    <col min="4" max="4" width="11.28515625" style="1" customWidth="1"/>
    <col min="5" max="5" width="26.5703125" style="3" customWidth="1"/>
    <col min="6" max="6" width="21" customWidth="1"/>
    <col min="7" max="7" width="12.140625" customWidth="1"/>
  </cols>
  <sheetData>
    <row r="1" spans="1:5" x14ac:dyDescent="0.25">
      <c r="A1" s="3" t="s">
        <v>64</v>
      </c>
      <c r="B1" s="4" t="s">
        <v>71</v>
      </c>
      <c r="C1" s="3" t="s">
        <v>62</v>
      </c>
      <c r="D1" s="1" t="s">
        <v>65</v>
      </c>
      <c r="E1" s="3" t="s">
        <v>74</v>
      </c>
    </row>
    <row r="2" spans="1:5" x14ac:dyDescent="0.25">
      <c r="A2" s="3">
        <v>1</v>
      </c>
      <c r="B2" s="4" t="str">
        <f>LEFT(C2,3)&amp;"_"&amp;D2&amp;"_"&amp;LEFT(E2,3)</f>
        <v>dem_gwh_res</v>
      </c>
      <c r="C2" s="3" t="s">
        <v>8</v>
      </c>
      <c r="D2" s="1" t="s">
        <v>13</v>
      </c>
      <c r="E2" s="4" t="s">
        <v>9</v>
      </c>
    </row>
    <row r="3" spans="1:5" x14ac:dyDescent="0.25">
      <c r="A3" s="3">
        <f>A2+1</f>
        <v>2</v>
      </c>
      <c r="B3" s="4" t="str">
        <f t="shared" ref="B3:B14" si="0">LEFT(C3,3)&amp;"_"&amp;D3&amp;"_"&amp;LEFT(E3,3)</f>
        <v>dem_gwh_com</v>
      </c>
      <c r="C3" s="3" t="s">
        <v>8</v>
      </c>
      <c r="D3" s="1" t="s">
        <v>13</v>
      </c>
      <c r="E3" s="4" t="s">
        <v>10</v>
      </c>
    </row>
    <row r="4" spans="1:5" x14ac:dyDescent="0.25">
      <c r="A4" s="3">
        <f t="shared" ref="A4:A67" si="1">A3+1</f>
        <v>3</v>
      </c>
      <c r="B4" s="4" t="str">
        <f t="shared" si="0"/>
        <v>dem_gwh_pub</v>
      </c>
      <c r="C4" s="3" t="s">
        <v>8</v>
      </c>
      <c r="D4" s="1" t="s">
        <v>13</v>
      </c>
      <c r="E4" s="4" t="s">
        <v>11</v>
      </c>
    </row>
    <row r="5" spans="1:5" x14ac:dyDescent="0.25">
      <c r="A5" s="3">
        <f t="shared" si="1"/>
        <v>4</v>
      </c>
      <c r="B5" s="4" t="str">
        <f t="shared" si="0"/>
        <v>dem_gwh_ind</v>
      </c>
      <c r="C5" s="3" t="s">
        <v>8</v>
      </c>
      <c r="D5" s="1" t="s">
        <v>13</v>
      </c>
      <c r="E5" s="2" t="s">
        <v>12</v>
      </c>
    </row>
    <row r="6" spans="1:5" x14ac:dyDescent="0.25">
      <c r="A6" s="3">
        <f t="shared" si="1"/>
        <v>5</v>
      </c>
      <c r="B6" s="4" t="str">
        <f t="shared" si="0"/>
        <v>dem_gwh_tot</v>
      </c>
      <c r="C6" s="3" t="s">
        <v>8</v>
      </c>
      <c r="D6" s="1" t="s">
        <v>13</v>
      </c>
      <c r="E6" s="2" t="s">
        <v>25</v>
      </c>
    </row>
    <row r="7" spans="1:5" x14ac:dyDescent="0.25">
      <c r="A7" s="3">
        <f t="shared" si="1"/>
        <v>6</v>
      </c>
      <c r="B7" s="4" t="str">
        <f t="shared" si="0"/>
        <v>tec_%_eff</v>
      </c>
      <c r="C7" s="3" t="s">
        <v>75</v>
      </c>
      <c r="D7" s="1" t="s">
        <v>2</v>
      </c>
      <c r="E7" s="2" t="s">
        <v>76</v>
      </c>
    </row>
    <row r="8" spans="1:5" x14ac:dyDescent="0.25">
      <c r="A8" s="3">
        <f t="shared" si="1"/>
        <v>7</v>
      </c>
      <c r="B8" s="4" t="str">
        <f t="shared" si="0"/>
        <v>tec_mw_min</v>
      </c>
      <c r="C8" s="3" t="s">
        <v>75</v>
      </c>
      <c r="D8" s="1" t="s">
        <v>21</v>
      </c>
      <c r="E8" s="2" t="s">
        <v>77</v>
      </c>
    </row>
    <row r="9" spans="1:5" x14ac:dyDescent="0.25">
      <c r="A9" s="3">
        <f t="shared" si="1"/>
        <v>8</v>
      </c>
      <c r="B9" s="4" t="str">
        <f t="shared" si="0"/>
        <v xml:space="preserve">tec_%_cf </v>
      </c>
      <c r="C9" s="3" t="s">
        <v>75</v>
      </c>
      <c r="D9" s="1" t="s">
        <v>2</v>
      </c>
      <c r="E9" s="2" t="s">
        <v>86</v>
      </c>
    </row>
    <row r="10" spans="1:5" x14ac:dyDescent="0.25">
      <c r="A10" s="3">
        <f t="shared" si="1"/>
        <v>9</v>
      </c>
      <c r="B10" s="4" t="str">
        <f t="shared" ref="B10" si="2">LEFT(C10,3)&amp;"_"&amp;D10&amp;"_"&amp;LEFT(E10,3)</f>
        <v xml:space="preserve">tec_%_of </v>
      </c>
      <c r="C10" s="3" t="s">
        <v>75</v>
      </c>
      <c r="D10" s="1" t="s">
        <v>2</v>
      </c>
      <c r="E10" s="2" t="s">
        <v>87</v>
      </c>
    </row>
    <row r="11" spans="1:5" x14ac:dyDescent="0.25">
      <c r="A11" s="3">
        <f t="shared" si="1"/>
        <v>10</v>
      </c>
      <c r="B11" s="4" t="str">
        <f t="shared" si="0"/>
        <v xml:space="preserve">tec_%_ff </v>
      </c>
      <c r="C11" s="3" t="s">
        <v>75</v>
      </c>
      <c r="D11" s="1" t="s">
        <v>2</v>
      </c>
      <c r="E11" s="2" t="s">
        <v>90</v>
      </c>
    </row>
    <row r="12" spans="1:5" x14ac:dyDescent="0.25">
      <c r="A12" s="3">
        <f t="shared" si="1"/>
        <v>11</v>
      </c>
      <c r="B12" s="4" t="str">
        <f t="shared" ref="B12" si="3">LEFT(C12,3)&amp;"_"&amp;D12&amp;"_"&amp;LEFT(E12,3)</f>
        <v xml:space="preserve">tec_%_pf </v>
      </c>
      <c r="C12" s="3" t="s">
        <v>75</v>
      </c>
      <c r="D12" s="1" t="s">
        <v>2</v>
      </c>
      <c r="E12" s="2" t="s">
        <v>88</v>
      </c>
    </row>
    <row r="13" spans="1:5" x14ac:dyDescent="0.25">
      <c r="A13" s="3">
        <f t="shared" si="1"/>
        <v>12</v>
      </c>
      <c r="B13" s="4" t="str">
        <f t="shared" si="0"/>
        <v>tec_tco2/TJ_co2</v>
      </c>
      <c r="C13" s="3" t="s">
        <v>75</v>
      </c>
      <c r="D13" s="1" t="s">
        <v>166</v>
      </c>
      <c r="E13" s="2" t="s">
        <v>78</v>
      </c>
    </row>
    <row r="14" spans="1:5" x14ac:dyDescent="0.25">
      <c r="A14" s="3">
        <f t="shared" si="1"/>
        <v>13</v>
      </c>
      <c r="B14" s="4" t="str">
        <f t="shared" si="0"/>
        <v>fin_$/mw_cap</v>
      </c>
      <c r="C14" s="3" t="s">
        <v>91</v>
      </c>
      <c r="D14" s="1" t="s">
        <v>95</v>
      </c>
      <c r="E14" s="2" t="s">
        <v>92</v>
      </c>
    </row>
    <row r="15" spans="1:5" x14ac:dyDescent="0.25">
      <c r="A15" s="3">
        <f t="shared" si="1"/>
        <v>14</v>
      </c>
      <c r="B15" s="4" t="str">
        <f t="shared" ref="B15:B17" si="4">LEFT(C15,3)&amp;"_"&amp;D15&amp;"_"&amp;LEFT(E15,3)</f>
        <v>fin_$/mw_fix</v>
      </c>
      <c r="C15" s="3" t="s">
        <v>91</v>
      </c>
      <c r="D15" s="1" t="s">
        <v>95</v>
      </c>
      <c r="E15" s="2" t="s">
        <v>96</v>
      </c>
    </row>
    <row r="16" spans="1:5" x14ac:dyDescent="0.25">
      <c r="A16" s="3">
        <f t="shared" si="1"/>
        <v>15</v>
      </c>
      <c r="B16" s="4" t="str">
        <f t="shared" si="4"/>
        <v>fin_$/mwh_var</v>
      </c>
      <c r="C16" s="3" t="s">
        <v>91</v>
      </c>
      <c r="D16" s="1" t="s">
        <v>97</v>
      </c>
      <c r="E16" s="2" t="s">
        <v>93</v>
      </c>
    </row>
    <row r="17" spans="1:5" x14ac:dyDescent="0.25">
      <c r="A17" s="3">
        <f t="shared" si="1"/>
        <v>16</v>
      </c>
      <c r="B17" s="4" t="str">
        <f t="shared" si="4"/>
        <v>fin_$/mmbtu_fue</v>
      </c>
      <c r="C17" s="3" t="s">
        <v>91</v>
      </c>
      <c r="D17" s="1" t="s">
        <v>101</v>
      </c>
      <c r="E17" s="2" t="s">
        <v>94</v>
      </c>
    </row>
    <row r="18" spans="1:5" x14ac:dyDescent="0.25">
      <c r="A18" s="3">
        <f t="shared" si="1"/>
        <v>17</v>
      </c>
      <c r="B18" s="4" t="str">
        <f>E18</f>
        <v>coal</v>
      </c>
      <c r="C18" s="3" t="s">
        <v>14</v>
      </c>
      <c r="D18" s="1" t="s">
        <v>13</v>
      </c>
      <c r="E18" s="4" t="str">
        <f>sets_indices!$B$2</f>
        <v>coal</v>
      </c>
    </row>
    <row r="19" spans="1:5" x14ac:dyDescent="0.25">
      <c r="A19" s="3">
        <f t="shared" si="1"/>
        <v>18</v>
      </c>
      <c r="B19" s="4" t="str">
        <f t="shared" ref="B19:B82" si="5">E19</f>
        <v>ocgt</v>
      </c>
      <c r="C19" s="3" t="s">
        <v>14</v>
      </c>
      <c r="D19" s="1" t="s">
        <v>13</v>
      </c>
      <c r="E19" s="4" t="str">
        <f>sets_indices!$B$3</f>
        <v>ocgt</v>
      </c>
    </row>
    <row r="20" spans="1:5" x14ac:dyDescent="0.25">
      <c r="A20" s="3">
        <f t="shared" si="1"/>
        <v>19</v>
      </c>
      <c r="B20" s="4" t="str">
        <f t="shared" si="5"/>
        <v>ccgt</v>
      </c>
      <c r="C20" s="3" t="s">
        <v>14</v>
      </c>
      <c r="D20" s="1" t="s">
        <v>13</v>
      </c>
      <c r="E20" s="4" t="str">
        <f>sets_indices!$B$4</f>
        <v>ccgt</v>
      </c>
    </row>
    <row r="21" spans="1:5" x14ac:dyDescent="0.25">
      <c r="A21" s="3">
        <f t="shared" si="1"/>
        <v>20</v>
      </c>
      <c r="B21" s="4" t="str">
        <f t="shared" si="5"/>
        <v>reciprocating</v>
      </c>
      <c r="C21" s="3" t="s">
        <v>14</v>
      </c>
      <c r="D21" s="1" t="s">
        <v>13</v>
      </c>
      <c r="E21" s="4" t="str">
        <f>sets_indices!$B$5</f>
        <v>reciprocating</v>
      </c>
    </row>
    <row r="22" spans="1:5" x14ac:dyDescent="0.25">
      <c r="A22" s="3">
        <f t="shared" si="1"/>
        <v>21</v>
      </c>
      <c r="B22" s="4" t="str">
        <f t="shared" si="5"/>
        <v>geothermal</v>
      </c>
      <c r="C22" s="3" t="s">
        <v>14</v>
      </c>
      <c r="D22" s="1" t="s">
        <v>13</v>
      </c>
      <c r="E22" s="4" t="str">
        <f>sets_indices!$B$6</f>
        <v>geothermal</v>
      </c>
    </row>
    <row r="23" spans="1:5" x14ac:dyDescent="0.25">
      <c r="A23" s="3">
        <f t="shared" si="1"/>
        <v>22</v>
      </c>
      <c r="B23" s="4" t="str">
        <f t="shared" si="5"/>
        <v>lhydro</v>
      </c>
      <c r="C23" s="3" t="s">
        <v>14</v>
      </c>
      <c r="D23" s="1" t="s">
        <v>13</v>
      </c>
      <c r="E23" s="4" t="str">
        <f>sets_indices!$B$7</f>
        <v>lhydro</v>
      </c>
    </row>
    <row r="24" spans="1:5" x14ac:dyDescent="0.25">
      <c r="A24" s="3">
        <f t="shared" si="1"/>
        <v>23</v>
      </c>
      <c r="B24" s="4" t="str">
        <f t="shared" si="5"/>
        <v>mhydro</v>
      </c>
      <c r="C24" s="3" t="s">
        <v>14</v>
      </c>
      <c r="D24" s="1" t="s">
        <v>13</v>
      </c>
      <c r="E24" s="4" t="str">
        <f>sets_indices!$B$8</f>
        <v>mhydro</v>
      </c>
    </row>
    <row r="25" spans="1:5" x14ac:dyDescent="0.25">
      <c r="A25" s="3">
        <f t="shared" si="1"/>
        <v>24</v>
      </c>
      <c r="B25" s="4" t="str">
        <f t="shared" si="5"/>
        <v>solar</v>
      </c>
      <c r="C25" s="3" t="s">
        <v>14</v>
      </c>
      <c r="D25" s="1" t="s">
        <v>13</v>
      </c>
      <c r="E25" s="4" t="str">
        <f>sets_indices!$B$9</f>
        <v>solar</v>
      </c>
    </row>
    <row r="26" spans="1:5" x14ac:dyDescent="0.25">
      <c r="A26" s="3">
        <f t="shared" si="1"/>
        <v>25</v>
      </c>
      <c r="B26" s="4" t="str">
        <f t="shared" si="5"/>
        <v>wind</v>
      </c>
      <c r="C26" s="3" t="s">
        <v>14</v>
      </c>
      <c r="D26" s="1" t="s">
        <v>13</v>
      </c>
      <c r="E26" s="4" t="str">
        <f>sets_indices!$B$10</f>
        <v>wind</v>
      </c>
    </row>
    <row r="27" spans="1:5" x14ac:dyDescent="0.25">
      <c r="A27" s="3">
        <f t="shared" si="1"/>
        <v>26</v>
      </c>
      <c r="B27" s="4" t="str">
        <f t="shared" si="5"/>
        <v>biomass</v>
      </c>
      <c r="C27" s="3" t="s">
        <v>14</v>
      </c>
      <c r="D27" s="1" t="s">
        <v>13</v>
      </c>
      <c r="E27" s="4" t="str">
        <f>sets_indices!$B$11</f>
        <v>biomass</v>
      </c>
    </row>
    <row r="28" spans="1:5" x14ac:dyDescent="0.25">
      <c r="A28" s="3">
        <f t="shared" si="1"/>
        <v>27</v>
      </c>
      <c r="B28" s="4" t="str">
        <f t="shared" si="5"/>
        <v>ocean</v>
      </c>
      <c r="C28" s="3" t="s">
        <v>14</v>
      </c>
      <c r="D28" s="1" t="s">
        <v>13</v>
      </c>
      <c r="E28" s="4" t="str">
        <f>sets_indices!$B$12</f>
        <v>ocean</v>
      </c>
    </row>
    <row r="29" spans="1:5" x14ac:dyDescent="0.25">
      <c r="A29" s="3">
        <f t="shared" si="1"/>
        <v>28</v>
      </c>
      <c r="B29" s="4" t="str">
        <f t="shared" si="5"/>
        <v>waste</v>
      </c>
      <c r="C29" s="3" t="s">
        <v>14</v>
      </c>
      <c r="D29" s="1" t="s">
        <v>13</v>
      </c>
      <c r="E29" s="4" t="str">
        <f>sets_indices!$B$13</f>
        <v>waste</v>
      </c>
    </row>
    <row r="30" spans="1:5" x14ac:dyDescent="0.25">
      <c r="A30" s="3">
        <f t="shared" si="1"/>
        <v>29</v>
      </c>
      <c r="B30" s="4" t="str">
        <f t="shared" si="5"/>
        <v>storage</v>
      </c>
      <c r="C30" s="3" t="s">
        <v>14</v>
      </c>
      <c r="D30" s="1" t="s">
        <v>13</v>
      </c>
      <c r="E30" s="4" t="str">
        <f>sets_indices!B14</f>
        <v>storage</v>
      </c>
    </row>
    <row r="31" spans="1:5" x14ac:dyDescent="0.25">
      <c r="A31" s="3">
        <f t="shared" si="1"/>
        <v>30</v>
      </c>
      <c r="B31" s="4" t="str">
        <f t="shared" si="5"/>
        <v>total</v>
      </c>
      <c r="C31" s="3" t="s">
        <v>14</v>
      </c>
      <c r="D31" s="1" t="s">
        <v>13</v>
      </c>
      <c r="E31" s="4" t="s">
        <v>25</v>
      </c>
    </row>
    <row r="32" spans="1:5" x14ac:dyDescent="0.25">
      <c r="A32" s="3">
        <f t="shared" si="1"/>
        <v>31</v>
      </c>
      <c r="B32" s="4" t="str">
        <f t="shared" si="5"/>
        <v>coal</v>
      </c>
      <c r="C32" s="3" t="s">
        <v>14</v>
      </c>
      <c r="D32" s="1" t="s">
        <v>2</v>
      </c>
      <c r="E32" s="4" t="str">
        <f>sets_indices!$B$2</f>
        <v>coal</v>
      </c>
    </row>
    <row r="33" spans="1:5" x14ac:dyDescent="0.25">
      <c r="A33" s="3">
        <f t="shared" si="1"/>
        <v>32</v>
      </c>
      <c r="B33" s="4" t="str">
        <f t="shared" si="5"/>
        <v>ocgt</v>
      </c>
      <c r="C33" s="3" t="s">
        <v>14</v>
      </c>
      <c r="D33" s="1" t="s">
        <v>2</v>
      </c>
      <c r="E33" s="4" t="str">
        <f>sets_indices!$B$3</f>
        <v>ocgt</v>
      </c>
    </row>
    <row r="34" spans="1:5" x14ac:dyDescent="0.25">
      <c r="A34" s="3">
        <f t="shared" si="1"/>
        <v>33</v>
      </c>
      <c r="B34" s="4" t="str">
        <f t="shared" si="5"/>
        <v>ccgt</v>
      </c>
      <c r="C34" s="3" t="s">
        <v>14</v>
      </c>
      <c r="D34" s="1" t="s">
        <v>2</v>
      </c>
      <c r="E34" s="4" t="str">
        <f>sets_indices!$B$4</f>
        <v>ccgt</v>
      </c>
    </row>
    <row r="35" spans="1:5" x14ac:dyDescent="0.25">
      <c r="A35" s="3">
        <f t="shared" si="1"/>
        <v>34</v>
      </c>
      <c r="B35" s="4" t="str">
        <f t="shared" si="5"/>
        <v>reciprocating</v>
      </c>
      <c r="C35" s="3" t="s">
        <v>14</v>
      </c>
      <c r="D35" s="1" t="s">
        <v>2</v>
      </c>
      <c r="E35" s="4" t="str">
        <f>sets_indices!$B$5</f>
        <v>reciprocating</v>
      </c>
    </row>
    <row r="36" spans="1:5" x14ac:dyDescent="0.25">
      <c r="A36" s="3">
        <f t="shared" si="1"/>
        <v>35</v>
      </c>
      <c r="B36" s="4" t="str">
        <f t="shared" si="5"/>
        <v>geothermal</v>
      </c>
      <c r="C36" s="3" t="s">
        <v>14</v>
      </c>
      <c r="D36" s="1" t="s">
        <v>2</v>
      </c>
      <c r="E36" s="4" t="str">
        <f>sets_indices!$B$6</f>
        <v>geothermal</v>
      </c>
    </row>
    <row r="37" spans="1:5" x14ac:dyDescent="0.25">
      <c r="A37" s="3">
        <f t="shared" si="1"/>
        <v>36</v>
      </c>
      <c r="B37" s="4" t="str">
        <f t="shared" si="5"/>
        <v>lhydro</v>
      </c>
      <c r="C37" s="3" t="s">
        <v>14</v>
      </c>
      <c r="D37" s="1" t="s">
        <v>2</v>
      </c>
      <c r="E37" s="4" t="str">
        <f>sets_indices!$B$7</f>
        <v>lhydro</v>
      </c>
    </row>
    <row r="38" spans="1:5" x14ac:dyDescent="0.25">
      <c r="A38" s="3">
        <f t="shared" si="1"/>
        <v>37</v>
      </c>
      <c r="B38" s="4" t="str">
        <f t="shared" si="5"/>
        <v>mhydro</v>
      </c>
      <c r="C38" s="3" t="s">
        <v>14</v>
      </c>
      <c r="D38" s="1" t="s">
        <v>2</v>
      </c>
      <c r="E38" s="4" t="str">
        <f>sets_indices!$B$8</f>
        <v>mhydro</v>
      </c>
    </row>
    <row r="39" spans="1:5" x14ac:dyDescent="0.25">
      <c r="A39" s="3">
        <f t="shared" si="1"/>
        <v>38</v>
      </c>
      <c r="B39" s="4" t="str">
        <f t="shared" si="5"/>
        <v>solar</v>
      </c>
      <c r="C39" s="3" t="s">
        <v>14</v>
      </c>
      <c r="D39" s="1" t="s">
        <v>2</v>
      </c>
      <c r="E39" s="4" t="str">
        <f>sets_indices!$B$9</f>
        <v>solar</v>
      </c>
    </row>
    <row r="40" spans="1:5" x14ac:dyDescent="0.25">
      <c r="A40" s="3">
        <f t="shared" si="1"/>
        <v>39</v>
      </c>
      <c r="B40" s="4" t="str">
        <f t="shared" si="5"/>
        <v>wind</v>
      </c>
      <c r="C40" s="3" t="s">
        <v>14</v>
      </c>
      <c r="D40" s="1" t="s">
        <v>2</v>
      </c>
      <c r="E40" s="4" t="str">
        <f>sets_indices!$B$10</f>
        <v>wind</v>
      </c>
    </row>
    <row r="41" spans="1:5" x14ac:dyDescent="0.25">
      <c r="A41" s="3">
        <f t="shared" si="1"/>
        <v>40</v>
      </c>
      <c r="B41" s="4" t="str">
        <f t="shared" si="5"/>
        <v>biomass</v>
      </c>
      <c r="C41" s="3" t="s">
        <v>14</v>
      </c>
      <c r="D41" s="1" t="s">
        <v>2</v>
      </c>
      <c r="E41" s="4" t="str">
        <f>sets_indices!$B$11</f>
        <v>biomass</v>
      </c>
    </row>
    <row r="42" spans="1:5" x14ac:dyDescent="0.25">
      <c r="A42" s="3">
        <f t="shared" si="1"/>
        <v>41</v>
      </c>
      <c r="B42" s="4" t="str">
        <f t="shared" si="5"/>
        <v>ocean</v>
      </c>
      <c r="C42" s="3" t="s">
        <v>14</v>
      </c>
      <c r="D42" s="1" t="s">
        <v>2</v>
      </c>
      <c r="E42" s="4" t="str">
        <f>sets_indices!$B$12</f>
        <v>ocean</v>
      </c>
    </row>
    <row r="43" spans="1:5" x14ac:dyDescent="0.25">
      <c r="A43" s="3">
        <f t="shared" si="1"/>
        <v>42</v>
      </c>
      <c r="B43" s="4" t="str">
        <f t="shared" si="5"/>
        <v>waste</v>
      </c>
      <c r="C43" s="3" t="s">
        <v>14</v>
      </c>
      <c r="D43" s="1" t="s">
        <v>2</v>
      </c>
      <c r="E43" s="4" t="str">
        <f>sets_indices!$B$13</f>
        <v>waste</v>
      </c>
    </row>
    <row r="44" spans="1:5" x14ac:dyDescent="0.25">
      <c r="A44" s="3">
        <f t="shared" si="1"/>
        <v>43</v>
      </c>
      <c r="B44" s="4" t="str">
        <f t="shared" si="5"/>
        <v>storage</v>
      </c>
      <c r="C44" s="3" t="s">
        <v>14</v>
      </c>
      <c r="D44" s="1" t="s">
        <v>2</v>
      </c>
      <c r="E44" s="4" t="str">
        <f>sets_indices!$B$14</f>
        <v>storage</v>
      </c>
    </row>
    <row r="45" spans="1:5" x14ac:dyDescent="0.25">
      <c r="A45" s="3">
        <f t="shared" si="1"/>
        <v>44</v>
      </c>
      <c r="B45" s="4" t="str">
        <f t="shared" si="5"/>
        <v>total</v>
      </c>
      <c r="C45" s="3" t="s">
        <v>14</v>
      </c>
      <c r="D45" s="1" t="s">
        <v>2</v>
      </c>
      <c r="E45" s="4" t="s">
        <v>25</v>
      </c>
    </row>
    <row r="46" spans="1:5" x14ac:dyDescent="0.25">
      <c r="A46" s="3">
        <f t="shared" si="1"/>
        <v>45</v>
      </c>
      <c r="B46" s="4" t="str">
        <f t="shared" si="5"/>
        <v>coal</v>
      </c>
      <c r="C46" s="3" t="s">
        <v>20</v>
      </c>
      <c r="D46" s="1" t="s">
        <v>21</v>
      </c>
      <c r="E46" s="4" t="str">
        <f>sets_indices!$B$2</f>
        <v>coal</v>
      </c>
    </row>
    <row r="47" spans="1:5" x14ac:dyDescent="0.25">
      <c r="A47" s="3">
        <f t="shared" si="1"/>
        <v>46</v>
      </c>
      <c r="B47" s="4" t="str">
        <f t="shared" si="5"/>
        <v>ocgt</v>
      </c>
      <c r="C47" s="3" t="s">
        <v>20</v>
      </c>
      <c r="D47" s="1" t="s">
        <v>21</v>
      </c>
      <c r="E47" s="4" t="str">
        <f>sets_indices!$B$3</f>
        <v>ocgt</v>
      </c>
    </row>
    <row r="48" spans="1:5" x14ac:dyDescent="0.25">
      <c r="A48" s="3">
        <f t="shared" si="1"/>
        <v>47</v>
      </c>
      <c r="B48" s="4" t="str">
        <f t="shared" si="5"/>
        <v>ccgt</v>
      </c>
      <c r="C48" s="3" t="s">
        <v>20</v>
      </c>
      <c r="D48" s="1" t="s">
        <v>21</v>
      </c>
      <c r="E48" s="4" t="str">
        <f>sets_indices!$B$4</f>
        <v>ccgt</v>
      </c>
    </row>
    <row r="49" spans="1:5" x14ac:dyDescent="0.25">
      <c r="A49" s="3">
        <f t="shared" si="1"/>
        <v>48</v>
      </c>
      <c r="B49" s="4" t="str">
        <f t="shared" si="5"/>
        <v>reciprocating</v>
      </c>
      <c r="C49" s="3" t="s">
        <v>20</v>
      </c>
      <c r="D49" s="1" t="s">
        <v>21</v>
      </c>
      <c r="E49" s="4" t="str">
        <f>sets_indices!$B$5</f>
        <v>reciprocating</v>
      </c>
    </row>
    <row r="50" spans="1:5" x14ac:dyDescent="0.25">
      <c r="A50" s="3">
        <f t="shared" si="1"/>
        <v>49</v>
      </c>
      <c r="B50" s="4" t="str">
        <f t="shared" si="5"/>
        <v>geothermal</v>
      </c>
      <c r="C50" s="3" t="s">
        <v>20</v>
      </c>
      <c r="D50" s="1" t="s">
        <v>21</v>
      </c>
      <c r="E50" s="4" t="str">
        <f>sets_indices!$B$6</f>
        <v>geothermal</v>
      </c>
    </row>
    <row r="51" spans="1:5" x14ac:dyDescent="0.25">
      <c r="A51" s="3">
        <f t="shared" si="1"/>
        <v>50</v>
      </c>
      <c r="B51" s="4" t="str">
        <f t="shared" si="5"/>
        <v>lhydro</v>
      </c>
      <c r="C51" s="3" t="s">
        <v>20</v>
      </c>
      <c r="D51" s="1" t="s">
        <v>21</v>
      </c>
      <c r="E51" s="4" t="str">
        <f>sets_indices!$B$7</f>
        <v>lhydro</v>
      </c>
    </row>
    <row r="52" spans="1:5" x14ac:dyDescent="0.25">
      <c r="A52" s="3">
        <f t="shared" si="1"/>
        <v>51</v>
      </c>
      <c r="B52" s="4" t="str">
        <f t="shared" si="5"/>
        <v>mhydro</v>
      </c>
      <c r="C52" s="3" t="s">
        <v>20</v>
      </c>
      <c r="D52" s="1" t="s">
        <v>21</v>
      </c>
      <c r="E52" s="4" t="str">
        <f>sets_indices!$B$8</f>
        <v>mhydro</v>
      </c>
    </row>
    <row r="53" spans="1:5" x14ac:dyDescent="0.25">
      <c r="A53" s="3">
        <f t="shared" si="1"/>
        <v>52</v>
      </c>
      <c r="B53" s="4" t="str">
        <f t="shared" si="5"/>
        <v>solar</v>
      </c>
      <c r="C53" s="3" t="s">
        <v>20</v>
      </c>
      <c r="D53" s="1" t="s">
        <v>21</v>
      </c>
      <c r="E53" s="4" t="str">
        <f>sets_indices!$B$9</f>
        <v>solar</v>
      </c>
    </row>
    <row r="54" spans="1:5" x14ac:dyDescent="0.25">
      <c r="A54" s="3">
        <f t="shared" si="1"/>
        <v>53</v>
      </c>
      <c r="B54" s="4" t="str">
        <f t="shared" si="5"/>
        <v>wind</v>
      </c>
      <c r="C54" s="3" t="s">
        <v>20</v>
      </c>
      <c r="D54" s="1" t="s">
        <v>21</v>
      </c>
      <c r="E54" s="4" t="str">
        <f>sets_indices!$B$10</f>
        <v>wind</v>
      </c>
    </row>
    <row r="55" spans="1:5" x14ac:dyDescent="0.25">
      <c r="A55" s="3">
        <f t="shared" si="1"/>
        <v>54</v>
      </c>
      <c r="B55" s="4" t="str">
        <f t="shared" si="5"/>
        <v>biomass</v>
      </c>
      <c r="C55" s="3" t="s">
        <v>20</v>
      </c>
      <c r="D55" s="1" t="s">
        <v>21</v>
      </c>
      <c r="E55" s="4" t="str">
        <f>sets_indices!$B$11</f>
        <v>biomass</v>
      </c>
    </row>
    <row r="56" spans="1:5" x14ac:dyDescent="0.25">
      <c r="A56" s="3">
        <f t="shared" si="1"/>
        <v>55</v>
      </c>
      <c r="B56" s="4" t="str">
        <f t="shared" si="5"/>
        <v>ocean</v>
      </c>
      <c r="C56" s="3" t="s">
        <v>20</v>
      </c>
      <c r="D56" s="1" t="s">
        <v>21</v>
      </c>
      <c r="E56" s="4" t="str">
        <f>sets_indices!$B$12</f>
        <v>ocean</v>
      </c>
    </row>
    <row r="57" spans="1:5" x14ac:dyDescent="0.25">
      <c r="A57" s="3">
        <f t="shared" si="1"/>
        <v>56</v>
      </c>
      <c r="B57" s="4" t="str">
        <f t="shared" si="5"/>
        <v>waste</v>
      </c>
      <c r="C57" s="3" t="s">
        <v>20</v>
      </c>
      <c r="D57" s="1" t="s">
        <v>21</v>
      </c>
      <c r="E57" s="4" t="str">
        <f>sets_indices!$B$13</f>
        <v>waste</v>
      </c>
    </row>
    <row r="58" spans="1:5" x14ac:dyDescent="0.25">
      <c r="A58" s="3">
        <f t="shared" si="1"/>
        <v>57</v>
      </c>
      <c r="B58" s="4" t="str">
        <f t="shared" si="5"/>
        <v>storage</v>
      </c>
      <c r="C58" s="3" t="s">
        <v>20</v>
      </c>
      <c r="D58" s="1" t="s">
        <v>21</v>
      </c>
      <c r="E58" s="4" t="str">
        <f>sets_indices!$B$14</f>
        <v>storage</v>
      </c>
    </row>
    <row r="59" spans="1:5" x14ac:dyDescent="0.25">
      <c r="A59" s="3">
        <f t="shared" si="1"/>
        <v>58</v>
      </c>
      <c r="B59" s="4" t="str">
        <f t="shared" si="5"/>
        <v>total</v>
      </c>
      <c r="C59" s="3" t="s">
        <v>20</v>
      </c>
      <c r="D59" s="1" t="s">
        <v>21</v>
      </c>
      <c r="E59" s="4" t="s">
        <v>25</v>
      </c>
    </row>
    <row r="60" spans="1:5" x14ac:dyDescent="0.25">
      <c r="A60" s="3">
        <f t="shared" si="1"/>
        <v>59</v>
      </c>
      <c r="B60" s="4" t="str">
        <f t="shared" si="5"/>
        <v>coal</v>
      </c>
      <c r="C60" s="3" t="s">
        <v>72</v>
      </c>
      <c r="D60" s="1" t="s">
        <v>21</v>
      </c>
      <c r="E60" s="4" t="str">
        <f>sets_indices!$B$2</f>
        <v>coal</v>
      </c>
    </row>
    <row r="61" spans="1:5" x14ac:dyDescent="0.25">
      <c r="A61" s="3">
        <f t="shared" si="1"/>
        <v>60</v>
      </c>
      <c r="B61" s="4" t="str">
        <f t="shared" si="5"/>
        <v>ocgt</v>
      </c>
      <c r="C61" s="3" t="s">
        <v>72</v>
      </c>
      <c r="D61" s="1" t="s">
        <v>21</v>
      </c>
      <c r="E61" s="4" t="str">
        <f>sets_indices!$B$3</f>
        <v>ocgt</v>
      </c>
    </row>
    <row r="62" spans="1:5" x14ac:dyDescent="0.25">
      <c r="A62" s="3">
        <f t="shared" si="1"/>
        <v>61</v>
      </c>
      <c r="B62" s="4" t="str">
        <f t="shared" si="5"/>
        <v>ccgt</v>
      </c>
      <c r="C62" s="3" t="s">
        <v>72</v>
      </c>
      <c r="D62" s="1" t="s">
        <v>21</v>
      </c>
      <c r="E62" s="4" t="str">
        <f>sets_indices!$B$4</f>
        <v>ccgt</v>
      </c>
    </row>
    <row r="63" spans="1:5" x14ac:dyDescent="0.25">
      <c r="A63" s="3">
        <f t="shared" si="1"/>
        <v>62</v>
      </c>
      <c r="B63" s="4" t="str">
        <f t="shared" si="5"/>
        <v>reciprocating</v>
      </c>
      <c r="C63" s="3" t="s">
        <v>72</v>
      </c>
      <c r="D63" s="1" t="s">
        <v>21</v>
      </c>
      <c r="E63" s="4" t="str">
        <f>sets_indices!$B$5</f>
        <v>reciprocating</v>
      </c>
    </row>
    <row r="64" spans="1:5" x14ac:dyDescent="0.25">
      <c r="A64" s="3">
        <f t="shared" si="1"/>
        <v>63</v>
      </c>
      <c r="B64" s="4" t="str">
        <f t="shared" si="5"/>
        <v>geothermal</v>
      </c>
      <c r="C64" s="3" t="s">
        <v>72</v>
      </c>
      <c r="D64" s="1" t="s">
        <v>21</v>
      </c>
      <c r="E64" s="4" t="str">
        <f>sets_indices!$B$6</f>
        <v>geothermal</v>
      </c>
    </row>
    <row r="65" spans="1:5" x14ac:dyDescent="0.25">
      <c r="A65" s="3">
        <f t="shared" si="1"/>
        <v>64</v>
      </c>
      <c r="B65" s="4" t="str">
        <f t="shared" si="5"/>
        <v>lhydro</v>
      </c>
      <c r="C65" s="3" t="s">
        <v>72</v>
      </c>
      <c r="D65" s="1" t="s">
        <v>21</v>
      </c>
      <c r="E65" s="4" t="str">
        <f>sets_indices!$B$7</f>
        <v>lhydro</v>
      </c>
    </row>
    <row r="66" spans="1:5" x14ac:dyDescent="0.25">
      <c r="A66" s="3">
        <f t="shared" si="1"/>
        <v>65</v>
      </c>
      <c r="B66" s="4" t="str">
        <f t="shared" si="5"/>
        <v>mhydro</v>
      </c>
      <c r="C66" s="3" t="s">
        <v>72</v>
      </c>
      <c r="D66" s="1" t="s">
        <v>21</v>
      </c>
      <c r="E66" s="4" t="str">
        <f>sets_indices!$B$8</f>
        <v>mhydro</v>
      </c>
    </row>
    <row r="67" spans="1:5" x14ac:dyDescent="0.25">
      <c r="A67" s="3">
        <f t="shared" si="1"/>
        <v>66</v>
      </c>
      <c r="B67" s="4" t="str">
        <f t="shared" si="5"/>
        <v>solar</v>
      </c>
      <c r="C67" s="3" t="s">
        <v>72</v>
      </c>
      <c r="D67" s="1" t="s">
        <v>21</v>
      </c>
      <c r="E67" s="4" t="str">
        <f>sets_indices!$B$9</f>
        <v>solar</v>
      </c>
    </row>
    <row r="68" spans="1:5" x14ac:dyDescent="0.25">
      <c r="A68" s="3">
        <f t="shared" ref="A68:A131" si="6">A67+1</f>
        <v>67</v>
      </c>
      <c r="B68" s="4" t="str">
        <f t="shared" si="5"/>
        <v>wind</v>
      </c>
      <c r="C68" s="3" t="s">
        <v>72</v>
      </c>
      <c r="D68" s="1" t="s">
        <v>21</v>
      </c>
      <c r="E68" s="4" t="str">
        <f>sets_indices!$B$10</f>
        <v>wind</v>
      </c>
    </row>
    <row r="69" spans="1:5" x14ac:dyDescent="0.25">
      <c r="A69" s="3">
        <f t="shared" si="6"/>
        <v>68</v>
      </c>
      <c r="B69" s="4" t="str">
        <f t="shared" si="5"/>
        <v>biomass</v>
      </c>
      <c r="C69" s="3" t="s">
        <v>72</v>
      </c>
      <c r="D69" s="1" t="s">
        <v>21</v>
      </c>
      <c r="E69" s="4" t="str">
        <f>sets_indices!$B$11</f>
        <v>biomass</v>
      </c>
    </row>
    <row r="70" spans="1:5" x14ac:dyDescent="0.25">
      <c r="A70" s="3">
        <f t="shared" si="6"/>
        <v>69</v>
      </c>
      <c r="B70" s="4" t="str">
        <f t="shared" si="5"/>
        <v>ocean</v>
      </c>
      <c r="C70" s="3" t="s">
        <v>72</v>
      </c>
      <c r="D70" s="1" t="s">
        <v>21</v>
      </c>
      <c r="E70" s="4" t="str">
        <f>sets_indices!$B$12</f>
        <v>ocean</v>
      </c>
    </row>
    <row r="71" spans="1:5" x14ac:dyDescent="0.25">
      <c r="A71" s="3">
        <f t="shared" si="6"/>
        <v>70</v>
      </c>
      <c r="B71" s="4" t="str">
        <f t="shared" si="5"/>
        <v>waste</v>
      </c>
      <c r="C71" s="3" t="s">
        <v>72</v>
      </c>
      <c r="D71" s="1" t="s">
        <v>21</v>
      </c>
      <c r="E71" s="4" t="str">
        <f>sets_indices!$B$13</f>
        <v>waste</v>
      </c>
    </row>
    <row r="72" spans="1:5" x14ac:dyDescent="0.25">
      <c r="A72" s="3">
        <f t="shared" si="6"/>
        <v>71</v>
      </c>
      <c r="B72" s="4" t="str">
        <f t="shared" si="5"/>
        <v>storage</v>
      </c>
      <c r="C72" s="3" t="s">
        <v>72</v>
      </c>
      <c r="D72" s="1" t="s">
        <v>21</v>
      </c>
      <c r="E72" s="4" t="str">
        <f>sets_indices!$B$14</f>
        <v>storage</v>
      </c>
    </row>
    <row r="73" spans="1:5" x14ac:dyDescent="0.25">
      <c r="A73" s="3">
        <f t="shared" si="6"/>
        <v>72</v>
      </c>
      <c r="B73" s="4" t="str">
        <f t="shared" si="5"/>
        <v>total</v>
      </c>
      <c r="C73" s="3" t="s">
        <v>72</v>
      </c>
      <c r="D73" s="1" t="s">
        <v>21</v>
      </c>
      <c r="E73" s="4" t="s">
        <v>25</v>
      </c>
    </row>
    <row r="74" spans="1:5" x14ac:dyDescent="0.25">
      <c r="A74" s="3">
        <f t="shared" si="6"/>
        <v>73</v>
      </c>
      <c r="B74" s="4" t="str">
        <f t="shared" si="5"/>
        <v>coal</v>
      </c>
      <c r="C74" s="3" t="s">
        <v>26</v>
      </c>
      <c r="D74" s="1" t="s">
        <v>21</v>
      </c>
      <c r="E74" s="4" t="str">
        <f>sets_indices!$B$2</f>
        <v>coal</v>
      </c>
    </row>
    <row r="75" spans="1:5" x14ac:dyDescent="0.25">
      <c r="A75" s="3">
        <f t="shared" si="6"/>
        <v>74</v>
      </c>
      <c r="B75" s="4" t="str">
        <f t="shared" si="5"/>
        <v>ocgt</v>
      </c>
      <c r="C75" s="3" t="s">
        <v>26</v>
      </c>
      <c r="D75" s="1" t="s">
        <v>21</v>
      </c>
      <c r="E75" s="4" t="str">
        <f>sets_indices!$B$3</f>
        <v>ocgt</v>
      </c>
    </row>
    <row r="76" spans="1:5" x14ac:dyDescent="0.25">
      <c r="A76" s="3">
        <f t="shared" si="6"/>
        <v>75</v>
      </c>
      <c r="B76" s="4" t="str">
        <f t="shared" si="5"/>
        <v>ccgt</v>
      </c>
      <c r="C76" s="3" t="s">
        <v>26</v>
      </c>
      <c r="D76" s="1" t="s">
        <v>21</v>
      </c>
      <c r="E76" s="4" t="str">
        <f>sets_indices!$B$4</f>
        <v>ccgt</v>
      </c>
    </row>
    <row r="77" spans="1:5" x14ac:dyDescent="0.25">
      <c r="A77" s="3">
        <f t="shared" si="6"/>
        <v>76</v>
      </c>
      <c r="B77" s="4" t="str">
        <f t="shared" si="5"/>
        <v>reciprocating</v>
      </c>
      <c r="C77" s="3" t="s">
        <v>26</v>
      </c>
      <c r="D77" s="1" t="s">
        <v>21</v>
      </c>
      <c r="E77" s="4" t="str">
        <f>sets_indices!$B$5</f>
        <v>reciprocating</v>
      </c>
    </row>
    <row r="78" spans="1:5" x14ac:dyDescent="0.25">
      <c r="A78" s="3">
        <f t="shared" si="6"/>
        <v>77</v>
      </c>
      <c r="B78" s="4" t="str">
        <f t="shared" si="5"/>
        <v>geothermal</v>
      </c>
      <c r="C78" s="3" t="s">
        <v>26</v>
      </c>
      <c r="D78" s="1" t="s">
        <v>21</v>
      </c>
      <c r="E78" s="4" t="str">
        <f>sets_indices!$B$6</f>
        <v>geothermal</v>
      </c>
    </row>
    <row r="79" spans="1:5" x14ac:dyDescent="0.25">
      <c r="A79" s="3">
        <f t="shared" si="6"/>
        <v>78</v>
      </c>
      <c r="B79" s="4" t="str">
        <f t="shared" si="5"/>
        <v>lhydro</v>
      </c>
      <c r="C79" s="3" t="s">
        <v>26</v>
      </c>
      <c r="D79" s="1" t="s">
        <v>21</v>
      </c>
      <c r="E79" s="4" t="str">
        <f>sets_indices!$B$7</f>
        <v>lhydro</v>
      </c>
    </row>
    <row r="80" spans="1:5" x14ac:dyDescent="0.25">
      <c r="A80" s="3">
        <f t="shared" si="6"/>
        <v>79</v>
      </c>
      <c r="B80" s="4" t="str">
        <f t="shared" si="5"/>
        <v>mhydro</v>
      </c>
      <c r="C80" s="3" t="s">
        <v>26</v>
      </c>
      <c r="D80" s="1" t="s">
        <v>21</v>
      </c>
      <c r="E80" s="4" t="str">
        <f>sets_indices!$B$8</f>
        <v>mhydro</v>
      </c>
    </row>
    <row r="81" spans="1:5" x14ac:dyDescent="0.25">
      <c r="A81" s="3">
        <f t="shared" si="6"/>
        <v>80</v>
      </c>
      <c r="B81" s="4" t="str">
        <f t="shared" si="5"/>
        <v>solar</v>
      </c>
      <c r="C81" s="3" t="s">
        <v>26</v>
      </c>
      <c r="D81" s="1" t="s">
        <v>21</v>
      </c>
      <c r="E81" s="4" t="str">
        <f>sets_indices!$B$9</f>
        <v>solar</v>
      </c>
    </row>
    <row r="82" spans="1:5" x14ac:dyDescent="0.25">
      <c r="A82" s="3">
        <f t="shared" si="6"/>
        <v>81</v>
      </c>
      <c r="B82" s="4" t="str">
        <f t="shared" si="5"/>
        <v>wind</v>
      </c>
      <c r="C82" s="3" t="s">
        <v>26</v>
      </c>
      <c r="D82" s="1" t="s">
        <v>21</v>
      </c>
      <c r="E82" s="4" t="str">
        <f>sets_indices!$B$10</f>
        <v>wind</v>
      </c>
    </row>
    <row r="83" spans="1:5" x14ac:dyDescent="0.25">
      <c r="A83" s="3">
        <f t="shared" si="6"/>
        <v>82</v>
      </c>
      <c r="B83" s="4" t="str">
        <f t="shared" ref="B83:B146" si="7">E83</f>
        <v>biomass</v>
      </c>
      <c r="C83" s="3" t="s">
        <v>26</v>
      </c>
      <c r="D83" s="1" t="s">
        <v>21</v>
      </c>
      <c r="E83" s="4" t="str">
        <f>sets_indices!$B$11</f>
        <v>biomass</v>
      </c>
    </row>
    <row r="84" spans="1:5" x14ac:dyDescent="0.25">
      <c r="A84" s="3">
        <f t="shared" si="6"/>
        <v>83</v>
      </c>
      <c r="B84" s="4" t="str">
        <f t="shared" si="7"/>
        <v>ocean</v>
      </c>
      <c r="C84" s="3" t="s">
        <v>26</v>
      </c>
      <c r="D84" s="1" t="s">
        <v>21</v>
      </c>
      <c r="E84" s="4" t="str">
        <f>sets_indices!$B$12</f>
        <v>ocean</v>
      </c>
    </row>
    <row r="85" spans="1:5" x14ac:dyDescent="0.25">
      <c r="A85" s="3">
        <f t="shared" si="6"/>
        <v>84</v>
      </c>
      <c r="B85" s="4" t="str">
        <f t="shared" si="7"/>
        <v>waste</v>
      </c>
      <c r="C85" s="3" t="s">
        <v>26</v>
      </c>
      <c r="D85" s="1" t="s">
        <v>21</v>
      </c>
      <c r="E85" s="4" t="str">
        <f>sets_indices!$B$13</f>
        <v>waste</v>
      </c>
    </row>
    <row r="86" spans="1:5" x14ac:dyDescent="0.25">
      <c r="A86" s="3">
        <f t="shared" si="6"/>
        <v>85</v>
      </c>
      <c r="B86" s="4" t="str">
        <f t="shared" si="7"/>
        <v>storage</v>
      </c>
      <c r="C86" s="3" t="s">
        <v>26</v>
      </c>
      <c r="D86" s="1" t="s">
        <v>21</v>
      </c>
      <c r="E86" s="4" t="str">
        <f>sets_indices!$B$14</f>
        <v>storage</v>
      </c>
    </row>
    <row r="87" spans="1:5" x14ac:dyDescent="0.25">
      <c r="A87" s="3">
        <f t="shared" si="6"/>
        <v>86</v>
      </c>
      <c r="B87" s="4" t="str">
        <f t="shared" si="7"/>
        <v>total</v>
      </c>
      <c r="C87" s="3" t="s">
        <v>26</v>
      </c>
      <c r="D87" s="1" t="s">
        <v>21</v>
      </c>
      <c r="E87" s="4" t="s">
        <v>25</v>
      </c>
    </row>
    <row r="88" spans="1:5" x14ac:dyDescent="0.25">
      <c r="A88" s="3">
        <f t="shared" si="6"/>
        <v>87</v>
      </c>
      <c r="B88" s="4" t="str">
        <f t="shared" si="7"/>
        <v>coal</v>
      </c>
      <c r="C88" s="3" t="s">
        <v>114</v>
      </c>
      <c r="D88" s="1" t="s">
        <v>21</v>
      </c>
      <c r="E88" s="4" t="str">
        <f>sets_indices!$B$2</f>
        <v>coal</v>
      </c>
    </row>
    <row r="89" spans="1:5" x14ac:dyDescent="0.25">
      <c r="A89" s="3">
        <f t="shared" si="6"/>
        <v>88</v>
      </c>
      <c r="B89" s="4" t="str">
        <f t="shared" si="7"/>
        <v>ocgt</v>
      </c>
      <c r="C89" s="3" t="s">
        <v>114</v>
      </c>
      <c r="D89" s="1" t="s">
        <v>21</v>
      </c>
      <c r="E89" s="4" t="str">
        <f>sets_indices!$B$3</f>
        <v>ocgt</v>
      </c>
    </row>
    <row r="90" spans="1:5" x14ac:dyDescent="0.25">
      <c r="A90" s="3">
        <f t="shared" si="6"/>
        <v>89</v>
      </c>
      <c r="B90" s="4" t="str">
        <f t="shared" si="7"/>
        <v>ccgt</v>
      </c>
      <c r="C90" s="3" t="s">
        <v>114</v>
      </c>
      <c r="D90" s="1" t="s">
        <v>21</v>
      </c>
      <c r="E90" s="4" t="str">
        <f>sets_indices!$B$4</f>
        <v>ccgt</v>
      </c>
    </row>
    <row r="91" spans="1:5" x14ac:dyDescent="0.25">
      <c r="A91" s="3">
        <f t="shared" si="6"/>
        <v>90</v>
      </c>
      <c r="B91" s="4" t="str">
        <f t="shared" si="7"/>
        <v>reciprocating</v>
      </c>
      <c r="C91" s="3" t="s">
        <v>114</v>
      </c>
      <c r="D91" s="1" t="s">
        <v>21</v>
      </c>
      <c r="E91" s="4" t="str">
        <f>sets_indices!$B$5</f>
        <v>reciprocating</v>
      </c>
    </row>
    <row r="92" spans="1:5" x14ac:dyDescent="0.25">
      <c r="A92" s="3">
        <f t="shared" si="6"/>
        <v>91</v>
      </c>
      <c r="B92" s="4" t="str">
        <f t="shared" si="7"/>
        <v>geothermal</v>
      </c>
      <c r="C92" s="3" t="s">
        <v>114</v>
      </c>
      <c r="D92" s="1" t="s">
        <v>21</v>
      </c>
      <c r="E92" s="4" t="str">
        <f>sets_indices!$B$6</f>
        <v>geothermal</v>
      </c>
    </row>
    <row r="93" spans="1:5" x14ac:dyDescent="0.25">
      <c r="A93" s="3">
        <f t="shared" si="6"/>
        <v>92</v>
      </c>
      <c r="B93" s="4" t="str">
        <f t="shared" si="7"/>
        <v>lhydro</v>
      </c>
      <c r="C93" s="3" t="s">
        <v>114</v>
      </c>
      <c r="D93" s="1" t="s">
        <v>21</v>
      </c>
      <c r="E93" s="4" t="str">
        <f>sets_indices!$B$7</f>
        <v>lhydro</v>
      </c>
    </row>
    <row r="94" spans="1:5" x14ac:dyDescent="0.25">
      <c r="A94" s="3">
        <f t="shared" si="6"/>
        <v>93</v>
      </c>
      <c r="B94" s="4" t="str">
        <f t="shared" si="7"/>
        <v>mhydro</v>
      </c>
      <c r="C94" s="3" t="s">
        <v>114</v>
      </c>
      <c r="D94" s="1" t="s">
        <v>21</v>
      </c>
      <c r="E94" s="4" t="str">
        <f>sets_indices!$B$8</f>
        <v>mhydro</v>
      </c>
    </row>
    <row r="95" spans="1:5" x14ac:dyDescent="0.25">
      <c r="A95" s="3">
        <f t="shared" si="6"/>
        <v>94</v>
      </c>
      <c r="B95" s="4" t="str">
        <f t="shared" si="7"/>
        <v>solar</v>
      </c>
      <c r="C95" s="3" t="s">
        <v>114</v>
      </c>
      <c r="D95" s="1" t="s">
        <v>21</v>
      </c>
      <c r="E95" s="4" t="str">
        <f>sets_indices!$B$9</f>
        <v>solar</v>
      </c>
    </row>
    <row r="96" spans="1:5" x14ac:dyDescent="0.25">
      <c r="A96" s="3">
        <f t="shared" si="6"/>
        <v>95</v>
      </c>
      <c r="B96" s="4" t="str">
        <f t="shared" si="7"/>
        <v>wind</v>
      </c>
      <c r="C96" s="3" t="s">
        <v>114</v>
      </c>
      <c r="D96" s="1" t="s">
        <v>21</v>
      </c>
      <c r="E96" s="4" t="str">
        <f>sets_indices!$B$10</f>
        <v>wind</v>
      </c>
    </row>
    <row r="97" spans="1:5" x14ac:dyDescent="0.25">
      <c r="A97" s="3">
        <f t="shared" si="6"/>
        <v>96</v>
      </c>
      <c r="B97" s="4" t="str">
        <f t="shared" si="7"/>
        <v>biomass</v>
      </c>
      <c r="C97" s="3" t="s">
        <v>114</v>
      </c>
      <c r="D97" s="1" t="s">
        <v>21</v>
      </c>
      <c r="E97" s="4" t="str">
        <f>sets_indices!$B$11</f>
        <v>biomass</v>
      </c>
    </row>
    <row r="98" spans="1:5" x14ac:dyDescent="0.25">
      <c r="A98" s="3">
        <f t="shared" si="6"/>
        <v>97</v>
      </c>
      <c r="B98" s="4" t="str">
        <f t="shared" si="7"/>
        <v>ocean</v>
      </c>
      <c r="C98" s="3" t="s">
        <v>114</v>
      </c>
      <c r="D98" s="1" t="s">
        <v>21</v>
      </c>
      <c r="E98" s="4" t="str">
        <f>sets_indices!$B$12</f>
        <v>ocean</v>
      </c>
    </row>
    <row r="99" spans="1:5" x14ac:dyDescent="0.25">
      <c r="A99" s="3">
        <f t="shared" si="6"/>
        <v>98</v>
      </c>
      <c r="B99" s="4" t="str">
        <f t="shared" si="7"/>
        <v>waste</v>
      </c>
      <c r="C99" s="3" t="s">
        <v>114</v>
      </c>
      <c r="D99" s="1" t="s">
        <v>21</v>
      </c>
      <c r="E99" s="4" t="str">
        <f>sets_indices!$B$13</f>
        <v>waste</v>
      </c>
    </row>
    <row r="100" spans="1:5" x14ac:dyDescent="0.25">
      <c r="A100" s="3">
        <f t="shared" si="6"/>
        <v>99</v>
      </c>
      <c r="B100" s="4" t="str">
        <f t="shared" si="7"/>
        <v>storage</v>
      </c>
      <c r="C100" s="3" t="s">
        <v>114</v>
      </c>
      <c r="D100" s="1" t="s">
        <v>21</v>
      </c>
      <c r="E100" s="4" t="str">
        <f>sets_indices!$B$14</f>
        <v>storage</v>
      </c>
    </row>
    <row r="101" spans="1:5" x14ac:dyDescent="0.25">
      <c r="A101" s="3">
        <f t="shared" si="6"/>
        <v>100</v>
      </c>
      <c r="B101" s="4" t="str">
        <f t="shared" si="7"/>
        <v>total</v>
      </c>
      <c r="C101" s="3" t="s">
        <v>114</v>
      </c>
      <c r="D101" s="1" t="s">
        <v>21</v>
      </c>
      <c r="E101" s="4" t="s">
        <v>25</v>
      </c>
    </row>
    <row r="102" spans="1:5" x14ac:dyDescent="0.25">
      <c r="A102" s="3">
        <f t="shared" si="6"/>
        <v>101</v>
      </c>
      <c r="B102" s="4" t="str">
        <f t="shared" si="7"/>
        <v>coal</v>
      </c>
      <c r="C102" s="3" t="s">
        <v>29</v>
      </c>
      <c r="D102" s="1" t="s">
        <v>73</v>
      </c>
      <c r="E102" s="4" t="str">
        <f>sets_indices!$B$2</f>
        <v>coal</v>
      </c>
    </row>
    <row r="103" spans="1:5" x14ac:dyDescent="0.25">
      <c r="A103" s="3">
        <f t="shared" si="6"/>
        <v>102</v>
      </c>
      <c r="B103" s="4" t="str">
        <f t="shared" si="7"/>
        <v>ocgt</v>
      </c>
      <c r="C103" s="3" t="s">
        <v>29</v>
      </c>
      <c r="D103" s="1" t="s">
        <v>73</v>
      </c>
      <c r="E103" s="4" t="str">
        <f>sets_indices!$B$3</f>
        <v>ocgt</v>
      </c>
    </row>
    <row r="104" spans="1:5" x14ac:dyDescent="0.25">
      <c r="A104" s="3">
        <f t="shared" si="6"/>
        <v>103</v>
      </c>
      <c r="B104" s="4" t="str">
        <f t="shared" si="7"/>
        <v>ccgt</v>
      </c>
      <c r="C104" s="3" t="s">
        <v>29</v>
      </c>
      <c r="D104" s="1" t="s">
        <v>73</v>
      </c>
      <c r="E104" s="4" t="str">
        <f>sets_indices!$B$4</f>
        <v>ccgt</v>
      </c>
    </row>
    <row r="105" spans="1:5" x14ac:dyDescent="0.25">
      <c r="A105" s="3">
        <f t="shared" si="6"/>
        <v>104</v>
      </c>
      <c r="B105" s="4" t="str">
        <f t="shared" si="7"/>
        <v>reciprocating</v>
      </c>
      <c r="C105" s="3" t="s">
        <v>29</v>
      </c>
      <c r="D105" s="1" t="s">
        <v>73</v>
      </c>
      <c r="E105" s="4" t="str">
        <f>sets_indices!$B$5</f>
        <v>reciprocating</v>
      </c>
    </row>
    <row r="106" spans="1:5" x14ac:dyDescent="0.25">
      <c r="A106" s="3">
        <f t="shared" si="6"/>
        <v>105</v>
      </c>
      <c r="B106" s="4" t="str">
        <f t="shared" si="7"/>
        <v>geothermal</v>
      </c>
      <c r="C106" s="3" t="s">
        <v>29</v>
      </c>
      <c r="D106" s="1" t="s">
        <v>73</v>
      </c>
      <c r="E106" s="4" t="str">
        <f>sets_indices!$B$6</f>
        <v>geothermal</v>
      </c>
    </row>
    <row r="107" spans="1:5" x14ac:dyDescent="0.25">
      <c r="A107" s="3">
        <f t="shared" si="6"/>
        <v>106</v>
      </c>
      <c r="B107" s="4" t="str">
        <f t="shared" si="7"/>
        <v>lhydro</v>
      </c>
      <c r="C107" s="3" t="s">
        <v>29</v>
      </c>
      <c r="D107" s="1" t="s">
        <v>73</v>
      </c>
      <c r="E107" s="4" t="str">
        <f>sets_indices!$B$7</f>
        <v>lhydro</v>
      </c>
    </row>
    <row r="108" spans="1:5" x14ac:dyDescent="0.25">
      <c r="A108" s="3">
        <f t="shared" si="6"/>
        <v>107</v>
      </c>
      <c r="B108" s="4" t="str">
        <f t="shared" si="7"/>
        <v>mhydro</v>
      </c>
      <c r="C108" s="3" t="s">
        <v>29</v>
      </c>
      <c r="D108" s="1" t="s">
        <v>73</v>
      </c>
      <c r="E108" s="4" t="str">
        <f>sets_indices!$B$8</f>
        <v>mhydro</v>
      </c>
    </row>
    <row r="109" spans="1:5" x14ac:dyDescent="0.25">
      <c r="A109" s="3">
        <f t="shared" si="6"/>
        <v>108</v>
      </c>
      <c r="B109" s="4" t="str">
        <f t="shared" si="7"/>
        <v>solar</v>
      </c>
      <c r="C109" s="3" t="s">
        <v>29</v>
      </c>
      <c r="D109" s="1" t="s">
        <v>73</v>
      </c>
      <c r="E109" s="4" t="str">
        <f>sets_indices!$B$9</f>
        <v>solar</v>
      </c>
    </row>
    <row r="110" spans="1:5" x14ac:dyDescent="0.25">
      <c r="A110" s="3">
        <f t="shared" si="6"/>
        <v>109</v>
      </c>
      <c r="B110" s="4" t="str">
        <f t="shared" si="7"/>
        <v>wind</v>
      </c>
      <c r="C110" s="3" t="s">
        <v>29</v>
      </c>
      <c r="D110" s="1" t="s">
        <v>73</v>
      </c>
      <c r="E110" s="4" t="str">
        <f>sets_indices!$B$10</f>
        <v>wind</v>
      </c>
    </row>
    <row r="111" spans="1:5" x14ac:dyDescent="0.25">
      <c r="A111" s="3">
        <f t="shared" si="6"/>
        <v>110</v>
      </c>
      <c r="B111" s="4" t="str">
        <f t="shared" si="7"/>
        <v>biomass</v>
      </c>
      <c r="C111" s="3" t="s">
        <v>29</v>
      </c>
      <c r="D111" s="1" t="s">
        <v>73</v>
      </c>
      <c r="E111" s="4" t="str">
        <f>sets_indices!$B$11</f>
        <v>biomass</v>
      </c>
    </row>
    <row r="112" spans="1:5" x14ac:dyDescent="0.25">
      <c r="A112" s="3">
        <f t="shared" si="6"/>
        <v>111</v>
      </c>
      <c r="B112" s="4" t="str">
        <f t="shared" si="7"/>
        <v>ocean</v>
      </c>
      <c r="C112" s="3" t="s">
        <v>29</v>
      </c>
      <c r="D112" s="1" t="s">
        <v>73</v>
      </c>
      <c r="E112" s="4" t="str">
        <f>sets_indices!$B$12</f>
        <v>ocean</v>
      </c>
    </row>
    <row r="113" spans="1:5" x14ac:dyDescent="0.25">
      <c r="A113" s="3">
        <f t="shared" si="6"/>
        <v>112</v>
      </c>
      <c r="B113" s="4" t="str">
        <f t="shared" si="7"/>
        <v>waste</v>
      </c>
      <c r="C113" s="3" t="s">
        <v>29</v>
      </c>
      <c r="D113" s="1" t="s">
        <v>73</v>
      </c>
      <c r="E113" s="4" t="str">
        <f>sets_indices!$B$13</f>
        <v>waste</v>
      </c>
    </row>
    <row r="114" spans="1:5" x14ac:dyDescent="0.25">
      <c r="A114" s="3">
        <f t="shared" si="6"/>
        <v>113</v>
      </c>
      <c r="B114" s="4" t="str">
        <f t="shared" si="7"/>
        <v>storage</v>
      </c>
      <c r="C114" s="3" t="s">
        <v>29</v>
      </c>
      <c r="D114" s="1" t="s">
        <v>73</v>
      </c>
      <c r="E114" s="4" t="str">
        <f>sets_indices!$B$14</f>
        <v>storage</v>
      </c>
    </row>
    <row r="115" spans="1:5" x14ac:dyDescent="0.25">
      <c r="A115" s="3">
        <f t="shared" si="6"/>
        <v>114</v>
      </c>
      <c r="B115" s="4" t="str">
        <f t="shared" si="7"/>
        <v>total</v>
      </c>
      <c r="C115" s="3" t="s">
        <v>29</v>
      </c>
      <c r="D115" s="1" t="s">
        <v>73</v>
      </c>
      <c r="E115" s="4" t="s">
        <v>25</v>
      </c>
    </row>
    <row r="116" spans="1:5" x14ac:dyDescent="0.25">
      <c r="A116" s="3">
        <f t="shared" si="6"/>
        <v>115</v>
      </c>
      <c r="B116" s="4" t="str">
        <f t="shared" si="7"/>
        <v>coal</v>
      </c>
      <c r="C116" s="3" t="s">
        <v>30</v>
      </c>
      <c r="D116" s="1" t="s">
        <v>73</v>
      </c>
      <c r="E116" s="4" t="str">
        <f>sets_indices!$B$2</f>
        <v>coal</v>
      </c>
    </row>
    <row r="117" spans="1:5" x14ac:dyDescent="0.25">
      <c r="A117" s="3">
        <f t="shared" si="6"/>
        <v>116</v>
      </c>
      <c r="B117" s="4" t="str">
        <f t="shared" si="7"/>
        <v>ocgt</v>
      </c>
      <c r="C117" s="3" t="s">
        <v>30</v>
      </c>
      <c r="D117" s="1" t="s">
        <v>73</v>
      </c>
      <c r="E117" s="4" t="str">
        <f>sets_indices!$B$3</f>
        <v>ocgt</v>
      </c>
    </row>
    <row r="118" spans="1:5" x14ac:dyDescent="0.25">
      <c r="A118" s="3">
        <f t="shared" si="6"/>
        <v>117</v>
      </c>
      <c r="B118" s="4" t="str">
        <f t="shared" si="7"/>
        <v>ccgt</v>
      </c>
      <c r="C118" s="3" t="s">
        <v>30</v>
      </c>
      <c r="D118" s="1" t="s">
        <v>73</v>
      </c>
      <c r="E118" s="4" t="str">
        <f>sets_indices!$B$4</f>
        <v>ccgt</v>
      </c>
    </row>
    <row r="119" spans="1:5" x14ac:dyDescent="0.25">
      <c r="A119" s="3">
        <f t="shared" si="6"/>
        <v>118</v>
      </c>
      <c r="B119" s="4" t="str">
        <f t="shared" si="7"/>
        <v>reciprocating</v>
      </c>
      <c r="C119" s="3" t="s">
        <v>30</v>
      </c>
      <c r="D119" s="1" t="s">
        <v>73</v>
      </c>
      <c r="E119" s="4" t="str">
        <f>sets_indices!$B$5</f>
        <v>reciprocating</v>
      </c>
    </row>
    <row r="120" spans="1:5" x14ac:dyDescent="0.25">
      <c r="A120" s="3">
        <f t="shared" si="6"/>
        <v>119</v>
      </c>
      <c r="B120" s="4" t="str">
        <f t="shared" si="7"/>
        <v>geothermal</v>
      </c>
      <c r="C120" s="3" t="s">
        <v>30</v>
      </c>
      <c r="D120" s="1" t="s">
        <v>73</v>
      </c>
      <c r="E120" s="4" t="str">
        <f>sets_indices!$B$6</f>
        <v>geothermal</v>
      </c>
    </row>
    <row r="121" spans="1:5" x14ac:dyDescent="0.25">
      <c r="A121" s="3">
        <f t="shared" si="6"/>
        <v>120</v>
      </c>
      <c r="B121" s="4" t="str">
        <f t="shared" si="7"/>
        <v>lhydro</v>
      </c>
      <c r="C121" s="3" t="s">
        <v>30</v>
      </c>
      <c r="D121" s="1" t="s">
        <v>73</v>
      </c>
      <c r="E121" s="4" t="str">
        <f>sets_indices!$B$7</f>
        <v>lhydro</v>
      </c>
    </row>
    <row r="122" spans="1:5" x14ac:dyDescent="0.25">
      <c r="A122" s="3">
        <f t="shared" si="6"/>
        <v>121</v>
      </c>
      <c r="B122" s="4" t="str">
        <f t="shared" si="7"/>
        <v>mhydro</v>
      </c>
      <c r="C122" s="3" t="s">
        <v>30</v>
      </c>
      <c r="D122" s="1" t="s">
        <v>73</v>
      </c>
      <c r="E122" s="4" t="str">
        <f>sets_indices!$B$8</f>
        <v>mhydro</v>
      </c>
    </row>
    <row r="123" spans="1:5" x14ac:dyDescent="0.25">
      <c r="A123" s="3">
        <f t="shared" si="6"/>
        <v>122</v>
      </c>
      <c r="B123" s="4" t="str">
        <f t="shared" si="7"/>
        <v>solar</v>
      </c>
      <c r="C123" s="3" t="s">
        <v>30</v>
      </c>
      <c r="D123" s="1" t="s">
        <v>73</v>
      </c>
      <c r="E123" s="4" t="str">
        <f>sets_indices!$B$9</f>
        <v>solar</v>
      </c>
    </row>
    <row r="124" spans="1:5" x14ac:dyDescent="0.25">
      <c r="A124" s="3">
        <f t="shared" si="6"/>
        <v>123</v>
      </c>
      <c r="B124" s="4" t="str">
        <f t="shared" si="7"/>
        <v>wind</v>
      </c>
      <c r="C124" s="3" t="s">
        <v>30</v>
      </c>
      <c r="D124" s="1" t="s">
        <v>73</v>
      </c>
      <c r="E124" s="4" t="str">
        <f>sets_indices!$B$10</f>
        <v>wind</v>
      </c>
    </row>
    <row r="125" spans="1:5" x14ac:dyDescent="0.25">
      <c r="A125" s="3">
        <f t="shared" si="6"/>
        <v>124</v>
      </c>
      <c r="B125" s="4" t="str">
        <f t="shared" si="7"/>
        <v>biomass</v>
      </c>
      <c r="C125" s="3" t="s">
        <v>30</v>
      </c>
      <c r="D125" s="1" t="s">
        <v>73</v>
      </c>
      <c r="E125" s="4" t="str">
        <f>sets_indices!$B$11</f>
        <v>biomass</v>
      </c>
    </row>
    <row r="126" spans="1:5" x14ac:dyDescent="0.25">
      <c r="A126" s="3">
        <f t="shared" si="6"/>
        <v>125</v>
      </c>
      <c r="B126" s="4" t="str">
        <f t="shared" si="7"/>
        <v>ocean</v>
      </c>
      <c r="C126" s="3" t="s">
        <v>30</v>
      </c>
      <c r="D126" s="1" t="s">
        <v>73</v>
      </c>
      <c r="E126" s="4" t="str">
        <f>sets_indices!$B$12</f>
        <v>ocean</v>
      </c>
    </row>
    <row r="127" spans="1:5" x14ac:dyDescent="0.25">
      <c r="A127" s="3">
        <f t="shared" si="6"/>
        <v>126</v>
      </c>
      <c r="B127" s="4" t="str">
        <f t="shared" si="7"/>
        <v>waste</v>
      </c>
      <c r="C127" s="3" t="s">
        <v>30</v>
      </c>
      <c r="D127" s="1" t="s">
        <v>73</v>
      </c>
      <c r="E127" s="4" t="str">
        <f>sets_indices!$B$13</f>
        <v>waste</v>
      </c>
    </row>
    <row r="128" spans="1:5" x14ac:dyDescent="0.25">
      <c r="A128" s="3">
        <f t="shared" si="6"/>
        <v>127</v>
      </c>
      <c r="B128" s="4" t="str">
        <f t="shared" si="7"/>
        <v>storage</v>
      </c>
      <c r="C128" s="3" t="s">
        <v>30</v>
      </c>
      <c r="D128" s="1" t="s">
        <v>73</v>
      </c>
      <c r="E128" s="4" t="str">
        <f>sets_indices!$B$14</f>
        <v>storage</v>
      </c>
    </row>
    <row r="129" spans="1:5" x14ac:dyDescent="0.25">
      <c r="A129" s="3">
        <f t="shared" si="6"/>
        <v>128</v>
      </c>
      <c r="B129" s="4" t="str">
        <f t="shared" si="7"/>
        <v>total</v>
      </c>
      <c r="C129" s="3" t="s">
        <v>30</v>
      </c>
      <c r="D129" s="1" t="s">
        <v>73</v>
      </c>
      <c r="E129" s="4" t="s">
        <v>25</v>
      </c>
    </row>
    <row r="130" spans="1:5" x14ac:dyDescent="0.25">
      <c r="A130" s="3">
        <f t="shared" si="6"/>
        <v>129</v>
      </c>
      <c r="B130" s="4" t="str">
        <f t="shared" si="7"/>
        <v>coal</v>
      </c>
      <c r="C130" s="3" t="s">
        <v>22</v>
      </c>
      <c r="D130" s="1" t="s">
        <v>23</v>
      </c>
      <c r="E130" s="4" t="str">
        <f>sets_indices!$B$2</f>
        <v>coal</v>
      </c>
    </row>
    <row r="131" spans="1:5" x14ac:dyDescent="0.25">
      <c r="A131" s="3">
        <f t="shared" si="6"/>
        <v>130</v>
      </c>
      <c r="B131" s="4" t="str">
        <f t="shared" si="7"/>
        <v>ocgt</v>
      </c>
      <c r="C131" s="3" t="s">
        <v>22</v>
      </c>
      <c r="D131" s="1" t="s">
        <v>23</v>
      </c>
      <c r="E131" s="4" t="str">
        <f>sets_indices!$B$3</f>
        <v>ocgt</v>
      </c>
    </row>
    <row r="132" spans="1:5" x14ac:dyDescent="0.25">
      <c r="A132" s="3">
        <f t="shared" ref="A132:A157" si="8">A131+1</f>
        <v>131</v>
      </c>
      <c r="B132" s="4" t="str">
        <f t="shared" si="7"/>
        <v>ccgt</v>
      </c>
      <c r="C132" s="3" t="s">
        <v>22</v>
      </c>
      <c r="D132" s="1" t="s">
        <v>23</v>
      </c>
      <c r="E132" s="4" t="str">
        <f>sets_indices!$B$4</f>
        <v>ccgt</v>
      </c>
    </row>
    <row r="133" spans="1:5" x14ac:dyDescent="0.25">
      <c r="A133" s="3">
        <f t="shared" si="8"/>
        <v>132</v>
      </c>
      <c r="B133" s="4" t="str">
        <f t="shared" si="7"/>
        <v>reciprocating</v>
      </c>
      <c r="C133" s="3" t="s">
        <v>22</v>
      </c>
      <c r="D133" s="1" t="s">
        <v>23</v>
      </c>
      <c r="E133" s="4" t="str">
        <f>sets_indices!$B$5</f>
        <v>reciprocating</v>
      </c>
    </row>
    <row r="134" spans="1:5" x14ac:dyDescent="0.25">
      <c r="A134" s="3">
        <f t="shared" si="8"/>
        <v>133</v>
      </c>
      <c r="B134" s="4" t="str">
        <f t="shared" si="7"/>
        <v>geothermal</v>
      </c>
      <c r="C134" s="3" t="s">
        <v>22</v>
      </c>
      <c r="D134" s="1" t="s">
        <v>23</v>
      </c>
      <c r="E134" s="4" t="str">
        <f>sets_indices!$B$6</f>
        <v>geothermal</v>
      </c>
    </row>
    <row r="135" spans="1:5" x14ac:dyDescent="0.25">
      <c r="A135" s="3">
        <f t="shared" si="8"/>
        <v>134</v>
      </c>
      <c r="B135" s="4" t="str">
        <f t="shared" si="7"/>
        <v>lhydro</v>
      </c>
      <c r="C135" s="3" t="s">
        <v>22</v>
      </c>
      <c r="D135" s="1" t="s">
        <v>23</v>
      </c>
      <c r="E135" s="4" t="str">
        <f>sets_indices!$B$7</f>
        <v>lhydro</v>
      </c>
    </row>
    <row r="136" spans="1:5" x14ac:dyDescent="0.25">
      <c r="A136" s="3">
        <f t="shared" si="8"/>
        <v>135</v>
      </c>
      <c r="B136" s="4" t="str">
        <f t="shared" si="7"/>
        <v>mhydro</v>
      </c>
      <c r="C136" s="3" t="s">
        <v>22</v>
      </c>
      <c r="D136" s="1" t="s">
        <v>23</v>
      </c>
      <c r="E136" s="4" t="str">
        <f>sets_indices!$B$8</f>
        <v>mhydro</v>
      </c>
    </row>
    <row r="137" spans="1:5" x14ac:dyDescent="0.25">
      <c r="A137" s="3">
        <f t="shared" si="8"/>
        <v>136</v>
      </c>
      <c r="B137" s="4" t="str">
        <f t="shared" si="7"/>
        <v>solar</v>
      </c>
      <c r="C137" s="3" t="s">
        <v>22</v>
      </c>
      <c r="D137" s="1" t="s">
        <v>23</v>
      </c>
      <c r="E137" s="4" t="str">
        <f>sets_indices!$B$9</f>
        <v>solar</v>
      </c>
    </row>
    <row r="138" spans="1:5" x14ac:dyDescent="0.25">
      <c r="A138" s="3">
        <f t="shared" si="8"/>
        <v>137</v>
      </c>
      <c r="B138" s="4" t="str">
        <f t="shared" si="7"/>
        <v>wind</v>
      </c>
      <c r="C138" s="3" t="s">
        <v>22</v>
      </c>
      <c r="D138" s="1" t="s">
        <v>23</v>
      </c>
      <c r="E138" s="4" t="str">
        <f>sets_indices!$B$10</f>
        <v>wind</v>
      </c>
    </row>
    <row r="139" spans="1:5" x14ac:dyDescent="0.25">
      <c r="A139" s="3">
        <f t="shared" si="8"/>
        <v>138</v>
      </c>
      <c r="B139" s="4" t="str">
        <f t="shared" si="7"/>
        <v>biomass</v>
      </c>
      <c r="C139" s="3" t="s">
        <v>22</v>
      </c>
      <c r="D139" s="1" t="s">
        <v>23</v>
      </c>
      <c r="E139" s="4" t="str">
        <f>sets_indices!$B$11</f>
        <v>biomass</v>
      </c>
    </row>
    <row r="140" spans="1:5" x14ac:dyDescent="0.25">
      <c r="A140" s="3">
        <f t="shared" si="8"/>
        <v>139</v>
      </c>
      <c r="B140" s="4" t="str">
        <f t="shared" si="7"/>
        <v>ocean</v>
      </c>
      <c r="C140" s="3" t="s">
        <v>22</v>
      </c>
      <c r="D140" s="1" t="s">
        <v>23</v>
      </c>
      <c r="E140" s="4" t="str">
        <f>sets_indices!$B$12</f>
        <v>ocean</v>
      </c>
    </row>
    <row r="141" spans="1:5" x14ac:dyDescent="0.25">
      <c r="A141" s="3">
        <f t="shared" si="8"/>
        <v>140</v>
      </c>
      <c r="B141" s="4" t="str">
        <f t="shared" si="7"/>
        <v>waste</v>
      </c>
      <c r="C141" s="3" t="s">
        <v>22</v>
      </c>
      <c r="D141" s="1" t="s">
        <v>23</v>
      </c>
      <c r="E141" s="4" t="str">
        <f>sets_indices!$B$13</f>
        <v>waste</v>
      </c>
    </row>
    <row r="142" spans="1:5" x14ac:dyDescent="0.25">
      <c r="A142" s="3">
        <f t="shared" si="8"/>
        <v>141</v>
      </c>
      <c r="B142" s="4" t="str">
        <f t="shared" si="7"/>
        <v>storage</v>
      </c>
      <c r="C142" s="3" t="s">
        <v>22</v>
      </c>
      <c r="D142" s="1" t="s">
        <v>23</v>
      </c>
      <c r="E142" s="4" t="str">
        <f>sets_indices!$B$14</f>
        <v>storage</v>
      </c>
    </row>
    <row r="143" spans="1:5" x14ac:dyDescent="0.25">
      <c r="A143" s="3">
        <f t="shared" si="8"/>
        <v>142</v>
      </c>
      <c r="B143" s="4" t="str">
        <f t="shared" si="7"/>
        <v>total</v>
      </c>
      <c r="C143" s="3" t="s">
        <v>22</v>
      </c>
      <c r="D143" s="1" t="s">
        <v>23</v>
      </c>
      <c r="E143" s="4" t="s">
        <v>25</v>
      </c>
    </row>
    <row r="144" spans="1:5" x14ac:dyDescent="0.25">
      <c r="A144" s="3">
        <f t="shared" si="8"/>
        <v>143</v>
      </c>
      <c r="B144" s="4" t="str">
        <f t="shared" si="7"/>
        <v>coal</v>
      </c>
      <c r="C144" s="3" t="s">
        <v>24</v>
      </c>
      <c r="D144" s="1" t="s">
        <v>151</v>
      </c>
      <c r="E144" s="4" t="str">
        <f>sets_indices!$B$2</f>
        <v>coal</v>
      </c>
    </row>
    <row r="145" spans="1:5" x14ac:dyDescent="0.25">
      <c r="A145" s="3">
        <f t="shared" si="8"/>
        <v>144</v>
      </c>
      <c r="B145" s="4" t="str">
        <f t="shared" si="7"/>
        <v>ocgt</v>
      </c>
      <c r="C145" s="3" t="s">
        <v>24</v>
      </c>
      <c r="D145" s="1" t="s">
        <v>151</v>
      </c>
      <c r="E145" s="4" t="str">
        <f>sets_indices!$B$3</f>
        <v>ocgt</v>
      </c>
    </row>
    <row r="146" spans="1:5" x14ac:dyDescent="0.25">
      <c r="A146" s="3">
        <f t="shared" si="8"/>
        <v>145</v>
      </c>
      <c r="B146" s="4" t="str">
        <f t="shared" si="7"/>
        <v>ccgt</v>
      </c>
      <c r="C146" s="3" t="s">
        <v>24</v>
      </c>
      <c r="D146" s="1" t="s">
        <v>151</v>
      </c>
      <c r="E146" s="4" t="str">
        <f>sets_indices!$B$4</f>
        <v>ccgt</v>
      </c>
    </row>
    <row r="147" spans="1:5" x14ac:dyDescent="0.25">
      <c r="A147" s="3">
        <f t="shared" si="8"/>
        <v>146</v>
      </c>
      <c r="B147" s="4" t="str">
        <f t="shared" ref="B147:B157" si="9">E147</f>
        <v>reciprocating</v>
      </c>
      <c r="C147" s="3" t="s">
        <v>24</v>
      </c>
      <c r="D147" s="1" t="s">
        <v>151</v>
      </c>
      <c r="E147" s="4" t="str">
        <f>sets_indices!$B$5</f>
        <v>reciprocating</v>
      </c>
    </row>
    <row r="148" spans="1:5" x14ac:dyDescent="0.25">
      <c r="A148" s="3">
        <f t="shared" si="8"/>
        <v>147</v>
      </c>
      <c r="B148" s="4" t="str">
        <f t="shared" si="9"/>
        <v>geothermal</v>
      </c>
      <c r="C148" s="3" t="s">
        <v>24</v>
      </c>
      <c r="D148" s="1" t="s">
        <v>151</v>
      </c>
      <c r="E148" s="4" t="str">
        <f>sets_indices!$B$6</f>
        <v>geothermal</v>
      </c>
    </row>
    <row r="149" spans="1:5" x14ac:dyDescent="0.25">
      <c r="A149" s="3">
        <f t="shared" si="8"/>
        <v>148</v>
      </c>
      <c r="B149" s="4" t="str">
        <f t="shared" si="9"/>
        <v>lhydro</v>
      </c>
      <c r="C149" s="3" t="s">
        <v>24</v>
      </c>
      <c r="D149" s="1" t="s">
        <v>151</v>
      </c>
      <c r="E149" s="4" t="str">
        <f>sets_indices!$B$7</f>
        <v>lhydro</v>
      </c>
    </row>
    <row r="150" spans="1:5" x14ac:dyDescent="0.25">
      <c r="A150" s="3">
        <f t="shared" si="8"/>
        <v>149</v>
      </c>
      <c r="B150" s="4" t="str">
        <f t="shared" si="9"/>
        <v>mhydro</v>
      </c>
      <c r="C150" s="3" t="s">
        <v>24</v>
      </c>
      <c r="D150" s="1" t="s">
        <v>151</v>
      </c>
      <c r="E150" s="4" t="str">
        <f>sets_indices!$B$8</f>
        <v>mhydro</v>
      </c>
    </row>
    <row r="151" spans="1:5" x14ac:dyDescent="0.25">
      <c r="A151" s="3">
        <f t="shared" si="8"/>
        <v>150</v>
      </c>
      <c r="B151" s="4" t="str">
        <f t="shared" si="9"/>
        <v>solar</v>
      </c>
      <c r="C151" s="3" t="s">
        <v>24</v>
      </c>
      <c r="D151" s="1" t="s">
        <v>151</v>
      </c>
      <c r="E151" s="4" t="str">
        <f>sets_indices!$B$9</f>
        <v>solar</v>
      </c>
    </row>
    <row r="152" spans="1:5" x14ac:dyDescent="0.25">
      <c r="A152" s="3">
        <f t="shared" si="8"/>
        <v>151</v>
      </c>
      <c r="B152" s="4" t="str">
        <f t="shared" si="9"/>
        <v>wind</v>
      </c>
      <c r="C152" s="3" t="s">
        <v>24</v>
      </c>
      <c r="D152" s="1" t="s">
        <v>151</v>
      </c>
      <c r="E152" s="4" t="str">
        <f>sets_indices!$B$10</f>
        <v>wind</v>
      </c>
    </row>
    <row r="153" spans="1:5" x14ac:dyDescent="0.25">
      <c r="A153" s="3">
        <f t="shared" si="8"/>
        <v>152</v>
      </c>
      <c r="B153" s="4" t="str">
        <f t="shared" si="9"/>
        <v>biomass</v>
      </c>
      <c r="C153" s="3" t="s">
        <v>24</v>
      </c>
      <c r="D153" s="1" t="s">
        <v>151</v>
      </c>
      <c r="E153" s="4" t="str">
        <f>sets_indices!$B$11</f>
        <v>biomass</v>
      </c>
    </row>
    <row r="154" spans="1:5" x14ac:dyDescent="0.25">
      <c r="A154" s="3">
        <f t="shared" si="8"/>
        <v>153</v>
      </c>
      <c r="B154" s="4" t="str">
        <f t="shared" si="9"/>
        <v>ocean</v>
      </c>
      <c r="C154" s="3" t="s">
        <v>24</v>
      </c>
      <c r="D154" s="1" t="s">
        <v>151</v>
      </c>
      <c r="E154" s="4" t="str">
        <f>sets_indices!$B$12</f>
        <v>ocean</v>
      </c>
    </row>
    <row r="155" spans="1:5" x14ac:dyDescent="0.25">
      <c r="A155" s="3">
        <f t="shared" si="8"/>
        <v>154</v>
      </c>
      <c r="B155" s="4" t="str">
        <f t="shared" si="9"/>
        <v>waste</v>
      </c>
      <c r="C155" s="3" t="s">
        <v>24</v>
      </c>
      <c r="D155" s="1" t="s">
        <v>151</v>
      </c>
      <c r="E155" s="4" t="str">
        <f>sets_indices!$B$13</f>
        <v>waste</v>
      </c>
    </row>
    <row r="156" spans="1:5" x14ac:dyDescent="0.25">
      <c r="A156" s="3">
        <f t="shared" si="8"/>
        <v>155</v>
      </c>
      <c r="B156" s="4" t="str">
        <f t="shared" si="9"/>
        <v>storage</v>
      </c>
      <c r="C156" s="3" t="s">
        <v>24</v>
      </c>
      <c r="D156" s="1" t="s">
        <v>151</v>
      </c>
      <c r="E156" s="4" t="str">
        <f>sets_indices!$B$14</f>
        <v>storage</v>
      </c>
    </row>
    <row r="157" spans="1:5" x14ac:dyDescent="0.25">
      <c r="A157" s="3">
        <f t="shared" si="8"/>
        <v>156</v>
      </c>
      <c r="B157" s="4" t="str">
        <f t="shared" si="9"/>
        <v>total</v>
      </c>
      <c r="C157" s="3" t="s">
        <v>24</v>
      </c>
      <c r="D157" s="1" t="s">
        <v>151</v>
      </c>
      <c r="E157" s="4" t="s">
        <v>25</v>
      </c>
    </row>
  </sheetData>
  <phoneticPr fontId="1" type="noConversion"/>
  <conditionalFormatting sqref="E1:E1048576">
    <cfRule type="cellIs" dxfId="0" priority="1" operator="equal">
      <formula>"battery"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5234-2005-4741-8052-68B47281298B}">
  <sheetPr codeName="Sheet3"/>
  <dimension ref="A1:O17"/>
  <sheetViews>
    <sheetView zoomScale="85" zoomScaleNormal="8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3" sqref="D23"/>
    </sheetView>
  </sheetViews>
  <sheetFormatPr defaultRowHeight="15" x14ac:dyDescent="0.25"/>
  <cols>
    <col min="1" max="1" width="12.5703125" style="6" bestFit="1" customWidth="1"/>
    <col min="2" max="3" width="10.7109375" style="3" customWidth="1"/>
    <col min="4" max="4" width="15.28515625" style="3" customWidth="1"/>
    <col min="5" max="10" width="17.28515625" style="3" customWidth="1"/>
    <col min="11" max="11" width="13.28515625" style="6" bestFit="1" customWidth="1"/>
    <col min="12" max="15" width="15.140625" style="6" customWidth="1"/>
    <col min="16" max="16" width="15.28515625" style="6" customWidth="1"/>
    <col min="17" max="16384" width="9.140625" style="6"/>
  </cols>
  <sheetData>
    <row r="1" spans="1:15" x14ac:dyDescent="0.25">
      <c r="A1" s="6" t="s">
        <v>33</v>
      </c>
      <c r="B1" s="3" t="s">
        <v>79</v>
      </c>
      <c r="C1" s="3" t="s">
        <v>98</v>
      </c>
      <c r="D1" s="3" t="s">
        <v>80</v>
      </c>
      <c r="E1" s="3" t="str">
        <f t="array" ref="E1:K1">TRANSPOSE(variables!B7:B13)</f>
        <v>tec_%_eff</v>
      </c>
      <c r="F1" s="3" t="str">
        <v>tec_mw_min</v>
      </c>
      <c r="G1" s="3" t="str">
        <v xml:space="preserve">tec_%_cf </v>
      </c>
      <c r="H1" s="3" t="str">
        <v xml:space="preserve">tec_%_of </v>
      </c>
      <c r="I1" s="3" t="str">
        <v xml:space="preserve">tec_%_ff </v>
      </c>
      <c r="J1" s="3" t="str">
        <v xml:space="preserve">tec_%_pf </v>
      </c>
      <c r="K1" s="6" t="str">
        <v>tec_tco2/TJ_co2</v>
      </c>
      <c r="L1" s="6" t="str">
        <f t="array" ref="L1:O1">TRANSPOSE(variables!B14:B17)</f>
        <v>fin_$/mw_cap</v>
      </c>
      <c r="M1" s="6" t="str">
        <v>fin_$/mw_fix</v>
      </c>
      <c r="N1" s="6" t="str">
        <v>fin_$/mwh_var</v>
      </c>
      <c r="O1" s="6" t="str">
        <v>fin_$/mmbtu_fue</v>
      </c>
    </row>
    <row r="2" spans="1:15" x14ac:dyDescent="0.25">
      <c r="A2" s="6" t="str">
        <f>sets_indices!B2</f>
        <v>coal</v>
      </c>
      <c r="B2" s="3" t="str">
        <f>A2</f>
        <v>coal</v>
      </c>
      <c r="C2" s="3" t="s">
        <v>99</v>
      </c>
      <c r="D2" s="3" t="s">
        <v>81</v>
      </c>
      <c r="E2" s="7">
        <f>AVERAGE(34,35,36,37,38,39,42,43,44)</f>
        <v>38.666666666666664</v>
      </c>
      <c r="F2" s="7">
        <f>AVERAGE(150,600,1000)</f>
        <v>583.33333333333337</v>
      </c>
      <c r="G2" s="7">
        <v>65</v>
      </c>
      <c r="H2" s="7">
        <f>I2+J2</f>
        <v>14.837606837606838</v>
      </c>
      <c r="I2" s="7">
        <f>AVERAGE(7,5,3,7,6,3,7,6,3)</f>
        <v>5.2222222222222223</v>
      </c>
      <c r="J2" s="7">
        <f>100*AVERAGE(7,5,3)/52</f>
        <v>9.615384615384615</v>
      </c>
      <c r="K2" s="6">
        <v>99.72</v>
      </c>
      <c r="L2" s="8">
        <f>1000000*AVERAGE(1.65,1.6,1.55,1.4,1.36,1.32,1.52,1.48,1.43)</f>
        <v>1478888.8888888888</v>
      </c>
      <c r="M2" s="8">
        <f>AVERAGE(45300,43900,42600,41200,40000,38700,56600,54900,53200)</f>
        <v>46266.666666666664</v>
      </c>
      <c r="N2" s="8">
        <f>AVERAGE(0.13,0.12,0.12,0.12,0.12,0.11,0.11,0.11,0.1)</f>
        <v>0.11555555555555556</v>
      </c>
      <c r="O2" s="8">
        <v>1.47</v>
      </c>
    </row>
    <row r="3" spans="1:15" x14ac:dyDescent="0.25">
      <c r="A3" s="6" t="str">
        <f>sets_indices!B3</f>
        <v>ocgt</v>
      </c>
      <c r="B3" s="3" t="str">
        <f t="shared" ref="B3:B15" si="0">A3</f>
        <v>ocgt</v>
      </c>
      <c r="C3" s="3" t="s">
        <v>99</v>
      </c>
      <c r="D3" s="3" t="s">
        <v>82</v>
      </c>
      <c r="E3" s="7">
        <f>AVERAGE(33,35,39)</f>
        <v>35.666666666666664</v>
      </c>
      <c r="F3" s="7">
        <v>50</v>
      </c>
      <c r="G3" s="7">
        <v>37</v>
      </c>
      <c r="H3" s="7">
        <f t="shared" ref="H3:H15" si="1">I3+J3</f>
        <v>7.7692307692307692</v>
      </c>
      <c r="I3" s="7">
        <v>2</v>
      </c>
      <c r="J3" s="7">
        <f>100*3/52</f>
        <v>5.7692307692307692</v>
      </c>
      <c r="K3" s="6">
        <v>62.1</v>
      </c>
      <c r="L3" s="8">
        <f>1000000*AVERAGE(0.77,0.73,0.68)</f>
        <v>726666.66666666663</v>
      </c>
      <c r="M3" s="8">
        <f>AVERAGE(23200,22500,21800)</f>
        <v>22500</v>
      </c>
      <c r="N3" s="8">
        <f>N4</f>
        <v>2.23</v>
      </c>
      <c r="O3" s="8">
        <v>3.45</v>
      </c>
    </row>
    <row r="4" spans="1:15" x14ac:dyDescent="0.25">
      <c r="A4" s="6" t="str">
        <f>sets_indices!B4</f>
        <v>ccgt</v>
      </c>
      <c r="B4" s="3" t="str">
        <f t="shared" si="0"/>
        <v>ccgt</v>
      </c>
      <c r="C4" s="3" t="s">
        <v>99</v>
      </c>
      <c r="D4" s="3" t="s">
        <v>82</v>
      </c>
      <c r="E4" s="7">
        <f>AVERAGE(56,59,60)</f>
        <v>58.333333333333336</v>
      </c>
      <c r="F4" s="7">
        <v>600</v>
      </c>
      <c r="G4" s="7">
        <v>37</v>
      </c>
      <c r="H4" s="7">
        <f t="shared" si="1"/>
        <v>14.615384615384615</v>
      </c>
      <c r="I4" s="7">
        <v>5</v>
      </c>
      <c r="J4" s="7">
        <f>100*5/52</f>
        <v>9.615384615384615</v>
      </c>
      <c r="K4" s="6">
        <v>62.1</v>
      </c>
      <c r="L4" s="8">
        <f>1000000*AVERAGE(0.69,0.66,0.61)</f>
        <v>653333.33333333337</v>
      </c>
      <c r="M4" s="8">
        <f>AVERAGE(23500,22800,22100)</f>
        <v>22800</v>
      </c>
      <c r="N4" s="8">
        <f>AVERAGE(2.3,2.23,2.16)</f>
        <v>2.23</v>
      </c>
      <c r="O4" s="8">
        <v>3.45</v>
      </c>
    </row>
    <row r="5" spans="1:15" x14ac:dyDescent="0.25">
      <c r="A5" s="6" t="str">
        <f>sets_indices!B5</f>
        <v>reciprocating</v>
      </c>
      <c r="B5" s="3" t="str">
        <f t="shared" si="0"/>
        <v>reciprocating</v>
      </c>
      <c r="C5" s="3" t="s">
        <v>99</v>
      </c>
      <c r="D5" s="3" t="s">
        <v>83</v>
      </c>
      <c r="E5" s="7">
        <f>AVERAGE(45,46,47)</f>
        <v>46</v>
      </c>
      <c r="F5" s="7">
        <v>20</v>
      </c>
      <c r="G5" s="7">
        <v>60</v>
      </c>
      <c r="H5" s="7">
        <f t="shared" si="1"/>
        <v>4.9230769230769234</v>
      </c>
      <c r="I5" s="7">
        <v>3</v>
      </c>
      <c r="J5" s="7">
        <f>100*1/52</f>
        <v>1.9230769230769231</v>
      </c>
      <c r="K5" s="6">
        <v>75.17</v>
      </c>
      <c r="L5" s="8">
        <f>1000000*AVERAGE(0.8,0.8,0.78)</f>
        <v>793333.33333333337</v>
      </c>
      <c r="M5" s="8">
        <f>AVERAGE(8000,8000,7760)</f>
        <v>7920</v>
      </c>
      <c r="N5" s="8">
        <f>AVERAGE(6.4,6,5.8)</f>
        <v>6.0666666666666664</v>
      </c>
      <c r="O5" s="8">
        <v>18.23</v>
      </c>
    </row>
    <row r="6" spans="1:15" x14ac:dyDescent="0.25">
      <c r="A6" s="6" t="str">
        <f>sets_indices!B6</f>
        <v>geothermal</v>
      </c>
      <c r="B6" s="3" t="str">
        <f t="shared" si="0"/>
        <v>geothermal</v>
      </c>
      <c r="C6" s="3" t="s">
        <v>99</v>
      </c>
      <c r="D6" s="3" t="s">
        <v>81</v>
      </c>
      <c r="E6" s="7">
        <f>AVERAGE(AVERAGE(15,16,17),AVERAGE(10,11,12))</f>
        <v>13.5</v>
      </c>
      <c r="F6" s="7">
        <f>AVERAGE(55,10)</f>
        <v>32.5</v>
      </c>
      <c r="G6" s="7">
        <f>AVERAGE(90,90)</f>
        <v>90</v>
      </c>
      <c r="H6" s="7">
        <f t="shared" si="1"/>
        <v>17.692307692307693</v>
      </c>
      <c r="I6" s="7">
        <f>AVERAGE(10,10)</f>
        <v>10</v>
      </c>
      <c r="J6" s="7">
        <f>100*4/52</f>
        <v>7.6923076923076925</v>
      </c>
      <c r="K6" s="6">
        <v>62.9</v>
      </c>
      <c r="L6" s="8">
        <f>1000000*AVERAGE(4,3.44,2.84,5,4.3,3.55)</f>
        <v>3855000</v>
      </c>
      <c r="M6" s="8">
        <f>AVERAGE(50000,43000,35500,65000,55900,46200)</f>
        <v>49266.666666666664</v>
      </c>
      <c r="N6" s="8">
        <f>AVERAGE(0.25,0.22,0.18,0.37,0.32,0.26)</f>
        <v>0.26666666666666666</v>
      </c>
      <c r="O6" s="8">
        <v>0</v>
      </c>
    </row>
    <row r="7" spans="1:15" x14ac:dyDescent="0.25">
      <c r="A7" s="6" t="str">
        <f>sets_indices!B7</f>
        <v>lhydro</v>
      </c>
      <c r="B7" s="3" t="str">
        <f t="shared" si="0"/>
        <v>lhydro</v>
      </c>
      <c r="C7" s="3" t="s">
        <v>99</v>
      </c>
      <c r="D7" s="3" t="s">
        <v>81</v>
      </c>
      <c r="E7" s="7">
        <f>AVERAGE(95,95)</f>
        <v>95</v>
      </c>
      <c r="F7" s="7">
        <f>AVERAGE(150,50)</f>
        <v>100</v>
      </c>
      <c r="G7" s="7">
        <f>AVERAGE(40,80)</f>
        <v>60</v>
      </c>
      <c r="H7" s="7">
        <f t="shared" si="1"/>
        <v>15.538461538461538</v>
      </c>
      <c r="I7" s="7">
        <f>AVERAGE(4,4)</f>
        <v>4</v>
      </c>
      <c r="J7" s="7">
        <f>100*6/52</f>
        <v>11.538461538461538</v>
      </c>
      <c r="K7" s="6">
        <v>0</v>
      </c>
      <c r="L7" s="8">
        <f>1000000*AVERAGE(2.08,2,1.85,2.29,2.2,2.04)</f>
        <v>2076666.6666666663</v>
      </c>
      <c r="M7" s="8">
        <f>AVERAGE(37700,36200,33600,41900,40200,37300)</f>
        <v>37816.666666666664</v>
      </c>
      <c r="N7" s="8">
        <f>AVERAGE(0.65,0.62,0.58,0.5,0.48,0.45)</f>
        <v>0.54666666666666675</v>
      </c>
      <c r="O7" s="8">
        <v>0</v>
      </c>
    </row>
    <row r="8" spans="1:15" x14ac:dyDescent="0.25">
      <c r="A8" s="6" t="str">
        <f>sets_indices!B8</f>
        <v>mhydro</v>
      </c>
      <c r="B8" s="3" t="str">
        <f t="shared" si="0"/>
        <v>mhydro</v>
      </c>
      <c r="C8" s="3" t="s">
        <v>99</v>
      </c>
      <c r="D8" s="3" t="s">
        <v>82</v>
      </c>
      <c r="E8" s="7">
        <v>80</v>
      </c>
      <c r="F8" s="7">
        <v>5</v>
      </c>
      <c r="G8" s="7">
        <v>80</v>
      </c>
      <c r="H8" s="7">
        <f t="shared" si="1"/>
        <v>15.538461538461538</v>
      </c>
      <c r="I8" s="7">
        <v>4</v>
      </c>
      <c r="J8" s="7">
        <f>100*6/52</f>
        <v>11.538461538461538</v>
      </c>
      <c r="K8" s="6">
        <v>0</v>
      </c>
      <c r="L8" s="8">
        <f>1000000*AVERAGE(2.7,2.59,2.4)</f>
        <v>2563333.333333333</v>
      </c>
      <c r="M8" s="8">
        <f>AVERAGE(53000,50900,47200)</f>
        <v>50366.666666666664</v>
      </c>
      <c r="N8" s="8">
        <f>AVERAGE(0.5,0.48,0.45)</f>
        <v>0.47666666666666663</v>
      </c>
      <c r="O8" s="8">
        <v>0</v>
      </c>
    </row>
    <row r="9" spans="1:15" x14ac:dyDescent="0.25">
      <c r="A9" s="6" t="str">
        <f>sets_indices!B9</f>
        <v>solar</v>
      </c>
      <c r="B9" s="3" t="str">
        <f t="shared" si="0"/>
        <v>solar</v>
      </c>
      <c r="C9" s="3" t="s">
        <v>99</v>
      </c>
      <c r="D9" s="3" t="s">
        <v>84</v>
      </c>
      <c r="E9" s="7">
        <v>16</v>
      </c>
      <c r="F9" s="7">
        <v>10</v>
      </c>
      <c r="G9" s="7">
        <f>AVERAGE(19,22,22)</f>
        <v>21</v>
      </c>
      <c r="H9" s="7">
        <f t="shared" si="1"/>
        <v>0</v>
      </c>
      <c r="I9" s="7">
        <v>0</v>
      </c>
      <c r="J9" s="7">
        <v>0</v>
      </c>
      <c r="K9" s="6">
        <v>0</v>
      </c>
      <c r="L9" s="8">
        <f>1000000*1.119</f>
        <v>1119000</v>
      </c>
      <c r="M9" s="8">
        <f>AVERAGE(14400,10000,8000)</f>
        <v>10800</v>
      </c>
      <c r="N9" s="8">
        <v>0</v>
      </c>
      <c r="O9" s="8">
        <v>0</v>
      </c>
    </row>
    <row r="10" spans="1:15" x14ac:dyDescent="0.25">
      <c r="A10" s="6" t="str">
        <f>sets_indices!B10</f>
        <v>wind</v>
      </c>
      <c r="B10" s="3" t="str">
        <f t="shared" si="0"/>
        <v>wind</v>
      </c>
      <c r="C10" s="3" t="s">
        <v>99</v>
      </c>
      <c r="D10" s="3" t="s">
        <v>85</v>
      </c>
      <c r="E10" s="7">
        <v>59.3</v>
      </c>
      <c r="F10" s="7">
        <v>3.5</v>
      </c>
      <c r="G10" s="7">
        <f>AVERAGE(35,36,37)</f>
        <v>36</v>
      </c>
      <c r="H10" s="7">
        <f t="shared" si="1"/>
        <v>2.4743589743589745</v>
      </c>
      <c r="I10" s="7">
        <f>AVERAGE(2.5,2,2)</f>
        <v>2.1666666666666665</v>
      </c>
      <c r="J10" s="7">
        <f>100*0.16/52</f>
        <v>0.30769230769230771</v>
      </c>
      <c r="K10" s="6">
        <v>0</v>
      </c>
      <c r="L10" s="8">
        <f>1000000*AVERAGE(1.5,1.28,1.08)</f>
        <v>1286666.6666666667</v>
      </c>
      <c r="M10" s="8">
        <f>AVERAGE(60000,51000,43200)</f>
        <v>51400</v>
      </c>
      <c r="N10" s="8">
        <v>0</v>
      </c>
      <c r="O10" s="8">
        <v>0</v>
      </c>
    </row>
    <row r="11" spans="1:15" x14ac:dyDescent="0.25">
      <c r="A11" s="6" t="str">
        <f>sets_indices!B11</f>
        <v>biomass</v>
      </c>
      <c r="B11" s="3" t="str">
        <f t="shared" si="0"/>
        <v>biomass</v>
      </c>
      <c r="C11" s="3" t="s">
        <v>99</v>
      </c>
      <c r="D11" s="3" t="s">
        <v>82</v>
      </c>
      <c r="E11" s="7">
        <v>31</v>
      </c>
      <c r="F11" s="7">
        <v>25</v>
      </c>
      <c r="G11" s="7">
        <v>35</v>
      </c>
      <c r="H11" s="7">
        <f t="shared" si="1"/>
        <v>18.53846153846154</v>
      </c>
      <c r="I11" s="7">
        <v>7</v>
      </c>
      <c r="J11" s="7">
        <f>100*6/52</f>
        <v>11.538461538461538</v>
      </c>
      <c r="K11" s="6">
        <v>112.36</v>
      </c>
      <c r="L11" s="8">
        <f>1000000*AVERAGE(2,1.82,1.6)</f>
        <v>1806666.6666666667</v>
      </c>
      <c r="M11" s="8">
        <f>AVERAGE(47600,43800,38100)</f>
        <v>43166.666666666664</v>
      </c>
      <c r="N11" s="8">
        <f>AVERAGE(3,2.8,2.4)</f>
        <v>2.7333333333333329</v>
      </c>
      <c r="O11" s="8">
        <v>1.5</v>
      </c>
    </row>
    <row r="12" spans="1:15" x14ac:dyDescent="0.25">
      <c r="A12" s="6" t="str">
        <f>sets_indices!B12</f>
        <v>ocean</v>
      </c>
      <c r="B12" s="3" t="str">
        <f t="shared" si="0"/>
        <v>ocean</v>
      </c>
      <c r="C12" s="3" t="s">
        <v>99</v>
      </c>
      <c r="D12" s="3" t="s">
        <v>81</v>
      </c>
      <c r="E12" s="7">
        <f>AVERAGE(90,AVERAGE(90,92,95))</f>
        <v>91.166666666666657</v>
      </c>
      <c r="F12" s="7">
        <f>AVERAGE(AVERAGE(1,10,25),AVERAGE(1,2,2))</f>
        <v>6.833333333333333</v>
      </c>
      <c r="G12" s="7">
        <f>AVERAGE(AVERAGE(35,35,40),AVERAGE(33,35,37))</f>
        <v>35.833333333333329</v>
      </c>
      <c r="H12" s="7">
        <f t="shared" si="1"/>
        <v>4</v>
      </c>
      <c r="I12" s="7">
        <v>4</v>
      </c>
      <c r="J12" s="7">
        <v>0</v>
      </c>
      <c r="K12" s="6">
        <v>0</v>
      </c>
      <c r="L12" s="8">
        <f>1000000*AVERAGE(5.5,5.1,5.1,5.3,4.6,3.4)</f>
        <v>4833333.333333333</v>
      </c>
      <c r="M12" s="8">
        <f>AVERAGE(70800,65500,37700,283000,230000,114000)</f>
        <v>133500</v>
      </c>
      <c r="N12" s="8">
        <f>AVERAGE(0,0,0,12,9,7)</f>
        <v>4.666666666666667</v>
      </c>
      <c r="O12" s="8">
        <v>0</v>
      </c>
    </row>
    <row r="13" spans="1:15" x14ac:dyDescent="0.25">
      <c r="A13" s="6" t="str">
        <f>sets_indices!B13</f>
        <v>waste</v>
      </c>
      <c r="B13" s="3" t="str">
        <f t="shared" si="0"/>
        <v>waste</v>
      </c>
      <c r="C13" s="3" t="s">
        <v>99</v>
      </c>
      <c r="D13" s="3" t="s">
        <v>89</v>
      </c>
      <c r="E13" s="7">
        <f>AVERAGE(28,29,29)</f>
        <v>28.666666666666668</v>
      </c>
      <c r="F13" s="7">
        <f>AVERAGE(22,22,23)</f>
        <v>22.333333333333332</v>
      </c>
      <c r="G13" s="7">
        <f>G11</f>
        <v>35</v>
      </c>
      <c r="H13" s="7">
        <f t="shared" si="1"/>
        <v>6.5769230769230766</v>
      </c>
      <c r="I13" s="7">
        <v>1</v>
      </c>
      <c r="J13" s="7">
        <f>100*2.9/52</f>
        <v>5.5769230769230766</v>
      </c>
      <c r="K13" s="6">
        <v>27.77</v>
      </c>
      <c r="L13" s="8">
        <f>1000000*AVERAGE(6.8,6.3,5.6)</f>
        <v>6233333.333333333</v>
      </c>
      <c r="M13" s="8">
        <f>AVERAGE(243700,224800,193500)</f>
        <v>220666.66666666666</v>
      </c>
      <c r="N13" s="8">
        <f>AVERAGE(24.1,23.4,22.6)</f>
        <v>23.366666666666664</v>
      </c>
      <c r="O13" s="8">
        <v>0</v>
      </c>
    </row>
    <row r="14" spans="1:15" x14ac:dyDescent="0.25">
      <c r="A14" s="6" t="str">
        <f>sets_indices!B14</f>
        <v>storage</v>
      </c>
      <c r="B14" s="3" t="str">
        <f t="shared" si="0"/>
        <v>storage</v>
      </c>
      <c r="C14" s="3" t="s">
        <v>100</v>
      </c>
      <c r="D14" s="3" t="s">
        <v>82</v>
      </c>
      <c r="E14" s="7">
        <v>80</v>
      </c>
      <c r="F14" s="7">
        <v>10000</v>
      </c>
      <c r="G14" s="7">
        <v>45</v>
      </c>
      <c r="H14" s="7">
        <f t="shared" si="1"/>
        <v>9.7692307692307701</v>
      </c>
      <c r="I14" s="7">
        <v>4</v>
      </c>
      <c r="J14" s="7">
        <f>100*3/52</f>
        <v>5.7692307692307692</v>
      </c>
      <c r="K14" s="6">
        <v>0</v>
      </c>
      <c r="L14" s="8">
        <f>1000000*0.86</f>
        <v>860000</v>
      </c>
      <c r="M14" s="8">
        <v>8000</v>
      </c>
      <c r="N14" s="8">
        <v>1.3</v>
      </c>
      <c r="O14" s="8">
        <v>0</v>
      </c>
    </row>
    <row r="15" spans="1:15" x14ac:dyDescent="0.25">
      <c r="A15" s="6" t="s">
        <v>31</v>
      </c>
      <c r="B15" s="3" t="str">
        <f t="shared" si="0"/>
        <v>battery</v>
      </c>
      <c r="C15" s="3" t="s">
        <v>100</v>
      </c>
      <c r="D15" s="3" t="s">
        <v>82</v>
      </c>
      <c r="E15" s="7">
        <f>AVERAGE(91,92,92)</f>
        <v>91.666666666666671</v>
      </c>
      <c r="F15" s="7">
        <f>AVERAGE(6,7,8)</f>
        <v>7</v>
      </c>
      <c r="G15" s="7">
        <v>45</v>
      </c>
      <c r="H15" s="7">
        <f t="shared" si="1"/>
        <v>0.58307692307692305</v>
      </c>
      <c r="I15" s="7">
        <f>AVERAGE(0.38,0.35,0.25)</f>
        <v>0.32666666666666666</v>
      </c>
      <c r="J15" s="7">
        <f>100*AVERAGE(0.2,0.1,0.1)/52</f>
        <v>0.25641025641025644</v>
      </c>
      <c r="K15" s="6">
        <v>0</v>
      </c>
      <c r="L15" s="8">
        <f>1000000*AVERAGE(0.578,0.264,0.157)</f>
        <v>333000</v>
      </c>
      <c r="M15" s="8">
        <f>AVERAGE(621,311,155)</f>
        <v>362.33333333333331</v>
      </c>
      <c r="N15" s="8">
        <f>AVERAGE(2.3,2.07,1.84)</f>
        <v>2.0699999999999998</v>
      </c>
      <c r="O15" s="8">
        <v>0</v>
      </c>
    </row>
    <row r="17" spans="1:6" x14ac:dyDescent="0.25">
      <c r="A17" s="6" t="s">
        <v>102</v>
      </c>
      <c r="B17" s="9" t="s">
        <v>112</v>
      </c>
      <c r="F17" s="1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8D5D-B6DD-41F9-85D2-46E2503A9AD3}">
  <sheetPr codeName="Sheet4"/>
  <dimension ref="A1:P11"/>
  <sheetViews>
    <sheetView zoomScaleNormal="100" workbookViewId="0">
      <selection activeCell="H9" sqref="H9"/>
    </sheetView>
  </sheetViews>
  <sheetFormatPr defaultRowHeight="15" x14ac:dyDescent="0.25"/>
  <cols>
    <col min="1" max="1" width="22.42578125" customWidth="1"/>
    <col min="3" max="16" width="15.14062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TRANSPOSE(variables!B74:B87)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0</v>
      </c>
      <c r="D2" s="11">
        <f t="shared" ref="D2:O2" si="0">SUM(D3:D8)</f>
        <v>0</v>
      </c>
      <c r="E2" s="11">
        <f t="shared" si="0"/>
        <v>0</v>
      </c>
      <c r="F2" s="11">
        <f t="shared" si="0"/>
        <v>0</v>
      </c>
      <c r="G2" s="11">
        <f t="shared" si="0"/>
        <v>23965.8</v>
      </c>
      <c r="H2" s="11">
        <f t="shared" si="0"/>
        <v>75091</v>
      </c>
      <c r="I2" s="11">
        <f t="shared" si="0"/>
        <v>19385</v>
      </c>
      <c r="J2" s="11">
        <f t="shared" si="0"/>
        <v>207898</v>
      </c>
      <c r="K2" s="11">
        <f t="shared" si="0"/>
        <v>60647</v>
      </c>
      <c r="L2" s="11">
        <f t="shared" si="0"/>
        <v>32654</v>
      </c>
      <c r="M2" s="11">
        <f t="shared" si="0"/>
        <v>17988</v>
      </c>
      <c r="N2" s="11">
        <f t="shared" si="0"/>
        <v>0</v>
      </c>
      <c r="O2" s="11">
        <f t="shared" si="0"/>
        <v>0</v>
      </c>
      <c r="P2" s="11">
        <f>SUM(G2:M2)</f>
        <v>437628.8</v>
      </c>
    </row>
    <row r="3" spans="1:16" x14ac:dyDescent="0.25">
      <c r="A3" t="str">
        <f>sets_indices!B16</f>
        <v>SUMATERA</v>
      </c>
      <c r="B3">
        <f>B2</f>
        <v>2019</v>
      </c>
      <c r="C3" s="11">
        <v>0</v>
      </c>
      <c r="D3" s="11">
        <v>0</v>
      </c>
      <c r="E3" s="11">
        <v>0</v>
      </c>
      <c r="F3" s="11">
        <v>0</v>
      </c>
      <c r="G3" s="11">
        <v>9679</v>
      </c>
      <c r="H3" s="11">
        <v>15579</v>
      </c>
      <c r="I3" s="11">
        <v>5734</v>
      </c>
      <c r="J3" s="11">
        <v>68749</v>
      </c>
      <c r="K3" s="11">
        <v>7397</v>
      </c>
      <c r="L3" s="11">
        <v>15589</v>
      </c>
      <c r="M3" s="11">
        <v>6027</v>
      </c>
      <c r="N3" s="11">
        <v>0</v>
      </c>
      <c r="O3" s="11">
        <v>0</v>
      </c>
      <c r="P3" s="11">
        <f t="shared" ref="P3:P8" si="1">SUM(G3:M3)</f>
        <v>128754</v>
      </c>
    </row>
    <row r="4" spans="1:16" x14ac:dyDescent="0.25">
      <c r="A4" t="str">
        <f>sets_indices!B17</f>
        <v>JAWA</v>
      </c>
      <c r="B4">
        <f t="shared" ref="B4:B5" si="2">B3</f>
        <v>2019</v>
      </c>
      <c r="C4" s="11">
        <v>0</v>
      </c>
      <c r="D4" s="11">
        <v>0</v>
      </c>
      <c r="E4" s="11">
        <v>0</v>
      </c>
      <c r="F4" s="11">
        <v>0</v>
      </c>
      <c r="G4" s="11">
        <v>8107</v>
      </c>
      <c r="H4" s="11">
        <v>4199</v>
      </c>
      <c r="I4" s="11">
        <v>2910</v>
      </c>
      <c r="J4" s="11">
        <v>31869</v>
      </c>
      <c r="K4" s="11">
        <v>22992</v>
      </c>
      <c r="L4" s="11">
        <v>9215</v>
      </c>
      <c r="M4" s="11">
        <v>2273</v>
      </c>
      <c r="N4" s="11">
        <v>0</v>
      </c>
      <c r="O4" s="11">
        <v>0</v>
      </c>
      <c r="P4" s="11">
        <f t="shared" si="1"/>
        <v>81565</v>
      </c>
    </row>
    <row r="5" spans="1:16" x14ac:dyDescent="0.25">
      <c r="A5" t="str">
        <f>sets_indices!B18</f>
        <v>BALI_NT</v>
      </c>
      <c r="B5">
        <f t="shared" si="2"/>
        <v>2019</v>
      </c>
      <c r="C5" s="11">
        <v>0</v>
      </c>
      <c r="D5" s="11">
        <v>0</v>
      </c>
      <c r="E5" s="11">
        <v>0</v>
      </c>
      <c r="F5" s="11">
        <v>0</v>
      </c>
      <c r="G5" s="11">
        <v>1698.8</v>
      </c>
      <c r="H5" s="11">
        <v>624</v>
      </c>
      <c r="I5" s="11">
        <v>141</v>
      </c>
      <c r="J5" s="11">
        <v>18457</v>
      </c>
      <c r="K5" s="11">
        <v>13812</v>
      </c>
      <c r="L5" s="11">
        <v>635</v>
      </c>
      <c r="M5" s="11">
        <v>9297</v>
      </c>
      <c r="N5" s="11">
        <v>0</v>
      </c>
      <c r="O5" s="11">
        <v>0</v>
      </c>
      <c r="P5" s="11">
        <f t="shared" si="1"/>
        <v>44664.800000000003</v>
      </c>
    </row>
    <row r="6" spans="1:16" x14ac:dyDescent="0.25">
      <c r="A6" t="str">
        <f>sets_indices!B19</f>
        <v>KALIMANTAN</v>
      </c>
      <c r="B6">
        <f>B4</f>
        <v>2019</v>
      </c>
      <c r="C6" s="11">
        <v>0</v>
      </c>
      <c r="D6" s="11">
        <v>0</v>
      </c>
      <c r="E6" s="11">
        <v>0</v>
      </c>
      <c r="F6" s="11">
        <v>0</v>
      </c>
      <c r="G6" s="11">
        <v>182</v>
      </c>
      <c r="H6" s="11">
        <v>21581</v>
      </c>
      <c r="I6" s="11">
        <v>8100</v>
      </c>
      <c r="J6" s="11">
        <v>52725</v>
      </c>
      <c r="K6" s="11">
        <v>2526</v>
      </c>
      <c r="L6" s="11">
        <v>5061</v>
      </c>
      <c r="M6" s="11">
        <v>0</v>
      </c>
      <c r="N6" s="11">
        <v>0</v>
      </c>
      <c r="O6" s="11">
        <v>0</v>
      </c>
      <c r="P6" s="11">
        <f t="shared" si="1"/>
        <v>90175</v>
      </c>
    </row>
    <row r="7" spans="1:16" x14ac:dyDescent="0.25">
      <c r="A7" t="str">
        <f>sets_indices!B20</f>
        <v>SULAWESI</v>
      </c>
      <c r="B7">
        <f t="shared" ref="B7:B8" si="3">B5</f>
        <v>2019</v>
      </c>
      <c r="C7" s="11">
        <v>0</v>
      </c>
      <c r="D7" s="11">
        <v>0</v>
      </c>
      <c r="E7" s="11">
        <v>0</v>
      </c>
      <c r="F7" s="11">
        <v>0</v>
      </c>
      <c r="G7" s="11">
        <v>3068</v>
      </c>
      <c r="H7" s="11">
        <v>10307</v>
      </c>
      <c r="I7" s="11">
        <v>1668</v>
      </c>
      <c r="J7" s="11">
        <v>22700</v>
      </c>
      <c r="K7" s="11">
        <v>8380</v>
      </c>
      <c r="L7" s="11">
        <v>1937</v>
      </c>
      <c r="M7" s="11">
        <v>0</v>
      </c>
      <c r="N7" s="11">
        <v>0</v>
      </c>
      <c r="O7" s="11">
        <v>0</v>
      </c>
      <c r="P7" s="11">
        <f t="shared" si="1"/>
        <v>48060</v>
      </c>
    </row>
    <row r="8" spans="1:16" x14ac:dyDescent="0.25">
      <c r="A8" t="str">
        <f>sets_indices!B21</f>
        <v>MALUKU_PAPUA</v>
      </c>
      <c r="B8">
        <f t="shared" si="3"/>
        <v>2019</v>
      </c>
      <c r="C8" s="11">
        <v>0</v>
      </c>
      <c r="D8" s="11">
        <v>0</v>
      </c>
      <c r="E8" s="11">
        <v>0</v>
      </c>
      <c r="F8" s="11">
        <v>0</v>
      </c>
      <c r="G8" s="11">
        <v>1231</v>
      </c>
      <c r="H8" s="11">
        <v>22801</v>
      </c>
      <c r="I8" s="11">
        <v>832</v>
      </c>
      <c r="J8" s="11">
        <v>13398</v>
      </c>
      <c r="K8" s="11">
        <v>5540</v>
      </c>
      <c r="L8" s="11">
        <v>217</v>
      </c>
      <c r="M8" s="11">
        <v>391</v>
      </c>
      <c r="N8" s="11">
        <v>0</v>
      </c>
      <c r="O8" s="11">
        <v>0</v>
      </c>
      <c r="P8" s="11">
        <f t="shared" si="1"/>
        <v>44410</v>
      </c>
    </row>
    <row r="9" spans="1:16" x14ac:dyDescent="0.25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6" t="s">
        <v>102</v>
      </c>
      <c r="B10" s="9" t="s">
        <v>103</v>
      </c>
    </row>
    <row r="11" spans="1:16" x14ac:dyDescent="0.25">
      <c r="A11" s="6" t="s">
        <v>104</v>
      </c>
      <c r="B11" s="10" t="s">
        <v>105</v>
      </c>
    </row>
  </sheetData>
  <hyperlinks>
    <hyperlink ref="B11" r:id="rId1" display="https://www.den.go.id/index.php/publikasi/index/BauranEnergi" xr:uid="{B7345BC0-8FB0-411B-B9F0-5D40742055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ED83-8324-4FF8-AEFE-B5067B2FA5D8}">
  <sheetPr codeName="Sheet5"/>
  <dimension ref="A1:P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1" sqref="F11"/>
    </sheetView>
  </sheetViews>
  <sheetFormatPr defaultRowHeight="15" x14ac:dyDescent="0.25"/>
  <cols>
    <col min="1" max="1" width="16.85546875" customWidth="1"/>
    <col min="3" max="16" width="13.710937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TRANSPOSE(variables!B46:B59)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34457.47</v>
      </c>
      <c r="D2" s="11">
        <f t="shared" ref="D2:P2" si="0">SUM(D3:D8)</f>
        <v>5638.72</v>
      </c>
      <c r="E2" s="11">
        <f t="shared" si="0"/>
        <v>11525.460000000001</v>
      </c>
      <c r="F2" s="11">
        <f t="shared" si="0"/>
        <v>6623.4</v>
      </c>
      <c r="G2" s="11">
        <f t="shared" si="0"/>
        <v>1986.3999999999999</v>
      </c>
      <c r="H2" s="11">
        <f t="shared" si="0"/>
        <v>5689.6399999999994</v>
      </c>
      <c r="I2" s="11">
        <f t="shared" si="0"/>
        <v>169.62</v>
      </c>
      <c r="J2" s="11">
        <f t="shared" si="0"/>
        <v>17.52</v>
      </c>
      <c r="K2" s="11">
        <f t="shared" si="0"/>
        <v>0</v>
      </c>
      <c r="L2" s="11">
        <f t="shared" si="0"/>
        <v>142.85</v>
      </c>
      <c r="M2" s="11">
        <f t="shared" si="0"/>
        <v>0</v>
      </c>
      <c r="N2" s="11">
        <f t="shared" si="0"/>
        <v>0</v>
      </c>
      <c r="O2" s="11">
        <f t="shared" si="0"/>
        <v>0</v>
      </c>
      <c r="P2" s="11">
        <f t="shared" si="0"/>
        <v>66251.08</v>
      </c>
    </row>
    <row r="3" spans="1:16" x14ac:dyDescent="0.25">
      <c r="A3" t="str">
        <f>sets_indices!B16</f>
        <v>SUMATERA</v>
      </c>
      <c r="B3">
        <v>2019</v>
      </c>
      <c r="C3" s="11">
        <f>SUM([1]Capacity!C$6:C$15)</f>
        <v>5328.13</v>
      </c>
      <c r="D3" s="11">
        <f>SUM([1]Capacity!D$6:D$15)</f>
        <v>1253.6999999999998</v>
      </c>
      <c r="E3" s="11">
        <f>SUM([1]Capacity!E$6:E$15)</f>
        <v>1289.43</v>
      </c>
      <c r="F3" s="11">
        <f>SUM([1]Capacity!F$6:F$15)</f>
        <v>2494.56</v>
      </c>
      <c r="G3" s="11">
        <f>SUM([1]Capacity!G$6:G$15)</f>
        <v>677</v>
      </c>
      <c r="H3" s="11">
        <f>SUM([1]Capacity!H$6:H$15)</f>
        <v>1959.96</v>
      </c>
      <c r="I3" s="11">
        <f>SUM([1]Capacity!I$6:I$15)</f>
        <v>70.260000000000005</v>
      </c>
      <c r="J3" s="11">
        <f>SUM([1]Capacity!J$6:J$15)</f>
        <v>1.1300000000000001</v>
      </c>
      <c r="K3" s="11">
        <v>0</v>
      </c>
      <c r="L3" s="11">
        <f>SUM([1]Capacity!K$6:K$15)</f>
        <v>36.599999999999994</v>
      </c>
      <c r="M3" s="11">
        <v>0</v>
      </c>
      <c r="N3" s="11">
        <v>0</v>
      </c>
      <c r="O3" s="11">
        <v>0</v>
      </c>
      <c r="P3" s="11">
        <f t="shared" ref="P3:P8" si="1">SUM(C3:O3)</f>
        <v>13110.769999999999</v>
      </c>
    </row>
    <row r="4" spans="1:16" x14ac:dyDescent="0.25">
      <c r="A4" t="str">
        <f>sets_indices!B17</f>
        <v>JAWA</v>
      </c>
      <c r="B4">
        <v>2019</v>
      </c>
      <c r="C4" s="11">
        <f>SUM([1]Capacity!C$16:C$21)</f>
        <v>23045</v>
      </c>
      <c r="D4" s="11">
        <f>SUM([1]Capacity!D$16:D$21)</f>
        <v>2896.7400000000002</v>
      </c>
      <c r="E4" s="11">
        <f>SUM([1]Capacity!E$16:E$21)</f>
        <v>9861.0300000000007</v>
      </c>
      <c r="F4" s="11">
        <f>SUM([1]Capacity!F$16:F$21)</f>
        <v>33.130000000000003</v>
      </c>
      <c r="G4" s="11">
        <f>SUM([1]Capacity!G$16:G$21)</f>
        <v>1204.8</v>
      </c>
      <c r="H4" s="11">
        <f>SUM([1]Capacity!H$16:H$21)</f>
        <v>2599.35</v>
      </c>
      <c r="I4" s="11">
        <f>SUM([1]Capacity!I$16:I$21)</f>
        <v>17.350000000000001</v>
      </c>
      <c r="J4" s="11">
        <f>SUM([1]Capacity!J$16:J$21)</f>
        <v>1</v>
      </c>
      <c r="K4" s="11">
        <v>0</v>
      </c>
      <c r="L4" s="11">
        <f>SUM([1]Capacity!K$16:K$21)</f>
        <v>8</v>
      </c>
      <c r="M4" s="11">
        <v>0</v>
      </c>
      <c r="N4" s="11">
        <v>0</v>
      </c>
      <c r="O4" s="11">
        <v>0</v>
      </c>
      <c r="P4" s="11">
        <f t="shared" si="1"/>
        <v>39666.400000000001</v>
      </c>
    </row>
    <row r="5" spans="1:16" x14ac:dyDescent="0.25">
      <c r="A5" t="str">
        <f>sets_indices!B18</f>
        <v>BALI_NT</v>
      </c>
      <c r="B5">
        <v>2019</v>
      </c>
      <c r="C5" s="11">
        <f>SUM([1]Capacity!C$22:C$24)-356.74</f>
        <v>519.33999999999992</v>
      </c>
      <c r="D5" s="11">
        <f>SUM([1]Capacity!D$22:D$24)</f>
        <v>660.53</v>
      </c>
      <c r="E5" s="11">
        <f>SUM([1]Capacity!E$22:E$24)</f>
        <v>0</v>
      </c>
      <c r="F5" s="11">
        <f>SUM([1]Capacity!F$22:F$24)</f>
        <v>582.04999999999995</v>
      </c>
      <c r="G5" s="11">
        <f>SUM([1]Capacity!G$22:G$24)</f>
        <v>24.6</v>
      </c>
      <c r="H5" s="11">
        <f>SUM([1]Capacity!H$22:H$24)</f>
        <v>7.3000000000000007</v>
      </c>
      <c r="I5" s="11">
        <f>SUM([1]Capacity!I$22:I$24)</f>
        <v>16</v>
      </c>
      <c r="J5" s="11">
        <f>SUM([1]Capacity!J$22:J$24)</f>
        <v>4.13</v>
      </c>
      <c r="K5" s="11">
        <v>0</v>
      </c>
      <c r="L5" s="11">
        <f>SUM([1]Capacity!K$22:K$24)</f>
        <v>0</v>
      </c>
      <c r="M5" s="11">
        <v>0</v>
      </c>
      <c r="N5" s="11">
        <v>0</v>
      </c>
      <c r="O5" s="11">
        <v>0</v>
      </c>
      <c r="P5" s="11">
        <f t="shared" si="1"/>
        <v>1813.9499999999998</v>
      </c>
    </row>
    <row r="6" spans="1:16" x14ac:dyDescent="0.25">
      <c r="A6" t="str">
        <f>sets_indices!B19</f>
        <v>KALIMANTAN</v>
      </c>
      <c r="B6">
        <v>2019</v>
      </c>
      <c r="C6" s="11">
        <f>SUM([1]Capacity!C$25:C$29)</f>
        <v>2450.5</v>
      </c>
      <c r="D6" s="11">
        <f>SUM([1]Capacity!D$25:D$29)</f>
        <v>535.03</v>
      </c>
      <c r="E6" s="11">
        <f>SUM([1]Capacity!E$25:E$29)</f>
        <v>60</v>
      </c>
      <c r="F6" s="11">
        <f>SUM([1]Capacity!F$25:F$29)</f>
        <v>1724.67</v>
      </c>
      <c r="G6" s="11">
        <f>SUM([1]Capacity!G$25:G$29)</f>
        <v>0</v>
      </c>
      <c r="H6" s="11">
        <f>SUM([1]Capacity!H$25:H$29)</f>
        <v>264.27</v>
      </c>
      <c r="I6" s="11">
        <f>SUM([1]Capacity!I$25:I$29)</f>
        <v>3.46</v>
      </c>
      <c r="J6" s="11">
        <f>SUM([1]Capacity!J$25:J$29)</f>
        <v>0.61</v>
      </c>
      <c r="K6" s="11">
        <v>0</v>
      </c>
      <c r="L6" s="11">
        <f>SUM([1]Capacity!K$25:K$29)</f>
        <v>97.75</v>
      </c>
      <c r="M6" s="11">
        <v>0</v>
      </c>
      <c r="N6" s="11">
        <v>0</v>
      </c>
      <c r="O6" s="11">
        <v>0</v>
      </c>
      <c r="P6" s="11">
        <f t="shared" si="1"/>
        <v>5136.2899999999991</v>
      </c>
    </row>
    <row r="7" spans="1:16" x14ac:dyDescent="0.25">
      <c r="A7" t="str">
        <f>sets_indices!B20</f>
        <v>SULAWESI</v>
      </c>
      <c r="B7">
        <v>2019</v>
      </c>
      <c r="C7" s="11">
        <f>SUM([1]Capacity!C$30:C$35)</f>
        <v>2835.5</v>
      </c>
      <c r="D7" s="11">
        <f>SUM([1]Capacity!D$30:D$35)</f>
        <v>288.72000000000003</v>
      </c>
      <c r="E7" s="11">
        <f>SUM([1]Capacity!E$30:E$35)</f>
        <v>315</v>
      </c>
      <c r="F7" s="11">
        <f>SUM([1]Capacity!F$30:F$35)</f>
        <v>895.93</v>
      </c>
      <c r="G7" s="11">
        <f>SUM([1]Capacity!G$30:G$35)</f>
        <v>80</v>
      </c>
      <c r="H7" s="11">
        <f>SUM([1]Capacity!H$30:H$35)</f>
        <v>828.97</v>
      </c>
      <c r="I7" s="11">
        <f>SUM([1]Capacity!I$30:I$35)</f>
        <v>62.55</v>
      </c>
      <c r="J7" s="11">
        <f>SUM([1]Capacity!J$30:J$35)</f>
        <v>4.24</v>
      </c>
      <c r="K7" s="11">
        <v>0</v>
      </c>
      <c r="L7" s="11">
        <f>SUM([1]Capacity!K$30:K$35)</f>
        <v>0.5</v>
      </c>
      <c r="M7" s="11">
        <v>0</v>
      </c>
      <c r="N7" s="11">
        <v>0</v>
      </c>
      <c r="O7" s="11">
        <v>0</v>
      </c>
      <c r="P7" s="11">
        <f t="shared" si="1"/>
        <v>5311.4100000000008</v>
      </c>
    </row>
    <row r="8" spans="1:16" x14ac:dyDescent="0.25">
      <c r="A8" t="str">
        <f>sets_indices!B21</f>
        <v>MALUKU_PAPUA</v>
      </c>
      <c r="B8">
        <v>2019</v>
      </c>
      <c r="C8" s="11">
        <f>SUM([1]Capacity!C$36:C$39)</f>
        <v>279</v>
      </c>
      <c r="D8" s="11">
        <f>SUM([1]Capacity!D$36:D$39)</f>
        <v>4</v>
      </c>
      <c r="E8" s="11">
        <f>SUM([1]Capacity!E$36:E$39)</f>
        <v>0</v>
      </c>
      <c r="F8" s="11">
        <f>SUM([1]Capacity!F$36:F$39)</f>
        <v>893.06</v>
      </c>
      <c r="G8" s="11">
        <f>SUM([1]Capacity!G$36:G$39)</f>
        <v>0</v>
      </c>
      <c r="H8" s="11">
        <f>SUM([1]Capacity!H$36:H$39)</f>
        <v>29.79</v>
      </c>
      <c r="I8" s="11">
        <f>SUM([1]Capacity!I$36:I$39)</f>
        <v>0</v>
      </c>
      <c r="J8" s="11">
        <f>SUM([1]Capacity!J$36:J$39)</f>
        <v>6.41</v>
      </c>
      <c r="K8" s="11">
        <v>0</v>
      </c>
      <c r="L8" s="11">
        <f>SUM([1]Capacity!K$36:K$39)</f>
        <v>0</v>
      </c>
      <c r="M8" s="11">
        <v>0</v>
      </c>
      <c r="N8" s="11">
        <v>0</v>
      </c>
      <c r="O8" s="11">
        <v>0</v>
      </c>
      <c r="P8" s="11">
        <f t="shared" si="1"/>
        <v>1212.26</v>
      </c>
    </row>
    <row r="10" spans="1:16" x14ac:dyDescent="0.25">
      <c r="A10" s="6" t="s">
        <v>102</v>
      </c>
      <c r="B10" s="9" t="s">
        <v>106</v>
      </c>
    </row>
    <row r="11" spans="1:16" x14ac:dyDescent="0.25">
      <c r="A11" s="6" t="s">
        <v>104</v>
      </c>
      <c r="B11" s="10" t="s">
        <v>107</v>
      </c>
    </row>
  </sheetData>
  <hyperlinks>
    <hyperlink ref="B11" r:id="rId1" display="https://www.bps.go.id/publication/2020/12/21/156002f4b8b460ef941fa985/statistik-listrik-2014-2019.html" xr:uid="{FE04FEEA-A1F1-48BF-A7B7-75644673E1D6}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BB0A-91F1-46A3-8624-6667BB5C11DB}">
  <sheetPr codeName="Sheet6"/>
  <dimension ref="A1:G144"/>
  <sheetViews>
    <sheetView zoomScaleNormal="100" workbookViewId="0">
      <pane xSplit="2" ySplit="1" topLeftCell="C2" activePane="bottomRight" state="frozen"/>
      <selection pane="topRight" activeCell="D1" sqref="D1"/>
      <selection pane="bottomLeft" activeCell="A3" sqref="A3"/>
      <selection pane="bottomRight" activeCell="F15" sqref="F15"/>
    </sheetView>
  </sheetViews>
  <sheetFormatPr defaultRowHeight="15" x14ac:dyDescent="0.25"/>
  <cols>
    <col min="1" max="1" width="19.140625" customWidth="1"/>
    <col min="2" max="2" width="9.5703125" style="12" bestFit="1" customWidth="1"/>
    <col min="3" max="3" width="17.7109375" style="11" customWidth="1"/>
    <col min="4" max="4" width="18.42578125" style="11" customWidth="1"/>
    <col min="5" max="5" width="16.85546875" style="11" customWidth="1"/>
    <col min="6" max="6" width="18.42578125" style="11" customWidth="1"/>
    <col min="7" max="7" width="10.5703125" bestFit="1" customWidth="1"/>
  </cols>
  <sheetData>
    <row r="1" spans="1:7" x14ac:dyDescent="0.25">
      <c r="A1" t="str">
        <f t="array" ref="A1:B1">TRANSPOSE(sets_indices!B22:B23)</f>
        <v>region</v>
      </c>
      <c r="B1" s="12" t="str">
        <v>year</v>
      </c>
      <c r="C1" s="11" t="str">
        <f>variables!B6</f>
        <v>dem_gwh_tot</v>
      </c>
      <c r="D1" s="11" t="s">
        <v>182</v>
      </c>
      <c r="E1" s="11" t="s">
        <v>144</v>
      </c>
      <c r="F1" s="11" t="s">
        <v>143</v>
      </c>
    </row>
    <row r="2" spans="1:7" x14ac:dyDescent="0.25">
      <c r="A2" t="s">
        <v>3</v>
      </c>
      <c r="B2" s="15">
        <v>2019</v>
      </c>
      <c r="C2" s="11">
        <v>289000</v>
      </c>
      <c r="D2" s="11">
        <v>316000</v>
      </c>
      <c r="E2" s="11">
        <v>41832</v>
      </c>
      <c r="G2" s="46"/>
    </row>
    <row r="3" spans="1:7" x14ac:dyDescent="0.25">
      <c r="A3" t="s">
        <v>3</v>
      </c>
      <c r="B3" s="15">
        <v>2020</v>
      </c>
      <c r="C3" s="11">
        <v>315000</v>
      </c>
      <c r="D3" s="11">
        <v>345000</v>
      </c>
      <c r="E3" s="11">
        <v>44624</v>
      </c>
      <c r="F3" s="39">
        <f>(E3-E2)/E2</f>
        <v>6.6743163128705291E-2</v>
      </c>
    </row>
    <row r="4" spans="1:7" x14ac:dyDescent="0.25">
      <c r="A4" t="s">
        <v>3</v>
      </c>
      <c r="B4" s="15">
        <v>2021</v>
      </c>
      <c r="C4" s="11">
        <v>355000</v>
      </c>
      <c r="D4" s="11">
        <v>388000</v>
      </c>
      <c r="E4" s="11">
        <v>47627</v>
      </c>
      <c r="F4" s="39">
        <f t="shared" ref="F4:F61" si="0">(E4-E3)/E3</f>
        <v>6.7295625672283976E-2</v>
      </c>
    </row>
    <row r="5" spans="1:7" x14ac:dyDescent="0.25">
      <c r="A5" t="s">
        <v>3</v>
      </c>
      <c r="B5" s="15">
        <v>2022</v>
      </c>
      <c r="C5" s="11">
        <v>375000</v>
      </c>
      <c r="D5" s="11">
        <v>410000</v>
      </c>
      <c r="E5" s="11">
        <v>51006</v>
      </c>
      <c r="F5" s="39">
        <f t="shared" si="0"/>
        <v>7.0947151825645122E-2</v>
      </c>
    </row>
    <row r="6" spans="1:7" x14ac:dyDescent="0.25">
      <c r="A6" t="s">
        <v>3</v>
      </c>
      <c r="B6" s="15">
        <v>2023</v>
      </c>
      <c r="C6" s="11">
        <v>399000</v>
      </c>
      <c r="D6" s="11">
        <v>434000</v>
      </c>
      <c r="E6" s="11">
        <v>54471</v>
      </c>
      <c r="F6" s="39">
        <f t="shared" si="0"/>
        <v>6.7933184331255142E-2</v>
      </c>
    </row>
    <row r="7" spans="1:7" x14ac:dyDescent="0.25">
      <c r="A7" t="s">
        <v>3</v>
      </c>
      <c r="B7" s="15">
        <v>2024</v>
      </c>
      <c r="C7" s="11">
        <v>429000</v>
      </c>
      <c r="D7" s="11">
        <v>467000</v>
      </c>
      <c r="E7" s="11">
        <v>57717</v>
      </c>
      <c r="F7" s="39">
        <f t="shared" si="0"/>
        <v>5.9591342182078538E-2</v>
      </c>
    </row>
    <row r="8" spans="1:7" x14ac:dyDescent="0.25">
      <c r="A8" t="s">
        <v>3</v>
      </c>
      <c r="B8" s="15">
        <v>2025</v>
      </c>
      <c r="C8" s="11">
        <v>460000</v>
      </c>
      <c r="D8" s="11">
        <v>500000</v>
      </c>
      <c r="E8" s="11">
        <v>61149</v>
      </c>
      <c r="F8" s="39">
        <f t="shared" si="0"/>
        <v>5.9462550028587767E-2</v>
      </c>
    </row>
    <row r="9" spans="1:7" x14ac:dyDescent="0.25">
      <c r="A9" t="s">
        <v>3</v>
      </c>
      <c r="B9" s="15">
        <v>2026</v>
      </c>
      <c r="C9" s="11">
        <v>499000</v>
      </c>
      <c r="D9" s="11">
        <v>541000</v>
      </c>
      <c r="E9" s="11">
        <v>64759</v>
      </c>
      <c r="F9" s="39">
        <f t="shared" si="0"/>
        <v>5.9036124875304581E-2</v>
      </c>
    </row>
    <row r="10" spans="1:7" x14ac:dyDescent="0.25">
      <c r="A10" t="s">
        <v>3</v>
      </c>
      <c r="B10" s="15">
        <v>2027</v>
      </c>
      <c r="C10" s="11">
        <v>543000</v>
      </c>
      <c r="D10" s="11">
        <v>589000</v>
      </c>
      <c r="E10" s="11">
        <v>69580</v>
      </c>
      <c r="F10" s="39">
        <f t="shared" si="0"/>
        <v>7.4445250853163267E-2</v>
      </c>
    </row>
    <row r="11" spans="1:7" x14ac:dyDescent="0.25">
      <c r="A11" t="s">
        <v>3</v>
      </c>
      <c r="B11" s="15">
        <v>2028</v>
      </c>
      <c r="C11" s="11">
        <v>573000</v>
      </c>
      <c r="D11" s="11">
        <v>620000</v>
      </c>
      <c r="E11" s="11">
        <v>73628</v>
      </c>
      <c r="F11" s="39">
        <f t="shared" si="0"/>
        <v>5.8177637252083934E-2</v>
      </c>
    </row>
    <row r="12" spans="1:7" x14ac:dyDescent="0.25">
      <c r="A12" t="s">
        <v>3</v>
      </c>
      <c r="B12" s="15">
        <v>2029</v>
      </c>
      <c r="C12" s="11">
        <v>606000</v>
      </c>
      <c r="D12" s="11">
        <v>653000</v>
      </c>
      <c r="E12" s="11">
        <f>E11*(1+AVERAGE($F$3:$F$11))</f>
        <v>78402.6287906465</v>
      </c>
      <c r="F12" s="39">
        <f t="shared" si="0"/>
        <v>6.484800334990086E-2</v>
      </c>
    </row>
    <row r="13" spans="1:7" x14ac:dyDescent="0.25">
      <c r="A13" t="s">
        <v>3</v>
      </c>
      <c r="B13" s="15">
        <v>2030</v>
      </c>
      <c r="C13" s="11">
        <v>639000</v>
      </c>
      <c r="D13" s="11">
        <v>688000</v>
      </c>
      <c r="E13" s="11">
        <f t="shared" ref="E13:E21" si="1">E12*(1+AVERAGE($F$3:$F$11))</f>
        <v>83486.88272510338</v>
      </c>
      <c r="F13" s="39">
        <f t="shared" si="0"/>
        <v>6.4848003349900887E-2</v>
      </c>
    </row>
    <row r="14" spans="1:7" x14ac:dyDescent="0.25">
      <c r="A14" t="s">
        <v>3</v>
      </c>
      <c r="B14" s="15">
        <v>2031</v>
      </c>
      <c r="C14" s="11">
        <v>678000</v>
      </c>
      <c r="D14" s="11">
        <v>728000</v>
      </c>
      <c r="E14" s="11">
        <f t="shared" si="1"/>
        <v>88900.840375733664</v>
      </c>
      <c r="F14" s="39">
        <f t="shared" si="0"/>
        <v>6.484800334990086E-2</v>
      </c>
    </row>
    <row r="15" spans="1:7" x14ac:dyDescent="0.25">
      <c r="A15" t="s">
        <v>3</v>
      </c>
      <c r="B15" s="15">
        <v>2032</v>
      </c>
      <c r="C15" s="11">
        <v>719000</v>
      </c>
      <c r="D15" s="11">
        <v>771000</v>
      </c>
      <c r="E15" s="11">
        <f t="shared" si="1"/>
        <v>94665.882370228239</v>
      </c>
      <c r="F15" s="39">
        <f t="shared" si="0"/>
        <v>6.4848003349900832E-2</v>
      </c>
    </row>
    <row r="16" spans="1:7" x14ac:dyDescent="0.25">
      <c r="A16" t="s">
        <v>3</v>
      </c>
      <c r="B16" s="15">
        <v>2033</v>
      </c>
      <c r="C16" s="11">
        <v>760000</v>
      </c>
      <c r="D16" s="11">
        <v>813000</v>
      </c>
      <c r="E16" s="11">
        <f t="shared" si="1"/>
        <v>100804.77582729411</v>
      </c>
      <c r="F16" s="39">
        <f t="shared" si="0"/>
        <v>6.484800334990079E-2</v>
      </c>
    </row>
    <row r="17" spans="1:6" x14ac:dyDescent="0.25">
      <c r="A17" t="s">
        <v>3</v>
      </c>
      <c r="B17" s="15">
        <v>2034</v>
      </c>
      <c r="C17" s="11">
        <v>807000</v>
      </c>
      <c r="D17" s="11">
        <v>862000</v>
      </c>
      <c r="E17" s="11">
        <f t="shared" si="1"/>
        <v>107341.76426782849</v>
      </c>
      <c r="F17" s="39">
        <f t="shared" si="0"/>
        <v>6.4848003349900887E-2</v>
      </c>
    </row>
    <row r="18" spans="1:6" x14ac:dyDescent="0.25">
      <c r="A18" t="s">
        <v>3</v>
      </c>
      <c r="B18" s="15">
        <v>2035</v>
      </c>
      <c r="C18" s="11">
        <v>855000</v>
      </c>
      <c r="D18" s="11">
        <v>911000</v>
      </c>
      <c r="E18" s="11">
        <f t="shared" si="1"/>
        <v>114302.66335665289</v>
      </c>
      <c r="F18" s="39">
        <f t="shared" si="0"/>
        <v>6.4848003349900776E-2</v>
      </c>
    </row>
    <row r="19" spans="1:6" x14ac:dyDescent="0.25">
      <c r="A19" t="s">
        <v>3</v>
      </c>
      <c r="B19" s="15">
        <v>2036</v>
      </c>
      <c r="C19" s="11">
        <v>908000</v>
      </c>
      <c r="D19" s="11">
        <v>966000</v>
      </c>
      <c r="E19" s="11">
        <f t="shared" si="1"/>
        <v>121714.9628529077</v>
      </c>
      <c r="F19" s="39">
        <f t="shared" si="0"/>
        <v>6.4848003349900804E-2</v>
      </c>
    </row>
    <row r="20" spans="1:6" x14ac:dyDescent="0.25">
      <c r="A20" t="s">
        <v>3</v>
      </c>
      <c r="B20" s="15">
        <v>2037</v>
      </c>
      <c r="C20" s="11">
        <v>963000</v>
      </c>
      <c r="D20" s="11">
        <v>1023000</v>
      </c>
      <c r="E20" s="11">
        <f t="shared" si="1"/>
        <v>129607.93517172612</v>
      </c>
      <c r="F20" s="39">
        <f t="shared" si="0"/>
        <v>6.4848003349900832E-2</v>
      </c>
    </row>
    <row r="21" spans="1:6" x14ac:dyDescent="0.25">
      <c r="A21" t="s">
        <v>3</v>
      </c>
      <c r="B21" s="15">
        <v>2038</v>
      </c>
      <c r="C21" s="11">
        <v>1026000</v>
      </c>
      <c r="D21" s="11">
        <v>1089000</v>
      </c>
      <c r="E21" s="11">
        <f t="shared" si="1"/>
        <v>138012.75098591595</v>
      </c>
      <c r="F21" s="39">
        <f t="shared" si="0"/>
        <v>6.4848003349900873E-2</v>
      </c>
    </row>
    <row r="22" spans="1:6" x14ac:dyDescent="0.25">
      <c r="A22" t="s">
        <v>4</v>
      </c>
      <c r="B22" s="15">
        <v>2019</v>
      </c>
      <c r="C22" s="11">
        <v>51583</v>
      </c>
      <c r="D22" s="11">
        <v>59549</v>
      </c>
      <c r="E22" s="11">
        <v>7006</v>
      </c>
    </row>
    <row r="23" spans="1:6" x14ac:dyDescent="0.25">
      <c r="A23" t="s">
        <v>4</v>
      </c>
      <c r="B23" s="15">
        <v>2020</v>
      </c>
      <c r="C23" s="11">
        <v>57071</v>
      </c>
      <c r="D23" s="11">
        <v>65908</v>
      </c>
      <c r="E23" s="11">
        <v>7563</v>
      </c>
      <c r="F23" s="39">
        <f t="shared" si="0"/>
        <v>7.9503282900371106E-2</v>
      </c>
    </row>
    <row r="24" spans="1:6" x14ac:dyDescent="0.25">
      <c r="A24" t="s">
        <v>4</v>
      </c>
      <c r="B24" s="15">
        <v>2021</v>
      </c>
      <c r="C24" s="11">
        <v>62727</v>
      </c>
      <c r="D24" s="11">
        <v>71772</v>
      </c>
      <c r="E24" s="11">
        <v>8196</v>
      </c>
      <c r="F24" s="39">
        <f t="shared" si="0"/>
        <v>8.3696945656485527E-2</v>
      </c>
    </row>
    <row r="25" spans="1:6" x14ac:dyDescent="0.25">
      <c r="A25" t="s">
        <v>4</v>
      </c>
      <c r="B25" s="15">
        <v>2022</v>
      </c>
      <c r="C25" s="11">
        <v>68154</v>
      </c>
      <c r="D25" s="11">
        <v>77828</v>
      </c>
      <c r="E25" s="11">
        <v>9078</v>
      </c>
      <c r="F25" s="39">
        <f t="shared" si="0"/>
        <v>0.10761346998535871</v>
      </c>
    </row>
    <row r="26" spans="1:6" x14ac:dyDescent="0.25">
      <c r="A26" t="s">
        <v>4</v>
      </c>
      <c r="B26" s="15">
        <v>2023</v>
      </c>
      <c r="C26" s="11">
        <v>74249</v>
      </c>
      <c r="D26" s="11">
        <v>84581</v>
      </c>
      <c r="E26" s="11">
        <v>9947</v>
      </c>
      <c r="F26" s="39">
        <f t="shared" si="0"/>
        <v>9.5725930821766905E-2</v>
      </c>
    </row>
    <row r="27" spans="1:6" x14ac:dyDescent="0.25">
      <c r="A27" t="s">
        <v>4</v>
      </c>
      <c r="B27" s="15">
        <v>2024</v>
      </c>
      <c r="C27" s="11">
        <v>82533</v>
      </c>
      <c r="D27" s="11">
        <v>93559</v>
      </c>
      <c r="E27" s="11">
        <v>10587</v>
      </c>
      <c r="F27" s="39">
        <f t="shared" si="0"/>
        <v>6.4341007338896153E-2</v>
      </c>
    </row>
    <row r="28" spans="1:6" x14ac:dyDescent="0.25">
      <c r="A28" t="s">
        <v>4</v>
      </c>
      <c r="B28" s="15">
        <v>2025</v>
      </c>
      <c r="C28" s="11">
        <v>90974</v>
      </c>
      <c r="D28" s="11">
        <v>102816</v>
      </c>
      <c r="E28" s="11">
        <v>11278</v>
      </c>
      <c r="F28" s="39">
        <f t="shared" si="0"/>
        <v>6.5268725795787283E-2</v>
      </c>
    </row>
    <row r="29" spans="1:6" x14ac:dyDescent="0.25">
      <c r="A29" t="s">
        <v>4</v>
      </c>
      <c r="B29" s="15">
        <v>2026</v>
      </c>
      <c r="C29" s="11">
        <v>101129</v>
      </c>
      <c r="D29" s="11">
        <v>128296</v>
      </c>
      <c r="E29" s="11">
        <v>11988</v>
      </c>
      <c r="F29" s="39">
        <f t="shared" si="0"/>
        <v>6.2954424543358756E-2</v>
      </c>
    </row>
    <row r="30" spans="1:6" x14ac:dyDescent="0.25">
      <c r="A30" t="s">
        <v>4</v>
      </c>
      <c r="B30" s="15">
        <v>2027</v>
      </c>
      <c r="C30" s="11">
        <v>113114</v>
      </c>
      <c r="D30" s="11">
        <v>139472</v>
      </c>
      <c r="E30" s="11">
        <v>13836</v>
      </c>
      <c r="F30" s="39">
        <f t="shared" si="0"/>
        <v>0.15415415415415415</v>
      </c>
    </row>
    <row r="31" spans="1:6" x14ac:dyDescent="0.25">
      <c r="A31" t="s">
        <v>4</v>
      </c>
      <c r="B31" s="15">
        <v>2028</v>
      </c>
      <c r="C31" s="11">
        <v>120347</v>
      </c>
      <c r="D31" s="11">
        <v>151305</v>
      </c>
      <c r="E31" s="11">
        <v>14711</v>
      </c>
      <c r="F31" s="39">
        <f t="shared" si="0"/>
        <v>6.3240821046545243E-2</v>
      </c>
    </row>
    <row r="32" spans="1:6" x14ac:dyDescent="0.25">
      <c r="A32" t="s">
        <v>4</v>
      </c>
      <c r="B32" s="15">
        <v>2029</v>
      </c>
      <c r="C32" s="11">
        <v>128006</v>
      </c>
      <c r="D32" s="11">
        <v>164294</v>
      </c>
      <c r="E32" s="11">
        <f>E31*(1+AVERAGE($F$23:$F$31))</f>
        <v>15980.230365705858</v>
      </c>
      <c r="F32" s="39">
        <f t="shared" si="0"/>
        <v>8.6277640249191642E-2</v>
      </c>
    </row>
    <row r="33" spans="1:6" x14ac:dyDescent="0.25">
      <c r="A33" t="s">
        <v>4</v>
      </c>
      <c r="B33" s="15">
        <v>2030</v>
      </c>
      <c r="C33" s="11">
        <v>135872</v>
      </c>
      <c r="D33" s="11">
        <v>172978</v>
      </c>
      <c r="E33" s="11">
        <f t="shared" ref="E33:E41" si="2">E32*(1+AVERAGE($F$23:$F$31))</f>
        <v>17358.966932297437</v>
      </c>
      <c r="F33" s="39">
        <f t="shared" si="0"/>
        <v>8.627764024919167E-2</v>
      </c>
    </row>
    <row r="34" spans="1:6" x14ac:dyDescent="0.25">
      <c r="A34" t="s">
        <v>4</v>
      </c>
      <c r="B34" s="15">
        <v>2031</v>
      </c>
      <c r="C34" s="11">
        <v>145019</v>
      </c>
      <c r="D34" s="11">
        <v>183458</v>
      </c>
      <c r="E34" s="11">
        <f t="shared" si="2"/>
        <v>18856.657636379809</v>
      </c>
      <c r="F34" s="39">
        <f t="shared" si="0"/>
        <v>8.6277640249191614E-2</v>
      </c>
    </row>
    <row r="35" spans="1:6" x14ac:dyDescent="0.25">
      <c r="A35" t="s">
        <v>4</v>
      </c>
      <c r="B35" s="15">
        <v>2032</v>
      </c>
      <c r="C35" s="11">
        <v>154809</v>
      </c>
      <c r="D35" s="11">
        <v>193824</v>
      </c>
      <c r="E35" s="11">
        <f t="shared" si="2"/>
        <v>20483.565560233557</v>
      </c>
      <c r="F35" s="39">
        <f t="shared" si="0"/>
        <v>8.6277640249191601E-2</v>
      </c>
    </row>
    <row r="36" spans="1:6" x14ac:dyDescent="0.25">
      <c r="A36" t="s">
        <v>4</v>
      </c>
      <c r="B36" s="15">
        <v>2033</v>
      </c>
      <c r="C36" s="11">
        <v>164318</v>
      </c>
      <c r="D36" s="11">
        <v>203086</v>
      </c>
      <c r="E36" s="11">
        <f t="shared" si="2"/>
        <v>22250.839260660119</v>
      </c>
      <c r="F36" s="39">
        <f t="shared" si="0"/>
        <v>8.6277640249191614E-2</v>
      </c>
    </row>
    <row r="37" spans="1:6" x14ac:dyDescent="0.25">
      <c r="A37" t="s">
        <v>4</v>
      </c>
      <c r="B37" s="15">
        <v>2034</v>
      </c>
      <c r="C37" s="11">
        <v>175443</v>
      </c>
      <c r="D37" s="11">
        <v>216115</v>
      </c>
      <c r="E37" s="11">
        <f t="shared" si="2"/>
        <v>24170.589165633941</v>
      </c>
      <c r="F37" s="39">
        <f t="shared" si="0"/>
        <v>8.6277640249191573E-2</v>
      </c>
    </row>
    <row r="38" spans="1:6" x14ac:dyDescent="0.25">
      <c r="A38" t="s">
        <v>4</v>
      </c>
      <c r="B38" s="15">
        <v>2035</v>
      </c>
      <c r="C38" s="11">
        <v>186529</v>
      </c>
      <c r="D38" s="11">
        <v>228779</v>
      </c>
      <c r="E38" s="11">
        <f t="shared" si="2"/>
        <v>26255.970562277515</v>
      </c>
      <c r="F38" s="39">
        <f t="shared" si="0"/>
        <v>8.6277640249191614E-2</v>
      </c>
    </row>
    <row r="39" spans="1:6" x14ac:dyDescent="0.25">
      <c r="A39" t="s">
        <v>4</v>
      </c>
      <c r="B39" s="15">
        <v>2036</v>
      </c>
      <c r="C39" s="11">
        <v>199012</v>
      </c>
      <c r="D39" s="11">
        <v>250009</v>
      </c>
      <c r="E39" s="11">
        <f t="shared" si="2"/>
        <v>28521.27374484306</v>
      </c>
      <c r="F39" s="39">
        <f t="shared" si="0"/>
        <v>8.6277640249191642E-2</v>
      </c>
    </row>
    <row r="40" spans="1:6" x14ac:dyDescent="0.25">
      <c r="A40" t="s">
        <v>4</v>
      </c>
      <c r="B40" s="15">
        <v>2037</v>
      </c>
      <c r="C40" s="11">
        <v>211866</v>
      </c>
      <c r="D40" s="11">
        <v>280090</v>
      </c>
      <c r="E40" s="11">
        <f t="shared" si="2"/>
        <v>30982.021940449344</v>
      </c>
      <c r="F40" s="39">
        <f t="shared" si="0"/>
        <v>8.6277640249191628E-2</v>
      </c>
    </row>
    <row r="41" spans="1:6" x14ac:dyDescent="0.25">
      <c r="A41" t="s">
        <v>4</v>
      </c>
      <c r="B41" s="15">
        <v>2038</v>
      </c>
      <c r="C41" s="11">
        <v>226751</v>
      </c>
      <c r="D41" s="11">
        <v>305476</v>
      </c>
      <c r="E41" s="11">
        <f t="shared" si="2"/>
        <v>33655.077683619995</v>
      </c>
      <c r="F41" s="39">
        <f t="shared" si="0"/>
        <v>8.6277640249191656E-2</v>
      </c>
    </row>
    <row r="42" spans="1:6" x14ac:dyDescent="0.25">
      <c r="A42" t="s">
        <v>110</v>
      </c>
      <c r="B42" s="15">
        <v>2019</v>
      </c>
      <c r="C42" s="11">
        <v>187575</v>
      </c>
      <c r="D42" s="11">
        <v>202127</v>
      </c>
      <c r="E42" s="11">
        <v>30067</v>
      </c>
    </row>
    <row r="43" spans="1:6" x14ac:dyDescent="0.25">
      <c r="A43" t="s">
        <v>110</v>
      </c>
      <c r="B43" s="15">
        <v>2020</v>
      </c>
      <c r="C43" s="11">
        <v>203080</v>
      </c>
      <c r="D43" s="11">
        <v>218489</v>
      </c>
      <c r="E43" s="11">
        <v>31834</v>
      </c>
      <c r="F43" s="39">
        <f t="shared" si="0"/>
        <v>5.8768749792130905E-2</v>
      </c>
    </row>
    <row r="44" spans="1:6" x14ac:dyDescent="0.25">
      <c r="A44" t="s">
        <v>110</v>
      </c>
      <c r="B44" s="15">
        <v>2021</v>
      </c>
      <c r="C44" s="11">
        <v>217964</v>
      </c>
      <c r="D44" s="11">
        <v>234371</v>
      </c>
      <c r="E44" s="11">
        <v>33694</v>
      </c>
      <c r="F44" s="39">
        <f t="shared" si="0"/>
        <v>5.8428095746685935E-2</v>
      </c>
    </row>
    <row r="45" spans="1:6" x14ac:dyDescent="0.25">
      <c r="A45" t="s">
        <v>110</v>
      </c>
      <c r="B45" s="15">
        <v>2022</v>
      </c>
      <c r="C45" s="11">
        <v>229142</v>
      </c>
      <c r="D45" s="11">
        <v>246346</v>
      </c>
      <c r="E45" s="11">
        <v>35704</v>
      </c>
      <c r="F45" s="39">
        <f t="shared" si="0"/>
        <v>5.9654537899922838E-2</v>
      </c>
    </row>
    <row r="46" spans="1:6" x14ac:dyDescent="0.25">
      <c r="A46" t="s">
        <v>110</v>
      </c>
      <c r="B46" s="15">
        <v>2023</v>
      </c>
      <c r="C46" s="11">
        <v>240179</v>
      </c>
      <c r="D46" s="11">
        <v>257911</v>
      </c>
      <c r="E46" s="11">
        <v>37716</v>
      </c>
      <c r="F46" s="39">
        <f t="shared" si="0"/>
        <v>5.6352229442079321E-2</v>
      </c>
    </row>
    <row r="47" spans="1:6" x14ac:dyDescent="0.25">
      <c r="A47" t="s">
        <v>110</v>
      </c>
      <c r="B47" s="15">
        <v>2024</v>
      </c>
      <c r="C47" s="11">
        <v>252553</v>
      </c>
      <c r="D47" s="11">
        <v>270906</v>
      </c>
      <c r="E47" s="11">
        <v>39814</v>
      </c>
      <c r="F47" s="39">
        <f t="shared" si="0"/>
        <v>5.5626259412450946E-2</v>
      </c>
    </row>
    <row r="48" spans="1:6" x14ac:dyDescent="0.25">
      <c r="A48" t="s">
        <v>110</v>
      </c>
      <c r="B48" s="15">
        <v>2025</v>
      </c>
      <c r="C48" s="11">
        <v>264290</v>
      </c>
      <c r="D48" s="11">
        <v>283248</v>
      </c>
      <c r="E48" s="11">
        <v>42022</v>
      </c>
      <c r="F48" s="39">
        <f t="shared" si="0"/>
        <v>5.5457879137991661E-2</v>
      </c>
    </row>
    <row r="49" spans="1:6" x14ac:dyDescent="0.25">
      <c r="A49" t="s">
        <v>110</v>
      </c>
      <c r="B49" s="15">
        <v>2026</v>
      </c>
      <c r="C49" s="11">
        <v>281902</v>
      </c>
      <c r="D49" s="11">
        <v>287643</v>
      </c>
      <c r="E49" s="11">
        <v>44398</v>
      </c>
      <c r="F49" s="39">
        <f t="shared" si="0"/>
        <v>5.6541811432106993E-2</v>
      </c>
    </row>
    <row r="50" spans="1:6" x14ac:dyDescent="0.25">
      <c r="A50" t="s">
        <v>110</v>
      </c>
      <c r="B50" s="15">
        <v>2027</v>
      </c>
      <c r="C50" s="11">
        <v>300547</v>
      </c>
      <c r="D50" s="11">
        <v>309568</v>
      </c>
      <c r="E50" s="11">
        <v>46813</v>
      </c>
      <c r="F50" s="39">
        <f t="shared" si="0"/>
        <v>5.4394342087481416E-2</v>
      </c>
    </row>
    <row r="51" spans="1:6" x14ac:dyDescent="0.25">
      <c r="A51" t="s">
        <v>110</v>
      </c>
      <c r="B51" s="15">
        <v>2028</v>
      </c>
      <c r="C51" s="11">
        <v>319265</v>
      </c>
      <c r="D51" s="11">
        <v>325403</v>
      </c>
      <c r="E51" s="11">
        <v>49372</v>
      </c>
      <c r="F51" s="39">
        <f t="shared" si="0"/>
        <v>5.4664302650973023E-2</v>
      </c>
    </row>
    <row r="52" spans="1:6" x14ac:dyDescent="0.25">
      <c r="A52" t="s">
        <v>110</v>
      </c>
      <c r="B52" s="15">
        <v>2029</v>
      </c>
      <c r="C52" s="11">
        <v>339231</v>
      </c>
      <c r="D52" s="11">
        <v>341319</v>
      </c>
      <c r="E52" s="11">
        <f>E51*(1+AVERAGE($F$43:$F$51))</f>
        <v>52169.133398413025</v>
      </c>
      <c r="F52" s="39">
        <f t="shared" si="0"/>
        <v>5.6654245289091493E-2</v>
      </c>
    </row>
    <row r="53" spans="1:6" x14ac:dyDescent="0.25">
      <c r="A53" t="s">
        <v>110</v>
      </c>
      <c r="B53" s="15">
        <v>2030</v>
      </c>
      <c r="C53" s="11">
        <v>359968</v>
      </c>
      <c r="D53" s="11">
        <v>360133</v>
      </c>
      <c r="E53" s="11">
        <f t="shared" ref="E53:E61" si="3">E52*(1+AVERAGE($F$43:$F$51))</f>
        <v>55124.736278486052</v>
      </c>
      <c r="F53" s="39">
        <f t="shared" si="0"/>
        <v>5.6654245289091507E-2</v>
      </c>
    </row>
    <row r="54" spans="1:6" x14ac:dyDescent="0.25">
      <c r="A54" t="s">
        <v>110</v>
      </c>
      <c r="B54" s="15">
        <v>2031</v>
      </c>
      <c r="C54" s="11">
        <v>384123</v>
      </c>
      <c r="D54" s="11">
        <v>384883</v>
      </c>
      <c r="E54" s="11">
        <f t="shared" si="3"/>
        <v>58247.786609103881</v>
      </c>
      <c r="F54" s="39">
        <f t="shared" si="0"/>
        <v>5.6654245289091486E-2</v>
      </c>
    </row>
    <row r="55" spans="1:6" x14ac:dyDescent="0.25">
      <c r="A55" t="s">
        <v>110</v>
      </c>
      <c r="B55" s="15">
        <v>2032</v>
      </c>
      <c r="C55" s="11">
        <v>409968</v>
      </c>
      <c r="D55" s="11">
        <v>412240</v>
      </c>
      <c r="E55" s="11">
        <f t="shared" si="3"/>
        <v>61547.770999202708</v>
      </c>
      <c r="F55" s="39">
        <f t="shared" si="0"/>
        <v>5.6654245289091444E-2</v>
      </c>
    </row>
    <row r="56" spans="1:6" x14ac:dyDescent="0.25">
      <c r="A56" t="s">
        <v>110</v>
      </c>
      <c r="B56" s="15">
        <v>2033</v>
      </c>
      <c r="C56" s="11">
        <v>435072</v>
      </c>
      <c r="D56" s="11">
        <v>439426</v>
      </c>
      <c r="E56" s="11">
        <f t="shared" si="3"/>
        <v>65034.713514388372</v>
      </c>
      <c r="F56" s="39">
        <f t="shared" si="0"/>
        <v>5.6654245289091507E-2</v>
      </c>
    </row>
    <row r="57" spans="1:6" x14ac:dyDescent="0.25">
      <c r="A57" t="s">
        <v>110</v>
      </c>
      <c r="B57" s="15">
        <v>2034</v>
      </c>
      <c r="C57" s="11">
        <v>464393</v>
      </c>
      <c r="D57" s="11">
        <v>468696</v>
      </c>
      <c r="E57" s="11">
        <f t="shared" si="3"/>
        <v>68719.206126138321</v>
      </c>
      <c r="F57" s="39">
        <f t="shared" si="0"/>
        <v>5.6654245289091444E-2</v>
      </c>
    </row>
    <row r="58" spans="1:6" x14ac:dyDescent="0.25">
      <c r="A58" t="s">
        <v>110</v>
      </c>
      <c r="B58" s="15">
        <v>2035</v>
      </c>
      <c r="C58" s="11">
        <v>493655</v>
      </c>
      <c r="D58" s="11">
        <v>498643</v>
      </c>
      <c r="E58" s="11">
        <f t="shared" si="3"/>
        <v>72612.440886080192</v>
      </c>
      <c r="F58" s="39">
        <f t="shared" si="0"/>
        <v>5.6654245289091382E-2</v>
      </c>
    </row>
    <row r="59" spans="1:6" x14ac:dyDescent="0.25">
      <c r="A59" t="s">
        <v>110</v>
      </c>
      <c r="B59" s="15">
        <v>2036</v>
      </c>
      <c r="C59" s="11">
        <v>526341</v>
      </c>
      <c r="D59" s="11">
        <v>522192</v>
      </c>
      <c r="E59" s="11">
        <f t="shared" si="3"/>
        <v>76726.243923079834</v>
      </c>
      <c r="F59" s="39">
        <f t="shared" si="0"/>
        <v>5.6654245289091465E-2</v>
      </c>
    </row>
    <row r="60" spans="1:6" x14ac:dyDescent="0.25">
      <c r="A60" t="s">
        <v>110</v>
      </c>
      <c r="B60" s="15">
        <v>2037</v>
      </c>
      <c r="C60" s="11">
        <v>560085</v>
      </c>
      <c r="D60" s="11">
        <v>538846</v>
      </c>
      <c r="E60" s="11">
        <f t="shared" si="3"/>
        <v>81073.111366408659</v>
      </c>
      <c r="F60" s="39">
        <f t="shared" si="0"/>
        <v>5.6654245289091423E-2</v>
      </c>
    </row>
    <row r="61" spans="1:6" x14ac:dyDescent="0.25">
      <c r="A61" t="s">
        <v>110</v>
      </c>
      <c r="B61" s="15">
        <v>2038</v>
      </c>
      <c r="C61" s="11">
        <v>598885</v>
      </c>
      <c r="D61" s="11">
        <v>569240</v>
      </c>
      <c r="E61" s="11">
        <f t="shared" si="3"/>
        <v>85666.247304111006</v>
      </c>
      <c r="F61" s="39">
        <f t="shared" si="0"/>
        <v>5.6654245289091486E-2</v>
      </c>
    </row>
    <row r="62" spans="1:6" x14ac:dyDescent="0.25">
      <c r="A62" t="s">
        <v>111</v>
      </c>
      <c r="B62" s="15">
        <v>2019</v>
      </c>
      <c r="C62" s="11">
        <v>8627</v>
      </c>
      <c r="D62" s="11">
        <v>7544</v>
      </c>
      <c r="E62" s="11">
        <v>932</v>
      </c>
    </row>
    <row r="63" spans="1:6" x14ac:dyDescent="0.25">
      <c r="A63" t="s">
        <v>111</v>
      </c>
      <c r="B63" s="15">
        <v>2020</v>
      </c>
      <c r="C63" s="11">
        <v>9253</v>
      </c>
      <c r="D63" s="11">
        <v>7919</v>
      </c>
      <c r="E63" s="11">
        <v>982</v>
      </c>
      <c r="F63" s="39">
        <f>(E63-E62)/E62</f>
        <v>5.3648068669527899E-2</v>
      </c>
    </row>
    <row r="64" spans="1:6" x14ac:dyDescent="0.25">
      <c r="A64" t="s">
        <v>111</v>
      </c>
      <c r="B64" s="15">
        <v>2021</v>
      </c>
      <c r="C64" s="11">
        <v>11683</v>
      </c>
      <c r="D64" s="11">
        <v>10148</v>
      </c>
      <c r="E64" s="11">
        <v>1049</v>
      </c>
      <c r="F64" s="39">
        <f t="shared" ref="F64:F127" si="4">(E64-E63)/E63</f>
        <v>6.8228105906313646E-2</v>
      </c>
    </row>
    <row r="65" spans="1:6" x14ac:dyDescent="0.25">
      <c r="A65" t="s">
        <v>111</v>
      </c>
      <c r="B65" s="15">
        <v>2022</v>
      </c>
      <c r="C65" s="11">
        <v>12115</v>
      </c>
      <c r="D65" s="11">
        <v>10291</v>
      </c>
      <c r="E65" s="11">
        <v>1120</v>
      </c>
      <c r="F65" s="39">
        <f t="shared" si="4"/>
        <v>6.7683508102955189E-2</v>
      </c>
    </row>
    <row r="66" spans="1:6" x14ac:dyDescent="0.25">
      <c r="A66" t="s">
        <v>111</v>
      </c>
      <c r="B66" s="15">
        <v>2023</v>
      </c>
      <c r="C66" s="11">
        <v>12451</v>
      </c>
      <c r="D66" s="11">
        <v>10370</v>
      </c>
      <c r="E66" s="11">
        <v>1194</v>
      </c>
      <c r="F66" s="39">
        <f t="shared" si="4"/>
        <v>6.6071428571428573E-2</v>
      </c>
    </row>
    <row r="67" spans="1:6" x14ac:dyDescent="0.25">
      <c r="A67" t="s">
        <v>111</v>
      </c>
      <c r="B67" s="15">
        <v>2024</v>
      </c>
      <c r="C67" s="11">
        <v>12894</v>
      </c>
      <c r="D67" s="11">
        <v>10595</v>
      </c>
      <c r="E67" s="11">
        <v>1269</v>
      </c>
      <c r="F67" s="39">
        <f t="shared" si="4"/>
        <v>6.2814070351758788E-2</v>
      </c>
    </row>
    <row r="68" spans="1:6" x14ac:dyDescent="0.25">
      <c r="A68" t="s">
        <v>111</v>
      </c>
      <c r="B68" s="15">
        <v>2025</v>
      </c>
      <c r="C68" s="11">
        <v>13474</v>
      </c>
      <c r="D68" s="11">
        <v>10803</v>
      </c>
      <c r="E68" s="11">
        <v>1346</v>
      </c>
      <c r="F68" s="39">
        <f t="shared" si="4"/>
        <v>6.0677698975571313E-2</v>
      </c>
    </row>
    <row r="69" spans="1:6" x14ac:dyDescent="0.25">
      <c r="A69" t="s">
        <v>111</v>
      </c>
      <c r="B69" s="15">
        <v>2026</v>
      </c>
      <c r="C69" s="11">
        <v>14161</v>
      </c>
      <c r="D69" s="11">
        <v>10911</v>
      </c>
      <c r="E69" s="11">
        <v>1435</v>
      </c>
      <c r="F69" s="39">
        <f t="shared" si="4"/>
        <v>6.6121842496285291E-2</v>
      </c>
    </row>
    <row r="70" spans="1:6" x14ac:dyDescent="0.25">
      <c r="A70" t="s">
        <v>111</v>
      </c>
      <c r="B70" s="15">
        <v>2027</v>
      </c>
      <c r="C70" s="11">
        <v>14806</v>
      </c>
      <c r="D70" s="11">
        <v>11090</v>
      </c>
      <c r="E70" s="11">
        <v>1528</v>
      </c>
      <c r="F70" s="39">
        <f t="shared" si="4"/>
        <v>6.4808362369337985E-2</v>
      </c>
    </row>
    <row r="71" spans="1:6" x14ac:dyDescent="0.25">
      <c r="A71" t="s">
        <v>111</v>
      </c>
      <c r="B71" s="15">
        <v>2028</v>
      </c>
      <c r="C71" s="11">
        <v>15543</v>
      </c>
      <c r="D71" s="11">
        <v>11403</v>
      </c>
      <c r="E71" s="11">
        <v>1625</v>
      </c>
      <c r="F71" s="39">
        <f t="shared" si="4"/>
        <v>6.3481675392670162E-2</v>
      </c>
    </row>
    <row r="72" spans="1:6" x14ac:dyDescent="0.25">
      <c r="A72" t="s">
        <v>111</v>
      </c>
      <c r="B72" s="15">
        <v>2029</v>
      </c>
      <c r="C72" s="11">
        <v>16297</v>
      </c>
      <c r="D72" s="11">
        <v>11753</v>
      </c>
      <c r="E72" s="11">
        <f>E71*(1+AVERAGE($F$63:$F$71))</f>
        <v>1728.5548873731393</v>
      </c>
      <c r="F72" s="39">
        <f t="shared" si="4"/>
        <v>6.3726084537316499E-2</v>
      </c>
    </row>
    <row r="73" spans="1:6" x14ac:dyDescent="0.25">
      <c r="A73" t="s">
        <v>111</v>
      </c>
      <c r="B73" s="15">
        <v>2030</v>
      </c>
      <c r="C73" s="11">
        <v>17109</v>
      </c>
      <c r="D73" s="11">
        <v>14675</v>
      </c>
      <c r="E73" s="11">
        <f t="shared" ref="E73:E81" si="5">E72*(1+AVERAGE($F$63:$F$71))</f>
        <v>1838.7089222532716</v>
      </c>
      <c r="F73" s="39">
        <f t="shared" si="4"/>
        <v>6.3726084537316485E-2</v>
      </c>
    </row>
    <row r="74" spans="1:6" x14ac:dyDescent="0.25">
      <c r="A74" t="s">
        <v>111</v>
      </c>
      <c r="B74" s="15">
        <v>2031</v>
      </c>
      <c r="C74" s="11">
        <v>18105</v>
      </c>
      <c r="D74" s="11">
        <v>14966</v>
      </c>
      <c r="E74" s="11">
        <f t="shared" si="5"/>
        <v>1955.8826424723015</v>
      </c>
      <c r="F74" s="39">
        <f t="shared" si="4"/>
        <v>6.372608453731643E-2</v>
      </c>
    </row>
    <row r="75" spans="1:6" x14ac:dyDescent="0.25">
      <c r="A75" t="s">
        <v>111</v>
      </c>
      <c r="B75" s="15">
        <v>2032</v>
      </c>
      <c r="C75" s="11">
        <v>19166</v>
      </c>
      <c r="D75" s="11">
        <v>15267</v>
      </c>
      <c r="E75" s="11">
        <f t="shared" si="5"/>
        <v>2080.5233850915611</v>
      </c>
      <c r="F75" s="39">
        <f t="shared" si="4"/>
        <v>6.3726084537316319E-2</v>
      </c>
    </row>
    <row r="76" spans="1:6" x14ac:dyDescent="0.25">
      <c r="A76" t="s">
        <v>111</v>
      </c>
      <c r="B76" s="15">
        <v>2033</v>
      </c>
      <c r="C76" s="11">
        <v>20105</v>
      </c>
      <c r="D76" s="11">
        <v>15564</v>
      </c>
      <c r="E76" s="11">
        <f t="shared" si="5"/>
        <v>2213.1069942117697</v>
      </c>
      <c r="F76" s="39">
        <f t="shared" si="4"/>
        <v>6.3726084537316458E-2</v>
      </c>
    </row>
    <row r="77" spans="1:6" x14ac:dyDescent="0.25">
      <c r="A77" t="s">
        <v>111</v>
      </c>
      <c r="B77" s="15">
        <v>2034</v>
      </c>
      <c r="C77" s="11">
        <v>21293</v>
      </c>
      <c r="D77" s="11">
        <v>16407</v>
      </c>
      <c r="E77" s="11">
        <f t="shared" si="5"/>
        <v>2354.1396376150351</v>
      </c>
      <c r="F77" s="39">
        <f t="shared" si="4"/>
        <v>6.3726084537316388E-2</v>
      </c>
    </row>
    <row r="78" spans="1:6" x14ac:dyDescent="0.25">
      <c r="A78" t="s">
        <v>111</v>
      </c>
      <c r="B78" s="15">
        <v>2035</v>
      </c>
      <c r="C78" s="11">
        <v>22446</v>
      </c>
      <c r="D78" s="11">
        <v>16707</v>
      </c>
      <c r="E78" s="11">
        <f t="shared" si="5"/>
        <v>2504.1597391743385</v>
      </c>
      <c r="F78" s="39">
        <f t="shared" si="4"/>
        <v>6.3726084537316513E-2</v>
      </c>
    </row>
    <row r="79" spans="1:6" x14ac:dyDescent="0.25">
      <c r="A79" t="s">
        <v>111</v>
      </c>
      <c r="B79" s="15">
        <v>2036</v>
      </c>
      <c r="C79" s="11">
        <v>23676</v>
      </c>
      <c r="D79" s="11">
        <v>19879</v>
      </c>
      <c r="E79" s="11">
        <f t="shared" si="5"/>
        <v>2663.7400344079065</v>
      </c>
      <c r="F79" s="39">
        <f t="shared" si="4"/>
        <v>6.372608453731636E-2</v>
      </c>
    </row>
    <row r="80" spans="1:6" x14ac:dyDescent="0.25">
      <c r="A80" t="s">
        <v>111</v>
      </c>
      <c r="B80" s="15">
        <v>2037</v>
      </c>
      <c r="C80" s="11">
        <v>24979</v>
      </c>
      <c r="D80" s="11">
        <v>22692</v>
      </c>
      <c r="E80" s="11">
        <f t="shared" si="5"/>
        <v>2833.4897570260191</v>
      </c>
      <c r="F80" s="39">
        <f t="shared" si="4"/>
        <v>6.3726084537316513E-2</v>
      </c>
    </row>
    <row r="81" spans="1:6" x14ac:dyDescent="0.25">
      <c r="A81" t="s">
        <v>111</v>
      </c>
      <c r="B81" s="15">
        <v>2038</v>
      </c>
      <c r="C81" s="11">
        <v>26504</v>
      </c>
      <c r="D81" s="11">
        <v>24125</v>
      </c>
      <c r="E81" s="11">
        <f t="shared" si="5"/>
        <v>3014.0569648178794</v>
      </c>
      <c r="F81" s="39">
        <f t="shared" si="4"/>
        <v>6.3726084537316416E-2</v>
      </c>
    </row>
    <row r="82" spans="1:6" x14ac:dyDescent="0.25">
      <c r="A82" t="s">
        <v>5</v>
      </c>
      <c r="B82" s="15">
        <v>2019</v>
      </c>
      <c r="C82" s="11">
        <v>12494</v>
      </c>
      <c r="D82" s="11">
        <v>14441</v>
      </c>
      <c r="E82" s="11">
        <v>2003</v>
      </c>
      <c r="F82" s="39"/>
    </row>
    <row r="83" spans="1:6" x14ac:dyDescent="0.25">
      <c r="A83" t="s">
        <v>5</v>
      </c>
      <c r="B83" s="15">
        <v>2020</v>
      </c>
      <c r="C83" s="11">
        <v>13329</v>
      </c>
      <c r="D83" s="11">
        <v>15363</v>
      </c>
      <c r="E83" s="11">
        <v>2214</v>
      </c>
      <c r="F83" s="39">
        <f t="shared" si="4"/>
        <v>0.1053419870194708</v>
      </c>
    </row>
    <row r="84" spans="1:6" x14ac:dyDescent="0.25">
      <c r="A84" t="s">
        <v>5</v>
      </c>
      <c r="B84" s="15">
        <v>2021</v>
      </c>
      <c r="C84" s="11">
        <v>15921</v>
      </c>
      <c r="D84" s="11">
        <v>18197</v>
      </c>
      <c r="E84" s="11">
        <v>2416</v>
      </c>
      <c r="F84" s="39">
        <f t="shared" si="4"/>
        <v>9.1237579042457093E-2</v>
      </c>
    </row>
    <row r="85" spans="1:6" x14ac:dyDescent="0.25">
      <c r="A85" t="s">
        <v>5</v>
      </c>
      <c r="B85" s="15">
        <v>2022</v>
      </c>
      <c r="C85" s="11">
        <v>16705</v>
      </c>
      <c r="D85" s="11">
        <v>19061</v>
      </c>
      <c r="E85" s="11">
        <v>2611</v>
      </c>
      <c r="F85" s="39">
        <f t="shared" si="4"/>
        <v>8.071192052980132E-2</v>
      </c>
    </row>
    <row r="86" spans="1:6" x14ac:dyDescent="0.25">
      <c r="A86" t="s">
        <v>5</v>
      </c>
      <c r="B86" s="15">
        <v>2023</v>
      </c>
      <c r="C86" s="11">
        <v>19399</v>
      </c>
      <c r="D86" s="11">
        <v>22010</v>
      </c>
      <c r="E86" s="11">
        <v>2814</v>
      </c>
      <c r="F86" s="39">
        <f t="shared" si="4"/>
        <v>7.7747989276139406E-2</v>
      </c>
    </row>
    <row r="87" spans="1:6" x14ac:dyDescent="0.25">
      <c r="A87" t="s">
        <v>5</v>
      </c>
      <c r="B87" s="15">
        <v>2024</v>
      </c>
      <c r="C87" s="11">
        <v>24370</v>
      </c>
      <c r="D87" s="11">
        <v>27410</v>
      </c>
      <c r="E87" s="11">
        <v>3018</v>
      </c>
      <c r="F87" s="39">
        <f t="shared" si="4"/>
        <v>7.2494669509594878E-2</v>
      </c>
    </row>
    <row r="88" spans="1:6" x14ac:dyDescent="0.25">
      <c r="A88" t="s">
        <v>5</v>
      </c>
      <c r="B88" s="15">
        <v>2025</v>
      </c>
      <c r="C88" s="11">
        <v>29601</v>
      </c>
      <c r="D88" s="11">
        <v>33090</v>
      </c>
      <c r="E88" s="11">
        <v>3235</v>
      </c>
      <c r="F88" s="39">
        <f t="shared" si="4"/>
        <v>7.1901921802518226E-2</v>
      </c>
    </row>
    <row r="89" spans="1:6" x14ac:dyDescent="0.25">
      <c r="A89" t="s">
        <v>5</v>
      </c>
      <c r="B89" s="15">
        <v>2026</v>
      </c>
      <c r="C89" s="11">
        <v>35042</v>
      </c>
      <c r="D89" s="11">
        <v>38999</v>
      </c>
      <c r="E89" s="11">
        <v>3435</v>
      </c>
      <c r="F89" s="39">
        <f t="shared" si="4"/>
        <v>6.1823802163833076E-2</v>
      </c>
    </row>
    <row r="90" spans="1:6" x14ac:dyDescent="0.25">
      <c r="A90" t="s">
        <v>5</v>
      </c>
      <c r="B90" s="15">
        <v>2027</v>
      </c>
      <c r="C90" s="11">
        <v>42519</v>
      </c>
      <c r="D90" s="11">
        <v>47079</v>
      </c>
      <c r="E90" s="11">
        <v>3653</v>
      </c>
      <c r="F90" s="39">
        <f t="shared" si="4"/>
        <v>6.3464337700145562E-2</v>
      </c>
    </row>
    <row r="91" spans="1:6" x14ac:dyDescent="0.25">
      <c r="A91" t="s">
        <v>5</v>
      </c>
      <c r="B91" s="15">
        <v>2028</v>
      </c>
      <c r="C91" s="11">
        <v>43968</v>
      </c>
      <c r="D91" s="11">
        <v>48622</v>
      </c>
      <c r="E91" s="11">
        <v>3881</v>
      </c>
      <c r="F91" s="39">
        <f t="shared" si="4"/>
        <v>6.2414453873528605E-2</v>
      </c>
    </row>
    <row r="92" spans="1:6" x14ac:dyDescent="0.25">
      <c r="A92" t="s">
        <v>5</v>
      </c>
      <c r="B92" s="15">
        <v>2029</v>
      </c>
      <c r="C92" s="11">
        <v>45507</v>
      </c>
      <c r="D92" s="11">
        <v>46241</v>
      </c>
      <c r="E92" s="11">
        <f>E91*(1+AVERAGE($F$83:$F$91))</f>
        <v>4177.3094603356412</v>
      </c>
      <c r="F92" s="39">
        <f t="shared" si="4"/>
        <v>7.6348740101943119E-2</v>
      </c>
    </row>
    <row r="93" spans="1:6" x14ac:dyDescent="0.25">
      <c r="A93" t="s">
        <v>5</v>
      </c>
      <c r="B93" s="15">
        <v>2030</v>
      </c>
      <c r="C93" s="11">
        <v>47065</v>
      </c>
      <c r="D93" s="11">
        <v>46979</v>
      </c>
      <c r="E93" s="11">
        <f t="shared" ref="E93:E101" si="6">E92*(1+AVERAGE($F$83:$F$91))</f>
        <v>4496.2417746481951</v>
      </c>
      <c r="F93" s="39">
        <f t="shared" si="4"/>
        <v>7.6348740101943063E-2</v>
      </c>
    </row>
    <row r="94" spans="1:6" x14ac:dyDescent="0.25">
      <c r="A94" t="s">
        <v>5</v>
      </c>
      <c r="B94" s="15">
        <v>2031</v>
      </c>
      <c r="C94" s="11">
        <v>48942</v>
      </c>
      <c r="D94" s="11">
        <v>49346</v>
      </c>
      <c r="E94" s="11">
        <f t="shared" si="6"/>
        <v>4839.5241693363096</v>
      </c>
      <c r="F94" s="39">
        <f t="shared" si="4"/>
        <v>7.6348740101943091E-2</v>
      </c>
    </row>
    <row r="95" spans="1:6" x14ac:dyDescent="0.25">
      <c r="A95" t="s">
        <v>5</v>
      </c>
      <c r="B95" s="15">
        <v>2032</v>
      </c>
      <c r="C95" s="11">
        <v>50960</v>
      </c>
      <c r="D95" s="11">
        <v>51500</v>
      </c>
      <c r="E95" s="11">
        <f t="shared" si="6"/>
        <v>5209.0157423580395</v>
      </c>
      <c r="F95" s="39">
        <f t="shared" si="4"/>
        <v>7.6348740101943077E-2</v>
      </c>
    </row>
    <row r="96" spans="1:6" x14ac:dyDescent="0.25">
      <c r="A96" t="s">
        <v>5</v>
      </c>
      <c r="B96" s="15">
        <v>2033</v>
      </c>
      <c r="C96" s="11">
        <v>52868</v>
      </c>
      <c r="D96" s="11">
        <v>53666</v>
      </c>
      <c r="E96" s="11">
        <f t="shared" si="6"/>
        <v>5606.7175314582637</v>
      </c>
      <c r="F96" s="39">
        <f t="shared" si="4"/>
        <v>7.6348740101943119E-2</v>
      </c>
    </row>
    <row r="97" spans="1:6" x14ac:dyDescent="0.25">
      <c r="A97" t="s">
        <v>5</v>
      </c>
      <c r="B97" s="15">
        <v>2034</v>
      </c>
      <c r="C97" s="11">
        <v>55183</v>
      </c>
      <c r="D97" s="11">
        <v>58995</v>
      </c>
      <c r="E97" s="11">
        <f t="shared" si="6"/>
        <v>6034.7833510925793</v>
      </c>
      <c r="F97" s="39">
        <f t="shared" si="4"/>
        <v>7.6348740101943216E-2</v>
      </c>
    </row>
    <row r="98" spans="1:6" x14ac:dyDescent="0.25">
      <c r="A98" t="s">
        <v>5</v>
      </c>
      <c r="B98" s="15">
        <v>2035</v>
      </c>
      <c r="C98" s="11">
        <v>57442</v>
      </c>
      <c r="D98" s="11">
        <v>62599</v>
      </c>
      <c r="E98" s="11">
        <f t="shared" si="6"/>
        <v>6495.5314567366804</v>
      </c>
      <c r="F98" s="39">
        <f t="shared" si="4"/>
        <v>7.6348740101943188E-2</v>
      </c>
    </row>
    <row r="99" spans="1:6" x14ac:dyDescent="0.25">
      <c r="A99" t="s">
        <v>5</v>
      </c>
      <c r="B99" s="15">
        <v>2036</v>
      </c>
      <c r="C99" s="11">
        <v>60024</v>
      </c>
      <c r="D99" s="11">
        <v>64468</v>
      </c>
      <c r="E99" s="11">
        <f t="shared" si="6"/>
        <v>6991.4570997510655</v>
      </c>
      <c r="F99" s="39">
        <f t="shared" si="4"/>
        <v>7.6348740101943161E-2</v>
      </c>
    </row>
    <row r="100" spans="1:6" x14ac:dyDescent="0.25">
      <c r="A100" t="s">
        <v>5</v>
      </c>
      <c r="B100" s="15">
        <v>2037</v>
      </c>
      <c r="C100" s="11">
        <v>62642</v>
      </c>
      <c r="D100" s="11">
        <v>66336</v>
      </c>
      <c r="E100" s="11">
        <f t="shared" si="6"/>
        <v>7525.2460407938452</v>
      </c>
      <c r="F100" s="39">
        <f t="shared" si="4"/>
        <v>7.6348740101943202E-2</v>
      </c>
    </row>
    <row r="101" spans="1:6" x14ac:dyDescent="0.25">
      <c r="A101" t="s">
        <v>5</v>
      </c>
      <c r="B101" s="15">
        <v>2038</v>
      </c>
      <c r="C101" s="11">
        <v>65632</v>
      </c>
      <c r="D101" s="11">
        <v>68956</v>
      </c>
      <c r="E101" s="11">
        <f t="shared" si="6"/>
        <v>8099.7890949655912</v>
      </c>
      <c r="F101" s="39">
        <f t="shared" si="4"/>
        <v>7.6348740101943161E-2</v>
      </c>
    </row>
    <row r="102" spans="1:6" x14ac:dyDescent="0.25">
      <c r="A102" t="s">
        <v>6</v>
      </c>
      <c r="B102" s="15">
        <v>2019</v>
      </c>
      <c r="C102" s="11">
        <v>20696</v>
      </c>
      <c r="D102" s="11">
        <v>23609</v>
      </c>
      <c r="E102" s="5">
        <v>2178</v>
      </c>
    </row>
    <row r="103" spans="1:6" x14ac:dyDescent="0.25">
      <c r="A103" t="s">
        <v>6</v>
      </c>
      <c r="B103" s="15">
        <v>2020</v>
      </c>
      <c r="C103" s="11">
        <v>22221</v>
      </c>
      <c r="D103" s="11">
        <v>25304</v>
      </c>
      <c r="E103" s="5">
        <v>2389</v>
      </c>
      <c r="F103" s="39">
        <f t="shared" si="4"/>
        <v>9.687786960514233E-2</v>
      </c>
    </row>
    <row r="104" spans="1:6" x14ac:dyDescent="0.25">
      <c r="A104" t="s">
        <v>6</v>
      </c>
      <c r="B104" s="15">
        <v>2021</v>
      </c>
      <c r="C104" s="11">
        <v>32796</v>
      </c>
      <c r="D104" s="11">
        <v>37157</v>
      </c>
      <c r="E104" s="5">
        <v>2645</v>
      </c>
      <c r="F104" s="39">
        <f t="shared" si="4"/>
        <v>0.10715780661364588</v>
      </c>
    </row>
    <row r="105" spans="1:6" x14ac:dyDescent="0.25">
      <c r="A105" t="s">
        <v>6</v>
      </c>
      <c r="B105" s="15">
        <v>2022</v>
      </c>
      <c r="C105" s="11">
        <v>34358</v>
      </c>
      <c r="D105" s="11">
        <v>38986</v>
      </c>
      <c r="E105" s="5">
        <v>2886</v>
      </c>
      <c r="F105" s="39">
        <f t="shared" si="4"/>
        <v>9.1115311909262767E-2</v>
      </c>
    </row>
    <row r="106" spans="1:6" x14ac:dyDescent="0.25">
      <c r="A106" t="s">
        <v>6</v>
      </c>
      <c r="B106" s="15">
        <v>2023</v>
      </c>
      <c r="C106" s="11">
        <v>36525</v>
      </c>
      <c r="D106" s="11">
        <v>41321</v>
      </c>
      <c r="E106" s="5">
        <v>3220</v>
      </c>
      <c r="F106" s="39">
        <f t="shared" si="4"/>
        <v>0.11573111573111573</v>
      </c>
    </row>
    <row r="107" spans="1:6" x14ac:dyDescent="0.25">
      <c r="A107" t="s">
        <v>6</v>
      </c>
      <c r="B107" s="15">
        <v>2024</v>
      </c>
      <c r="C107" s="11">
        <v>39633</v>
      </c>
      <c r="D107" s="11">
        <v>44645</v>
      </c>
      <c r="E107" s="5">
        <v>3476</v>
      </c>
      <c r="F107" s="39">
        <f t="shared" si="4"/>
        <v>7.9503105590062115E-2</v>
      </c>
    </row>
    <row r="108" spans="1:6" x14ac:dyDescent="0.25">
      <c r="A108" t="s">
        <v>6</v>
      </c>
      <c r="B108" s="15">
        <v>2025</v>
      </c>
      <c r="C108" s="11">
        <v>43224</v>
      </c>
      <c r="D108" s="11">
        <v>48570</v>
      </c>
      <c r="E108" s="5">
        <v>3743</v>
      </c>
      <c r="F108" s="39">
        <f t="shared" si="4"/>
        <v>7.6812428078250866E-2</v>
      </c>
    </row>
    <row r="109" spans="1:6" x14ac:dyDescent="0.25">
      <c r="A109" t="s">
        <v>6</v>
      </c>
      <c r="B109" s="15">
        <v>2026</v>
      </c>
      <c r="C109" s="11">
        <v>46148</v>
      </c>
      <c r="D109" s="11">
        <v>51769</v>
      </c>
      <c r="E109" s="5">
        <v>4011</v>
      </c>
      <c r="F109" s="39">
        <f t="shared" si="4"/>
        <v>7.1600320598450437E-2</v>
      </c>
    </row>
    <row r="110" spans="1:6" x14ac:dyDescent="0.25">
      <c r="A110" t="s">
        <v>6</v>
      </c>
      <c r="B110" s="15">
        <v>2027</v>
      </c>
      <c r="C110" s="11">
        <v>49818</v>
      </c>
      <c r="D110" s="11">
        <v>55759</v>
      </c>
      <c r="E110" s="5">
        <v>4292</v>
      </c>
      <c r="F110" s="39">
        <f t="shared" si="4"/>
        <v>7.005734230865121E-2</v>
      </c>
    </row>
    <row r="111" spans="1:6" x14ac:dyDescent="0.25">
      <c r="A111" t="s">
        <v>6</v>
      </c>
      <c r="B111" s="15">
        <v>2028</v>
      </c>
      <c r="C111" s="11">
        <v>51490</v>
      </c>
      <c r="D111" s="11">
        <v>57611</v>
      </c>
      <c r="E111" s="5">
        <v>4614</v>
      </c>
      <c r="F111" s="39">
        <f t="shared" si="4"/>
        <v>7.5023299161230197E-2</v>
      </c>
    </row>
    <row r="112" spans="1:6" x14ac:dyDescent="0.25">
      <c r="A112" t="s">
        <v>6</v>
      </c>
      <c r="B112" s="15">
        <v>2029</v>
      </c>
      <c r="C112" s="11">
        <v>53290</v>
      </c>
      <c r="D112" s="11">
        <v>49430</v>
      </c>
      <c r="E112" s="11">
        <f>E111*(1+AVERAGE($F$103:$F$111))</f>
        <v>5015.8684287261194</v>
      </c>
      <c r="F112" s="39">
        <f t="shared" si="4"/>
        <v>8.70976221773124E-2</v>
      </c>
    </row>
    <row r="113" spans="1:6" x14ac:dyDescent="0.25">
      <c r="A113" t="s">
        <v>6</v>
      </c>
      <c r="B113" s="15">
        <v>2030</v>
      </c>
      <c r="C113" s="11">
        <v>55184</v>
      </c>
      <c r="D113" s="11">
        <v>48107</v>
      </c>
      <c r="E113" s="11">
        <f t="shared" ref="E113:E121" si="7">E112*(1+AVERAGE($F$103:$F$111))</f>
        <v>5452.7386420224166</v>
      </c>
      <c r="F113" s="39">
        <f t="shared" si="4"/>
        <v>8.70976221773124E-2</v>
      </c>
    </row>
    <row r="114" spans="1:6" x14ac:dyDescent="0.25">
      <c r="A114" t="s">
        <v>6</v>
      </c>
      <c r="B114" s="15">
        <v>2031</v>
      </c>
      <c r="C114" s="11">
        <v>57463</v>
      </c>
      <c r="D114" s="11">
        <v>53463</v>
      </c>
      <c r="E114" s="11">
        <f t="shared" si="7"/>
        <v>5927.6592120969162</v>
      </c>
      <c r="F114" s="39">
        <f t="shared" si="4"/>
        <v>8.7097622177312345E-2</v>
      </c>
    </row>
    <row r="115" spans="1:6" x14ac:dyDescent="0.25">
      <c r="A115" t="s">
        <v>6</v>
      </c>
      <c r="B115" s="15">
        <v>2032</v>
      </c>
      <c r="C115" s="11">
        <v>59961</v>
      </c>
      <c r="D115" s="11">
        <v>52763</v>
      </c>
      <c r="E115" s="11">
        <f t="shared" si="7"/>
        <v>6443.9442345479983</v>
      </c>
      <c r="F115" s="39">
        <f t="shared" si="4"/>
        <v>8.7097622177312331E-2</v>
      </c>
    </row>
    <row r="116" spans="1:6" x14ac:dyDescent="0.25">
      <c r="A116" t="s">
        <v>6</v>
      </c>
      <c r="B116" s="15">
        <v>2033</v>
      </c>
      <c r="C116" s="11">
        <v>62425</v>
      </c>
      <c r="D116" s="11">
        <v>52681</v>
      </c>
      <c r="E116" s="11">
        <f t="shared" si="7"/>
        <v>7005.1964548203296</v>
      </c>
      <c r="F116" s="39">
        <f t="shared" si="4"/>
        <v>8.7097622177312262E-2</v>
      </c>
    </row>
    <row r="117" spans="1:6" x14ac:dyDescent="0.25">
      <c r="A117" t="s">
        <v>6</v>
      </c>
      <c r="B117" s="15">
        <v>2034</v>
      </c>
      <c r="C117" s="11">
        <v>65397</v>
      </c>
      <c r="D117" s="11">
        <v>55625</v>
      </c>
      <c r="E117" s="11">
        <f t="shared" si="7"/>
        <v>7615.3324089201187</v>
      </c>
      <c r="F117" s="39">
        <f t="shared" si="4"/>
        <v>8.7097622177312373E-2</v>
      </c>
    </row>
    <row r="118" spans="1:6" x14ac:dyDescent="0.25">
      <c r="A118" t="s">
        <v>6</v>
      </c>
      <c r="B118" s="15">
        <v>2035</v>
      </c>
      <c r="C118" s="11">
        <v>68446</v>
      </c>
      <c r="D118" s="11">
        <v>57647</v>
      </c>
      <c r="E118" s="11">
        <f t="shared" si="7"/>
        <v>8278.6097538268841</v>
      </c>
      <c r="F118" s="39">
        <f t="shared" si="4"/>
        <v>8.709762217731222E-2</v>
      </c>
    </row>
    <row r="119" spans="1:6" x14ac:dyDescent="0.25">
      <c r="A119" t="s">
        <v>6</v>
      </c>
      <c r="B119" s="15">
        <v>2036</v>
      </c>
      <c r="C119" s="11">
        <v>71899</v>
      </c>
      <c r="D119" s="11">
        <v>60064</v>
      </c>
      <c r="E119" s="11">
        <f t="shared" si="7"/>
        <v>8999.6569783191098</v>
      </c>
      <c r="F119" s="39">
        <f t="shared" si="4"/>
        <v>8.709762217731222E-2</v>
      </c>
    </row>
    <row r="120" spans="1:6" x14ac:dyDescent="0.25">
      <c r="A120" t="s">
        <v>6</v>
      </c>
      <c r="B120" s="15">
        <v>2037</v>
      </c>
      <c r="C120" s="11">
        <v>75580</v>
      </c>
      <c r="D120" s="11">
        <v>64892</v>
      </c>
      <c r="E120" s="11">
        <f t="shared" si="7"/>
        <v>9783.5057015421608</v>
      </c>
      <c r="F120" s="39">
        <f t="shared" si="4"/>
        <v>8.7097622177312414E-2</v>
      </c>
    </row>
    <row r="121" spans="1:6" x14ac:dyDescent="0.25">
      <c r="A121" t="s">
        <v>6</v>
      </c>
      <c r="B121" s="15">
        <v>2038</v>
      </c>
      <c r="C121" s="11">
        <v>79906</v>
      </c>
      <c r="D121" s="11">
        <v>70463</v>
      </c>
      <c r="E121" s="11">
        <f t="shared" si="7"/>
        <v>10635.62578470466</v>
      </c>
      <c r="F121" s="39">
        <f t="shared" si="4"/>
        <v>8.7097622177312234E-2</v>
      </c>
    </row>
    <row r="122" spans="1:6" x14ac:dyDescent="0.25">
      <c r="A122" t="s">
        <v>7</v>
      </c>
      <c r="B122" s="15">
        <v>2019</v>
      </c>
      <c r="C122" s="11">
        <v>7765</v>
      </c>
      <c r="D122" s="11">
        <v>8971</v>
      </c>
      <c r="E122" s="5">
        <v>579</v>
      </c>
    </row>
    <row r="123" spans="1:6" x14ac:dyDescent="0.25">
      <c r="A123" t="s">
        <v>7</v>
      </c>
      <c r="B123" s="15">
        <v>2020</v>
      </c>
      <c r="C123" s="11">
        <v>9798</v>
      </c>
      <c r="D123" s="11">
        <v>11551</v>
      </c>
      <c r="E123" s="5">
        <v>624</v>
      </c>
      <c r="F123" s="39">
        <f t="shared" si="4"/>
        <v>7.7720207253886009E-2</v>
      </c>
    </row>
    <row r="124" spans="1:6" x14ac:dyDescent="0.25">
      <c r="A124" t="s">
        <v>7</v>
      </c>
      <c r="B124" s="15">
        <v>2021</v>
      </c>
      <c r="C124" s="11">
        <v>13786</v>
      </c>
      <c r="D124" s="11">
        <v>16244</v>
      </c>
      <c r="E124" s="5">
        <v>677</v>
      </c>
      <c r="F124" s="39">
        <f t="shared" si="4"/>
        <v>8.4935897435897439E-2</v>
      </c>
    </row>
    <row r="125" spans="1:6" x14ac:dyDescent="0.25">
      <c r="A125" t="s">
        <v>7</v>
      </c>
      <c r="B125" s="15">
        <v>2022</v>
      </c>
      <c r="C125" s="11">
        <v>15018</v>
      </c>
      <c r="D125" s="11">
        <v>17453</v>
      </c>
      <c r="E125" s="5">
        <v>727</v>
      </c>
      <c r="F125" s="39">
        <f t="shared" si="4"/>
        <v>7.3855243722304287E-2</v>
      </c>
    </row>
    <row r="126" spans="1:6" x14ac:dyDescent="0.25">
      <c r="A126" t="s">
        <v>7</v>
      </c>
      <c r="B126" s="15">
        <v>2023</v>
      </c>
      <c r="C126" s="11">
        <v>15788</v>
      </c>
      <c r="D126" s="11">
        <v>18185</v>
      </c>
      <c r="E126" s="5">
        <v>774</v>
      </c>
      <c r="F126" s="39">
        <f t="shared" si="4"/>
        <v>6.4649243466299869E-2</v>
      </c>
    </row>
    <row r="127" spans="1:6" x14ac:dyDescent="0.25">
      <c r="A127" t="s">
        <v>7</v>
      </c>
      <c r="B127" s="15">
        <v>2024</v>
      </c>
      <c r="C127" s="11">
        <v>17243</v>
      </c>
      <c r="D127" s="11">
        <v>19719</v>
      </c>
      <c r="E127" s="5">
        <v>822</v>
      </c>
      <c r="F127" s="39">
        <f t="shared" si="4"/>
        <v>6.2015503875968991E-2</v>
      </c>
    </row>
    <row r="128" spans="1:6" x14ac:dyDescent="0.25">
      <c r="A128" t="s">
        <v>7</v>
      </c>
      <c r="B128" s="15">
        <v>2025</v>
      </c>
      <c r="C128" s="11">
        <v>18758</v>
      </c>
      <c r="D128" s="11">
        <v>21647</v>
      </c>
      <c r="E128" s="5">
        <v>871</v>
      </c>
      <c r="F128" s="39">
        <f t="shared" ref="F128:F141" si="8">(E128-E127)/E127</f>
        <v>5.9610705596107053E-2</v>
      </c>
    </row>
    <row r="129" spans="1:6" x14ac:dyDescent="0.25">
      <c r="A129" t="s">
        <v>7</v>
      </c>
      <c r="B129" s="15">
        <v>2026</v>
      </c>
      <c r="C129" s="11">
        <v>20342</v>
      </c>
      <c r="D129" s="11">
        <v>23380</v>
      </c>
      <c r="E129" s="5">
        <v>927</v>
      </c>
      <c r="F129" s="39">
        <f t="shared" si="8"/>
        <v>6.4293915040183697E-2</v>
      </c>
    </row>
    <row r="130" spans="1:6" x14ac:dyDescent="0.25">
      <c r="A130" t="s">
        <v>7</v>
      </c>
      <c r="B130" s="15">
        <v>2027</v>
      </c>
      <c r="C130" s="11">
        <v>22547</v>
      </c>
      <c r="D130" s="11">
        <v>25698</v>
      </c>
      <c r="E130" s="5">
        <v>986</v>
      </c>
      <c r="F130" s="39">
        <f t="shared" si="8"/>
        <v>6.3646170442286945E-2</v>
      </c>
    </row>
    <row r="131" spans="1:6" x14ac:dyDescent="0.25">
      <c r="A131" t="s">
        <v>7</v>
      </c>
      <c r="B131" s="15">
        <v>2028</v>
      </c>
      <c r="C131" s="11">
        <v>22887</v>
      </c>
      <c r="D131" s="11">
        <v>26027</v>
      </c>
      <c r="E131" s="5">
        <v>1048</v>
      </c>
      <c r="F131" s="39">
        <f t="shared" si="8"/>
        <v>6.2880324543610547E-2</v>
      </c>
    </row>
    <row r="132" spans="1:6" x14ac:dyDescent="0.25">
      <c r="A132" t="s">
        <v>7</v>
      </c>
      <c r="B132" s="15">
        <v>2029</v>
      </c>
      <c r="C132" s="11">
        <v>23247</v>
      </c>
      <c r="D132" s="11">
        <v>26322</v>
      </c>
      <c r="E132" s="11">
        <f>E131*(1+AVERAGE($F$123:$F$131))</f>
        <v>1119.4511508358466</v>
      </c>
      <c r="F132" s="39">
        <f t="shared" si="8"/>
        <v>6.8178579041838397E-2</v>
      </c>
    </row>
    <row r="133" spans="1:6" x14ac:dyDescent="0.25">
      <c r="A133" t="s">
        <v>7</v>
      </c>
      <c r="B133" s="15">
        <v>2030</v>
      </c>
      <c r="C133" s="11">
        <v>23609</v>
      </c>
      <c r="D133" s="11">
        <v>26862</v>
      </c>
      <c r="E133" s="11">
        <f t="shared" ref="E133:E141" si="9">E132*(1+AVERAGE($F$123:$F$131))</f>
        <v>1195.7737396065852</v>
      </c>
      <c r="F133" s="39">
        <f t="shared" si="8"/>
        <v>6.817857904183823E-2</v>
      </c>
    </row>
    <row r="134" spans="1:6" x14ac:dyDescent="0.25">
      <c r="A134" t="s">
        <v>7</v>
      </c>
      <c r="B134" s="15">
        <v>2031</v>
      </c>
      <c r="C134" s="11">
        <v>24061</v>
      </c>
      <c r="D134" s="11">
        <v>27264</v>
      </c>
      <c r="E134" s="11">
        <f t="shared" si="9"/>
        <v>1277.2998940285074</v>
      </c>
      <c r="F134" s="39">
        <f t="shared" si="8"/>
        <v>6.8178579041838369E-2</v>
      </c>
    </row>
    <row r="135" spans="1:6" x14ac:dyDescent="0.25">
      <c r="A135" t="s">
        <v>7</v>
      </c>
      <c r="B135" s="15">
        <v>2032</v>
      </c>
      <c r="C135" s="11">
        <v>24553</v>
      </c>
      <c r="D135" s="11">
        <v>27712</v>
      </c>
      <c r="E135" s="11">
        <f t="shared" si="9"/>
        <v>1364.3843858136618</v>
      </c>
      <c r="F135" s="39">
        <f t="shared" si="8"/>
        <v>6.8178579041838355E-2</v>
      </c>
    </row>
    <row r="136" spans="1:6" x14ac:dyDescent="0.25">
      <c r="A136" t="s">
        <v>7</v>
      </c>
      <c r="B136" s="15">
        <v>2033</v>
      </c>
      <c r="C136" s="11">
        <v>25000</v>
      </c>
      <c r="D136" s="11">
        <v>28120</v>
      </c>
      <c r="E136" s="11">
        <f t="shared" si="9"/>
        <v>1457.4061745053086</v>
      </c>
      <c r="F136" s="39">
        <f t="shared" si="8"/>
        <v>6.8178579041838383E-2</v>
      </c>
    </row>
    <row r="137" spans="1:6" x14ac:dyDescent="0.25">
      <c r="A137" t="s">
        <v>7</v>
      </c>
      <c r="B137" s="15">
        <v>2034</v>
      </c>
      <c r="C137" s="11">
        <v>25570</v>
      </c>
      <c r="D137" s="11">
        <v>28697</v>
      </c>
      <c r="E137" s="11">
        <f t="shared" si="9"/>
        <v>1556.7700565698819</v>
      </c>
      <c r="F137" s="39">
        <f t="shared" si="8"/>
        <v>6.8178579041838272E-2</v>
      </c>
    </row>
    <row r="138" spans="1:6" x14ac:dyDescent="0.25">
      <c r="A138" t="s">
        <v>7</v>
      </c>
      <c r="B138" s="15">
        <v>2035</v>
      </c>
      <c r="C138" s="11">
        <v>26114</v>
      </c>
      <c r="D138" s="11">
        <v>29236</v>
      </c>
      <c r="E138" s="11">
        <f t="shared" si="9"/>
        <v>1662.9084269216987</v>
      </c>
      <c r="F138" s="39">
        <f t="shared" si="8"/>
        <v>6.81785790418383E-2</v>
      </c>
    </row>
    <row r="139" spans="1:6" x14ac:dyDescent="0.25">
      <c r="A139" t="s">
        <v>7</v>
      </c>
      <c r="B139" s="15">
        <v>2036</v>
      </c>
      <c r="C139" s="11">
        <v>26747</v>
      </c>
      <c r="D139" s="11">
        <v>29865</v>
      </c>
      <c r="E139" s="11">
        <f t="shared" si="9"/>
        <v>1776.2831605459187</v>
      </c>
      <c r="F139" s="39">
        <f t="shared" si="8"/>
        <v>6.8178579041838272E-2</v>
      </c>
    </row>
    <row r="140" spans="1:6" x14ac:dyDescent="0.25">
      <c r="A140" t="s">
        <v>7</v>
      </c>
      <c r="B140" s="15">
        <v>2037</v>
      </c>
      <c r="C140" s="11">
        <v>27382</v>
      </c>
      <c r="D140" s="11">
        <v>30507</v>
      </c>
      <c r="E140" s="11">
        <f t="shared" si="9"/>
        <v>1897.3876224078849</v>
      </c>
      <c r="F140" s="39">
        <f t="shared" si="8"/>
        <v>6.8178579041838272E-2</v>
      </c>
    </row>
    <row r="141" spans="1:6" x14ac:dyDescent="0.25">
      <c r="A141" t="s">
        <v>7</v>
      </c>
      <c r="B141" s="15">
        <v>2038</v>
      </c>
      <c r="C141" s="11">
        <v>28155</v>
      </c>
      <c r="D141" s="11">
        <v>31317</v>
      </c>
      <c r="E141" s="11">
        <f t="shared" si="9"/>
        <v>2026.7488143952266</v>
      </c>
      <c r="F141" s="39">
        <f t="shared" si="8"/>
        <v>6.8178579041838355E-2</v>
      </c>
    </row>
    <row r="143" spans="1:6" x14ac:dyDescent="0.25">
      <c r="A143" s="6" t="s">
        <v>102</v>
      </c>
      <c r="B143" s="13" t="s">
        <v>113</v>
      </c>
    </row>
    <row r="144" spans="1:6" x14ac:dyDescent="0.25">
      <c r="A144" s="6"/>
      <c r="B144" s="14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01E8-DA99-49B4-9242-7FE87C1D947C}">
  <sheetPr codeName="Sheet7"/>
  <dimension ref="A1:CF96"/>
  <sheetViews>
    <sheetView tabSelected="1" zoomScale="85" zoomScaleNormal="85" workbookViewId="0">
      <selection activeCell="B4" sqref="B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 t="shared" ref="B4:C19" si="0">B28</f>
        <v>INDONESIA</v>
      </c>
      <c r="C4" s="20">
        <f t="shared" si="0"/>
        <v>2019</v>
      </c>
      <c r="D4" s="30">
        <f>existing_capacity!C2</f>
        <v>34457.47</v>
      </c>
      <c r="E4" s="30">
        <f>existing_capacity!D2</f>
        <v>5638.72</v>
      </c>
      <c r="F4" s="30">
        <f>existing_capacity!E2</f>
        <v>11525.460000000001</v>
      </c>
      <c r="G4" s="30">
        <f>existing_capacity!F2</f>
        <v>6623.4</v>
      </c>
      <c r="H4" s="30">
        <f>existing_capacity!G2</f>
        <v>1986.3999999999999</v>
      </c>
      <c r="I4" s="30">
        <f>existing_capacity!H2</f>
        <v>5689.6399999999994</v>
      </c>
      <c r="J4" s="30">
        <f>existing_capacity!I2</f>
        <v>169.62</v>
      </c>
      <c r="K4" s="30">
        <f>existing_capacity!J2</f>
        <v>17.52</v>
      </c>
      <c r="L4" s="30">
        <f>existing_capacity!K2</f>
        <v>0</v>
      </c>
      <c r="M4" s="30">
        <f>existing_capacity!L2</f>
        <v>142.85</v>
      </c>
      <c r="N4" s="30">
        <f>existing_capacity!M2</f>
        <v>0</v>
      </c>
      <c r="O4" s="30">
        <f>existing_capacity!N2</f>
        <v>0</v>
      </c>
      <c r="P4" s="30">
        <v>0</v>
      </c>
      <c r="Q4" s="30">
        <f>SUM(D4:O4)</f>
        <v>66251.08</v>
      </c>
      <c r="R4" s="30"/>
      <c r="S4" s="36"/>
      <c r="T4" s="19"/>
      <c r="U4" s="20" t="str">
        <f t="shared" ref="U4:U23" si="1">B4</f>
        <v>INDONESIA</v>
      </c>
      <c r="V4" s="20">
        <f t="shared" ref="V4:V23" si="2">C4</f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3">SUM(W4:AI4)</f>
        <v>0</v>
      </c>
      <c r="AM4" s="23"/>
      <c r="AO4" s="20" t="str">
        <f t="shared" ref="AO4:AO23" si="4">U4</f>
        <v>INDONESIA</v>
      </c>
      <c r="AP4" s="20">
        <f t="shared" ref="AP4:AP23" si="5">V4</f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6">SUM(AU4:BA4)</f>
        <v>437628.8</v>
      </c>
      <c r="BF4" s="23"/>
      <c r="BG4" s="19"/>
      <c r="BH4" s="20" t="str">
        <f>AO4</f>
        <v>INDONESIA</v>
      </c>
      <c r="BI4" s="20">
        <f>AP4</f>
        <v>2019</v>
      </c>
      <c r="BJ4" s="25">
        <f t="shared" ref="BJ4:BJ22" si="7">SUM(K28:L28,N28)/Q28</f>
        <v>1.1172203854615971E-4</v>
      </c>
      <c r="BK4" s="43">
        <f t="shared" ref="BK4:BK23" si="8">$BO$5+((BJ4-$BN$5)*($BO$6-$BO$5)/($BN$6-$BN$5))</f>
        <v>2.7271431107057573E-4</v>
      </c>
      <c r="BL4" s="34">
        <f>BK4*Q28*1000</f>
        <v>78673.15737884985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 t="shared" si="0"/>
        <v>INDONESIA</v>
      </c>
      <c r="C5" s="20">
        <f t="shared" si="0"/>
        <v>2020</v>
      </c>
      <c r="D5" s="30">
        <f>D4+W5</f>
        <v>35665.915189080646</v>
      </c>
      <c r="E5" s="30">
        <f t="shared" ref="E5:O5" si="9">E4+X5</f>
        <v>8367.7973469931112</v>
      </c>
      <c r="F5" s="30">
        <f t="shared" si="9"/>
        <v>14073.487657627145</v>
      </c>
      <c r="G5" s="30">
        <f t="shared" si="9"/>
        <v>6623.4</v>
      </c>
      <c r="H5" s="30">
        <f t="shared" si="9"/>
        <v>1986.3999999999999</v>
      </c>
      <c r="I5" s="30">
        <f t="shared" si="9"/>
        <v>5689.6399999999994</v>
      </c>
      <c r="J5" s="30">
        <f t="shared" si="9"/>
        <v>169.62</v>
      </c>
      <c r="K5" s="30">
        <f t="shared" si="9"/>
        <v>8243.4578940003303</v>
      </c>
      <c r="L5" s="30">
        <f t="shared" si="9"/>
        <v>0</v>
      </c>
      <c r="M5" s="30">
        <f t="shared" si="9"/>
        <v>142.85</v>
      </c>
      <c r="N5" s="30">
        <f t="shared" si="9"/>
        <v>0</v>
      </c>
      <c r="O5" s="30">
        <f t="shared" si="9"/>
        <v>0</v>
      </c>
      <c r="P5" s="30">
        <f>BL5/((VLOOKUP(P$3,tech_data!$B$2:$G$15,6,FALSE)/100)*24*365)</f>
        <v>23.309160184536854</v>
      </c>
      <c r="Q5" s="30">
        <f t="shared" ref="Q5:Q23" si="10">SUM(D5:O5)</f>
        <v>80962.568087701235</v>
      </c>
      <c r="R5" s="30"/>
      <c r="S5" s="36"/>
      <c r="T5" s="19"/>
      <c r="U5" s="20" t="str">
        <f t="shared" si="1"/>
        <v>INDONESIA</v>
      </c>
      <c r="V5" s="20">
        <f t="shared" si="2"/>
        <v>2020</v>
      </c>
      <c r="W5" s="30">
        <v>1208.4451890806433</v>
      </c>
      <c r="X5" s="30">
        <v>2729.077346993111</v>
      </c>
      <c r="Y5" s="30">
        <v>2548.027657627144</v>
      </c>
      <c r="Z5" s="30">
        <v>0</v>
      </c>
      <c r="AA5" s="30">
        <v>0</v>
      </c>
      <c r="AB5" s="30">
        <v>0</v>
      </c>
      <c r="AC5" s="30">
        <v>0</v>
      </c>
      <c r="AD5" s="30">
        <v>8225.9378940003298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" si="11">IF(P5&gt;=P4, P5-P4, 0)</f>
        <v>23.309160184536854</v>
      </c>
      <c r="AJ5" s="34">
        <f t="shared" si="3"/>
        <v>14734.797247885765</v>
      </c>
      <c r="AM5" s="23"/>
      <c r="AO5" s="20" t="str">
        <f t="shared" si="4"/>
        <v>INDONESIA</v>
      </c>
      <c r="AP5" s="20">
        <f t="shared" si="5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AU23" si="12">AU4-AA5</f>
        <v>23965.8</v>
      </c>
      <c r="AV5" s="30">
        <f t="shared" ref="AV5:AV23" si="13">AV4-AB5</f>
        <v>75091</v>
      </c>
      <c r="AW5" s="30">
        <f t="shared" ref="AW5:AW23" si="14">AW4-AC5</f>
        <v>19385</v>
      </c>
      <c r="AX5" s="30">
        <f t="shared" ref="AX5:AX23" si="15">AX4-AD5</f>
        <v>199672.06210599968</v>
      </c>
      <c r="AY5" s="30">
        <f t="shared" ref="AY5:AY23" si="16">AY4-AE5</f>
        <v>60647</v>
      </c>
      <c r="AZ5" s="30">
        <f t="shared" ref="AZ5:AZ23" si="17">AZ4-AF5</f>
        <v>32654</v>
      </c>
      <c r="BA5" s="30">
        <f t="shared" ref="BA5:BA23" si="18">BA4-AG5</f>
        <v>17988</v>
      </c>
      <c r="BB5" s="30">
        <v>999</v>
      </c>
      <c r="BC5" s="30">
        <v>999</v>
      </c>
      <c r="BD5" s="30">
        <f t="shared" si="6"/>
        <v>429402.86210599967</v>
      </c>
      <c r="BF5" s="23"/>
      <c r="BG5" s="19"/>
      <c r="BH5" s="20" t="str">
        <f t="shared" ref="BH5:BI23" si="19">AO5</f>
        <v>INDONESIA</v>
      </c>
      <c r="BI5" s="20">
        <f t="shared" si="19"/>
        <v>2020</v>
      </c>
      <c r="BJ5" s="25">
        <f t="shared" si="7"/>
        <v>4.6705890729973894E-2</v>
      </c>
      <c r="BK5" s="43">
        <f t="shared" si="8"/>
        <v>2.829971620921322E-4</v>
      </c>
      <c r="BL5" s="34">
        <f t="shared" ref="BL5:BL23" si="20">BK5*Q29*1000</f>
        <v>91884.709447444286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si="0"/>
        <v>INDONESIA</v>
      </c>
      <c r="C6" s="20">
        <f t="shared" si="0"/>
        <v>2021</v>
      </c>
      <c r="D6" s="30">
        <f t="shared" ref="D6:D23" si="21">D5+W6</f>
        <v>35665.915189426109</v>
      </c>
      <c r="E6" s="30">
        <f t="shared" ref="E6:E23" si="22">E5+X6</f>
        <v>13321.018266550465</v>
      </c>
      <c r="F6" s="30">
        <f t="shared" ref="F6:F23" si="23">F5+Y6</f>
        <v>18659.032573779281</v>
      </c>
      <c r="G6" s="30">
        <f t="shared" ref="G6:G23" si="24">G5+Z6</f>
        <v>6623.4000003762367</v>
      </c>
      <c r="H6" s="30">
        <f t="shared" ref="H6:H23" si="25">H5+AA6</f>
        <v>1986.4000008896369</v>
      </c>
      <c r="I6" s="30">
        <f t="shared" ref="I6:I23" si="26">I5+AB6</f>
        <v>5689.6400006086433</v>
      </c>
      <c r="J6" s="30">
        <f t="shared" ref="J6:J23" si="27">J5+AC6</f>
        <v>169.62000081152547</v>
      </c>
      <c r="K6" s="30">
        <f t="shared" ref="K6:K23" si="28">K5+AD6</f>
        <v>8243.4578940003303</v>
      </c>
      <c r="L6" s="30">
        <f t="shared" ref="L6:L23" si="29">L5+AE6</f>
        <v>0</v>
      </c>
      <c r="M6" s="30">
        <f t="shared" ref="M6:M23" si="30">M5+AF6</f>
        <v>142.85</v>
      </c>
      <c r="N6" s="30">
        <f t="shared" ref="N6:N23" si="31">N5+AG6</f>
        <v>0</v>
      </c>
      <c r="O6" s="30">
        <f t="shared" ref="O6:O23" si="32">O5+AH6</f>
        <v>0</v>
      </c>
      <c r="P6" s="30">
        <f>BL6/((VLOOKUP(P$3,tech_data!$B$2:$G$15,6,FALSE)/100)*24*365)</f>
        <v>25.211313025373801</v>
      </c>
      <c r="Q6" s="30">
        <f t="shared" si="10"/>
        <v>90501.333926442239</v>
      </c>
      <c r="R6" s="30"/>
      <c r="S6" s="36"/>
      <c r="T6" s="19"/>
      <c r="U6" s="20" t="str">
        <f t="shared" si="1"/>
        <v>INDONESIA</v>
      </c>
      <c r="V6" s="20">
        <f t="shared" si="2"/>
        <v>2021</v>
      </c>
      <c r="W6" s="30">
        <v>3.4546032175650304E-7</v>
      </c>
      <c r="X6" s="30">
        <v>4953.220919557355</v>
      </c>
      <c r="Y6" s="30">
        <v>4585.5449161521365</v>
      </c>
      <c r="Z6" s="30">
        <v>3.7623723974238592E-7</v>
      </c>
      <c r="AA6" s="30">
        <v>8.8963694973004903E-7</v>
      </c>
      <c r="AB6" s="30">
        <v>6.0864392346430828E-7</v>
      </c>
      <c r="AC6" s="30">
        <v>8.1152546484682428E-7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ref="AI6:AI23" si="33">IF(P6&gt;=P5, P6-P5, 0)</f>
        <v>1.9021528408369477</v>
      </c>
      <c r="AJ6" s="34">
        <f t="shared" si="3"/>
        <v>9540.6679915818349</v>
      </c>
      <c r="AM6" s="23"/>
      <c r="AO6" s="20" t="str">
        <f t="shared" si="4"/>
        <v>INDONESIA</v>
      </c>
      <c r="AP6" s="20">
        <f t="shared" si="5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12"/>
        <v>23965.799999110361</v>
      </c>
      <c r="AV6" s="30">
        <f t="shared" si="13"/>
        <v>75090.999999391352</v>
      </c>
      <c r="AW6" s="30">
        <f t="shared" si="14"/>
        <v>19384.999999188476</v>
      </c>
      <c r="AX6" s="30">
        <f t="shared" si="15"/>
        <v>199672.06210599968</v>
      </c>
      <c r="AY6" s="30">
        <f t="shared" si="16"/>
        <v>60647</v>
      </c>
      <c r="AZ6" s="30">
        <f t="shared" si="17"/>
        <v>32654</v>
      </c>
      <c r="BA6" s="30">
        <f t="shared" si="18"/>
        <v>17988</v>
      </c>
      <c r="BB6" s="30">
        <v>999</v>
      </c>
      <c r="BC6" s="30">
        <v>999</v>
      </c>
      <c r="BD6" s="30">
        <f t="shared" si="6"/>
        <v>429402.86210368987</v>
      </c>
      <c r="BF6" s="23"/>
      <c r="BG6" s="19"/>
      <c r="BH6" s="20" t="str">
        <f t="shared" si="19"/>
        <v>INDONESIA</v>
      </c>
      <c r="BI6" s="20">
        <f t="shared" si="19"/>
        <v>2021</v>
      </c>
      <c r="BJ6" s="25">
        <f t="shared" si="7"/>
        <v>4.3059205997946777E-2</v>
      </c>
      <c r="BK6" s="43">
        <f t="shared" si="8"/>
        <v>2.8219237649609863E-4</v>
      </c>
      <c r="BL6" s="34">
        <f t="shared" si="20"/>
        <v>99382.99594602354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0"/>
        <v>INDONESIA</v>
      </c>
      <c r="C7" s="20">
        <f t="shared" si="0"/>
        <v>2022</v>
      </c>
      <c r="D7" s="30">
        <f t="shared" si="21"/>
        <v>35665.915189426109</v>
      </c>
      <c r="E7" s="30">
        <f t="shared" si="22"/>
        <v>13321.018266550465</v>
      </c>
      <c r="F7" s="30">
        <f t="shared" si="23"/>
        <v>18659.032573779281</v>
      </c>
      <c r="G7" s="30">
        <f t="shared" si="24"/>
        <v>6623.4000003762367</v>
      </c>
      <c r="H7" s="30">
        <f t="shared" si="25"/>
        <v>4304.5265528157915</v>
      </c>
      <c r="I7" s="30">
        <f t="shared" si="26"/>
        <v>7275.6566476068247</v>
      </c>
      <c r="J7" s="30">
        <f t="shared" si="27"/>
        <v>2284.1416159349019</v>
      </c>
      <c r="K7" s="30">
        <f t="shared" si="28"/>
        <v>8900.9800204299136</v>
      </c>
      <c r="L7" s="30">
        <f t="shared" si="29"/>
        <v>1029.3967354150934</v>
      </c>
      <c r="M7" s="30">
        <f t="shared" si="30"/>
        <v>1035.3834452036915</v>
      </c>
      <c r="N7" s="30">
        <f t="shared" si="31"/>
        <v>12.421253135271691</v>
      </c>
      <c r="O7" s="30">
        <f t="shared" si="32"/>
        <v>0</v>
      </c>
      <c r="P7" s="30">
        <f>BL7/((VLOOKUP(P$3,tech_data!$B$2:$G$15,6,FALSE)/100)*24*365)</f>
        <v>28.311278917448348</v>
      </c>
      <c r="Q7" s="30">
        <f t="shared" si="10"/>
        <v>99111.872300673582</v>
      </c>
      <c r="R7" s="30"/>
      <c r="S7" s="36"/>
      <c r="T7" s="19"/>
      <c r="U7" s="20" t="str">
        <f t="shared" si="1"/>
        <v>INDONESIA</v>
      </c>
      <c r="V7" s="20">
        <f t="shared" si="2"/>
        <v>2022</v>
      </c>
      <c r="W7" s="30">
        <v>0</v>
      </c>
      <c r="X7" s="30">
        <v>0</v>
      </c>
      <c r="Y7" s="30">
        <v>0</v>
      </c>
      <c r="Z7" s="30">
        <v>0</v>
      </c>
      <c r="AA7" s="30">
        <v>2318.1265519261547</v>
      </c>
      <c r="AB7" s="30">
        <v>1586.0166469981812</v>
      </c>
      <c r="AC7" s="30">
        <v>2114.5216151233763</v>
      </c>
      <c r="AD7" s="30">
        <v>657.52212642958239</v>
      </c>
      <c r="AE7" s="30">
        <v>1029.3967354150934</v>
      </c>
      <c r="AF7" s="30">
        <v>892.53344520369149</v>
      </c>
      <c r="AG7" s="30">
        <v>12.421253135271691</v>
      </c>
      <c r="AH7" s="30">
        <v>0</v>
      </c>
      <c r="AI7" s="30">
        <f t="shared" si="33"/>
        <v>3.0999658920745468</v>
      </c>
      <c r="AJ7" s="34">
        <f t="shared" si="3"/>
        <v>8613.6383401234252</v>
      </c>
      <c r="AM7" s="23"/>
      <c r="AO7" s="20" t="str">
        <f t="shared" si="4"/>
        <v>INDONESIA</v>
      </c>
      <c r="AP7" s="20">
        <f t="shared" si="5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12"/>
        <v>21647.673447184206</v>
      </c>
      <c r="AV7" s="30">
        <f t="shared" si="13"/>
        <v>73504.983352393174</v>
      </c>
      <c r="AW7" s="30">
        <f t="shared" si="14"/>
        <v>17270.4783840651</v>
      </c>
      <c r="AX7" s="30">
        <f t="shared" si="15"/>
        <v>199014.53997957011</v>
      </c>
      <c r="AY7" s="30">
        <f t="shared" si="16"/>
        <v>59617.603264584905</v>
      </c>
      <c r="AZ7" s="30">
        <f t="shared" si="17"/>
        <v>31761.466554796309</v>
      </c>
      <c r="BA7" s="30">
        <f t="shared" si="18"/>
        <v>17975.578746864729</v>
      </c>
      <c r="BB7" s="30">
        <v>999</v>
      </c>
      <c r="BC7" s="30">
        <v>999</v>
      </c>
      <c r="BD7" s="30">
        <f t="shared" si="6"/>
        <v>420792.32372945856</v>
      </c>
      <c r="BF7" s="23"/>
      <c r="BG7" s="19"/>
      <c r="BH7" s="20" t="str">
        <f t="shared" si="19"/>
        <v>INDONESIA</v>
      </c>
      <c r="BI7" s="20">
        <f t="shared" si="19"/>
        <v>2022</v>
      </c>
      <c r="BJ7" s="25">
        <f t="shared" si="7"/>
        <v>4.9762308650187742E-2</v>
      </c>
      <c r="BK7" s="43">
        <f t="shared" si="8"/>
        <v>2.8367168190900695E-4</v>
      </c>
      <c r="BL7" s="34">
        <f t="shared" si="20"/>
        <v>111603.0614925814</v>
      </c>
      <c r="BP7" s="23"/>
    </row>
    <row r="8" spans="1:68" x14ac:dyDescent="0.25">
      <c r="A8" s="19"/>
      <c r="B8" s="20" t="str">
        <f t="shared" si="0"/>
        <v>INDONESIA</v>
      </c>
      <c r="C8" s="20">
        <f t="shared" si="0"/>
        <v>2023</v>
      </c>
      <c r="D8" s="30">
        <f t="shared" si="21"/>
        <v>35665.915189426109</v>
      </c>
      <c r="E8" s="30">
        <f t="shared" si="22"/>
        <v>13321.018266550465</v>
      </c>
      <c r="F8" s="30">
        <f t="shared" si="23"/>
        <v>33072.510597393979</v>
      </c>
      <c r="G8" s="30">
        <f t="shared" si="24"/>
        <v>6623.4000006644719</v>
      </c>
      <c r="H8" s="30">
        <f t="shared" si="25"/>
        <v>4304.5265528157915</v>
      </c>
      <c r="I8" s="30">
        <f t="shared" si="26"/>
        <v>7275.6566476068247</v>
      </c>
      <c r="J8" s="30">
        <f t="shared" si="27"/>
        <v>2284.1416159349019</v>
      </c>
      <c r="K8" s="30">
        <f t="shared" si="28"/>
        <v>8900.9800204299136</v>
      </c>
      <c r="L8" s="30">
        <f t="shared" si="29"/>
        <v>1252.9325712311993</v>
      </c>
      <c r="M8" s="30">
        <f t="shared" si="30"/>
        <v>1035.3834452036915</v>
      </c>
      <c r="N8" s="30">
        <f t="shared" si="31"/>
        <v>12.421253135271691</v>
      </c>
      <c r="O8" s="30">
        <f t="shared" si="32"/>
        <v>0</v>
      </c>
      <c r="P8" s="30">
        <f>BL8/((VLOOKUP(P$3,tech_data!$B$2:$G$15,6,FALSE)/100)*24*365)</f>
        <v>31.156672965268708</v>
      </c>
      <c r="Q8" s="30">
        <f t="shared" si="10"/>
        <v>113748.88616039262</v>
      </c>
      <c r="R8" s="30"/>
      <c r="S8" s="36"/>
      <c r="T8" s="19"/>
      <c r="U8" s="20" t="str">
        <f t="shared" si="1"/>
        <v>INDONESIA</v>
      </c>
      <c r="V8" s="20">
        <f t="shared" si="2"/>
        <v>2023</v>
      </c>
      <c r="W8" s="30">
        <v>0</v>
      </c>
      <c r="X8" s="30">
        <v>0</v>
      </c>
      <c r="Y8" s="30">
        <v>14413.4780236147</v>
      </c>
      <c r="Z8" s="30">
        <v>2.8823491483713634E-7</v>
      </c>
      <c r="AA8" s="30">
        <v>0</v>
      </c>
      <c r="AB8" s="30">
        <v>0</v>
      </c>
      <c r="AC8" s="30">
        <v>-2.8421709430404007E-14</v>
      </c>
      <c r="AD8" s="30">
        <v>0</v>
      </c>
      <c r="AE8" s="30">
        <v>223.53583581610596</v>
      </c>
      <c r="AF8" s="30">
        <v>0</v>
      </c>
      <c r="AG8" s="30">
        <v>0</v>
      </c>
      <c r="AH8" s="30">
        <v>0</v>
      </c>
      <c r="AI8" s="30">
        <f t="shared" si="33"/>
        <v>2.8453940478203599</v>
      </c>
      <c r="AJ8" s="34">
        <f t="shared" si="3"/>
        <v>14639.859253766863</v>
      </c>
      <c r="AM8" s="23"/>
      <c r="AO8" s="20" t="str">
        <f t="shared" si="4"/>
        <v>INDONESIA</v>
      </c>
      <c r="AP8" s="20">
        <f t="shared" si="5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12"/>
        <v>21647.673447184206</v>
      </c>
      <c r="AV8" s="30">
        <f t="shared" si="13"/>
        <v>73504.983352393174</v>
      </c>
      <c r="AW8" s="30">
        <f t="shared" si="14"/>
        <v>17270.4783840651</v>
      </c>
      <c r="AX8" s="30">
        <f t="shared" si="15"/>
        <v>199014.53997957011</v>
      </c>
      <c r="AY8" s="30">
        <f t="shared" si="16"/>
        <v>59394.067428768802</v>
      </c>
      <c r="AZ8" s="30">
        <f t="shared" si="17"/>
        <v>31761.466554796309</v>
      </c>
      <c r="BA8" s="30">
        <f t="shared" si="18"/>
        <v>17975.578746864729</v>
      </c>
      <c r="BB8" s="30">
        <v>999</v>
      </c>
      <c r="BC8" s="30">
        <v>999</v>
      </c>
      <c r="BD8" s="30">
        <f t="shared" si="6"/>
        <v>420568.78789364244</v>
      </c>
      <c r="BF8" s="23"/>
      <c r="BG8" s="19"/>
      <c r="BH8" s="20" t="str">
        <f t="shared" si="19"/>
        <v>INDONESIA</v>
      </c>
      <c r="BI8" s="20">
        <f t="shared" si="19"/>
        <v>2023</v>
      </c>
      <c r="BJ8" s="25">
        <f t="shared" si="7"/>
        <v>4.6693908426603099E-2</v>
      </c>
      <c r="BK8" s="43">
        <f t="shared" si="8"/>
        <v>2.8299451772173311E-4</v>
      </c>
      <c r="BL8" s="34">
        <f t="shared" si="20"/>
        <v>122819.60482908926</v>
      </c>
      <c r="BP8" s="23"/>
    </row>
    <row r="9" spans="1:68" x14ac:dyDescent="0.25">
      <c r="A9" s="19"/>
      <c r="B9" s="20" t="str">
        <f t="shared" si="0"/>
        <v>INDONESIA</v>
      </c>
      <c r="C9" s="20">
        <f t="shared" si="0"/>
        <v>2024</v>
      </c>
      <c r="D9" s="30">
        <f t="shared" si="21"/>
        <v>35665.915189426109</v>
      </c>
      <c r="E9" s="30">
        <f t="shared" si="22"/>
        <v>13321.018266550465</v>
      </c>
      <c r="F9" s="30">
        <f t="shared" si="23"/>
        <v>38740.062935751885</v>
      </c>
      <c r="G9" s="30">
        <f t="shared" si="24"/>
        <v>9691.9151184888105</v>
      </c>
      <c r="H9" s="30">
        <f t="shared" si="25"/>
        <v>4304.5265528157915</v>
      </c>
      <c r="I9" s="30">
        <f t="shared" si="26"/>
        <v>7275.6566476068247</v>
      </c>
      <c r="J9" s="30">
        <f t="shared" si="27"/>
        <v>2284.1416159349019</v>
      </c>
      <c r="K9" s="30">
        <f t="shared" si="28"/>
        <v>8900.9800204299136</v>
      </c>
      <c r="L9" s="30">
        <f t="shared" si="29"/>
        <v>1897.0630109408439</v>
      </c>
      <c r="M9" s="30">
        <f t="shared" si="30"/>
        <v>1035.3834452036915</v>
      </c>
      <c r="N9" s="30">
        <f t="shared" si="31"/>
        <v>12.421253135271691</v>
      </c>
      <c r="O9" s="30">
        <f t="shared" si="32"/>
        <v>2.7454285255776193E-14</v>
      </c>
      <c r="P9" s="30">
        <f>BL9/((VLOOKUP(P$3,tech_data!$B$2:$G$15,6,FALSE)/100)*24*365)</f>
        <v>33.550375385871043</v>
      </c>
      <c r="Q9" s="30">
        <f t="shared" si="10"/>
        <v>123129.0840562845</v>
      </c>
      <c r="R9" s="30"/>
      <c r="S9" s="36"/>
      <c r="T9" s="19"/>
      <c r="U9" s="20" t="str">
        <f t="shared" si="1"/>
        <v>INDONESIA</v>
      </c>
      <c r="V9" s="20">
        <f t="shared" si="2"/>
        <v>2024</v>
      </c>
      <c r="W9" s="30">
        <v>0</v>
      </c>
      <c r="X9" s="30">
        <v>0</v>
      </c>
      <c r="Y9" s="30">
        <v>5667.5523383579048</v>
      </c>
      <c r="Z9" s="30">
        <v>3068.5151178243377</v>
      </c>
      <c r="AA9" s="30">
        <v>0</v>
      </c>
      <c r="AB9" s="30">
        <v>0</v>
      </c>
      <c r="AC9" s="30">
        <v>1.4210854715202004E-14</v>
      </c>
      <c r="AD9" s="30">
        <v>0</v>
      </c>
      <c r="AE9" s="30">
        <v>644.13043970964475</v>
      </c>
      <c r="AF9" s="30">
        <v>0</v>
      </c>
      <c r="AG9" s="30">
        <v>0</v>
      </c>
      <c r="AH9" s="30">
        <v>2.7454285255776193E-14</v>
      </c>
      <c r="AI9" s="30">
        <f t="shared" si="33"/>
        <v>2.3937024206023345</v>
      </c>
      <c r="AJ9" s="34">
        <f t="shared" si="3"/>
        <v>9382.5915983124887</v>
      </c>
      <c r="AM9" s="23"/>
      <c r="AO9" s="20" t="str">
        <f t="shared" si="4"/>
        <v>INDONESIA</v>
      </c>
      <c r="AP9" s="20">
        <f t="shared" si="5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12"/>
        <v>21647.673447184206</v>
      </c>
      <c r="AV9" s="30">
        <f t="shared" si="13"/>
        <v>73504.983352393174</v>
      </c>
      <c r="AW9" s="30">
        <f t="shared" si="14"/>
        <v>17270.4783840651</v>
      </c>
      <c r="AX9" s="30">
        <f t="shared" si="15"/>
        <v>199014.53997957011</v>
      </c>
      <c r="AY9" s="30">
        <f t="shared" si="16"/>
        <v>58749.936989059155</v>
      </c>
      <c r="AZ9" s="30">
        <f t="shared" si="17"/>
        <v>31761.466554796309</v>
      </c>
      <c r="BA9" s="30">
        <f t="shared" si="18"/>
        <v>17975.578746864729</v>
      </c>
      <c r="BB9" s="30">
        <v>999</v>
      </c>
      <c r="BC9" s="30">
        <v>999</v>
      </c>
      <c r="BD9" s="30">
        <f t="shared" si="6"/>
        <v>419924.6574539328</v>
      </c>
      <c r="BF9" s="23"/>
      <c r="BG9" s="19"/>
      <c r="BH9" s="20" t="str">
        <f t="shared" si="19"/>
        <v>INDONESIA</v>
      </c>
      <c r="BI9" s="20">
        <f t="shared" si="19"/>
        <v>2024</v>
      </c>
      <c r="BJ9" s="25">
        <f t="shared" si="7"/>
        <v>4.7636447560842031E-2</v>
      </c>
      <c r="BK9" s="43">
        <f t="shared" si="8"/>
        <v>2.8320252635825481E-4</v>
      </c>
      <c r="BL9" s="34">
        <f t="shared" si="20"/>
        <v>132255.57977110366</v>
      </c>
      <c r="BN9" s="38"/>
      <c r="BP9" s="23"/>
    </row>
    <row r="10" spans="1:68" x14ac:dyDescent="0.25">
      <c r="A10" s="19"/>
      <c r="B10" s="20" t="str">
        <f t="shared" si="0"/>
        <v>INDONESIA</v>
      </c>
      <c r="C10" s="20">
        <f t="shared" si="0"/>
        <v>2025</v>
      </c>
      <c r="D10" s="30">
        <f t="shared" si="21"/>
        <v>35665.915189426109</v>
      </c>
      <c r="E10" s="30">
        <f t="shared" si="22"/>
        <v>13321.018266550465</v>
      </c>
      <c r="F10" s="30">
        <f t="shared" si="23"/>
        <v>43870.441865245957</v>
      </c>
      <c r="G10" s="30">
        <f t="shared" si="24"/>
        <v>10169.244640946948</v>
      </c>
      <c r="H10" s="30">
        <f t="shared" si="25"/>
        <v>4304.5265528157915</v>
      </c>
      <c r="I10" s="30">
        <f t="shared" si="26"/>
        <v>7275.6566476068247</v>
      </c>
      <c r="J10" s="30">
        <f t="shared" si="27"/>
        <v>2284.1416159349019</v>
      </c>
      <c r="K10" s="30">
        <f t="shared" si="28"/>
        <v>8900.9800204299136</v>
      </c>
      <c r="L10" s="30">
        <f t="shared" si="29"/>
        <v>7234.7011109209407</v>
      </c>
      <c r="M10" s="30">
        <f t="shared" si="30"/>
        <v>1035.3834452036915</v>
      </c>
      <c r="N10" s="30">
        <f t="shared" si="31"/>
        <v>12.421253135271691</v>
      </c>
      <c r="O10" s="30">
        <f t="shared" si="32"/>
        <v>2.7454285255776193E-14</v>
      </c>
      <c r="P10" s="30">
        <f>BL10/((VLOOKUP(P$3,tech_data!$B$2:$G$15,6,FALSE)/100)*24*365)</f>
        <v>36.752207184880689</v>
      </c>
      <c r="Q10" s="30">
        <f t="shared" si="10"/>
        <v>134074.43060821679</v>
      </c>
      <c r="R10" s="30"/>
      <c r="S10" s="36"/>
      <c r="T10" s="19"/>
      <c r="U10" s="20" t="str">
        <f t="shared" si="1"/>
        <v>INDONESIA</v>
      </c>
      <c r="V10" s="20">
        <f t="shared" si="2"/>
        <v>2025</v>
      </c>
      <c r="W10" s="30">
        <v>0</v>
      </c>
      <c r="X10" s="30">
        <v>0</v>
      </c>
      <c r="Y10" s="30">
        <v>5130.3789294940698</v>
      </c>
      <c r="Z10" s="30">
        <v>477.32952245813834</v>
      </c>
      <c r="AA10" s="30">
        <v>0</v>
      </c>
      <c r="AB10" s="30">
        <v>-7.1054273576010019E-15</v>
      </c>
      <c r="AC10" s="30">
        <v>0</v>
      </c>
      <c r="AD10" s="30">
        <v>0</v>
      </c>
      <c r="AE10" s="30">
        <v>5337.6380999800967</v>
      </c>
      <c r="AF10" s="30">
        <v>0</v>
      </c>
      <c r="AG10" s="30">
        <v>0</v>
      </c>
      <c r="AH10" s="30">
        <v>0</v>
      </c>
      <c r="AI10" s="30">
        <f t="shared" si="33"/>
        <v>3.2018317990096463</v>
      </c>
      <c r="AJ10" s="34">
        <f t="shared" si="3"/>
        <v>10948.548383731313</v>
      </c>
      <c r="AM10" s="23"/>
      <c r="AO10" s="20" t="str">
        <f t="shared" si="4"/>
        <v>INDONESIA</v>
      </c>
      <c r="AP10" s="20">
        <f t="shared" si="5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12"/>
        <v>21647.673447184206</v>
      </c>
      <c r="AV10" s="30">
        <f t="shared" si="13"/>
        <v>73504.983352393174</v>
      </c>
      <c r="AW10" s="30">
        <f t="shared" si="14"/>
        <v>17270.4783840651</v>
      </c>
      <c r="AX10" s="30">
        <f t="shared" si="15"/>
        <v>199014.53997957011</v>
      </c>
      <c r="AY10" s="30">
        <f t="shared" si="16"/>
        <v>53412.298889079058</v>
      </c>
      <c r="AZ10" s="30">
        <f t="shared" si="17"/>
        <v>31761.466554796309</v>
      </c>
      <c r="BA10" s="30">
        <f t="shared" si="18"/>
        <v>17975.578746864729</v>
      </c>
      <c r="BB10" s="30">
        <v>999</v>
      </c>
      <c r="BC10" s="30">
        <v>999</v>
      </c>
      <c r="BD10" s="30">
        <f t="shared" si="6"/>
        <v>414587.01935395272</v>
      </c>
      <c r="BF10" s="23"/>
      <c r="BG10" s="19"/>
      <c r="BH10" s="20" t="str">
        <f t="shared" si="19"/>
        <v>INDONESIA</v>
      </c>
      <c r="BI10" s="20">
        <f t="shared" si="19"/>
        <v>2025</v>
      </c>
      <c r="BJ10" s="25">
        <f t="shared" si="7"/>
        <v>7.7325008659646116E-2</v>
      </c>
      <c r="BK10" s="43">
        <f t="shared" si="8"/>
        <v>2.8975448466971504E-4</v>
      </c>
      <c r="BL10" s="34">
        <f t="shared" si="20"/>
        <v>144877.20072279969</v>
      </c>
      <c r="BP10" s="23"/>
    </row>
    <row r="11" spans="1:68" x14ac:dyDescent="0.25">
      <c r="A11" s="19"/>
      <c r="B11" s="20" t="str">
        <f t="shared" si="0"/>
        <v>INDONESIA</v>
      </c>
      <c r="C11" s="20">
        <f t="shared" si="0"/>
        <v>2026</v>
      </c>
      <c r="D11" s="30">
        <f t="shared" si="21"/>
        <v>35665.915189426109</v>
      </c>
      <c r="E11" s="30">
        <f t="shared" si="22"/>
        <v>13321.018266550465</v>
      </c>
      <c r="F11" s="30">
        <f t="shared" si="23"/>
        <v>53544.014112504839</v>
      </c>
      <c r="G11" s="30">
        <f t="shared" si="24"/>
        <v>10783.062534040451</v>
      </c>
      <c r="H11" s="30">
        <f t="shared" si="25"/>
        <v>4304.5265528157915</v>
      </c>
      <c r="I11" s="30">
        <f t="shared" si="26"/>
        <v>7275.6566476068247</v>
      </c>
      <c r="J11" s="30">
        <f t="shared" si="27"/>
        <v>2284.1416159349019</v>
      </c>
      <c r="K11" s="30">
        <f t="shared" si="28"/>
        <v>8900.9800204299136</v>
      </c>
      <c r="L11" s="30">
        <f t="shared" si="29"/>
        <v>10863.703605797204</v>
      </c>
      <c r="M11" s="30">
        <f t="shared" si="30"/>
        <v>1035.3834452036915</v>
      </c>
      <c r="N11" s="30">
        <f t="shared" si="31"/>
        <v>12.421253135271691</v>
      </c>
      <c r="O11" s="30">
        <f t="shared" si="32"/>
        <v>2.7454285255776193E-14</v>
      </c>
      <c r="P11" s="30">
        <f>BL11/((VLOOKUP(P$3,tech_data!$B$2:$G$15,6,FALSE)/100)*24*365)</f>
        <v>40.213262570939456</v>
      </c>
      <c r="Q11" s="30">
        <f t="shared" si="10"/>
        <v>147990.82324344545</v>
      </c>
      <c r="R11" s="30"/>
      <c r="S11" s="36"/>
      <c r="T11" s="19"/>
      <c r="U11" s="20" t="str">
        <f t="shared" si="1"/>
        <v>INDONESIA</v>
      </c>
      <c r="V11" s="20">
        <f t="shared" si="2"/>
        <v>2026</v>
      </c>
      <c r="W11" s="30">
        <v>0</v>
      </c>
      <c r="X11" s="30">
        <v>0</v>
      </c>
      <c r="Y11" s="30">
        <v>9673.5722472588823</v>
      </c>
      <c r="Z11" s="30">
        <v>613.8178930935037</v>
      </c>
      <c r="AA11" s="30">
        <v>1.1368683772161603E-13</v>
      </c>
      <c r="AB11" s="30">
        <v>0</v>
      </c>
      <c r="AC11" s="30">
        <v>0</v>
      </c>
      <c r="AD11" s="30">
        <v>0</v>
      </c>
      <c r="AE11" s="30">
        <v>3629.0024948762625</v>
      </c>
      <c r="AF11" s="30">
        <v>0</v>
      </c>
      <c r="AG11" s="30">
        <v>0</v>
      </c>
      <c r="AH11" s="30">
        <v>0</v>
      </c>
      <c r="AI11" s="30">
        <f t="shared" si="33"/>
        <v>3.4610553860587672</v>
      </c>
      <c r="AJ11" s="34">
        <f t="shared" si="3"/>
        <v>13919.853690614706</v>
      </c>
      <c r="AM11" s="23"/>
      <c r="AO11" s="20" t="str">
        <f t="shared" si="4"/>
        <v>INDONESIA</v>
      </c>
      <c r="AP11" s="20">
        <f t="shared" si="5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12"/>
        <v>21647.673447184206</v>
      </c>
      <c r="AV11" s="30">
        <f t="shared" si="13"/>
        <v>73504.983352393174</v>
      </c>
      <c r="AW11" s="30">
        <f t="shared" si="14"/>
        <v>17270.4783840651</v>
      </c>
      <c r="AX11" s="30">
        <f t="shared" si="15"/>
        <v>199014.53997957011</v>
      </c>
      <c r="AY11" s="30">
        <f t="shared" si="16"/>
        <v>49783.296394202793</v>
      </c>
      <c r="AZ11" s="30">
        <f t="shared" si="17"/>
        <v>31761.466554796309</v>
      </c>
      <c r="BA11" s="30">
        <f t="shared" si="18"/>
        <v>17975.578746864729</v>
      </c>
      <c r="BB11" s="30">
        <v>999</v>
      </c>
      <c r="BC11" s="30">
        <v>999</v>
      </c>
      <c r="BD11" s="30">
        <f t="shared" si="6"/>
        <v>410958.01685907645</v>
      </c>
      <c r="BF11" s="23"/>
      <c r="BG11" s="19"/>
      <c r="BH11" s="20" t="str">
        <f t="shared" si="19"/>
        <v>INDONESIA</v>
      </c>
      <c r="BI11" s="20">
        <f t="shared" si="19"/>
        <v>2026</v>
      </c>
      <c r="BJ11" s="25">
        <f t="shared" si="7"/>
        <v>9.2095640514463062E-2</v>
      </c>
      <c r="BK11" s="43">
        <f t="shared" si="8"/>
        <v>2.9301421032043324E-4</v>
      </c>
      <c r="BL11" s="34">
        <f t="shared" si="20"/>
        <v>158520.68105464336</v>
      </c>
      <c r="BP11" s="23"/>
    </row>
    <row r="12" spans="1:68" x14ac:dyDescent="0.25">
      <c r="A12" s="19"/>
      <c r="B12" s="20" t="str">
        <f t="shared" si="0"/>
        <v>INDONESIA</v>
      </c>
      <c r="C12" s="20">
        <f t="shared" si="0"/>
        <v>2027</v>
      </c>
      <c r="D12" s="30">
        <f t="shared" si="21"/>
        <v>35953.516823656057</v>
      </c>
      <c r="E12" s="30">
        <f t="shared" si="22"/>
        <v>13321.018266550465</v>
      </c>
      <c r="F12" s="30">
        <f t="shared" si="23"/>
        <v>64354.986361774601</v>
      </c>
      <c r="G12" s="30">
        <f t="shared" si="24"/>
        <v>11504.987058182036</v>
      </c>
      <c r="H12" s="30">
        <f t="shared" si="25"/>
        <v>4304.5265528157915</v>
      </c>
      <c r="I12" s="30">
        <f t="shared" si="26"/>
        <v>7275.6566476068247</v>
      </c>
      <c r="J12" s="30">
        <f t="shared" si="27"/>
        <v>2284.1416159349019</v>
      </c>
      <c r="K12" s="30">
        <f t="shared" si="28"/>
        <v>8900.9800204299136</v>
      </c>
      <c r="L12" s="30">
        <f t="shared" si="29"/>
        <v>15116.043839039698</v>
      </c>
      <c r="M12" s="30">
        <f t="shared" si="30"/>
        <v>1035.3834452036915</v>
      </c>
      <c r="N12" s="30">
        <f t="shared" si="31"/>
        <v>12.421253135271691</v>
      </c>
      <c r="O12" s="30">
        <f t="shared" si="32"/>
        <v>2.7454285255776193E-14</v>
      </c>
      <c r="P12" s="30">
        <f>BL12/((VLOOKUP(P$3,tech_data!$B$2:$G$15,6,FALSE)/100)*24*365)</f>
        <v>44.265854690261541</v>
      </c>
      <c r="Q12" s="30">
        <f t="shared" si="10"/>
        <v>164063.66188432925</v>
      </c>
      <c r="R12" s="30"/>
      <c r="S12" s="36"/>
      <c r="T12" s="19"/>
      <c r="U12" s="20" t="str">
        <f t="shared" si="1"/>
        <v>INDONESIA</v>
      </c>
      <c r="V12" s="20">
        <f t="shared" si="2"/>
        <v>2027</v>
      </c>
      <c r="W12" s="30">
        <v>287.60163422994447</v>
      </c>
      <c r="X12" s="30">
        <v>0</v>
      </c>
      <c r="Y12" s="30">
        <v>10810.972249269758</v>
      </c>
      <c r="Z12" s="30">
        <v>721.92452414158527</v>
      </c>
      <c r="AA12" s="30">
        <v>0</v>
      </c>
      <c r="AB12" s="30">
        <v>0</v>
      </c>
      <c r="AC12" s="30">
        <v>0</v>
      </c>
      <c r="AD12" s="30">
        <v>5.6843418860808015E-14</v>
      </c>
      <c r="AE12" s="30">
        <v>4252.3402332424939</v>
      </c>
      <c r="AF12" s="30">
        <v>0</v>
      </c>
      <c r="AG12" s="30">
        <v>0</v>
      </c>
      <c r="AH12" s="30">
        <v>0</v>
      </c>
      <c r="AI12" s="30">
        <f t="shared" si="33"/>
        <v>4.0525921193220853</v>
      </c>
      <c r="AJ12" s="34">
        <f t="shared" si="3"/>
        <v>16076.891233003103</v>
      </c>
      <c r="AM12" s="23"/>
      <c r="AO12" s="20" t="str">
        <f t="shared" si="4"/>
        <v>INDONESIA</v>
      </c>
      <c r="AP12" s="20">
        <f t="shared" si="5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12"/>
        <v>21647.673447184206</v>
      </c>
      <c r="AV12" s="30">
        <f t="shared" si="13"/>
        <v>73504.983352393174</v>
      </c>
      <c r="AW12" s="30">
        <f t="shared" si="14"/>
        <v>17270.4783840651</v>
      </c>
      <c r="AX12" s="30">
        <f t="shared" si="15"/>
        <v>199014.53997957011</v>
      </c>
      <c r="AY12" s="30">
        <f t="shared" si="16"/>
        <v>45530.956160960297</v>
      </c>
      <c r="AZ12" s="30">
        <f t="shared" si="17"/>
        <v>31761.466554796309</v>
      </c>
      <c r="BA12" s="30">
        <f t="shared" si="18"/>
        <v>17975.578746864729</v>
      </c>
      <c r="BB12" s="30">
        <v>999</v>
      </c>
      <c r="BC12" s="30">
        <v>999</v>
      </c>
      <c r="BD12" s="30">
        <f t="shared" si="6"/>
        <v>406705.67662583396</v>
      </c>
      <c r="BF12" s="23"/>
      <c r="BG12" s="19"/>
      <c r="BH12" s="20" t="str">
        <f t="shared" si="19"/>
        <v>INDONESIA</v>
      </c>
      <c r="BI12" s="20">
        <f t="shared" si="19"/>
        <v>2027</v>
      </c>
      <c r="BJ12" s="25">
        <f t="shared" si="7"/>
        <v>0.10679477697681135</v>
      </c>
      <c r="BK12" s="43">
        <f t="shared" si="8"/>
        <v>2.9625815767764111E-4</v>
      </c>
      <c r="BL12" s="34">
        <f t="shared" si="20"/>
        <v>174495.99918901103</v>
      </c>
      <c r="BP12" s="23"/>
    </row>
    <row r="13" spans="1:68" x14ac:dyDescent="0.25">
      <c r="A13" s="19"/>
      <c r="B13" s="20" t="str">
        <f t="shared" si="0"/>
        <v>INDONESIA</v>
      </c>
      <c r="C13" s="20">
        <f t="shared" si="0"/>
        <v>2028</v>
      </c>
      <c r="D13" s="30">
        <f t="shared" si="21"/>
        <v>37590.106812605198</v>
      </c>
      <c r="E13" s="30">
        <f t="shared" si="22"/>
        <v>13321.018266550465</v>
      </c>
      <c r="F13" s="30">
        <f t="shared" si="23"/>
        <v>68667.903972193235</v>
      </c>
      <c r="G13" s="30">
        <f t="shared" si="24"/>
        <v>11868.304186582858</v>
      </c>
      <c r="H13" s="30">
        <f t="shared" si="25"/>
        <v>4304.5265528157915</v>
      </c>
      <c r="I13" s="30">
        <f t="shared" si="26"/>
        <v>7275.6566476068247</v>
      </c>
      <c r="J13" s="30">
        <f t="shared" si="27"/>
        <v>2284.1416159349019</v>
      </c>
      <c r="K13" s="30">
        <f t="shared" si="28"/>
        <v>8900.9800204299136</v>
      </c>
      <c r="L13" s="30">
        <f t="shared" si="29"/>
        <v>18143.906580272851</v>
      </c>
      <c r="M13" s="30">
        <f t="shared" si="30"/>
        <v>1035.3834452036915</v>
      </c>
      <c r="N13" s="30">
        <f t="shared" si="31"/>
        <v>12.421253135271691</v>
      </c>
      <c r="O13" s="30">
        <f t="shared" si="32"/>
        <v>3.1006998934576694E-14</v>
      </c>
      <c r="P13" s="30">
        <f>BL13/((VLOOKUP(P$3,tech_data!$B$2:$G$15,6,FALSE)/100)*24*365)</f>
        <v>46.931640173705226</v>
      </c>
      <c r="Q13" s="30">
        <f t="shared" si="10"/>
        <v>173404.34935333102</v>
      </c>
      <c r="R13" s="30"/>
      <c r="S13" s="36"/>
      <c r="T13" s="19"/>
      <c r="U13" s="20" t="str">
        <f t="shared" si="1"/>
        <v>INDONESIA</v>
      </c>
      <c r="V13" s="20">
        <f t="shared" si="2"/>
        <v>2028</v>
      </c>
      <c r="W13" s="30">
        <v>1636.5899889491425</v>
      </c>
      <c r="X13" s="30">
        <v>0</v>
      </c>
      <c r="Y13" s="30">
        <v>4312.9176104186272</v>
      </c>
      <c r="Z13" s="30">
        <v>363.31712840082156</v>
      </c>
      <c r="AA13" s="30">
        <v>0</v>
      </c>
      <c r="AB13" s="30">
        <v>0</v>
      </c>
      <c r="AC13" s="30">
        <v>0</v>
      </c>
      <c r="AD13" s="30">
        <v>0</v>
      </c>
      <c r="AE13" s="30">
        <v>3027.8627412331539</v>
      </c>
      <c r="AF13" s="30">
        <v>0</v>
      </c>
      <c r="AG13" s="30">
        <v>0</v>
      </c>
      <c r="AH13" s="30">
        <v>3.5527136788005009E-15</v>
      </c>
      <c r="AI13" s="30">
        <f t="shared" si="33"/>
        <v>2.6657854834436847</v>
      </c>
      <c r="AJ13" s="34">
        <f t="shared" si="3"/>
        <v>9343.3532544851878</v>
      </c>
      <c r="AM13" s="23"/>
      <c r="AO13" s="20" t="str">
        <f t="shared" si="4"/>
        <v>INDONESIA</v>
      </c>
      <c r="AP13" s="20">
        <f t="shared" si="5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12"/>
        <v>21647.673447184206</v>
      </c>
      <c r="AV13" s="30">
        <f t="shared" si="13"/>
        <v>73504.983352393174</v>
      </c>
      <c r="AW13" s="30">
        <f t="shared" si="14"/>
        <v>17270.4783840651</v>
      </c>
      <c r="AX13" s="30">
        <f t="shared" si="15"/>
        <v>199014.53997957011</v>
      </c>
      <c r="AY13" s="30">
        <f t="shared" si="16"/>
        <v>42503.093419727142</v>
      </c>
      <c r="AZ13" s="30">
        <f t="shared" si="17"/>
        <v>31761.466554796309</v>
      </c>
      <c r="BA13" s="30">
        <f t="shared" si="18"/>
        <v>17975.578746864729</v>
      </c>
      <c r="BB13" s="30">
        <v>999</v>
      </c>
      <c r="BC13" s="30">
        <v>999</v>
      </c>
      <c r="BD13" s="30">
        <f t="shared" si="6"/>
        <v>403677.81388460082</v>
      </c>
      <c r="BF13" s="23"/>
      <c r="BG13" s="19"/>
      <c r="BH13" s="20" t="str">
        <f t="shared" si="19"/>
        <v>INDONESIA</v>
      </c>
      <c r="BI13" s="20">
        <f t="shared" si="19"/>
        <v>2028</v>
      </c>
      <c r="BJ13" s="25">
        <f t="shared" si="7"/>
        <v>0.11647504264876213</v>
      </c>
      <c r="BK13" s="43">
        <f t="shared" si="8"/>
        <v>2.9839449217076129E-4</v>
      </c>
      <c r="BL13" s="34">
        <f t="shared" si="20"/>
        <v>185004.52556474603</v>
      </c>
      <c r="BP13" s="23"/>
    </row>
    <row r="14" spans="1:68" x14ac:dyDescent="0.25">
      <c r="A14" s="19"/>
      <c r="B14" s="20" t="str">
        <f t="shared" si="0"/>
        <v>INDONESIA</v>
      </c>
      <c r="C14" s="20">
        <f t="shared" si="0"/>
        <v>2029</v>
      </c>
      <c r="D14" s="30">
        <f t="shared" si="21"/>
        <v>39321.54123382354</v>
      </c>
      <c r="E14" s="30">
        <f t="shared" si="22"/>
        <v>13321.018266550465</v>
      </c>
      <c r="F14" s="30">
        <f t="shared" si="23"/>
        <v>73256.968232129468</v>
      </c>
      <c r="G14" s="30">
        <f t="shared" si="24"/>
        <v>12250.000532879792</v>
      </c>
      <c r="H14" s="30">
        <f t="shared" si="25"/>
        <v>4304.5265528157915</v>
      </c>
      <c r="I14" s="30">
        <f t="shared" si="26"/>
        <v>7275.6566476068247</v>
      </c>
      <c r="J14" s="30">
        <f t="shared" si="27"/>
        <v>2284.1416159349019</v>
      </c>
      <c r="K14" s="30">
        <f t="shared" si="28"/>
        <v>8900.9800204299136</v>
      </c>
      <c r="L14" s="30">
        <f t="shared" si="29"/>
        <v>21394.150342422272</v>
      </c>
      <c r="M14" s="30">
        <f t="shared" si="30"/>
        <v>1035.3834452036915</v>
      </c>
      <c r="N14" s="30">
        <f t="shared" si="31"/>
        <v>12.421253135271691</v>
      </c>
      <c r="O14" s="30">
        <f t="shared" si="32"/>
        <v>3.1006998934576694E-14</v>
      </c>
      <c r="P14" s="30">
        <f>BL14/((VLOOKUP(P$3,tech_data!$B$2:$G$15,6,FALSE)/100)*24*365)</f>
        <v>49.774062705331261</v>
      </c>
      <c r="Q14" s="30">
        <f t="shared" si="10"/>
        <v>183356.78814293194</v>
      </c>
      <c r="R14" s="30"/>
      <c r="S14" s="36"/>
      <c r="T14" s="19"/>
      <c r="U14" s="20" t="str">
        <f t="shared" si="1"/>
        <v>INDONESIA</v>
      </c>
      <c r="V14" s="20">
        <f t="shared" si="2"/>
        <v>2029</v>
      </c>
      <c r="W14" s="30">
        <v>1731.4344212183407</v>
      </c>
      <c r="X14" s="30">
        <v>0</v>
      </c>
      <c r="Y14" s="30">
        <v>4589.0642599362363</v>
      </c>
      <c r="Z14" s="30">
        <v>381.69634629693411</v>
      </c>
      <c r="AA14" s="30">
        <v>0</v>
      </c>
      <c r="AB14" s="30">
        <v>0</v>
      </c>
      <c r="AC14" s="30">
        <v>0</v>
      </c>
      <c r="AD14" s="30">
        <v>0</v>
      </c>
      <c r="AE14" s="30">
        <v>3250.2437621494196</v>
      </c>
      <c r="AF14" s="30">
        <v>0</v>
      </c>
      <c r="AG14" s="30">
        <v>0</v>
      </c>
      <c r="AH14" s="30">
        <v>0</v>
      </c>
      <c r="AI14" s="30">
        <f t="shared" si="33"/>
        <v>2.8424225316260348</v>
      </c>
      <c r="AJ14" s="34">
        <f t="shared" si="3"/>
        <v>9955.2812121325569</v>
      </c>
      <c r="AM14" s="23"/>
      <c r="AO14" s="20" t="str">
        <f t="shared" si="4"/>
        <v>INDONESIA</v>
      </c>
      <c r="AP14" s="20">
        <f t="shared" si="5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12"/>
        <v>21647.673447184206</v>
      </c>
      <c r="AV14" s="30">
        <f t="shared" si="13"/>
        <v>73504.983352393174</v>
      </c>
      <c r="AW14" s="30">
        <f t="shared" si="14"/>
        <v>17270.4783840651</v>
      </c>
      <c r="AX14" s="30">
        <f t="shared" si="15"/>
        <v>199014.53997957011</v>
      </c>
      <c r="AY14" s="30">
        <f t="shared" si="16"/>
        <v>39252.849657577724</v>
      </c>
      <c r="AZ14" s="30">
        <f t="shared" si="17"/>
        <v>31761.466554796309</v>
      </c>
      <c r="BA14" s="30">
        <f t="shared" si="18"/>
        <v>17975.578746864729</v>
      </c>
      <c r="BB14" s="30">
        <v>999</v>
      </c>
      <c r="BC14" s="30">
        <v>999</v>
      </c>
      <c r="BD14" s="30">
        <f t="shared" si="6"/>
        <v>400427.57012245135</v>
      </c>
      <c r="BF14" s="23"/>
      <c r="BG14" s="19"/>
      <c r="BH14" s="20" t="str">
        <f t="shared" si="19"/>
        <v>INDONESIA</v>
      </c>
      <c r="BI14" s="20">
        <f t="shared" si="19"/>
        <v>2029</v>
      </c>
      <c r="BJ14" s="25">
        <f t="shared" si="7"/>
        <v>0.12589722059313041</v>
      </c>
      <c r="BK14" s="43">
        <f t="shared" si="8"/>
        <v>3.0047386937227707E-4</v>
      </c>
      <c r="BL14" s="34">
        <f t="shared" si="20"/>
        <v>196209.35518441585</v>
      </c>
      <c r="BP14" s="23"/>
    </row>
    <row r="15" spans="1:68" x14ac:dyDescent="0.25">
      <c r="A15" s="19"/>
      <c r="B15" s="20" t="str">
        <f t="shared" si="0"/>
        <v>INDONESIA</v>
      </c>
      <c r="C15" s="20">
        <f t="shared" si="0"/>
        <v>2030</v>
      </c>
      <c r="D15" s="30">
        <f t="shared" si="21"/>
        <v>43678.975193557766</v>
      </c>
      <c r="E15" s="30">
        <f t="shared" si="22"/>
        <v>13509.107543420712</v>
      </c>
      <c r="F15" s="30">
        <f t="shared" si="23"/>
        <v>73480.041155960047</v>
      </c>
      <c r="G15" s="30">
        <f t="shared" si="24"/>
        <v>12648.463515219612</v>
      </c>
      <c r="H15" s="30">
        <f t="shared" si="25"/>
        <v>5674.4663384730939</v>
      </c>
      <c r="I15" s="30">
        <f t="shared" si="26"/>
        <v>7379.9666332453844</v>
      </c>
      <c r="J15" s="30">
        <f t="shared" si="27"/>
        <v>2461.7750608555939</v>
      </c>
      <c r="K15" s="30">
        <f t="shared" si="28"/>
        <v>8900.9800204299136</v>
      </c>
      <c r="L15" s="30">
        <f t="shared" si="29"/>
        <v>21490.173103222594</v>
      </c>
      <c r="M15" s="30">
        <f t="shared" si="30"/>
        <v>1035.3834452036915</v>
      </c>
      <c r="N15" s="30">
        <f t="shared" si="31"/>
        <v>12.421253135271691</v>
      </c>
      <c r="O15" s="30">
        <f t="shared" si="32"/>
        <v>3.1006998934576694E-14</v>
      </c>
      <c r="P15" s="30">
        <f>BL15/((VLOOKUP(P$3,tech_data!$B$2:$G$15,6,FALSE)/100)*24*365)</f>
        <v>52.211752148370728</v>
      </c>
      <c r="Q15" s="30">
        <f t="shared" si="10"/>
        <v>190271.75326272365</v>
      </c>
      <c r="R15" s="30"/>
      <c r="S15" s="36"/>
      <c r="T15" s="19"/>
      <c r="U15" s="20" t="str">
        <f t="shared" si="1"/>
        <v>INDONESIA</v>
      </c>
      <c r="V15" s="20">
        <f t="shared" si="2"/>
        <v>2030</v>
      </c>
      <c r="W15" s="30">
        <v>4357.4339597342287</v>
      </c>
      <c r="X15" s="30">
        <v>188.08927687024737</v>
      </c>
      <c r="Y15" s="30">
        <v>223.07292383058484</v>
      </c>
      <c r="Z15" s="30">
        <v>398.46298233981855</v>
      </c>
      <c r="AA15" s="30">
        <v>1369.9397856573023</v>
      </c>
      <c r="AB15" s="30">
        <v>104.30998563856001</v>
      </c>
      <c r="AC15" s="30">
        <v>177.633444920692</v>
      </c>
      <c r="AD15" s="30">
        <v>0</v>
      </c>
      <c r="AE15" s="30">
        <v>96.02276080032081</v>
      </c>
      <c r="AF15" s="30">
        <v>0</v>
      </c>
      <c r="AG15" s="30">
        <v>0</v>
      </c>
      <c r="AH15" s="30">
        <v>0</v>
      </c>
      <c r="AI15" s="30">
        <f t="shared" si="33"/>
        <v>2.4376894430394671</v>
      </c>
      <c r="AJ15" s="34">
        <f t="shared" si="3"/>
        <v>6917.4028092347935</v>
      </c>
      <c r="AM15" s="23"/>
      <c r="AO15" s="20" t="str">
        <f t="shared" si="4"/>
        <v>INDONESIA</v>
      </c>
      <c r="AP15" s="20">
        <f t="shared" si="5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12"/>
        <v>20277.733661526905</v>
      </c>
      <c r="AV15" s="30">
        <f t="shared" si="13"/>
        <v>73400.673366754607</v>
      </c>
      <c r="AW15" s="30">
        <f t="shared" si="14"/>
        <v>17092.844939144408</v>
      </c>
      <c r="AX15" s="30">
        <f t="shared" si="15"/>
        <v>199014.53997957011</v>
      </c>
      <c r="AY15" s="30">
        <f t="shared" si="16"/>
        <v>39156.826896777406</v>
      </c>
      <c r="AZ15" s="30">
        <f t="shared" si="17"/>
        <v>31761.466554796309</v>
      </c>
      <c r="BA15" s="30">
        <f t="shared" si="18"/>
        <v>17975.578746864729</v>
      </c>
      <c r="BB15" s="30">
        <v>999</v>
      </c>
      <c r="BC15" s="30">
        <v>999</v>
      </c>
      <c r="BD15" s="30">
        <f t="shared" si="6"/>
        <v>398679.66414543445</v>
      </c>
      <c r="BF15" s="23"/>
      <c r="BG15" s="19"/>
      <c r="BH15" s="20" t="str">
        <f t="shared" si="19"/>
        <v>INDONESIA</v>
      </c>
      <c r="BI15" s="20">
        <f t="shared" si="19"/>
        <v>2030</v>
      </c>
      <c r="BJ15" s="25">
        <f t="shared" si="7"/>
        <v>0.119921776409152</v>
      </c>
      <c r="BK15" s="43">
        <f t="shared" si="8"/>
        <v>2.9915515065581286E-4</v>
      </c>
      <c r="BL15" s="34">
        <f t="shared" si="20"/>
        <v>205818.72696887742</v>
      </c>
      <c r="BP15" s="23"/>
    </row>
    <row r="16" spans="1:68" x14ac:dyDescent="0.25">
      <c r="A16" s="19"/>
      <c r="B16" s="20" t="str">
        <f t="shared" si="0"/>
        <v>INDONESIA</v>
      </c>
      <c r="C16" s="20">
        <f t="shared" si="0"/>
        <v>2031</v>
      </c>
      <c r="D16" s="30">
        <f t="shared" si="21"/>
        <v>43678.975193557766</v>
      </c>
      <c r="E16" s="30">
        <f t="shared" si="22"/>
        <v>13509.107543420712</v>
      </c>
      <c r="F16" s="30">
        <f t="shared" si="23"/>
        <v>82691.640639605423</v>
      </c>
      <c r="G16" s="30">
        <f t="shared" si="24"/>
        <v>13116.154369958818</v>
      </c>
      <c r="H16" s="30">
        <f t="shared" si="25"/>
        <v>5674.4663384730939</v>
      </c>
      <c r="I16" s="30">
        <f t="shared" si="26"/>
        <v>7379.9666332453844</v>
      </c>
      <c r="J16" s="30">
        <f t="shared" si="27"/>
        <v>2461.7750608555939</v>
      </c>
      <c r="K16" s="30">
        <f t="shared" si="28"/>
        <v>8900.9800204299136</v>
      </c>
      <c r="L16" s="30">
        <f t="shared" si="29"/>
        <v>25447.065654833212</v>
      </c>
      <c r="M16" s="30">
        <f t="shared" si="30"/>
        <v>1035.3834452036915</v>
      </c>
      <c r="N16" s="30">
        <f t="shared" si="31"/>
        <v>12.421253135271691</v>
      </c>
      <c r="O16" s="30">
        <f t="shared" si="32"/>
        <v>0</v>
      </c>
      <c r="P16" s="30">
        <f>BL16/((VLOOKUP(P$3,tech_data!$B$2:$G$15,6,FALSE)/100)*24*365)</f>
        <v>55.660069369463713</v>
      </c>
      <c r="Q16" s="30">
        <f t="shared" si="10"/>
        <v>203907.93615271884</v>
      </c>
      <c r="R16" s="30"/>
      <c r="S16" s="36"/>
      <c r="T16" s="19"/>
      <c r="U16" s="20" t="str">
        <f t="shared" si="1"/>
        <v>INDONESIA</v>
      </c>
      <c r="V16" s="20">
        <f t="shared" si="2"/>
        <v>2031</v>
      </c>
      <c r="W16" s="30">
        <v>0</v>
      </c>
      <c r="X16" s="30">
        <v>0</v>
      </c>
      <c r="Y16" s="30">
        <v>9211.5994836453701</v>
      </c>
      <c r="Z16" s="30">
        <v>467.69085473920603</v>
      </c>
      <c r="AA16" s="30">
        <v>0</v>
      </c>
      <c r="AB16" s="30">
        <v>0</v>
      </c>
      <c r="AC16" s="30">
        <v>0</v>
      </c>
      <c r="AD16" s="30">
        <v>1.4210854715202004E-14</v>
      </c>
      <c r="AE16" s="30">
        <v>3956.892551610616</v>
      </c>
      <c r="AF16" s="30">
        <v>0</v>
      </c>
      <c r="AG16" s="30">
        <v>0</v>
      </c>
      <c r="AH16" s="30">
        <v>-3.1006998934576694E-14</v>
      </c>
      <c r="AI16" s="30">
        <f t="shared" si="33"/>
        <v>3.4483172210929851</v>
      </c>
      <c r="AJ16" s="34">
        <f t="shared" si="3"/>
        <v>13639.631207216285</v>
      </c>
      <c r="AM16" s="23"/>
      <c r="AO16" s="20" t="str">
        <f t="shared" si="4"/>
        <v>INDONESIA</v>
      </c>
      <c r="AP16" s="20">
        <f t="shared" si="5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12"/>
        <v>20277.733661526905</v>
      </c>
      <c r="AV16" s="30">
        <f t="shared" si="13"/>
        <v>73400.673366754607</v>
      </c>
      <c r="AW16" s="30">
        <f t="shared" si="14"/>
        <v>17092.844939144408</v>
      </c>
      <c r="AX16" s="30">
        <f t="shared" si="15"/>
        <v>199014.53997957011</v>
      </c>
      <c r="AY16" s="30">
        <f t="shared" si="16"/>
        <v>35199.934345166788</v>
      </c>
      <c r="AZ16" s="30">
        <f t="shared" si="17"/>
        <v>31761.466554796309</v>
      </c>
      <c r="BA16" s="30">
        <f t="shared" si="18"/>
        <v>17975.578746864729</v>
      </c>
      <c r="BB16" s="30">
        <v>999</v>
      </c>
      <c r="BC16" s="30">
        <v>999</v>
      </c>
      <c r="BD16" s="30">
        <f t="shared" si="6"/>
        <v>394722.77159382385</v>
      </c>
      <c r="BF16" s="23"/>
      <c r="BG16" s="19"/>
      <c r="BH16" s="20" t="str">
        <f t="shared" si="19"/>
        <v>INDONESIA</v>
      </c>
      <c r="BI16" s="20">
        <f t="shared" si="19"/>
        <v>2031</v>
      </c>
      <c r="BJ16" s="25">
        <f t="shared" si="7"/>
        <v>0.13004931172956083</v>
      </c>
      <c r="BK16" s="43">
        <f t="shared" si="8"/>
        <v>3.0139019293342034E-4</v>
      </c>
      <c r="BL16" s="34">
        <f t="shared" si="20"/>
        <v>219411.99345442597</v>
      </c>
      <c r="BP16" s="23"/>
    </row>
    <row r="17" spans="1:84" x14ac:dyDescent="0.25">
      <c r="A17" s="19"/>
      <c r="B17" s="20" t="str">
        <f t="shared" si="0"/>
        <v>INDONESIA</v>
      </c>
      <c r="C17" s="20">
        <f t="shared" si="0"/>
        <v>2032</v>
      </c>
      <c r="D17" s="30">
        <f t="shared" si="21"/>
        <v>45473.136790505858</v>
      </c>
      <c r="E17" s="30">
        <f t="shared" si="22"/>
        <v>13509.107543420712</v>
      </c>
      <c r="F17" s="30">
        <f t="shared" si="23"/>
        <v>89424.82218025974</v>
      </c>
      <c r="G17" s="30">
        <f t="shared" si="24"/>
        <v>13613.069003963228</v>
      </c>
      <c r="H17" s="30">
        <f t="shared" si="25"/>
        <v>5674.4663384730939</v>
      </c>
      <c r="I17" s="30">
        <f t="shared" si="26"/>
        <v>7379.9666332453844</v>
      </c>
      <c r="J17" s="30">
        <f t="shared" si="27"/>
        <v>2461.7750608555939</v>
      </c>
      <c r="K17" s="30">
        <f t="shared" si="28"/>
        <v>9650.6282951936773</v>
      </c>
      <c r="L17" s="30">
        <f t="shared" si="29"/>
        <v>29284.989059172032</v>
      </c>
      <c r="M17" s="30">
        <f t="shared" si="30"/>
        <v>1035.3834452036915</v>
      </c>
      <c r="N17" s="30">
        <f t="shared" si="31"/>
        <v>12.421253135271691</v>
      </c>
      <c r="O17" s="30">
        <f t="shared" si="32"/>
        <v>0</v>
      </c>
      <c r="P17" s="30">
        <f>BL17/((VLOOKUP(P$3,tech_data!$B$2:$G$15,6,FALSE)/100)*24*365)</f>
        <v>59.37265845893085</v>
      </c>
      <c r="Q17" s="30">
        <f t="shared" si="10"/>
        <v>217519.7656034283</v>
      </c>
      <c r="R17" s="30"/>
      <c r="S17" s="36"/>
      <c r="T17" s="19"/>
      <c r="U17" s="20" t="str">
        <f t="shared" si="1"/>
        <v>INDONESIA</v>
      </c>
      <c r="V17" s="20">
        <f t="shared" si="2"/>
        <v>2032</v>
      </c>
      <c r="W17" s="30">
        <v>1794.1615969480943</v>
      </c>
      <c r="X17" s="30">
        <v>0</v>
      </c>
      <c r="Y17" s="30">
        <v>6733.1815406543164</v>
      </c>
      <c r="Z17" s="30">
        <v>496.91463400441012</v>
      </c>
      <c r="AA17" s="30">
        <v>0</v>
      </c>
      <c r="AB17" s="30">
        <v>0</v>
      </c>
      <c r="AC17" s="30">
        <v>0</v>
      </c>
      <c r="AD17" s="30">
        <v>749.64827476376422</v>
      </c>
      <c r="AE17" s="30">
        <v>3837.9234043388215</v>
      </c>
      <c r="AF17" s="30">
        <v>0</v>
      </c>
      <c r="AG17" s="30">
        <v>0</v>
      </c>
      <c r="AH17" s="30">
        <v>0</v>
      </c>
      <c r="AI17" s="30">
        <f t="shared" si="33"/>
        <v>3.7125890894671372</v>
      </c>
      <c r="AJ17" s="34">
        <f t="shared" si="3"/>
        <v>13615.542039798875</v>
      </c>
      <c r="AM17" s="23"/>
      <c r="AO17" s="20" t="str">
        <f t="shared" si="4"/>
        <v>INDONESIA</v>
      </c>
      <c r="AP17" s="20">
        <f t="shared" si="5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12"/>
        <v>20277.733661526905</v>
      </c>
      <c r="AV17" s="30">
        <f t="shared" si="13"/>
        <v>73400.673366754607</v>
      </c>
      <c r="AW17" s="30">
        <f t="shared" si="14"/>
        <v>17092.844939144408</v>
      </c>
      <c r="AX17" s="30">
        <f t="shared" si="15"/>
        <v>198264.89170480633</v>
      </c>
      <c r="AY17" s="30">
        <f t="shared" si="16"/>
        <v>31362.010940827968</v>
      </c>
      <c r="AZ17" s="30">
        <f t="shared" si="17"/>
        <v>31761.466554796309</v>
      </c>
      <c r="BA17" s="30">
        <f t="shared" si="18"/>
        <v>17975.578746864729</v>
      </c>
      <c r="BB17" s="30">
        <v>999</v>
      </c>
      <c r="BC17" s="30">
        <v>999</v>
      </c>
      <c r="BD17" s="30">
        <f t="shared" si="6"/>
        <v>390135.19991472131</v>
      </c>
      <c r="BF17" s="23"/>
      <c r="BG17" s="19"/>
      <c r="BH17" s="20" t="str">
        <f t="shared" si="19"/>
        <v>INDONESIA</v>
      </c>
      <c r="BI17" s="20">
        <f t="shared" si="19"/>
        <v>2032</v>
      </c>
      <c r="BJ17" s="25">
        <f t="shared" si="7"/>
        <v>0.1398945835979454</v>
      </c>
      <c r="BK17" s="43">
        <f t="shared" si="8"/>
        <v>3.0356294258713281E-4</v>
      </c>
      <c r="BL17" s="34">
        <f t="shared" si="20"/>
        <v>234047.01964510544</v>
      </c>
      <c r="BP17" s="23"/>
    </row>
    <row r="18" spans="1:84" x14ac:dyDescent="0.25">
      <c r="A18" s="19"/>
      <c r="B18" s="20" t="str">
        <f t="shared" si="0"/>
        <v>INDONESIA</v>
      </c>
      <c r="C18" s="20">
        <f t="shared" si="0"/>
        <v>2033</v>
      </c>
      <c r="D18" s="30">
        <f t="shared" si="21"/>
        <v>47614.964333708056</v>
      </c>
      <c r="E18" s="30">
        <f t="shared" si="22"/>
        <v>13509.107543420712</v>
      </c>
      <c r="F18" s="30">
        <f t="shared" si="23"/>
        <v>95257.004607057432</v>
      </c>
      <c r="G18" s="30">
        <f t="shared" si="24"/>
        <v>14067.532051136583</v>
      </c>
      <c r="H18" s="30">
        <f t="shared" si="25"/>
        <v>5674.4663384730939</v>
      </c>
      <c r="I18" s="30">
        <f t="shared" si="26"/>
        <v>7379.9666332453844</v>
      </c>
      <c r="J18" s="30">
        <f t="shared" si="27"/>
        <v>2461.7750608555939</v>
      </c>
      <c r="K18" s="30">
        <f t="shared" si="28"/>
        <v>10820.623455787914</v>
      </c>
      <c r="L18" s="30">
        <f t="shared" si="29"/>
        <v>32877.816827325092</v>
      </c>
      <c r="M18" s="30">
        <f t="shared" si="30"/>
        <v>1035.3834452036915</v>
      </c>
      <c r="N18" s="30">
        <f t="shared" si="31"/>
        <v>12.421253135271691</v>
      </c>
      <c r="O18" s="30">
        <f t="shared" si="32"/>
        <v>0</v>
      </c>
      <c r="P18" s="30">
        <f>BL18/((VLOOKUP(P$3,tech_data!$B$2:$G$15,6,FALSE)/100)*24*365)</f>
        <v>63.017140979736709</v>
      </c>
      <c r="Q18" s="30">
        <f t="shared" si="10"/>
        <v>230711.06154934879</v>
      </c>
      <c r="R18" s="30"/>
      <c r="S18" s="36"/>
      <c r="T18" s="19"/>
      <c r="U18" s="20" t="str">
        <f t="shared" si="1"/>
        <v>INDONESIA</v>
      </c>
      <c r="V18" s="20">
        <f t="shared" si="2"/>
        <v>2033</v>
      </c>
      <c r="W18" s="30">
        <v>2141.8275432021951</v>
      </c>
      <c r="X18" s="30">
        <v>0</v>
      </c>
      <c r="Y18" s="30">
        <v>5832.1824267976872</v>
      </c>
      <c r="Z18" s="30">
        <v>454.46304717335352</v>
      </c>
      <c r="AA18" s="30">
        <v>0</v>
      </c>
      <c r="AB18" s="30">
        <v>0</v>
      </c>
      <c r="AC18" s="30">
        <v>0</v>
      </c>
      <c r="AD18" s="30">
        <v>1169.9951605942369</v>
      </c>
      <c r="AE18" s="30">
        <v>3592.8277681530617</v>
      </c>
      <c r="AF18" s="30">
        <v>-7.1054273576010019E-15</v>
      </c>
      <c r="AG18" s="30">
        <v>0</v>
      </c>
      <c r="AH18" s="30">
        <v>0</v>
      </c>
      <c r="AI18" s="30">
        <f t="shared" si="33"/>
        <v>3.6444825208058589</v>
      </c>
      <c r="AJ18" s="34">
        <f t="shared" si="3"/>
        <v>13194.940428441341</v>
      </c>
      <c r="AM18" s="23"/>
      <c r="AO18" s="20" t="str">
        <f t="shared" si="4"/>
        <v>INDONESIA</v>
      </c>
      <c r="AP18" s="20">
        <f t="shared" si="5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12"/>
        <v>20277.733661526905</v>
      </c>
      <c r="AV18" s="30">
        <f t="shared" si="13"/>
        <v>73400.673366754607</v>
      </c>
      <c r="AW18" s="30">
        <f t="shared" si="14"/>
        <v>17092.844939144408</v>
      </c>
      <c r="AX18" s="30">
        <f t="shared" si="15"/>
        <v>197094.8965442121</v>
      </c>
      <c r="AY18" s="30">
        <f t="shared" si="16"/>
        <v>27769.183172674908</v>
      </c>
      <c r="AZ18" s="30">
        <f t="shared" si="17"/>
        <v>31761.466554796309</v>
      </c>
      <c r="BA18" s="30">
        <f t="shared" si="18"/>
        <v>17975.578746864729</v>
      </c>
      <c r="BB18" s="30">
        <v>999</v>
      </c>
      <c r="BC18" s="30">
        <v>999</v>
      </c>
      <c r="BD18" s="30">
        <f t="shared" si="6"/>
        <v>385372.37698597403</v>
      </c>
      <c r="BF18" s="23"/>
      <c r="BG18" s="19"/>
      <c r="BH18" s="20" t="str">
        <f t="shared" si="19"/>
        <v>INDONESIA</v>
      </c>
      <c r="BI18" s="20">
        <f t="shared" si="19"/>
        <v>2033</v>
      </c>
      <c r="BJ18" s="25">
        <f t="shared" si="7"/>
        <v>0.1489065823714141</v>
      </c>
      <c r="BK18" s="43">
        <f t="shared" si="8"/>
        <v>3.0555179748886383E-4</v>
      </c>
      <c r="BL18" s="34">
        <f t="shared" si="20"/>
        <v>248413.56974212214</v>
      </c>
      <c r="BP18" s="23"/>
    </row>
    <row r="19" spans="1:84" x14ac:dyDescent="0.25">
      <c r="A19" s="19"/>
      <c r="B19" s="20" t="str">
        <f t="shared" si="0"/>
        <v>INDONESIA</v>
      </c>
      <c r="C19" s="20">
        <f t="shared" si="0"/>
        <v>2034</v>
      </c>
      <c r="D19" s="30">
        <f t="shared" si="21"/>
        <v>50129.188462709622</v>
      </c>
      <c r="E19" s="30">
        <f t="shared" si="22"/>
        <v>13509.107543420712</v>
      </c>
      <c r="F19" s="30">
        <f t="shared" si="23"/>
        <v>102042.58771434176</v>
      </c>
      <c r="G19" s="30">
        <f t="shared" si="24"/>
        <v>14617.079636854778</v>
      </c>
      <c r="H19" s="30">
        <f t="shared" si="25"/>
        <v>5674.4663384730939</v>
      </c>
      <c r="I19" s="30">
        <f t="shared" si="26"/>
        <v>7379.9666332453844</v>
      </c>
      <c r="J19" s="30">
        <f t="shared" si="27"/>
        <v>2461.7750608555939</v>
      </c>
      <c r="K19" s="30">
        <f t="shared" si="28"/>
        <v>12197.237030020246</v>
      </c>
      <c r="L19" s="30">
        <f t="shared" si="29"/>
        <v>37023.461791089554</v>
      </c>
      <c r="M19" s="30">
        <f t="shared" si="30"/>
        <v>1035.3834452036915</v>
      </c>
      <c r="N19" s="30">
        <f t="shared" si="31"/>
        <v>12.421253135271691</v>
      </c>
      <c r="O19" s="30">
        <f t="shared" si="32"/>
        <v>0</v>
      </c>
      <c r="P19" s="30">
        <f>BL19/((VLOOKUP(P$3,tech_data!$B$2:$G$15,6,FALSE)/100)*24*365)</f>
        <v>67.262303846371736</v>
      </c>
      <c r="Q19" s="30">
        <f t="shared" si="10"/>
        <v>246082.67490934971</v>
      </c>
      <c r="R19" s="30"/>
      <c r="S19" s="36"/>
      <c r="T19" s="19"/>
      <c r="U19" s="20" t="str">
        <f t="shared" si="1"/>
        <v>INDONESIA</v>
      </c>
      <c r="V19" s="20">
        <f t="shared" si="2"/>
        <v>2034</v>
      </c>
      <c r="W19" s="30">
        <v>2514.2241290015654</v>
      </c>
      <c r="X19" s="30">
        <v>0</v>
      </c>
      <c r="Y19" s="30">
        <v>6785.5831072843275</v>
      </c>
      <c r="Z19" s="30">
        <v>549.5475857181948</v>
      </c>
      <c r="AA19" s="30">
        <v>0</v>
      </c>
      <c r="AB19" s="30">
        <v>0</v>
      </c>
      <c r="AC19" s="30">
        <v>5.6843418860808015E-14</v>
      </c>
      <c r="AD19" s="30">
        <v>1376.6135742323322</v>
      </c>
      <c r="AE19" s="30">
        <v>4145.6449637644637</v>
      </c>
      <c r="AF19" s="30">
        <v>0</v>
      </c>
      <c r="AG19" s="30">
        <v>0</v>
      </c>
      <c r="AH19" s="30">
        <v>0</v>
      </c>
      <c r="AI19" s="30">
        <f t="shared" si="33"/>
        <v>4.2451628666350274</v>
      </c>
      <c r="AJ19" s="34">
        <f t="shared" si="3"/>
        <v>15375.85852286752</v>
      </c>
      <c r="AM19" s="23"/>
      <c r="AO19" s="20" t="str">
        <f t="shared" si="4"/>
        <v>INDONESIA</v>
      </c>
      <c r="AP19" s="20">
        <f t="shared" si="5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12"/>
        <v>20277.733661526905</v>
      </c>
      <c r="AV19" s="30">
        <f t="shared" si="13"/>
        <v>73400.673366754607</v>
      </c>
      <c r="AW19" s="30">
        <f t="shared" si="14"/>
        <v>17092.844939144408</v>
      </c>
      <c r="AX19" s="30">
        <f t="shared" si="15"/>
        <v>195718.28296997977</v>
      </c>
      <c r="AY19" s="30">
        <f t="shared" si="16"/>
        <v>23623.538208910446</v>
      </c>
      <c r="AZ19" s="30">
        <f t="shared" si="17"/>
        <v>31761.466554796309</v>
      </c>
      <c r="BA19" s="30">
        <f t="shared" si="18"/>
        <v>17975.578746864729</v>
      </c>
      <c r="BB19" s="30">
        <v>999</v>
      </c>
      <c r="BC19" s="30">
        <v>999</v>
      </c>
      <c r="BD19" s="30">
        <f t="shared" si="6"/>
        <v>379850.11844797723</v>
      </c>
      <c r="BF19" s="23"/>
      <c r="BG19" s="19"/>
      <c r="BH19" s="20" t="str">
        <f t="shared" si="19"/>
        <v>INDONESIA</v>
      </c>
      <c r="BI19" s="20">
        <f t="shared" si="19"/>
        <v>2034</v>
      </c>
      <c r="BJ19" s="25">
        <f t="shared" si="7"/>
        <v>0.15817138418713278</v>
      </c>
      <c r="BK19" s="43">
        <f t="shared" si="8"/>
        <v>3.0759644340681554E-4</v>
      </c>
      <c r="BL19" s="34">
        <f t="shared" si="20"/>
        <v>265148.00176239741</v>
      </c>
      <c r="BP19" s="23"/>
    </row>
    <row r="20" spans="1:84" x14ac:dyDescent="0.25">
      <c r="A20" s="19"/>
      <c r="B20" s="20" t="str">
        <f t="shared" ref="B20:C23" si="34">B44</f>
        <v>INDONESIA</v>
      </c>
      <c r="C20" s="20">
        <f t="shared" si="34"/>
        <v>2035</v>
      </c>
      <c r="D20" s="30">
        <f t="shared" si="21"/>
        <v>52603.064471340331</v>
      </c>
      <c r="E20" s="30">
        <f t="shared" si="22"/>
        <v>13509.107543420712</v>
      </c>
      <c r="F20" s="30">
        <f t="shared" si="23"/>
        <v>108835.53002409555</v>
      </c>
      <c r="G20" s="30">
        <f t="shared" si="24"/>
        <v>15139.038049894762</v>
      </c>
      <c r="H20" s="30">
        <f t="shared" si="25"/>
        <v>5674.4663384730939</v>
      </c>
      <c r="I20" s="30">
        <f t="shared" si="26"/>
        <v>7379.9666332453844</v>
      </c>
      <c r="J20" s="30">
        <f t="shared" si="27"/>
        <v>2461.7750608555939</v>
      </c>
      <c r="K20" s="30">
        <f t="shared" si="28"/>
        <v>13702.46721505642</v>
      </c>
      <c r="L20" s="30">
        <f t="shared" si="29"/>
        <v>41194.225184563176</v>
      </c>
      <c r="M20" s="30">
        <f t="shared" si="30"/>
        <v>1035.3834452036915</v>
      </c>
      <c r="N20" s="30">
        <f t="shared" si="31"/>
        <v>12.421253135271691</v>
      </c>
      <c r="O20" s="30">
        <f t="shared" si="32"/>
        <v>0</v>
      </c>
      <c r="P20" s="30">
        <f>BL20/((VLOOKUP(P$3,tech_data!$B$2:$G$15,6,FALSE)/100)*24*365)</f>
        <v>71.525086092052064</v>
      </c>
      <c r="Q20" s="30">
        <f t="shared" si="10"/>
        <v>261547.44521928395</v>
      </c>
      <c r="R20" s="30"/>
      <c r="S20" s="36"/>
      <c r="T20" s="19"/>
      <c r="U20" s="20" t="str">
        <f t="shared" si="1"/>
        <v>INDONESIA</v>
      </c>
      <c r="V20" s="20">
        <f t="shared" si="2"/>
        <v>2035</v>
      </c>
      <c r="W20" s="30">
        <v>2473.8760086307111</v>
      </c>
      <c r="X20" s="30">
        <v>0</v>
      </c>
      <c r="Y20" s="30">
        <v>6792.9423097537938</v>
      </c>
      <c r="Z20" s="30">
        <v>521.95841303998418</v>
      </c>
      <c r="AA20" s="30">
        <v>-3.5527136788005009E-15</v>
      </c>
      <c r="AB20" s="30">
        <v>-1.1368683772161603E-13</v>
      </c>
      <c r="AC20" s="30">
        <v>0</v>
      </c>
      <c r="AD20" s="30">
        <v>1505.2301850361746</v>
      </c>
      <c r="AE20" s="30">
        <v>4170.7633934736241</v>
      </c>
      <c r="AF20" s="30">
        <v>0</v>
      </c>
      <c r="AG20" s="30">
        <v>0</v>
      </c>
      <c r="AH20" s="30">
        <v>0</v>
      </c>
      <c r="AI20" s="30">
        <f t="shared" si="33"/>
        <v>4.2627822456803273</v>
      </c>
      <c r="AJ20" s="34">
        <f t="shared" si="3"/>
        <v>15469.033092179967</v>
      </c>
      <c r="AM20" s="23"/>
      <c r="AO20" s="20" t="str">
        <f t="shared" si="4"/>
        <v>INDONESIA</v>
      </c>
      <c r="AP20" s="20">
        <f t="shared" si="5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12"/>
        <v>20277.733661526905</v>
      </c>
      <c r="AV20" s="30">
        <f t="shared" si="13"/>
        <v>73400.673366754607</v>
      </c>
      <c r="AW20" s="30">
        <f t="shared" si="14"/>
        <v>17092.844939144408</v>
      </c>
      <c r="AX20" s="30">
        <f t="shared" si="15"/>
        <v>194213.0527849436</v>
      </c>
      <c r="AY20" s="30">
        <f t="shared" si="16"/>
        <v>19452.774815436824</v>
      </c>
      <c r="AZ20" s="30">
        <f t="shared" si="17"/>
        <v>31761.466554796309</v>
      </c>
      <c r="BA20" s="30">
        <f t="shared" si="18"/>
        <v>17975.578746864729</v>
      </c>
      <c r="BB20" s="30">
        <v>999</v>
      </c>
      <c r="BC20" s="30">
        <v>999</v>
      </c>
      <c r="BD20" s="30">
        <f t="shared" si="6"/>
        <v>374174.1248694674</v>
      </c>
      <c r="BF20" s="23"/>
      <c r="BG20" s="19"/>
      <c r="BH20" s="20" t="str">
        <f t="shared" si="19"/>
        <v>INDONESIA</v>
      </c>
      <c r="BI20" s="20">
        <f t="shared" si="19"/>
        <v>2035</v>
      </c>
      <c r="BJ20" s="25">
        <f t="shared" si="7"/>
        <v>0.16678392951839452</v>
      </c>
      <c r="BK20" s="43">
        <f t="shared" si="8"/>
        <v>3.0949714306612844E-4</v>
      </c>
      <c r="BL20" s="34">
        <f t="shared" si="20"/>
        <v>281951.88937486929</v>
      </c>
      <c r="BP20" s="23"/>
    </row>
    <row r="21" spans="1:84" x14ac:dyDescent="0.25">
      <c r="A21" s="19"/>
      <c r="B21" s="20" t="str">
        <f t="shared" si="34"/>
        <v>INDONESIA</v>
      </c>
      <c r="C21" s="20">
        <f t="shared" si="34"/>
        <v>2036</v>
      </c>
      <c r="D21" s="30">
        <f t="shared" si="21"/>
        <v>55380.445989816966</v>
      </c>
      <c r="E21" s="30">
        <f t="shared" si="22"/>
        <v>13509.107543420712</v>
      </c>
      <c r="F21" s="30">
        <f t="shared" si="23"/>
        <v>116448.12170306171</v>
      </c>
      <c r="G21" s="30">
        <f t="shared" si="24"/>
        <v>15731.957402369289</v>
      </c>
      <c r="H21" s="30">
        <f t="shared" si="25"/>
        <v>5674.4663384730939</v>
      </c>
      <c r="I21" s="30">
        <f t="shared" si="26"/>
        <v>7379.9666332453844</v>
      </c>
      <c r="J21" s="30">
        <f t="shared" si="27"/>
        <v>2461.7750608555939</v>
      </c>
      <c r="K21" s="30">
        <f t="shared" si="28"/>
        <v>15442.561780651145</v>
      </c>
      <c r="L21" s="30">
        <f t="shared" si="29"/>
        <v>45843.864699451893</v>
      </c>
      <c r="M21" s="30">
        <f t="shared" si="30"/>
        <v>1035.3834452036915</v>
      </c>
      <c r="N21" s="30">
        <f t="shared" si="31"/>
        <v>12.421253135271691</v>
      </c>
      <c r="O21" s="30">
        <f t="shared" si="32"/>
        <v>0</v>
      </c>
      <c r="P21" s="30">
        <f>BL21/((VLOOKUP(P$3,tech_data!$B$2:$G$15,6,FALSE)/100)*24*365)</f>
        <v>76.309535683029679</v>
      </c>
      <c r="Q21" s="30">
        <f t="shared" si="10"/>
        <v>278920.07184968475</v>
      </c>
      <c r="R21" s="30"/>
      <c r="S21" s="36"/>
      <c r="T21" s="19"/>
      <c r="U21" s="20" t="str">
        <f t="shared" si="1"/>
        <v>INDONESIA</v>
      </c>
      <c r="V21" s="20">
        <f t="shared" si="2"/>
        <v>2036</v>
      </c>
      <c r="W21" s="30">
        <v>2777.3815184766377</v>
      </c>
      <c r="X21" s="30">
        <v>4.5474735088646412E-13</v>
      </c>
      <c r="Y21" s="30">
        <v>7612.591678966156</v>
      </c>
      <c r="Z21" s="30">
        <v>592.91935247452739</v>
      </c>
      <c r="AA21" s="30">
        <v>0</v>
      </c>
      <c r="AB21" s="30">
        <v>0</v>
      </c>
      <c r="AC21" s="30">
        <v>0</v>
      </c>
      <c r="AD21" s="30">
        <v>1740.0945655947246</v>
      </c>
      <c r="AE21" s="30">
        <v>4649.639514888715</v>
      </c>
      <c r="AF21" s="30">
        <v>0</v>
      </c>
      <c r="AG21" s="30">
        <v>0</v>
      </c>
      <c r="AH21" s="30">
        <v>0</v>
      </c>
      <c r="AI21" s="30">
        <f t="shared" si="33"/>
        <v>4.7844495909776157</v>
      </c>
      <c r="AJ21" s="34">
        <f t="shared" si="3"/>
        <v>17377.41107999174</v>
      </c>
      <c r="AM21" s="23"/>
      <c r="AO21" s="20" t="str">
        <f t="shared" si="4"/>
        <v>INDONESIA</v>
      </c>
      <c r="AP21" s="20">
        <f t="shared" si="5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si="12"/>
        <v>20277.733661526905</v>
      </c>
      <c r="AV21" s="30">
        <f t="shared" si="13"/>
        <v>73400.673366754607</v>
      </c>
      <c r="AW21" s="30">
        <f t="shared" si="14"/>
        <v>17092.844939144408</v>
      </c>
      <c r="AX21" s="30">
        <f t="shared" si="15"/>
        <v>192472.95821934889</v>
      </c>
      <c r="AY21" s="30">
        <f t="shared" si="16"/>
        <v>14803.135300548109</v>
      </c>
      <c r="AZ21" s="30">
        <f t="shared" si="17"/>
        <v>31761.466554796309</v>
      </c>
      <c r="BA21" s="30">
        <f t="shared" si="18"/>
        <v>17975.578746864729</v>
      </c>
      <c r="BB21" s="30">
        <v>999</v>
      </c>
      <c r="BC21" s="30">
        <v>999</v>
      </c>
      <c r="BD21" s="30">
        <f t="shared" si="6"/>
        <v>367784.39078898402</v>
      </c>
      <c r="BF21" s="23"/>
      <c r="BG21" s="19"/>
      <c r="BH21" s="20" t="str">
        <f t="shared" si="19"/>
        <v>INDONESIA</v>
      </c>
      <c r="BI21" s="20">
        <f t="shared" si="19"/>
        <v>2036</v>
      </c>
      <c r="BJ21" s="25">
        <f t="shared" si="7"/>
        <v>0.17540530405461133</v>
      </c>
      <c r="BK21" s="43">
        <f t="shared" si="8"/>
        <v>3.1139979123963839E-4</v>
      </c>
      <c r="BL21" s="34">
        <f t="shared" si="20"/>
        <v>300812.18966250302</v>
      </c>
      <c r="BP21" s="23"/>
    </row>
    <row r="22" spans="1:84" x14ac:dyDescent="0.25">
      <c r="A22" s="19"/>
      <c r="B22" s="20" t="str">
        <f t="shared" si="34"/>
        <v>INDONESIA</v>
      </c>
      <c r="C22" s="20">
        <f t="shared" si="34"/>
        <v>2037</v>
      </c>
      <c r="D22" s="30">
        <f t="shared" si="21"/>
        <v>58226.320092599984</v>
      </c>
      <c r="E22" s="30">
        <f t="shared" si="22"/>
        <v>13509.107543420712</v>
      </c>
      <c r="F22" s="30">
        <f t="shared" si="23"/>
        <v>124338.36863499445</v>
      </c>
      <c r="G22" s="30">
        <f t="shared" si="24"/>
        <v>16327.042323808499</v>
      </c>
      <c r="H22" s="30">
        <f t="shared" si="25"/>
        <v>5674.4663384730939</v>
      </c>
      <c r="I22" s="30">
        <f t="shared" si="26"/>
        <v>7379.9666332453844</v>
      </c>
      <c r="J22" s="30">
        <f t="shared" si="27"/>
        <v>2461.7750608555939</v>
      </c>
      <c r="K22" s="30">
        <f t="shared" si="28"/>
        <v>17378.657586812697</v>
      </c>
      <c r="L22" s="30">
        <f t="shared" si="29"/>
        <v>50665.202157750624</v>
      </c>
      <c r="M22" s="30">
        <f t="shared" si="30"/>
        <v>1035.3834452036915</v>
      </c>
      <c r="N22" s="30">
        <f t="shared" si="31"/>
        <v>12.421253135271691</v>
      </c>
      <c r="O22" s="30">
        <f t="shared" si="32"/>
        <v>0</v>
      </c>
      <c r="P22" s="30">
        <f>BL22/((VLOOKUP(P$3,tech_data!$B$2:$G$15,6,FALSE)/100)*24*365)</f>
        <v>81.282085027874587</v>
      </c>
      <c r="Q22" s="30">
        <f t="shared" si="10"/>
        <v>297008.71107029996</v>
      </c>
      <c r="R22" s="30"/>
      <c r="S22" s="36"/>
      <c r="T22" s="19"/>
      <c r="U22" s="20" t="str">
        <f t="shared" si="1"/>
        <v>INDONESIA</v>
      </c>
      <c r="V22" s="20">
        <f t="shared" si="2"/>
        <v>2037</v>
      </c>
      <c r="W22" s="30">
        <v>2845.874102783017</v>
      </c>
      <c r="X22" s="30">
        <v>0</v>
      </c>
      <c r="Y22" s="30">
        <v>7890.246931932742</v>
      </c>
      <c r="Z22" s="30">
        <v>595.08492143920967</v>
      </c>
      <c r="AA22" s="30">
        <v>0</v>
      </c>
      <c r="AB22" s="30">
        <v>0</v>
      </c>
      <c r="AC22" s="30">
        <v>0</v>
      </c>
      <c r="AD22" s="30">
        <v>1936.0958061615511</v>
      </c>
      <c r="AE22" s="30">
        <v>4821.3374582987281</v>
      </c>
      <c r="AF22" s="30">
        <v>0</v>
      </c>
      <c r="AG22" s="30">
        <v>0</v>
      </c>
      <c r="AH22" s="30">
        <v>0</v>
      </c>
      <c r="AI22" s="30">
        <f t="shared" si="33"/>
        <v>4.9725493448449072</v>
      </c>
      <c r="AJ22" s="34">
        <f t="shared" si="3"/>
        <v>18093.611769960095</v>
      </c>
      <c r="AM22" s="23"/>
      <c r="AO22" s="20" t="str">
        <f t="shared" si="4"/>
        <v>INDONESIA</v>
      </c>
      <c r="AP22" s="20">
        <f t="shared" si="5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2"/>
        <v>20277.733661526905</v>
      </c>
      <c r="AV22" s="30">
        <f t="shared" si="13"/>
        <v>73400.673366754607</v>
      </c>
      <c r="AW22" s="30">
        <f t="shared" si="14"/>
        <v>17092.844939144408</v>
      </c>
      <c r="AX22" s="30">
        <f t="shared" si="15"/>
        <v>190536.86241318734</v>
      </c>
      <c r="AY22" s="30">
        <f t="shared" si="16"/>
        <v>9981.7978422493798</v>
      </c>
      <c r="AZ22" s="30">
        <f t="shared" si="17"/>
        <v>31761.466554796309</v>
      </c>
      <c r="BA22" s="30">
        <f t="shared" si="18"/>
        <v>17975.578746864729</v>
      </c>
      <c r="BB22" s="30">
        <v>999</v>
      </c>
      <c r="BC22" s="30">
        <v>999</v>
      </c>
      <c r="BD22" s="30">
        <f t="shared" si="6"/>
        <v>361026.95752452372</v>
      </c>
      <c r="BF22" s="23"/>
      <c r="BG22" s="19"/>
      <c r="BH22" s="20" t="str">
        <f t="shared" si="19"/>
        <v>INDONESIA</v>
      </c>
      <c r="BI22" s="20">
        <f t="shared" si="19"/>
        <v>2037</v>
      </c>
      <c r="BJ22" s="25">
        <f t="shared" si="7"/>
        <v>0.18360852569285385</v>
      </c>
      <c r="BK22" s="43">
        <f t="shared" si="8"/>
        <v>3.1321015739428502E-4</v>
      </c>
      <c r="BL22" s="34">
        <f t="shared" si="20"/>
        <v>320413.97917988163</v>
      </c>
      <c r="BP22" s="23"/>
    </row>
    <row r="23" spans="1:84" x14ac:dyDescent="0.25">
      <c r="A23" s="19"/>
      <c r="B23" s="20" t="str">
        <f t="shared" si="34"/>
        <v>INDONESIA</v>
      </c>
      <c r="C23" s="20">
        <f t="shared" si="34"/>
        <v>2038</v>
      </c>
      <c r="D23" s="30">
        <f t="shared" si="21"/>
        <v>61533.702339211944</v>
      </c>
      <c r="E23" s="30">
        <f t="shared" si="22"/>
        <v>17373.856969284581</v>
      </c>
      <c r="F23" s="30">
        <f t="shared" si="23"/>
        <v>129282.47218450889</v>
      </c>
      <c r="G23" s="30">
        <f t="shared" si="24"/>
        <v>17032.781923959184</v>
      </c>
      <c r="H23" s="30">
        <f t="shared" si="25"/>
        <v>5674.4663384730939</v>
      </c>
      <c r="I23" s="30">
        <f t="shared" si="26"/>
        <v>7379.9666332453844</v>
      </c>
      <c r="J23" s="30">
        <f t="shared" si="27"/>
        <v>4737.2682925114977</v>
      </c>
      <c r="K23" s="30">
        <f t="shared" si="28"/>
        <v>19656.439443067738</v>
      </c>
      <c r="L23" s="30">
        <f t="shared" si="29"/>
        <v>51816.259737446053</v>
      </c>
      <c r="M23" s="30">
        <f t="shared" si="30"/>
        <v>1035.3834452036915</v>
      </c>
      <c r="N23" s="30">
        <f t="shared" si="31"/>
        <v>12.421253135271691</v>
      </c>
      <c r="O23" s="30">
        <f t="shared" si="32"/>
        <v>0</v>
      </c>
      <c r="P23" s="30">
        <f>BL23/((VLOOKUP(P$3,tech_data!$B$2:$G$15,6,FALSE)/100)*24*365)</f>
        <v>86.28043276053441</v>
      </c>
      <c r="Q23" s="30">
        <f t="shared" si="10"/>
        <v>315535.01856004726</v>
      </c>
      <c r="R23" s="30"/>
      <c r="S23" s="36"/>
      <c r="T23" s="19"/>
      <c r="U23" s="20" t="str">
        <f t="shared" si="1"/>
        <v>INDONESIA</v>
      </c>
      <c r="V23" s="20">
        <f t="shared" si="2"/>
        <v>2038</v>
      </c>
      <c r="W23" s="30">
        <v>3307.3822466119618</v>
      </c>
      <c r="X23" s="30">
        <v>3864.7494258638699</v>
      </c>
      <c r="Y23" s="30">
        <v>4944.1035495144442</v>
      </c>
      <c r="Z23" s="30">
        <v>705.73960015068508</v>
      </c>
      <c r="AA23" s="30">
        <v>0</v>
      </c>
      <c r="AB23" s="30">
        <v>0</v>
      </c>
      <c r="AC23" s="30">
        <v>2275.4932316559039</v>
      </c>
      <c r="AD23" s="30">
        <v>2277.781856255041</v>
      </c>
      <c r="AE23" s="30">
        <v>1151.0575796954258</v>
      </c>
      <c r="AF23" s="30">
        <v>0</v>
      </c>
      <c r="AG23" s="30">
        <v>0</v>
      </c>
      <c r="AH23" s="30">
        <v>0</v>
      </c>
      <c r="AI23" s="30">
        <f t="shared" si="33"/>
        <v>4.9983477326598234</v>
      </c>
      <c r="AJ23" s="34">
        <f t="shared" si="3"/>
        <v>18531.305837479991</v>
      </c>
      <c r="AM23" s="23"/>
      <c r="AO23" s="20" t="str">
        <f t="shared" si="4"/>
        <v>INDONESIA</v>
      </c>
      <c r="AP23" s="20">
        <f t="shared" si="5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2"/>
        <v>20277.733661526905</v>
      </c>
      <c r="AV23" s="30">
        <f t="shared" si="13"/>
        <v>73400.673366754607</v>
      </c>
      <c r="AW23" s="30">
        <f t="shared" si="14"/>
        <v>14817.351707488504</v>
      </c>
      <c r="AX23" s="30">
        <f t="shared" si="15"/>
        <v>188259.08055693228</v>
      </c>
      <c r="AY23" s="30">
        <f t="shared" si="16"/>
        <v>8830.7402625539544</v>
      </c>
      <c r="AZ23" s="30">
        <f t="shared" si="17"/>
        <v>31761.466554796309</v>
      </c>
      <c r="BA23" s="30">
        <f t="shared" si="18"/>
        <v>17975.578746864729</v>
      </c>
      <c r="BB23" s="30">
        <v>999</v>
      </c>
      <c r="BC23" s="30">
        <v>999</v>
      </c>
      <c r="BD23" s="30">
        <f t="shared" si="6"/>
        <v>355322.6248569173</v>
      </c>
      <c r="BF23" s="23"/>
      <c r="BG23" s="19"/>
      <c r="BH23" s="20" t="str">
        <f t="shared" si="19"/>
        <v>INDONESIA</v>
      </c>
      <c r="BI23" s="20">
        <f t="shared" si="19"/>
        <v>2038</v>
      </c>
      <c r="BJ23" s="25">
        <f>SUM(K47:L47,N47)/Q47</f>
        <v>0.17957935102645325</v>
      </c>
      <c r="BK23" s="43">
        <f t="shared" si="8"/>
        <v>3.1232096022652762E-4</v>
      </c>
      <c r="BL23" s="34">
        <f t="shared" si="20"/>
        <v>340117.4659420267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proj_rukn!A2</f>
        <v>INDONESIA</v>
      </c>
      <c r="C28" s="20">
        <f>proj_rukn!B2</f>
        <v>2019</v>
      </c>
      <c r="D28" s="30">
        <f>(D4*(VLOOKUP(D$27,tech_data!$B$2:$O$15,6, FALSE)/100)*(1-(VLOOKUP(D$27,tech_data!$B$2:$O$15,7, FALSE)/100))*8760)/1000</f>
        <v>167089.32579226667</v>
      </c>
      <c r="E28" s="30">
        <f>(E4*(VLOOKUP(E$27,tech_data!$B$2:$O$15,6, FALSE)/100)*(1-(VLOOKUP(E$27,tech_data!$B$2:$O$15,7, FALSE)/100))*8760)/1000</f>
        <v>16856.297613489231</v>
      </c>
      <c r="F28" s="30">
        <f>(F4*(VLOOKUP(F$27,tech_data!$B$2:$O$15,6, FALSE)/100)*(1-(VLOOKUP(F$27,tech_data!$B$2:$O$15,7, FALSE)/100))*8760)/1000</f>
        <v>31896.550966707695</v>
      </c>
      <c r="G28" s="30">
        <f>(G4*(VLOOKUP(G$27,tech_data!$B$2:$O$15,6, FALSE)/100)*(1-(VLOOKUP(G$27,tech_data!$B$2:$O$15,7, FALSE)/100))*8760)/1000</f>
        <v>33098.739795692301</v>
      </c>
      <c r="H28" s="30">
        <f>(H4*(VLOOKUP(H$27,tech_data!$B$2:$O$15,6, FALSE)/100)*(1-(VLOOKUP(H$27,tech_data!$B$2:$O$15,7, FALSE)/100))*8760)/1000</f>
        <v>12890.02464</v>
      </c>
      <c r="I28" s="30">
        <f>(I4*(VLOOKUP(I$27,tech_data!$B$2:$O$15,6, FALSE)/100)*(1-(VLOOKUP(I$27,tech_data!$B$2:$O$15,7, FALSE)/100))*8760)/1000</f>
        <v>25258.010098707691</v>
      </c>
      <c r="J28" s="30">
        <f>(J4*(VLOOKUP(J$27,tech_data!$B$2:$O$15,6, FALSE)/100)*(1-(VLOOKUP(J$27,tech_data!$B$2:$O$15,7, FALSE)/100))*8760)/1000</f>
        <v>1003.9917400615384</v>
      </c>
      <c r="K28" s="30">
        <f>(K4*(VLOOKUP(K$27,tech_data!$B$2:$O$15,6, FALSE)/100)*(1-(VLOOKUP(K$27,tech_data!$B$2:$O$15,7, FALSE)/100))*8760)/1000</f>
        <v>32.229791999999996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356.78369838461538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35">SUM(D28:O28)</f>
        <v>288481.95413730975</v>
      </c>
      <c r="R28" s="34">
        <f>proj_rukn!D2</f>
        <v>316000</v>
      </c>
      <c r="S28" s="35"/>
      <c r="T28" s="19"/>
      <c r="U28" s="20" t="str">
        <f t="shared" ref="U28:U47" si="36">B28</f>
        <v>INDONESIA</v>
      </c>
      <c r="V28" s="20">
        <f t="shared" ref="V28:V47" si="37">C28</f>
        <v>2019</v>
      </c>
      <c r="W28" s="29">
        <f t="shared" ref="W28:W47" si="38">D28/$Q28</f>
        <v>0.57920200343878903</v>
      </c>
      <c r="X28" s="29">
        <f t="shared" ref="X28:X47" si="39">E28/$Q28</f>
        <v>5.843102964238131E-2</v>
      </c>
      <c r="Y28" s="29">
        <f t="shared" ref="Y28:Y47" si="40">F28/$Q28</f>
        <v>0.11056688471933251</v>
      </c>
      <c r="Z28" s="29">
        <f t="shared" ref="Z28:Z47" si="41">G28/$Q28</f>
        <v>0.11473417772238946</v>
      </c>
      <c r="AA28" s="29">
        <f t="shared" ref="AA28:AA47" si="42">H28/$Q28</f>
        <v>4.4682256394674484E-2</v>
      </c>
      <c r="AB28" s="29">
        <f t="shared" ref="AB28:AB47" si="43">I28/$Q28</f>
        <v>8.7554905034668298E-2</v>
      </c>
      <c r="AC28" s="29">
        <f t="shared" ref="AC28:AC47" si="44">J28/$Q28</f>
        <v>3.480258385880404E-3</v>
      </c>
      <c r="AD28" s="29">
        <f t="shared" ref="AD28:AD47" si="45">K28/$Q28</f>
        <v>1.1172203854615971E-4</v>
      </c>
      <c r="AE28" s="29">
        <f t="shared" ref="AE28:AE47" si="46">L28/$Q28</f>
        <v>0</v>
      </c>
      <c r="AF28" s="29">
        <f t="shared" ref="AF28:AF47" si="47">M28/$Q28</f>
        <v>1.2367626233382896E-3</v>
      </c>
      <c r="AG28" s="29">
        <f t="shared" ref="AG28:AG47" si="48">N28/$Q28</f>
        <v>0</v>
      </c>
      <c r="AH28" s="29">
        <f t="shared" ref="AH28:AH47" si="49">O28/$Q28</f>
        <v>0</v>
      </c>
      <c r="AI28" s="29">
        <f t="shared" ref="AI28:AI47" si="50">P28/$Q28</f>
        <v>0</v>
      </c>
      <c r="AJ28" s="29">
        <f t="shared" ref="AJ28:AJ47" si="51">SUM(W28:AH28)</f>
        <v>1</v>
      </c>
      <c r="AM28" s="23"/>
      <c r="AO28" s="20" t="str">
        <f>B28</f>
        <v>INDONESIA</v>
      </c>
      <c r="AP28" s="20">
        <f>C28</f>
        <v>2019</v>
      </c>
      <c r="AQ28" s="25">
        <f t="shared" ref="AQ28:AQ47" si="52">D28/Q28</f>
        <v>0.57920200343878903</v>
      </c>
      <c r="AR28" s="25">
        <f t="shared" ref="AR28:AR47" si="53">SUM(E28:F28)/Q28</f>
        <v>0.1689979143617138</v>
      </c>
      <c r="AS28" s="25">
        <f t="shared" ref="AS28:AS47" si="54">G28/Q28</f>
        <v>0.11473417772238946</v>
      </c>
      <c r="AT28" s="37">
        <f t="shared" ref="AT28:AT47" si="55">SUM(H28:N28)/Q28</f>
        <v>0.13706590447710762</v>
      </c>
      <c r="AU28" s="24">
        <f>SUM(AQ28:AT28)</f>
        <v>0.99999999999999989</v>
      </c>
      <c r="AW28" s="24">
        <f>$BD$29+((AP28-$BC$29)*($BD$30-$BD$29)/($BC$30-$BC$29))</f>
        <v>0.57920200343878903</v>
      </c>
      <c r="AX28" s="24">
        <f t="shared" ref="AX28:AX47" si="56">$BE$29+((AP28-$BC$29)*($BE$30-$BE$29)/($BC$30-$BC$29))</f>
        <v>0.19239999999999999</v>
      </c>
      <c r="AY28" s="24">
        <f>BF29</f>
        <v>0.11473417772238946</v>
      </c>
      <c r="AZ28" s="25">
        <f>$BG$29+((AP28-$BC$29)*($BG$30-$BG$29)/($BC$30-$BC$29))</f>
        <v>0.1166</v>
      </c>
      <c r="BA28" s="24">
        <f>SUM(AW28:AZ28)</f>
        <v>1.0029361811611786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INDONESIA</v>
      </c>
      <c r="BL28" s="20">
        <f>C4</f>
        <v>2019</v>
      </c>
      <c r="BM28" s="34">
        <f>VLOOKUP(BL28,proj_rukn!$B$2:$E$21,4,FALSE)</f>
        <v>41832</v>
      </c>
      <c r="BN28" s="30">
        <f t="shared" ref="BN28:BN47" si="57">(1+$CD$28)*BM28*$CD$29</f>
        <v>48106.799999999996</v>
      </c>
      <c r="BO28" s="30">
        <f>SUM(D4:I4,M4,O4:P4)</f>
        <v>66063.94</v>
      </c>
      <c r="BQ28" s="30">
        <f t="shared" ref="BQ28:BQ47" si="58">BN28*$CD$30</f>
        <v>19242.719999999998</v>
      </c>
      <c r="BR28" s="30">
        <f>SUM(D4,F4,H4,M4)</f>
        <v>48112.18</v>
      </c>
      <c r="BS28" s="30"/>
      <c r="BT28" s="30">
        <f t="shared" ref="BT28:BT47" si="59">BN28*$CD$31</f>
        <v>9621.3599999999988</v>
      </c>
      <c r="BU28" s="30">
        <f>SUM(E4,G4,P4,I4)</f>
        <v>17951.759999999998</v>
      </c>
      <c r="BW28" s="30">
        <f t="shared" ref="BW28:BW47" si="60">$CD$32*SUM(H4:O4)</f>
        <v>4.0030149999999995</v>
      </c>
      <c r="BX28" s="30">
        <f>N4</f>
        <v>0</v>
      </c>
      <c r="BY28" s="30"/>
      <c r="BZ28" s="24">
        <v>8.0000000000000004E-4</v>
      </c>
      <c r="CA28" s="24">
        <f t="shared" ref="CA28:CA47" si="61">K28/SUM(H28:O28)</f>
        <v>8.1509722620200719E-4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>proj_rukn!A3</f>
        <v>INDONESIA</v>
      </c>
      <c r="C29" s="20">
        <f>proj_rukn!B3</f>
        <v>2020</v>
      </c>
      <c r="D29" s="30">
        <f>(D5*(VLOOKUP(D$27,tech_data!$B$2:$O$15,6, FALSE)/100)*(1-(VLOOKUP(D$27,tech_data!$B$2:$O$15,7, FALSE)/100))*8760)/1000</f>
        <v>172949.25375274644</v>
      </c>
      <c r="E29" s="30">
        <f>(E5*(VLOOKUP(E$27,tech_data!$B$2:$O$15,6, FALSE)/100)*(1-(VLOOKUP(E$27,tech_data!$B$2:$O$15,7, FALSE)/100))*8760)/1000</f>
        <v>25014.556929636776</v>
      </c>
      <c r="F29" s="30">
        <f>(F5*(VLOOKUP(F$27,tech_data!$B$2:$O$15,6, FALSE)/100)*(1-(VLOOKUP(F$27,tech_data!$B$2:$O$15,7, FALSE)/100))*8760)/1000</f>
        <v>38948.182228807862</v>
      </c>
      <c r="G29" s="30">
        <f>(G5*(VLOOKUP(G$27,tech_data!$B$2:$O$15,6, FALSE)/100)*(1-(VLOOKUP(G$27,tech_data!$B$2:$O$15,7, FALSE)/100))*8760)/1000</f>
        <v>33098.739795692301</v>
      </c>
      <c r="H29" s="30">
        <f>(H5*(VLOOKUP(H$27,tech_data!$B$2:$O$15,6, FALSE)/100)*(1-(VLOOKUP(H$27,tech_data!$B$2:$O$15,7, FALSE)/100))*8760)/1000</f>
        <v>12890.02464</v>
      </c>
      <c r="I29" s="30">
        <f>(I5*(VLOOKUP(I$27,tech_data!$B$2:$O$15,6, FALSE)/100)*(1-(VLOOKUP(I$27,tech_data!$B$2:$O$15,7, FALSE)/100))*8760)/1000</f>
        <v>25258.010098707691</v>
      </c>
      <c r="J29" s="30">
        <f>(J5*(VLOOKUP(J$27,tech_data!$B$2:$O$15,6, FALSE)/100)*(1-(VLOOKUP(J$27,tech_data!$B$2:$O$15,7, FALSE)/100))*8760)/1000</f>
        <v>1003.9917400615384</v>
      </c>
      <c r="K29" s="30">
        <f>(K5*(VLOOKUP(K$27,tech_data!$B$2:$O$15,6, FALSE)/100)*(1-(VLOOKUP(K$27,tech_data!$B$2:$O$15,7, FALSE)/100))*8760)/1000</f>
        <v>15164.665141803007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356.78369838461538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82.908280139886244</v>
      </c>
      <c r="Q29" s="34">
        <f t="shared" si="35"/>
        <v>324684.20802584023</v>
      </c>
      <c r="R29" s="34">
        <f>proj_rukn!D3</f>
        <v>345000</v>
      </c>
      <c r="S29" s="35"/>
      <c r="T29" s="19"/>
      <c r="U29" s="20" t="str">
        <f t="shared" si="36"/>
        <v>INDONESIA</v>
      </c>
      <c r="V29" s="20">
        <f t="shared" si="37"/>
        <v>2020</v>
      </c>
      <c r="W29" s="29">
        <f t="shared" si="38"/>
        <v>0.53266912734783256</v>
      </c>
      <c r="X29" s="29">
        <f t="shared" si="39"/>
        <v>7.7042727398820621E-2</v>
      </c>
      <c r="Y29" s="29">
        <f t="shared" si="40"/>
        <v>0.11995711915162853</v>
      </c>
      <c r="Z29" s="29">
        <f t="shared" si="41"/>
        <v>0.10194132938260464</v>
      </c>
      <c r="AA29" s="29">
        <f t="shared" si="42"/>
        <v>3.9700189665442975E-2</v>
      </c>
      <c r="AB29" s="29">
        <f t="shared" si="43"/>
        <v>7.7792542644074369E-2</v>
      </c>
      <c r="AC29" s="29">
        <f t="shared" si="44"/>
        <v>3.0922099543000715E-3</v>
      </c>
      <c r="AD29" s="29">
        <f t="shared" si="45"/>
        <v>4.6705890729973894E-2</v>
      </c>
      <c r="AE29" s="29">
        <f t="shared" si="46"/>
        <v>0</v>
      </c>
      <c r="AF29" s="29">
        <f t="shared" si="47"/>
        <v>1.0988637253223615E-3</v>
      </c>
      <c r="AG29" s="29">
        <f t="shared" si="48"/>
        <v>0</v>
      </c>
      <c r="AH29" s="29">
        <f t="shared" si="49"/>
        <v>0</v>
      </c>
      <c r="AI29" s="29">
        <f t="shared" si="50"/>
        <v>2.5535051625697771E-4</v>
      </c>
      <c r="AJ29" s="29">
        <f t="shared" si="51"/>
        <v>1</v>
      </c>
      <c r="AM29" s="23"/>
      <c r="AO29" s="20" t="str">
        <f>AO28</f>
        <v>INDONESIA</v>
      </c>
      <c r="AP29" s="20">
        <f>AP28+1</f>
        <v>2020</v>
      </c>
      <c r="AQ29" s="25">
        <f t="shared" si="52"/>
        <v>0.53266912734783256</v>
      </c>
      <c r="AR29" s="25">
        <f t="shared" si="53"/>
        <v>0.19699984655044916</v>
      </c>
      <c r="AS29" s="25">
        <f t="shared" si="54"/>
        <v>0.10194132938260464</v>
      </c>
      <c r="AT29" s="37">
        <f t="shared" si="55"/>
        <v>0.16838969671911369</v>
      </c>
      <c r="AU29" s="24">
        <f t="shared" ref="AU29:AU47" si="62">SUM(AQ29:AT29)</f>
        <v>1</v>
      </c>
      <c r="AW29" s="24">
        <f>$BD$29+((AP29-$BC$29)*($BD$30-$BD$29)/($BC$30-$BC$29))</f>
        <v>0.5326683361989909</v>
      </c>
      <c r="AX29" s="24">
        <f t="shared" si="56"/>
        <v>0.19699999999999998</v>
      </c>
      <c r="AY29" s="24">
        <f>AY28*0.98</f>
        <v>0.11243949416794168</v>
      </c>
      <c r="AZ29" s="25">
        <f t="shared" ref="AZ29:AZ34" si="63">$BG$29+((AP29-$BC$29)*($BG$30-$BG$29)/($BC$30-$BC$29))</f>
        <v>0.13550000000000001</v>
      </c>
      <c r="BA29" s="24">
        <f t="shared" ref="BA29:BA47" si="64">SUM(AW29:AZ29)</f>
        <v>0.97760783036693244</v>
      </c>
      <c r="BC29" s="20">
        <v>2019</v>
      </c>
      <c r="BD29" s="25">
        <f>AQ28</f>
        <v>0.57920200343878903</v>
      </c>
      <c r="BE29" s="25">
        <v>0.19239999999999999</v>
      </c>
      <c r="BF29" s="25">
        <f>AS28</f>
        <v>0.11473417772238946</v>
      </c>
      <c r="BG29" s="25">
        <v>0.1166</v>
      </c>
      <c r="BH29" s="24">
        <f>SUM(BD29:BG29)</f>
        <v>1.0029361811611786</v>
      </c>
      <c r="BJ29" s="19"/>
      <c r="BK29" s="20" t="str">
        <f>BK28</f>
        <v>INDONESIA</v>
      </c>
      <c r="BL29" s="20">
        <f>BL28+1</f>
        <v>2020</v>
      </c>
      <c r="BM29" s="34">
        <f>VLOOKUP(BL29,proj_rukn!$B$2:$E$21,4,FALSE)</f>
        <v>44624</v>
      </c>
      <c r="BN29" s="30">
        <f t="shared" si="57"/>
        <v>51317.599999999999</v>
      </c>
      <c r="BO29" s="30">
        <f t="shared" ref="BO29:BO47" si="65">SUM(D5:I5,M5,O5:P5)</f>
        <v>72572.79935388545</v>
      </c>
      <c r="BQ29" s="30">
        <f t="shared" si="58"/>
        <v>20527.04</v>
      </c>
      <c r="BR29" s="30">
        <f t="shared" ref="BR29:BR47" si="66">SUM(D5,F5,H5,M5)</f>
        <v>51868.652846707788</v>
      </c>
      <c r="BS29" s="30"/>
      <c r="BT29" s="30">
        <f t="shared" si="59"/>
        <v>10263.52</v>
      </c>
      <c r="BU29" s="30">
        <f t="shared" ref="BU29:BU47" si="67">SUM(E5,G5,P5,I5)</f>
        <v>20704.146507177647</v>
      </c>
      <c r="BW29" s="30">
        <f t="shared" si="60"/>
        <v>8.1159839470001653</v>
      </c>
      <c r="BX29" s="30">
        <f t="shared" ref="BX29:BX47" si="68">N5</f>
        <v>0</v>
      </c>
      <c r="BZ29" s="24">
        <f>BZ28+$CD$34</f>
        <v>5.0800000000000005E-2</v>
      </c>
      <c r="CA29" s="24">
        <f t="shared" si="61"/>
        <v>0.2773678653741074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>proj_rukn!A4</f>
        <v>INDONESIA</v>
      </c>
      <c r="C30" s="20">
        <f>proj_rukn!B4</f>
        <v>2021</v>
      </c>
      <c r="D30" s="30">
        <f>(D6*(VLOOKUP(D$27,tech_data!$B$2:$O$15,6, FALSE)/100)*(1-(VLOOKUP(D$27,tech_data!$B$2:$O$15,7, FALSE)/100))*8760)/1000</f>
        <v>172949.25375442166</v>
      </c>
      <c r="E30" s="30">
        <f>(E6*(VLOOKUP(E$27,tech_data!$B$2:$O$15,6, FALSE)/100)*(1-(VLOOKUP(E$27,tech_data!$B$2:$O$15,7, FALSE)/100))*8760)/1000</f>
        <v>39821.634770958844</v>
      </c>
      <c r="F30" s="30">
        <f>(F6*(VLOOKUP(F$27,tech_data!$B$2:$O$15,6, FALSE)/100)*(1-(VLOOKUP(F$27,tech_data!$B$2:$O$15,7, FALSE)/100))*8760)/1000</f>
        <v>51638.614292098522</v>
      </c>
      <c r="G30" s="30">
        <f>(G6*(VLOOKUP(G$27,tech_data!$B$2:$O$15,6, FALSE)/100)*(1-(VLOOKUP(G$27,tech_data!$B$2:$O$15,7, FALSE)/100))*8760)/1000</f>
        <v>33098.73979757246</v>
      </c>
      <c r="H30" s="30">
        <f>(H6*(VLOOKUP(H$27,tech_data!$B$2:$O$15,6, FALSE)/100)*(1-(VLOOKUP(H$27,tech_data!$B$2:$O$15,7, FALSE)/100))*8760)/1000</f>
        <v>12890.024645772975</v>
      </c>
      <c r="I30" s="30">
        <f>(I6*(VLOOKUP(I$27,tech_data!$B$2:$O$15,6, FALSE)/100)*(1-(VLOOKUP(I$27,tech_data!$B$2:$O$15,7, FALSE)/100))*8760)/1000</f>
        <v>25258.01010140964</v>
      </c>
      <c r="J30" s="30">
        <f>(J6*(VLOOKUP(J$27,tech_data!$B$2:$O$15,6, FALSE)/100)*(1-(VLOOKUP(J$27,tech_data!$B$2:$O$15,7, FALSE)/100))*8760)/1000</f>
        <v>1003.9917448650103</v>
      </c>
      <c r="K30" s="30">
        <f>(K6*(VLOOKUP(K$27,tech_data!$B$2:$O$15,6, FALSE)/100)*(1-(VLOOKUP(K$27,tech_data!$B$2:$O$15,7, FALSE)/100))*8760)/1000</f>
        <v>15164.665141803007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356.78369838461538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89.67404172668121</v>
      </c>
      <c r="Q30" s="34">
        <f t="shared" si="35"/>
        <v>352181.71794728667</v>
      </c>
      <c r="R30" s="34">
        <f>proj_rukn!D4</f>
        <v>388000</v>
      </c>
      <c r="S30" s="35"/>
      <c r="T30" s="19"/>
      <c r="U30" s="20" t="str">
        <f t="shared" si="36"/>
        <v>INDONESIA</v>
      </c>
      <c r="V30" s="20">
        <f t="shared" si="37"/>
        <v>2021</v>
      </c>
      <c r="W30" s="29">
        <f t="shared" si="38"/>
        <v>0.49107959028216253</v>
      </c>
      <c r="X30" s="29">
        <f t="shared" si="39"/>
        <v>0.11307127185096873</v>
      </c>
      <c r="Y30" s="29">
        <f t="shared" si="40"/>
        <v>0.14662491452729981</v>
      </c>
      <c r="Z30" s="29">
        <f t="shared" si="41"/>
        <v>9.3981993132666142E-2</v>
      </c>
      <c r="AA30" s="29">
        <f t="shared" si="42"/>
        <v>3.6600493406935761E-2</v>
      </c>
      <c r="AB30" s="29">
        <f t="shared" si="43"/>
        <v>7.171868616186991E-2</v>
      </c>
      <c r="AC30" s="29">
        <f t="shared" si="44"/>
        <v>2.85077757788462E-3</v>
      </c>
      <c r="AD30" s="29">
        <f t="shared" si="45"/>
        <v>4.3059205997946777E-2</v>
      </c>
      <c r="AE30" s="29">
        <f t="shared" si="46"/>
        <v>0</v>
      </c>
      <c r="AF30" s="29">
        <f t="shared" si="47"/>
        <v>1.0130670622658996E-3</v>
      </c>
      <c r="AG30" s="29">
        <f t="shared" si="48"/>
        <v>0</v>
      </c>
      <c r="AH30" s="29">
        <f t="shared" si="49"/>
        <v>0</v>
      </c>
      <c r="AI30" s="29">
        <f t="shared" si="50"/>
        <v>2.5462435202301816E-4</v>
      </c>
      <c r="AJ30" s="29">
        <f t="shared" si="51"/>
        <v>1.0000000000000002</v>
      </c>
      <c r="AM30" s="23"/>
      <c r="AO30" s="20" t="str">
        <f t="shared" ref="AO30:AO47" si="69">AO29</f>
        <v>INDONESIA</v>
      </c>
      <c r="AP30" s="20">
        <f t="shared" ref="AP30:AP47" si="70">AP29+1</f>
        <v>2021</v>
      </c>
      <c r="AQ30" s="25">
        <f t="shared" si="52"/>
        <v>0.49107959028216253</v>
      </c>
      <c r="AR30" s="25">
        <f t="shared" si="53"/>
        <v>0.25969618637826852</v>
      </c>
      <c r="AS30" s="25">
        <f t="shared" si="54"/>
        <v>9.3981993132666142E-2</v>
      </c>
      <c r="AT30" s="37">
        <f t="shared" si="55"/>
        <v>0.15524223020690298</v>
      </c>
      <c r="AU30" s="24">
        <f t="shared" si="62"/>
        <v>1.0000000000000002</v>
      </c>
      <c r="AW30" s="24">
        <f t="shared" ref="AW30:AW34" si="71">$BD$29+((AP30-$BC$29)*($BD$30-$BD$29)/($BC$30-$BC$29))</f>
        <v>0.48613466895919266</v>
      </c>
      <c r="AX30" s="24">
        <f t="shared" si="56"/>
        <v>0.2016</v>
      </c>
      <c r="AY30" s="24">
        <f t="shared" ref="AY30:AY47" si="72">AY29*0.98</f>
        <v>0.11019070428458284</v>
      </c>
      <c r="AZ30" s="25">
        <f t="shared" si="63"/>
        <v>0.15440000000000001</v>
      </c>
      <c r="BA30" s="24">
        <f t="shared" si="64"/>
        <v>0.95232537324377553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73">SUM(BD30:BG30)</f>
        <v>1</v>
      </c>
      <c r="BJ30" s="19"/>
      <c r="BK30" s="20" t="str">
        <f t="shared" ref="BK30:BK47" si="74">BK29</f>
        <v>INDONESIA</v>
      </c>
      <c r="BL30" s="20">
        <f t="shared" ref="BL30:BL47" si="75">BL29+1</f>
        <v>2021</v>
      </c>
      <c r="BM30" s="34">
        <f>VLOOKUP(BL30,proj_rukn!$B$2:$E$21,4,FALSE)</f>
        <v>47627</v>
      </c>
      <c r="BN30" s="30">
        <f t="shared" si="57"/>
        <v>54771.049999999996</v>
      </c>
      <c r="BO30" s="30">
        <f t="shared" si="65"/>
        <v>82113.467344655757</v>
      </c>
      <c r="BQ30" s="30">
        <f t="shared" si="58"/>
        <v>21908.42</v>
      </c>
      <c r="BR30" s="30">
        <f t="shared" si="66"/>
        <v>56454.197764095028</v>
      </c>
      <c r="BS30" s="30"/>
      <c r="BT30" s="30">
        <f t="shared" si="59"/>
        <v>10954.21</v>
      </c>
      <c r="BU30" s="30">
        <f t="shared" si="67"/>
        <v>25659.269580560722</v>
      </c>
      <c r="BW30" s="30">
        <f t="shared" si="60"/>
        <v>8.1159839481550691</v>
      </c>
      <c r="BX30" s="30">
        <f t="shared" si="68"/>
        <v>0</v>
      </c>
      <c r="BZ30" s="24">
        <f t="shared" ref="BZ30:BZ47" si="76">BZ29*1.05</f>
        <v>5.3340000000000005E-2</v>
      </c>
      <c r="CA30" s="24">
        <f t="shared" si="61"/>
        <v>0.27736786530674384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>proj_rukn!A5</f>
        <v>INDONESIA</v>
      </c>
      <c r="C31" s="20">
        <f>proj_rukn!B5</f>
        <v>2022</v>
      </c>
      <c r="D31" s="30">
        <f>(D7*(VLOOKUP(D$27,tech_data!$B$2:$O$15,6, FALSE)/100)*(1-(VLOOKUP(D$27,tech_data!$B$2:$O$15,7, FALSE)/100))*8760)/1000</f>
        <v>172949.25375442166</v>
      </c>
      <c r="E31" s="30">
        <f>(E7*(VLOOKUP(E$27,tech_data!$B$2:$O$15,6, FALSE)/100)*(1-(VLOOKUP(E$27,tech_data!$B$2:$O$15,7, FALSE)/100))*8760)/1000</f>
        <v>39821.634770958844</v>
      </c>
      <c r="F31" s="30">
        <f>(F7*(VLOOKUP(F$27,tech_data!$B$2:$O$15,6, FALSE)/100)*(1-(VLOOKUP(F$27,tech_data!$B$2:$O$15,7, FALSE)/100))*8760)/1000</f>
        <v>51638.614292098522</v>
      </c>
      <c r="G31" s="30">
        <f>(G7*(VLOOKUP(G$27,tech_data!$B$2:$O$15,6, FALSE)/100)*(1-(VLOOKUP(G$27,tech_data!$B$2:$O$15,7, FALSE)/100))*8760)/1000</f>
        <v>33098.73979757246</v>
      </c>
      <c r="H31" s="30">
        <f>(H7*(VLOOKUP(H$27,tech_data!$B$2:$O$15,6, FALSE)/100)*(1-(VLOOKUP(H$27,tech_data!$B$2:$O$15,7, FALSE)/100))*8760)/1000</f>
        <v>27932.66881259052</v>
      </c>
      <c r="I31" s="30">
        <f>(I7*(VLOOKUP(I$27,tech_data!$B$2:$O$15,6, FALSE)/100)*(1-(VLOOKUP(I$27,tech_data!$B$2:$O$15,7, FALSE)/100))*8760)/1000</f>
        <v>32298.811362403059</v>
      </c>
      <c r="J31" s="30">
        <f>(J7*(VLOOKUP(J$27,tech_data!$B$2:$O$15,6, FALSE)/100)*(1-(VLOOKUP(J$27,tech_data!$B$2:$O$15,7, FALSE)/100))*8760)/1000</f>
        <v>13519.981815407717</v>
      </c>
      <c r="K31" s="30">
        <f>(K7*(VLOOKUP(K$27,tech_data!$B$2:$O$15,6, FALSE)/100)*(1-(VLOOKUP(K$27,tech_data!$B$2:$O$15,7, FALSE)/100))*8760)/1000</f>
        <v>16374.242845582869</v>
      </c>
      <c r="L31" s="30">
        <f>(L7*(VLOOKUP(L$27,tech_data!$B$2:$O$15,6, FALSE)/100)*(1-(VLOOKUP(L$27,tech_data!$B$2:$O$15,7, FALSE)/100))*8760)/1000</f>
        <v>3165.980292222042</v>
      </c>
      <c r="M31" s="30">
        <f>(M7*(VLOOKUP(M$27,tech_data!$B$2:$O$15,6, FALSE)/100)*(1-(VLOOKUP(M$27,tech_data!$B$2:$O$15,7, FALSE)/100))*8760)/1000</f>
        <v>2585.9848430239963</v>
      </c>
      <c r="N31" s="30">
        <f>(N7*(VLOOKUP(N$27,tech_data!$B$2:$O$15,6, FALSE)/100)*(1-(VLOOKUP(N$27,tech_data!$B$2:$O$15,7, FALSE)/100))*8760)/1000</f>
        <v>37.430701047953107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100.70030086984458</v>
      </c>
      <c r="Q31" s="34">
        <f t="shared" si="35"/>
        <v>393423.3432873296</v>
      </c>
      <c r="R31" s="34">
        <f>proj_rukn!D5</f>
        <v>410000</v>
      </c>
      <c r="S31" s="35"/>
      <c r="T31" s="19"/>
      <c r="U31" s="20" t="str">
        <f t="shared" si="36"/>
        <v>INDONESIA</v>
      </c>
      <c r="V31" s="20">
        <f t="shared" si="37"/>
        <v>2022</v>
      </c>
      <c r="W31" s="29">
        <f t="shared" si="38"/>
        <v>0.43960089482568226</v>
      </c>
      <c r="X31" s="29">
        <f t="shared" si="39"/>
        <v>0.10121828165614422</v>
      </c>
      <c r="Y31" s="29">
        <f t="shared" si="40"/>
        <v>0.13125457645858396</v>
      </c>
      <c r="Z31" s="29">
        <f t="shared" si="41"/>
        <v>8.4130086234866328E-2</v>
      </c>
      <c r="AA31" s="29">
        <f t="shared" si="42"/>
        <v>7.0999012359544728E-2</v>
      </c>
      <c r="AB31" s="29">
        <f t="shared" si="43"/>
        <v>8.2096835161136361E-2</v>
      </c>
      <c r="AC31" s="29">
        <f t="shared" si="44"/>
        <v>3.436497108290202E-2</v>
      </c>
      <c r="AD31" s="29">
        <f t="shared" si="45"/>
        <v>4.1619906711087645E-2</v>
      </c>
      <c r="AE31" s="29">
        <f t="shared" si="46"/>
        <v>8.0472609117904475E-3</v>
      </c>
      <c r="AF31" s="29">
        <f t="shared" si="47"/>
        <v>6.5730335709525229E-3</v>
      </c>
      <c r="AG31" s="29">
        <f t="shared" si="48"/>
        <v>9.5141027309648672E-5</v>
      </c>
      <c r="AH31" s="29">
        <f t="shared" si="49"/>
        <v>0</v>
      </c>
      <c r="AI31" s="29">
        <f t="shared" si="50"/>
        <v>2.5595914067635776E-4</v>
      </c>
      <c r="AJ31" s="29">
        <f t="shared" si="51"/>
        <v>1</v>
      </c>
      <c r="AM31" s="23"/>
      <c r="AO31" s="20" t="str">
        <f t="shared" si="69"/>
        <v>INDONESIA</v>
      </c>
      <c r="AP31" s="20">
        <f t="shared" si="70"/>
        <v>2022</v>
      </c>
      <c r="AQ31" s="25">
        <f t="shared" si="52"/>
        <v>0.43960089482568226</v>
      </c>
      <c r="AR31" s="25">
        <f t="shared" si="53"/>
        <v>0.23247285811472815</v>
      </c>
      <c r="AS31" s="25">
        <f t="shared" si="54"/>
        <v>8.4130086234866328E-2</v>
      </c>
      <c r="AT31" s="37">
        <f t="shared" si="55"/>
        <v>0.24379616082472333</v>
      </c>
      <c r="AU31" s="24">
        <f t="shared" si="62"/>
        <v>1</v>
      </c>
      <c r="AW31" s="24">
        <f t="shared" si="71"/>
        <v>0.43960100171939454</v>
      </c>
      <c r="AX31" s="24">
        <f t="shared" si="56"/>
        <v>0.20619999999999999</v>
      </c>
      <c r="AY31" s="24">
        <f t="shared" si="72"/>
        <v>0.10798689019889118</v>
      </c>
      <c r="AZ31" s="25">
        <f t="shared" si="63"/>
        <v>0.17330000000000001</v>
      </c>
      <c r="BA31" s="24">
        <f t="shared" si="64"/>
        <v>0.92708789191828567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73"/>
        <v>1</v>
      </c>
      <c r="BJ31" s="19"/>
      <c r="BK31" s="20" t="str">
        <f t="shared" si="74"/>
        <v>INDONESIA</v>
      </c>
      <c r="BL31" s="20">
        <f t="shared" si="75"/>
        <v>2022</v>
      </c>
      <c r="BM31" s="34">
        <f>VLOOKUP(BL31,proj_rukn!$B$2:$E$21,4,FALSE)</f>
        <v>51006</v>
      </c>
      <c r="BN31" s="30">
        <f t="shared" si="57"/>
        <v>58656.899999999994</v>
      </c>
      <c r="BO31" s="30">
        <f t="shared" si="65"/>
        <v>86913.243954675854</v>
      </c>
      <c r="BQ31" s="30">
        <f t="shared" si="58"/>
        <v>23462.76</v>
      </c>
      <c r="BR31" s="30">
        <f t="shared" si="66"/>
        <v>59664.85776122487</v>
      </c>
      <c r="BS31" s="30"/>
      <c r="BT31" s="30">
        <f t="shared" si="59"/>
        <v>11731.38</v>
      </c>
      <c r="BU31" s="30">
        <f t="shared" si="67"/>
        <v>27248.386193450977</v>
      </c>
      <c r="BW31" s="30">
        <f t="shared" si="60"/>
        <v>12.421253135270742</v>
      </c>
      <c r="BX31" s="30">
        <f t="shared" si="68"/>
        <v>12.421253135271691</v>
      </c>
      <c r="BZ31" s="24">
        <f t="shared" si="76"/>
        <v>5.6007000000000008E-2</v>
      </c>
      <c r="CA31" s="24">
        <f t="shared" si="61"/>
        <v>0.17071600541326892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>proj_rukn!A6</f>
        <v>INDONESIA</v>
      </c>
      <c r="C32" s="20">
        <f>proj_rukn!B6</f>
        <v>2023</v>
      </c>
      <c r="D32" s="30">
        <f>(D8*(VLOOKUP(D$27,tech_data!$B$2:$O$15,6, FALSE)/100)*(1-(VLOOKUP(D$27,tech_data!$B$2:$O$15,7, FALSE)/100))*8760)/1000</f>
        <v>172949.25375442166</v>
      </c>
      <c r="E32" s="30">
        <f>(E8*(VLOOKUP(E$27,tech_data!$B$2:$O$15,6, FALSE)/100)*(1-(VLOOKUP(E$27,tech_data!$B$2:$O$15,7, FALSE)/100))*8760)/1000</f>
        <v>39821.634770958844</v>
      </c>
      <c r="F32" s="30">
        <f>(F8*(VLOOKUP(F$27,tech_data!$B$2:$O$15,6, FALSE)/100)*(1-(VLOOKUP(F$27,tech_data!$B$2:$O$15,7, FALSE)/100))*8760)/1000</f>
        <v>91527.715151218028</v>
      </c>
      <c r="G32" s="30">
        <f>(G8*(VLOOKUP(G$27,tech_data!$B$2:$O$15,6, FALSE)/100)*(1-(VLOOKUP(G$27,tech_data!$B$2:$O$15,7, FALSE)/100))*8760)/1000</f>
        <v>33098.739799012837</v>
      </c>
      <c r="H32" s="30">
        <f>(H8*(VLOOKUP(H$27,tech_data!$B$2:$O$15,6, FALSE)/100)*(1-(VLOOKUP(H$27,tech_data!$B$2:$O$15,7, FALSE)/100))*8760)/1000</f>
        <v>27932.66881259052</v>
      </c>
      <c r="I32" s="30">
        <f>(I8*(VLOOKUP(I$27,tech_data!$B$2:$O$15,6, FALSE)/100)*(1-(VLOOKUP(I$27,tech_data!$B$2:$O$15,7, FALSE)/100))*8760)/1000</f>
        <v>32298.811362403059</v>
      </c>
      <c r="J32" s="30">
        <f>(J8*(VLOOKUP(J$27,tech_data!$B$2:$O$15,6, FALSE)/100)*(1-(VLOOKUP(J$27,tech_data!$B$2:$O$15,7, FALSE)/100))*8760)/1000</f>
        <v>13519.981815407717</v>
      </c>
      <c r="K32" s="30">
        <f>(K8*(VLOOKUP(K$27,tech_data!$B$2:$O$15,6, FALSE)/100)*(1-(VLOOKUP(K$27,tech_data!$B$2:$O$15,7, FALSE)/100))*8760)/1000</f>
        <v>16374.242845582869</v>
      </c>
      <c r="L32" s="30">
        <f>(L8*(VLOOKUP(L$27,tech_data!$B$2:$O$15,6, FALSE)/100)*(1-(VLOOKUP(L$27,tech_data!$B$2:$O$15,7, FALSE)/100))*8760)/1000</f>
        <v>3853.4800932718254</v>
      </c>
      <c r="M32" s="30">
        <f>(M8*(VLOOKUP(M$27,tech_data!$B$2:$O$15,6, FALSE)/100)*(1-(VLOOKUP(M$27,tech_data!$B$2:$O$15,7, FALSE)/100))*8760)/1000</f>
        <v>2585.9848430239963</v>
      </c>
      <c r="N32" s="30">
        <f>(N8*(VLOOKUP(N$27,tech_data!$B$2:$O$15,6, FALSE)/100)*(1-(VLOOKUP(N$27,tech_data!$B$2:$O$15,7, FALSE)/100))*8760)/1000</f>
        <v>37.430701047953107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110.82107420347822</v>
      </c>
      <c r="Q32" s="34">
        <f t="shared" si="35"/>
        <v>433999.94394893927</v>
      </c>
      <c r="R32" s="34">
        <f>proj_rukn!D6</f>
        <v>434000</v>
      </c>
      <c r="S32" s="35"/>
      <c r="T32" s="19"/>
      <c r="U32" s="20" t="str">
        <f t="shared" si="36"/>
        <v>INDONESIA</v>
      </c>
      <c r="V32" s="20">
        <f t="shared" si="37"/>
        <v>2023</v>
      </c>
      <c r="W32" s="29">
        <f t="shared" si="38"/>
        <v>0.39850063615392861</v>
      </c>
      <c r="X32" s="29">
        <f t="shared" si="39"/>
        <v>9.17549306772351E-2</v>
      </c>
      <c r="Y32" s="29">
        <f t="shared" si="40"/>
        <v>0.21089338011985181</v>
      </c>
      <c r="Z32" s="29">
        <f t="shared" si="41"/>
        <v>7.626438726661898E-2</v>
      </c>
      <c r="AA32" s="29">
        <f t="shared" si="42"/>
        <v>6.4360996359660458E-2</v>
      </c>
      <c r="AB32" s="29">
        <f t="shared" si="43"/>
        <v>7.4421233948829865E-2</v>
      </c>
      <c r="AC32" s="29">
        <f t="shared" si="44"/>
        <v>3.1152035856019285E-2</v>
      </c>
      <c r="AD32" s="29">
        <f t="shared" si="45"/>
        <v>3.7728675023767567E-2</v>
      </c>
      <c r="AE32" s="29">
        <f t="shared" si="46"/>
        <v>8.8789875367476841E-3</v>
      </c>
      <c r="AF32" s="29">
        <f t="shared" si="47"/>
        <v>5.9584911912528753E-3</v>
      </c>
      <c r="AG32" s="29">
        <f t="shared" si="48"/>
        <v>8.6245866087846513E-5</v>
      </c>
      <c r="AH32" s="29">
        <f t="shared" si="49"/>
        <v>0</v>
      </c>
      <c r="AI32" s="29">
        <f t="shared" si="50"/>
        <v>2.5534813022122526E-4</v>
      </c>
      <c r="AJ32" s="29">
        <f t="shared" si="51"/>
        <v>1</v>
      </c>
      <c r="AM32" s="23"/>
      <c r="AO32" s="20" t="str">
        <f t="shared" si="69"/>
        <v>INDONESIA</v>
      </c>
      <c r="AP32" s="20">
        <f t="shared" si="70"/>
        <v>2023</v>
      </c>
      <c r="AQ32" s="25">
        <f t="shared" si="52"/>
        <v>0.39850063615392861</v>
      </c>
      <c r="AR32" s="25">
        <f t="shared" si="53"/>
        <v>0.30264831079708687</v>
      </c>
      <c r="AS32" s="25">
        <f t="shared" si="54"/>
        <v>7.626438726661898E-2</v>
      </c>
      <c r="AT32" s="37">
        <f t="shared" si="55"/>
        <v>0.22258666578236555</v>
      </c>
      <c r="AU32" s="24">
        <f t="shared" si="62"/>
        <v>1</v>
      </c>
      <c r="AW32" s="24">
        <f t="shared" si="71"/>
        <v>0.3930673344795963</v>
      </c>
      <c r="AX32" s="24">
        <f t="shared" si="56"/>
        <v>0.21079999999999999</v>
      </c>
      <c r="AY32" s="24">
        <f t="shared" si="72"/>
        <v>0.10582715239491336</v>
      </c>
      <c r="AZ32" s="25">
        <f t="shared" si="63"/>
        <v>0.19220000000000001</v>
      </c>
      <c r="BA32" s="24">
        <f t="shared" si="64"/>
        <v>0.90189448687450968</v>
      </c>
      <c r="BJ32" s="19"/>
      <c r="BK32" s="20" t="str">
        <f t="shared" si="74"/>
        <v>INDONESIA</v>
      </c>
      <c r="BL32" s="20">
        <f t="shared" si="75"/>
        <v>2023</v>
      </c>
      <c r="BM32" s="34">
        <f>VLOOKUP(BL32,proj_rukn!$B$2:$E$21,4,FALSE)</f>
        <v>54471</v>
      </c>
      <c r="BN32" s="30">
        <f t="shared" si="57"/>
        <v>62641.649999999994</v>
      </c>
      <c r="BO32" s="30">
        <f t="shared" si="65"/>
        <v>101329.56737262661</v>
      </c>
      <c r="BQ32" s="30">
        <f t="shared" si="58"/>
        <v>25056.66</v>
      </c>
      <c r="BR32" s="30">
        <f t="shared" si="66"/>
        <v>74078.335784839583</v>
      </c>
      <c r="BS32" s="30"/>
      <c r="BT32" s="30">
        <f t="shared" si="59"/>
        <v>12528.33</v>
      </c>
      <c r="BU32" s="30">
        <f t="shared" si="67"/>
        <v>27251.231587787031</v>
      </c>
      <c r="BW32" s="30">
        <f t="shared" si="60"/>
        <v>12.533021053178796</v>
      </c>
      <c r="BX32" s="30">
        <f t="shared" si="68"/>
        <v>12.421253135271691</v>
      </c>
      <c r="BZ32" s="24">
        <f t="shared" si="76"/>
        <v>5.8807350000000008E-2</v>
      </c>
      <c r="CA32" s="24">
        <f t="shared" si="61"/>
        <v>0.16950105654871903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>proj_rukn!A7</f>
        <v>INDONESIA</v>
      </c>
      <c r="C33" s="20">
        <f>proj_rukn!B7</f>
        <v>2024</v>
      </c>
      <c r="D33" s="30">
        <f>(D9*(VLOOKUP(D$27,tech_data!$B$2:$O$15,6, FALSE)/100)*(1-(VLOOKUP(D$27,tech_data!$B$2:$O$15,7, FALSE)/100))*8760)/1000</f>
        <v>172949.25375442166</v>
      </c>
      <c r="E33" s="30">
        <f>(E9*(VLOOKUP(E$27,tech_data!$B$2:$O$15,6, FALSE)/100)*(1-(VLOOKUP(E$27,tech_data!$B$2:$O$15,7, FALSE)/100))*8760)/1000</f>
        <v>39821.634770958844</v>
      </c>
      <c r="F33" s="30">
        <f>(F9*(VLOOKUP(F$27,tech_data!$B$2:$O$15,6, FALSE)/100)*(1-(VLOOKUP(F$27,tech_data!$B$2:$O$15,7, FALSE)/100))*8760)/1000</f>
        <v>107212.58777382191</v>
      </c>
      <c r="G33" s="30">
        <f>(G9*(VLOOKUP(G$27,tech_data!$B$2:$O$15,6, FALSE)/100)*(1-(VLOOKUP(G$27,tech_data!$B$2:$O$15,7, FALSE)/100))*8760)/1000</f>
        <v>48432.855727994305</v>
      </c>
      <c r="H33" s="30">
        <f>(H9*(VLOOKUP(H$27,tech_data!$B$2:$O$15,6, FALSE)/100)*(1-(VLOOKUP(H$27,tech_data!$B$2:$O$15,7, FALSE)/100))*8760)/1000</f>
        <v>27932.66881259052</v>
      </c>
      <c r="I33" s="30">
        <f>(I9*(VLOOKUP(I$27,tech_data!$B$2:$O$15,6, FALSE)/100)*(1-(VLOOKUP(I$27,tech_data!$B$2:$O$15,7, FALSE)/100))*8760)/1000</f>
        <v>32298.811362403059</v>
      </c>
      <c r="J33" s="30">
        <f>(J9*(VLOOKUP(J$27,tech_data!$B$2:$O$15,6, FALSE)/100)*(1-(VLOOKUP(J$27,tech_data!$B$2:$O$15,7, FALSE)/100))*8760)/1000</f>
        <v>13519.981815407717</v>
      </c>
      <c r="K33" s="30">
        <f>(K9*(VLOOKUP(K$27,tech_data!$B$2:$O$15,6, FALSE)/100)*(1-(VLOOKUP(K$27,tech_data!$B$2:$O$15,7, FALSE)/100))*8760)/1000</f>
        <v>16374.242845582869</v>
      </c>
      <c r="L33" s="30">
        <f>(L9*(VLOOKUP(L$27,tech_data!$B$2:$O$15,6, FALSE)/100)*(1-(VLOOKUP(L$27,tech_data!$B$2:$O$15,7, FALSE)/100))*8760)/1000</f>
        <v>5834.5474578567009</v>
      </c>
      <c r="M33" s="30">
        <f>(M9*(VLOOKUP(M$27,tech_data!$B$2:$O$15,6, FALSE)/100)*(1-(VLOOKUP(M$27,tech_data!$B$2:$O$15,7, FALSE)/100))*8760)/1000</f>
        <v>2585.9848430239963</v>
      </c>
      <c r="N33" s="30">
        <f>(N9*(VLOOKUP(N$27,tech_data!$B$2:$O$15,6, FALSE)/100)*(1-(VLOOKUP(N$27,tech_data!$B$2:$O$15,7, FALSE)/100))*8760)/1000</f>
        <v>37.430701047953107</v>
      </c>
      <c r="O33" s="30">
        <f>(O9*(VLOOKUP(O$27,tech_data!$B$2:$O$15,6, FALSE)/100)*(1-(VLOOKUP(O$27,tech_data!$B$2:$O$15,7, FALSE)/100))*8760)/1000</f>
        <v>7.8638724209744467E-14</v>
      </c>
      <c r="P33" s="30">
        <f>(P9*(VLOOKUP(P$27,tech_data!$B$2:$O$15,6, FALSE)/100)*(1-(VLOOKUP(P$27,tech_data!$B$2:$O$15,7, FALSE)/100))*8760)/1000</f>
        <v>119.33522697808043</v>
      </c>
      <c r="Q33" s="34">
        <f t="shared" si="35"/>
        <v>466999.99986510951</v>
      </c>
      <c r="R33" s="34">
        <f>proj_rukn!D7</f>
        <v>467000</v>
      </c>
      <c r="S33" s="35"/>
      <c r="T33" s="19"/>
      <c r="U33" s="20" t="str">
        <f t="shared" si="36"/>
        <v>INDONESIA</v>
      </c>
      <c r="V33" s="20">
        <f t="shared" si="37"/>
        <v>2024</v>
      </c>
      <c r="W33" s="29">
        <f t="shared" si="38"/>
        <v>0.37034101457040075</v>
      </c>
      <c r="X33" s="29">
        <f t="shared" si="39"/>
        <v>8.5271166557732578E-2</v>
      </c>
      <c r="Y33" s="29">
        <f t="shared" si="40"/>
        <v>0.22957727581325418</v>
      </c>
      <c r="Z33" s="29">
        <f t="shared" si="41"/>
        <v>0.10371061186720316</v>
      </c>
      <c r="AA33" s="29">
        <f t="shared" si="42"/>
        <v>5.9812995333316327E-2</v>
      </c>
      <c r="AB33" s="29">
        <f t="shared" si="43"/>
        <v>6.9162336984437689E-2</v>
      </c>
      <c r="AC33" s="29">
        <f t="shared" si="44"/>
        <v>2.8950710533860582E-2</v>
      </c>
      <c r="AD33" s="29">
        <f t="shared" si="45"/>
        <v>3.5062618523153066E-2</v>
      </c>
      <c r="AE33" s="29">
        <f t="shared" si="46"/>
        <v>1.2493677643558842E-2</v>
      </c>
      <c r="AF33" s="29">
        <f t="shared" si="47"/>
        <v>5.5374407789527715E-3</v>
      </c>
      <c r="AG33" s="29">
        <f t="shared" si="48"/>
        <v>8.0151394130117281E-5</v>
      </c>
      <c r="AH33" s="29">
        <f t="shared" si="49"/>
        <v>1.6839127244637869E-19</v>
      </c>
      <c r="AI33" s="29">
        <f t="shared" si="50"/>
        <v>2.5553581801402521E-4</v>
      </c>
      <c r="AJ33" s="29">
        <f t="shared" si="51"/>
        <v>1.0000000000000002</v>
      </c>
      <c r="AM33" s="23"/>
      <c r="AO33" s="20" t="str">
        <f t="shared" si="69"/>
        <v>INDONESIA</v>
      </c>
      <c r="AP33" s="20">
        <f t="shared" si="70"/>
        <v>2024</v>
      </c>
      <c r="AQ33" s="25">
        <f t="shared" si="52"/>
        <v>0.37034101457040075</v>
      </c>
      <c r="AR33" s="25">
        <f t="shared" si="53"/>
        <v>0.31484844237098675</v>
      </c>
      <c r="AS33" s="25">
        <f t="shared" si="54"/>
        <v>0.10371061186720316</v>
      </c>
      <c r="AT33" s="37">
        <f t="shared" si="55"/>
        <v>0.21109993119140941</v>
      </c>
      <c r="AU33" s="24">
        <f t="shared" si="62"/>
        <v>1</v>
      </c>
      <c r="AW33" s="24">
        <f t="shared" si="71"/>
        <v>0.34653366723979817</v>
      </c>
      <c r="AX33" s="24">
        <f t="shared" si="56"/>
        <v>0.21540000000000001</v>
      </c>
      <c r="AY33" s="24">
        <f t="shared" si="72"/>
        <v>0.10371060934701509</v>
      </c>
      <c r="AZ33" s="25">
        <f t="shared" si="63"/>
        <v>0.21110000000000001</v>
      </c>
      <c r="BA33" s="24">
        <f t="shared" si="64"/>
        <v>0.87674427658681342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74"/>
        <v>INDONESIA</v>
      </c>
      <c r="BL33" s="20">
        <f t="shared" si="75"/>
        <v>2024</v>
      </c>
      <c r="BM33" s="34">
        <f>VLOOKUP(BL33,proj_rukn!$B$2:$E$21,4,FALSE)</f>
        <v>57717</v>
      </c>
      <c r="BN33" s="30">
        <f t="shared" si="57"/>
        <v>66374.549999999988</v>
      </c>
      <c r="BO33" s="30">
        <f t="shared" si="65"/>
        <v>110068.02853122944</v>
      </c>
      <c r="BQ33" s="30">
        <f t="shared" si="58"/>
        <v>26549.819999999996</v>
      </c>
      <c r="BR33" s="30">
        <f t="shared" si="66"/>
        <v>79745.888123197481</v>
      </c>
      <c r="BS33" s="30"/>
      <c r="BT33" s="30">
        <f t="shared" si="59"/>
        <v>13274.909999999998</v>
      </c>
      <c r="BU33" s="30">
        <f t="shared" si="67"/>
        <v>30322.140408031973</v>
      </c>
      <c r="BW33" s="30">
        <f t="shared" si="60"/>
        <v>12.855086273033619</v>
      </c>
      <c r="BX33" s="30">
        <f t="shared" si="68"/>
        <v>12.421253135271691</v>
      </c>
      <c r="BZ33" s="24">
        <f t="shared" si="76"/>
        <v>6.1747717500000014E-2</v>
      </c>
      <c r="CA33" s="24">
        <f t="shared" si="61"/>
        <v>0.1660948837134435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>proj_rukn!A8</f>
        <v>INDONESIA</v>
      </c>
      <c r="C34" s="20">
        <f>proj_rukn!B8</f>
        <v>2025</v>
      </c>
      <c r="D34" s="30">
        <f>(D10*(VLOOKUP(D$27,tech_data!$B$2:$O$15,6, FALSE)/100)*(1-(VLOOKUP(D$27,tech_data!$B$2:$O$15,7, FALSE)/100))*8760)/1000</f>
        <v>172949.25375442166</v>
      </c>
      <c r="E34" s="30">
        <f>(E10*(VLOOKUP(E$27,tech_data!$B$2:$O$15,6, FALSE)/100)*(1-(VLOOKUP(E$27,tech_data!$B$2:$O$15,7, FALSE)/100))*8760)/1000</f>
        <v>39821.634770958844</v>
      </c>
      <c r="F34" s="30">
        <f>(F10*(VLOOKUP(F$27,tech_data!$B$2:$O$15,6, FALSE)/100)*(1-(VLOOKUP(F$27,tech_data!$B$2:$O$15,7, FALSE)/100))*8760)/1000</f>
        <v>121410.84042518081</v>
      </c>
      <c r="G34" s="30">
        <f>(G10*(VLOOKUP(G$27,tech_data!$B$2:$O$15,6, FALSE)/100)*(1-(VLOOKUP(G$27,tech_data!$B$2:$O$15,7, FALSE)/100))*8760)/1000</f>
        <v>50818.18737950924</v>
      </c>
      <c r="H34" s="30">
        <f>(H10*(VLOOKUP(H$27,tech_data!$B$2:$O$15,6, FALSE)/100)*(1-(VLOOKUP(H$27,tech_data!$B$2:$O$15,7, FALSE)/100))*8760)/1000</f>
        <v>27932.66881259052</v>
      </c>
      <c r="I34" s="30">
        <f>(I10*(VLOOKUP(I$27,tech_data!$B$2:$O$15,6, FALSE)/100)*(1-(VLOOKUP(I$27,tech_data!$B$2:$O$15,7, FALSE)/100))*8760)/1000</f>
        <v>32298.811362403059</v>
      </c>
      <c r="J34" s="30">
        <f>(J10*(VLOOKUP(J$27,tech_data!$B$2:$O$15,6, FALSE)/100)*(1-(VLOOKUP(J$27,tech_data!$B$2:$O$15,7, FALSE)/100))*8760)/1000</f>
        <v>13519.981815407717</v>
      </c>
      <c r="K34" s="30">
        <f>(K10*(VLOOKUP(K$27,tech_data!$B$2:$O$15,6, FALSE)/100)*(1-(VLOOKUP(K$27,tech_data!$B$2:$O$15,7, FALSE)/100))*8760)/1000</f>
        <v>16374.242845582869</v>
      </c>
      <c r="L34" s="30">
        <f>(L10*(VLOOKUP(L$27,tech_data!$B$2:$O$15,6, FALSE)/100)*(1-(VLOOKUP(L$27,tech_data!$B$2:$O$15,7, FALSE)/100))*8760)/1000</f>
        <v>22250.819678436656</v>
      </c>
      <c r="M34" s="30">
        <f>(M10*(VLOOKUP(M$27,tech_data!$B$2:$O$15,6, FALSE)/100)*(1-(VLOOKUP(M$27,tech_data!$B$2:$O$15,7, FALSE)/100))*8760)/1000</f>
        <v>2585.9848430239963</v>
      </c>
      <c r="N34" s="30">
        <f>(N10*(VLOOKUP(N$27,tech_data!$B$2:$O$15,6, FALSE)/100)*(1-(VLOOKUP(N$27,tech_data!$B$2:$O$15,7, FALSE)/100))*8760)/1000</f>
        <v>37.430701047953107</v>
      </c>
      <c r="O34" s="30">
        <f>(O10*(VLOOKUP(O$27,tech_data!$B$2:$O$15,6, FALSE)/100)*(1-(VLOOKUP(O$27,tech_data!$B$2:$O$15,7, FALSE)/100))*8760)/1000</f>
        <v>7.8638724209744467E-14</v>
      </c>
      <c r="P34" s="30">
        <f>(P10*(VLOOKUP(P$27,tech_data!$B$2:$O$15,6, FALSE)/100)*(1-(VLOOKUP(P$27,tech_data!$B$2:$O$15,7, FALSE)/100))*8760)/1000</f>
        <v>130.72381265218769</v>
      </c>
      <c r="Q34" s="34">
        <f t="shared" si="35"/>
        <v>499999.85638856335</v>
      </c>
      <c r="R34" s="34">
        <f>proj_rukn!D8</f>
        <v>500000</v>
      </c>
      <c r="S34" s="35"/>
      <c r="T34" s="19"/>
      <c r="U34" s="20" t="str">
        <f t="shared" si="36"/>
        <v>INDONESIA</v>
      </c>
      <c r="V34" s="20">
        <f t="shared" si="37"/>
        <v>2025</v>
      </c>
      <c r="W34" s="29">
        <f t="shared" si="38"/>
        <v>0.34589860685883506</v>
      </c>
      <c r="X34" s="29">
        <f t="shared" si="39"/>
        <v>7.9643292417292982E-2</v>
      </c>
      <c r="Y34" s="29">
        <f t="shared" si="40"/>
        <v>0.24282175059432254</v>
      </c>
      <c r="Z34" s="29">
        <f t="shared" si="41"/>
        <v>0.10163640395131845</v>
      </c>
      <c r="AA34" s="29">
        <f t="shared" si="42"/>
        <v>5.5865353670988438E-2</v>
      </c>
      <c r="AB34" s="29">
        <f t="shared" si="43"/>
        <v>6.4597641278726262E-2</v>
      </c>
      <c r="AC34" s="29">
        <f t="shared" si="44"/>
        <v>2.7039971397313713E-2</v>
      </c>
      <c r="AD34" s="29">
        <f t="shared" si="45"/>
        <v>3.2748495097282594E-2</v>
      </c>
      <c r="AE34" s="29">
        <f t="shared" si="46"/>
        <v>4.4501652138765703E-2</v>
      </c>
      <c r="AF34" s="29">
        <f t="shared" si="47"/>
        <v>5.1719711715564132E-3</v>
      </c>
      <c r="AG34" s="29">
        <f t="shared" si="48"/>
        <v>7.4861423597819406E-5</v>
      </c>
      <c r="AH34" s="29">
        <f t="shared" si="49"/>
        <v>1.5727749359318255E-19</v>
      </c>
      <c r="AI34" s="29">
        <f t="shared" si="50"/>
        <v>2.614477003981351E-4</v>
      </c>
      <c r="AJ34" s="29">
        <f t="shared" si="51"/>
        <v>1</v>
      </c>
      <c r="AM34" s="23"/>
      <c r="AO34" s="20" t="str">
        <f t="shared" si="69"/>
        <v>INDONESIA</v>
      </c>
      <c r="AP34" s="20">
        <f t="shared" si="70"/>
        <v>2025</v>
      </c>
      <c r="AQ34" s="25">
        <f t="shared" si="52"/>
        <v>0.34589860685883506</v>
      </c>
      <c r="AR34" s="25">
        <f t="shared" si="53"/>
        <v>0.32246504301161549</v>
      </c>
      <c r="AS34" s="25">
        <f t="shared" si="54"/>
        <v>0.10163640395131845</v>
      </c>
      <c r="AT34" s="37">
        <f t="shared" si="55"/>
        <v>0.22999994617823094</v>
      </c>
      <c r="AU34" s="24">
        <f t="shared" si="62"/>
        <v>1</v>
      </c>
      <c r="AW34" s="24">
        <f t="shared" si="71"/>
        <v>0.3</v>
      </c>
      <c r="AX34" s="24">
        <f t="shared" si="56"/>
        <v>0.22</v>
      </c>
      <c r="AY34" s="24">
        <f t="shared" si="72"/>
        <v>0.10163639716007479</v>
      </c>
      <c r="AZ34" s="25">
        <f t="shared" si="63"/>
        <v>0.23</v>
      </c>
      <c r="BA34" s="24">
        <f t="shared" si="64"/>
        <v>0.85163639716007478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74"/>
        <v>INDONESIA</v>
      </c>
      <c r="BL34" s="20">
        <f t="shared" si="75"/>
        <v>2025</v>
      </c>
      <c r="BM34" s="34">
        <f>VLOOKUP(BL34,proj_rukn!$B$2:$E$21,4,FALSE)</f>
        <v>61149</v>
      </c>
      <c r="BN34" s="30">
        <f t="shared" si="57"/>
        <v>70321.349999999991</v>
      </c>
      <c r="BO34" s="30">
        <f t="shared" si="65"/>
        <v>115678.93881498066</v>
      </c>
      <c r="BQ34" s="30">
        <f t="shared" si="58"/>
        <v>28128.539999999997</v>
      </c>
      <c r="BR34" s="30">
        <f t="shared" si="66"/>
        <v>84876.267052691546</v>
      </c>
      <c r="BS34" s="30"/>
      <c r="BT34" s="30">
        <f t="shared" si="59"/>
        <v>14064.269999999999</v>
      </c>
      <c r="BU34" s="30">
        <f t="shared" si="67"/>
        <v>30802.671762289119</v>
      </c>
      <c r="BW34" s="30">
        <f t="shared" si="60"/>
        <v>15.523905323023667</v>
      </c>
      <c r="BX34" s="30">
        <f t="shared" si="68"/>
        <v>12.421253135271691</v>
      </c>
      <c r="BZ34" s="24">
        <f t="shared" si="76"/>
        <v>6.4835103375000022E-2</v>
      </c>
      <c r="CA34" s="24">
        <f t="shared" si="61"/>
        <v>0.14238479461167014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>proj_rukn!A9</f>
        <v>INDONESIA</v>
      </c>
      <c r="C35" s="20">
        <f>proj_rukn!B9</f>
        <v>2026</v>
      </c>
      <c r="D35" s="30">
        <f>(D11*(VLOOKUP(D$27,tech_data!$B$2:$O$15,6, FALSE)/100)*(1-(VLOOKUP(D$27,tech_data!$B$2:$O$15,7, FALSE)/100))*8760)/1000</f>
        <v>172949.25375442166</v>
      </c>
      <c r="E35" s="30">
        <f>(E11*(VLOOKUP(E$27,tech_data!$B$2:$O$15,6, FALSE)/100)*(1-(VLOOKUP(E$27,tech_data!$B$2:$O$15,7, FALSE)/100))*8760)/1000</f>
        <v>39821.634770958844</v>
      </c>
      <c r="F35" s="30">
        <f>(F11*(VLOOKUP(F$27,tech_data!$B$2:$O$15,6, FALSE)/100)*(1-(VLOOKUP(F$27,tech_data!$B$2:$O$15,7, FALSE)/100))*8760)/1000</f>
        <v>148182.31767770019</v>
      </c>
      <c r="G35" s="30">
        <f>(G11*(VLOOKUP(G$27,tech_data!$B$2:$O$15,6, FALSE)/100)*(1-(VLOOKUP(G$27,tech_data!$B$2:$O$15,7, FALSE)/100))*8760)/1000</f>
        <v>53885.584596262255</v>
      </c>
      <c r="H35" s="30">
        <f>(H11*(VLOOKUP(H$27,tech_data!$B$2:$O$15,6, FALSE)/100)*(1-(VLOOKUP(H$27,tech_data!$B$2:$O$15,7, FALSE)/100))*8760)/1000</f>
        <v>27932.66881259052</v>
      </c>
      <c r="I35" s="30">
        <f>(I11*(VLOOKUP(I$27,tech_data!$B$2:$O$15,6, FALSE)/100)*(1-(VLOOKUP(I$27,tech_data!$B$2:$O$15,7, FALSE)/100))*8760)/1000</f>
        <v>32298.811362403059</v>
      </c>
      <c r="J35" s="30">
        <f>(J11*(VLOOKUP(J$27,tech_data!$B$2:$O$15,6, FALSE)/100)*(1-(VLOOKUP(J$27,tech_data!$B$2:$O$15,7, FALSE)/100))*8760)/1000</f>
        <v>13519.981815407717</v>
      </c>
      <c r="K35" s="30">
        <f>(K11*(VLOOKUP(K$27,tech_data!$B$2:$O$15,6, FALSE)/100)*(1-(VLOOKUP(K$27,tech_data!$B$2:$O$15,7, FALSE)/100))*8760)/1000</f>
        <v>16374.242845582869</v>
      </c>
      <c r="L35" s="30">
        <f>(L11*(VLOOKUP(L$27,tech_data!$B$2:$O$15,6, FALSE)/100)*(1-(VLOOKUP(L$27,tech_data!$B$2:$O$15,7, FALSE)/100))*8760)/1000</f>
        <v>33412.065856830559</v>
      </c>
      <c r="M35" s="30">
        <f>(M11*(VLOOKUP(M$27,tech_data!$B$2:$O$15,6, FALSE)/100)*(1-(VLOOKUP(M$27,tech_data!$B$2:$O$15,7, FALSE)/100))*8760)/1000</f>
        <v>2585.9848430239963</v>
      </c>
      <c r="N35" s="30">
        <f>(N11*(VLOOKUP(N$27,tech_data!$B$2:$O$15,6, FALSE)/100)*(1-(VLOOKUP(N$27,tech_data!$B$2:$O$15,7, FALSE)/100))*8760)/1000</f>
        <v>37.430701047953107</v>
      </c>
      <c r="O35" s="30">
        <f>(O11*(VLOOKUP(O$27,tech_data!$B$2:$O$15,6, FALSE)/100)*(1-(VLOOKUP(O$27,tech_data!$B$2:$O$15,7, FALSE)/100))*8760)/1000</f>
        <v>7.8638724209744467E-14</v>
      </c>
      <c r="P35" s="30">
        <f>(P11*(VLOOKUP(P$27,tech_data!$B$2:$O$15,6, FALSE)/100)*(1-(VLOOKUP(P$27,tech_data!$B$2:$O$15,7, FALSE)/100))*8760)/1000</f>
        <v>143.03442990545892</v>
      </c>
      <c r="Q35" s="34">
        <f t="shared" si="35"/>
        <v>540999.97703622968</v>
      </c>
      <c r="R35" s="34">
        <f>proj_rukn!D9</f>
        <v>541000</v>
      </c>
      <c r="S35" s="35"/>
      <c r="T35" s="19"/>
      <c r="U35" s="20" t="str">
        <f t="shared" si="36"/>
        <v>INDONESIA</v>
      </c>
      <c r="V35" s="20">
        <f t="shared" si="37"/>
        <v>2026</v>
      </c>
      <c r="W35" s="29">
        <f t="shared" si="38"/>
        <v>0.31968440128573167</v>
      </c>
      <c r="X35" s="29">
        <f t="shared" si="39"/>
        <v>7.3607461111393116E-2</v>
      </c>
      <c r="Y35" s="29">
        <f t="shared" si="40"/>
        <v>0.27390448053157074</v>
      </c>
      <c r="Z35" s="29">
        <f t="shared" si="41"/>
        <v>9.9603672612824615E-2</v>
      </c>
      <c r="AA35" s="29">
        <f t="shared" si="42"/>
        <v>5.1631552676978998E-2</v>
      </c>
      <c r="AB35" s="29">
        <f t="shared" si="43"/>
        <v>5.9702056808479446E-2</v>
      </c>
      <c r="AC35" s="29">
        <f t="shared" si="44"/>
        <v>2.4990725303676509E-2</v>
      </c>
      <c r="AD35" s="29">
        <f t="shared" si="45"/>
        <v>3.0266623919812694E-2</v>
      </c>
      <c r="AE35" s="29">
        <f t="shared" si="46"/>
        <v>6.1759828604563916E-2</v>
      </c>
      <c r="AF35" s="29">
        <f t="shared" si="47"/>
        <v>4.7800091548817532E-3</v>
      </c>
      <c r="AG35" s="29">
        <f t="shared" si="48"/>
        <v>6.9187990086451423E-5</v>
      </c>
      <c r="AH35" s="29">
        <f t="shared" si="49"/>
        <v>1.4535809158542385E-19</v>
      </c>
      <c r="AI35" s="29">
        <f t="shared" si="50"/>
        <v>2.6438897592759081E-4</v>
      </c>
      <c r="AJ35" s="29">
        <f t="shared" si="51"/>
        <v>1</v>
      </c>
      <c r="AM35" s="23"/>
      <c r="AO35" s="20" t="str">
        <f t="shared" si="69"/>
        <v>INDONESIA</v>
      </c>
      <c r="AP35" s="20">
        <f t="shared" si="70"/>
        <v>2026</v>
      </c>
      <c r="AQ35" s="25">
        <f t="shared" si="52"/>
        <v>0.31968440128573167</v>
      </c>
      <c r="AR35" s="25">
        <f t="shared" si="53"/>
        <v>0.3475119416429639</v>
      </c>
      <c r="AS35" s="25">
        <f t="shared" si="54"/>
        <v>9.9603672612824615E-2</v>
      </c>
      <c r="AT35" s="37">
        <f t="shared" si="55"/>
        <v>0.23319998445847975</v>
      </c>
      <c r="AU35" s="24">
        <f t="shared" si="62"/>
        <v>1</v>
      </c>
      <c r="AW35" s="24">
        <f>$BD$30+((AP35-$BC$30)*($BD$31-$BD$30)/($BC$31-$BC$30))</f>
        <v>0.29799999999999999</v>
      </c>
      <c r="AX35" s="24">
        <f t="shared" si="56"/>
        <v>0.22459999999999999</v>
      </c>
      <c r="AY35" s="24">
        <f t="shared" si="72"/>
        <v>9.9603669216873289E-2</v>
      </c>
      <c r="AZ35" s="25">
        <f t="shared" ref="AZ35:AZ47" si="77">$BG$30+((AP35-$BC$30)*($BG$31-$BG$30)/($BC$31-$BC$30))</f>
        <v>0.23320000000000002</v>
      </c>
      <c r="BA35" s="24">
        <f t="shared" si="64"/>
        <v>0.85540366921687316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78">SUM(BD35:BG35)</f>
        <v>1</v>
      </c>
      <c r="BJ35" s="19"/>
      <c r="BK35" s="20" t="str">
        <f t="shared" si="74"/>
        <v>INDONESIA</v>
      </c>
      <c r="BL35" s="20">
        <f t="shared" si="75"/>
        <v>2026</v>
      </c>
      <c r="BM35" s="34">
        <f>VLOOKUP(BL35,proj_rukn!$B$2:$E$21,4,FALSE)</f>
        <v>64759</v>
      </c>
      <c r="BN35" s="30">
        <f t="shared" si="57"/>
        <v>74472.849999999991</v>
      </c>
      <c r="BO35" s="30">
        <f t="shared" si="65"/>
        <v>125969.79001071911</v>
      </c>
      <c r="BQ35" s="30">
        <f t="shared" si="58"/>
        <v>29789.14</v>
      </c>
      <c r="BR35" s="30">
        <f t="shared" si="66"/>
        <v>94549.839299950429</v>
      </c>
      <c r="BS35" s="30"/>
      <c r="BT35" s="30">
        <f t="shared" si="59"/>
        <v>14894.57</v>
      </c>
      <c r="BU35" s="30">
        <f t="shared" si="67"/>
        <v>31419.95071076868</v>
      </c>
      <c r="BW35" s="30">
        <f t="shared" si="60"/>
        <v>17.3384065704618</v>
      </c>
      <c r="BX35" s="30">
        <f t="shared" si="68"/>
        <v>12.421253135271691</v>
      </c>
      <c r="BZ35" s="24">
        <f t="shared" si="76"/>
        <v>6.8076858543750021E-2</v>
      </c>
      <c r="CA35" s="24">
        <f t="shared" si="61"/>
        <v>0.12978827588730624</v>
      </c>
      <c r="CF35" s="23"/>
    </row>
    <row r="36" spans="1:84" x14ac:dyDescent="0.25">
      <c r="A36" s="19"/>
      <c r="B36" s="20" t="str">
        <f>proj_rukn!A10</f>
        <v>INDONESIA</v>
      </c>
      <c r="C36" s="20">
        <f>proj_rukn!B10</f>
        <v>2027</v>
      </c>
      <c r="D36" s="30">
        <f>(D12*(VLOOKUP(D$27,tech_data!$B$2:$O$15,6, FALSE)/100)*(1-(VLOOKUP(D$27,tech_data!$B$2:$O$15,7, FALSE)/100))*8760)/1000</f>
        <v>174343.87626037569</v>
      </c>
      <c r="E36" s="30">
        <f>(E12*(VLOOKUP(E$27,tech_data!$B$2:$O$15,6, FALSE)/100)*(1-(VLOOKUP(E$27,tech_data!$B$2:$O$15,7, FALSE)/100))*8760)/1000</f>
        <v>39821.634770958844</v>
      </c>
      <c r="F36" s="30">
        <f>(F12*(VLOOKUP(F$27,tech_data!$B$2:$O$15,6, FALSE)/100)*(1-(VLOOKUP(F$27,tech_data!$B$2:$O$15,7, FALSE)/100))*8760)/1000</f>
        <v>178101.53368716926</v>
      </c>
      <c r="G36" s="30">
        <f>(G12*(VLOOKUP(G$27,tech_data!$B$2:$O$15,6, FALSE)/100)*(1-(VLOOKUP(G$27,tech_data!$B$2:$O$15,7, FALSE)/100))*8760)/1000</f>
        <v>57493.216926589776</v>
      </c>
      <c r="H36" s="30">
        <f>(H12*(VLOOKUP(H$27,tech_data!$B$2:$O$15,6, FALSE)/100)*(1-(VLOOKUP(H$27,tech_data!$B$2:$O$15,7, FALSE)/100))*8760)/1000</f>
        <v>27932.66881259052</v>
      </c>
      <c r="I36" s="30">
        <f>(I12*(VLOOKUP(I$27,tech_data!$B$2:$O$15,6, FALSE)/100)*(1-(VLOOKUP(I$27,tech_data!$B$2:$O$15,7, FALSE)/100))*8760)/1000</f>
        <v>32298.811362403059</v>
      </c>
      <c r="J36" s="30">
        <f>(J12*(VLOOKUP(J$27,tech_data!$B$2:$O$15,6, FALSE)/100)*(1-(VLOOKUP(J$27,tech_data!$B$2:$O$15,7, FALSE)/100))*8760)/1000</f>
        <v>13519.981815407717</v>
      </c>
      <c r="K36" s="30">
        <f>(K12*(VLOOKUP(K$27,tech_data!$B$2:$O$15,6, FALSE)/100)*(1-(VLOOKUP(K$27,tech_data!$B$2:$O$15,7, FALSE)/100))*8760)/1000</f>
        <v>16374.242845582869</v>
      </c>
      <c r="L36" s="30">
        <f>(L12*(VLOOKUP(L$27,tech_data!$B$2:$O$15,6, FALSE)/100)*(1-(VLOOKUP(L$27,tech_data!$B$2:$O$15,7, FALSE)/100))*8760)/1000</f>
        <v>46490.430020128471</v>
      </c>
      <c r="M36" s="30">
        <f>(M12*(VLOOKUP(M$27,tech_data!$B$2:$O$15,6, FALSE)/100)*(1-(VLOOKUP(M$27,tech_data!$B$2:$O$15,7, FALSE)/100))*8760)/1000</f>
        <v>2585.9848430239963</v>
      </c>
      <c r="N36" s="30">
        <f>(N12*(VLOOKUP(N$27,tech_data!$B$2:$O$15,6, FALSE)/100)*(1-(VLOOKUP(N$27,tech_data!$B$2:$O$15,7, FALSE)/100))*8760)/1000</f>
        <v>37.430701047953107</v>
      </c>
      <c r="O36" s="30">
        <f>(O12*(VLOOKUP(O$27,tech_data!$B$2:$O$15,6, FALSE)/100)*(1-(VLOOKUP(O$27,tech_data!$B$2:$O$15,7, FALSE)/100))*8760)/1000</f>
        <v>7.8638724209744467E-14</v>
      </c>
      <c r="P36" s="30">
        <f>(P12*(VLOOKUP(P$27,tech_data!$B$2:$O$15,6, FALSE)/100)*(1-(VLOOKUP(P$27,tech_data!$B$2:$O$15,7, FALSE)/100))*8760)/1000</f>
        <v>157.44908234516146</v>
      </c>
      <c r="Q36" s="34">
        <f t="shared" si="35"/>
        <v>588999.81204527826</v>
      </c>
      <c r="R36" s="34">
        <f>proj_rukn!D10</f>
        <v>589000</v>
      </c>
      <c r="S36" s="35"/>
      <c r="T36" s="19"/>
      <c r="U36" s="20" t="str">
        <f t="shared" si="36"/>
        <v>INDONESIA</v>
      </c>
      <c r="V36" s="20">
        <f t="shared" si="37"/>
        <v>2027</v>
      </c>
      <c r="W36" s="29">
        <f t="shared" si="38"/>
        <v>0.29599988437173447</v>
      </c>
      <c r="X36" s="29">
        <f t="shared" si="39"/>
        <v>6.7608909131362555E-2</v>
      </c>
      <c r="Y36" s="29">
        <f t="shared" si="40"/>
        <v>0.30237961039192662</v>
      </c>
      <c r="Z36" s="29">
        <f t="shared" si="41"/>
        <v>9.761160487801665E-2</v>
      </c>
      <c r="AA36" s="29">
        <f t="shared" si="42"/>
        <v>4.742390106305034E-2</v>
      </c>
      <c r="AB36" s="29">
        <f t="shared" si="43"/>
        <v>5.4836709115825916E-2</v>
      </c>
      <c r="AC36" s="29">
        <f t="shared" si="44"/>
        <v>2.2954136043711323E-2</v>
      </c>
      <c r="AD36" s="29">
        <f t="shared" si="45"/>
        <v>2.7800081614158697E-2</v>
      </c>
      <c r="AE36" s="29">
        <f t="shared" si="46"/>
        <v>7.8931145765042468E-2</v>
      </c>
      <c r="AF36" s="29">
        <f t="shared" si="47"/>
        <v>4.3904680275605986E-3</v>
      </c>
      <c r="AG36" s="29">
        <f t="shared" si="48"/>
        <v>6.3549597610186825E-5</v>
      </c>
      <c r="AH36" s="29">
        <f t="shared" si="49"/>
        <v>1.3351230781666067E-19</v>
      </c>
      <c r="AI36" s="29">
        <f t="shared" si="50"/>
        <v>2.6731601458144074E-4</v>
      </c>
      <c r="AJ36" s="29">
        <f t="shared" si="51"/>
        <v>1</v>
      </c>
      <c r="AM36" s="23"/>
      <c r="AO36" s="20" t="str">
        <f t="shared" si="69"/>
        <v>INDONESIA</v>
      </c>
      <c r="AP36" s="20">
        <f t="shared" si="70"/>
        <v>2027</v>
      </c>
      <c r="AQ36" s="25">
        <f t="shared" si="52"/>
        <v>0.29599988437173447</v>
      </c>
      <c r="AR36" s="25">
        <f t="shared" si="53"/>
        <v>0.36998851952328921</v>
      </c>
      <c r="AS36" s="25">
        <f t="shared" si="54"/>
        <v>9.761160487801665E-2</v>
      </c>
      <c r="AT36" s="37">
        <f t="shared" si="55"/>
        <v>0.23639999122695945</v>
      </c>
      <c r="AU36" s="24">
        <f t="shared" si="62"/>
        <v>0.99999999999999978</v>
      </c>
      <c r="AW36" s="24">
        <f t="shared" ref="AW36:AW47" si="79">$BD$30+((AP36-$BC$30)*($BD$31-$BD$30)/($BC$31-$BC$30))</f>
        <v>0.29599999999999999</v>
      </c>
      <c r="AX36" s="24">
        <f t="shared" si="56"/>
        <v>0.22920000000000001</v>
      </c>
      <c r="AY36" s="24">
        <f t="shared" si="72"/>
        <v>9.7611595832535827E-2</v>
      </c>
      <c r="AZ36" s="25">
        <f t="shared" si="77"/>
        <v>0.2364</v>
      </c>
      <c r="BA36" s="24">
        <f t="shared" si="64"/>
        <v>0.85921159583253592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78"/>
        <v>1</v>
      </c>
      <c r="BJ36" s="19"/>
      <c r="BK36" s="20" t="str">
        <f t="shared" si="74"/>
        <v>INDONESIA</v>
      </c>
      <c r="BL36" s="20">
        <f t="shared" si="75"/>
        <v>2027</v>
      </c>
      <c r="BM36" s="34">
        <f>VLOOKUP(BL36,proj_rukn!$B$2:$E$21,4,FALSE)</f>
        <v>69580</v>
      </c>
      <c r="BN36" s="30">
        <f t="shared" si="57"/>
        <v>80017</v>
      </c>
      <c r="BO36" s="30">
        <f t="shared" si="65"/>
        <v>137794.34101047972</v>
      </c>
      <c r="BQ36" s="30">
        <f t="shared" si="58"/>
        <v>32006.800000000003</v>
      </c>
      <c r="BR36" s="30">
        <f t="shared" si="66"/>
        <v>105648.41318345015</v>
      </c>
      <c r="BS36" s="30"/>
      <c r="BT36" s="30">
        <f t="shared" si="59"/>
        <v>16003.400000000001</v>
      </c>
      <c r="BU36" s="30">
        <f t="shared" si="67"/>
        <v>32145.927827029587</v>
      </c>
      <c r="BW36" s="30">
        <f t="shared" si="60"/>
        <v>19.464576687083049</v>
      </c>
      <c r="BX36" s="30">
        <f t="shared" si="68"/>
        <v>12.421253135271691</v>
      </c>
      <c r="BZ36" s="24">
        <f t="shared" si="76"/>
        <v>7.1480701470937519E-2</v>
      </c>
      <c r="CA36" s="24">
        <f t="shared" si="61"/>
        <v>0.11759764232592039</v>
      </c>
      <c r="CF36" s="23"/>
    </row>
    <row r="37" spans="1:84" x14ac:dyDescent="0.25">
      <c r="A37" s="19"/>
      <c r="B37" s="20" t="str">
        <f>proj_rukn!A11</f>
        <v>INDONESIA</v>
      </c>
      <c r="C37" s="20">
        <f>proj_rukn!B11</f>
        <v>2028</v>
      </c>
      <c r="D37" s="30">
        <f>(D13*(VLOOKUP(D$27,tech_data!$B$2:$O$15,6, FALSE)/100)*(1-(VLOOKUP(D$27,tech_data!$B$2:$O$15,7, FALSE)/100))*8760)/1000</f>
        <v>182279.94114998844</v>
      </c>
      <c r="E37" s="30">
        <f>(E13*(VLOOKUP(E$27,tech_data!$B$2:$O$15,6, FALSE)/100)*(1-(VLOOKUP(E$27,tech_data!$B$2:$O$15,7, FALSE)/100))*8760)/1000</f>
        <v>39821.634770958844</v>
      </c>
      <c r="F37" s="30">
        <f>(F13*(VLOOKUP(F$27,tech_data!$B$2:$O$15,6, FALSE)/100)*(1-(VLOOKUP(F$27,tech_data!$B$2:$O$15,7, FALSE)/100))*8760)/1000</f>
        <v>190037.47345668206</v>
      </c>
      <c r="G37" s="30">
        <f>(G13*(VLOOKUP(G$27,tech_data!$B$2:$O$15,6, FALSE)/100)*(1-(VLOOKUP(G$27,tech_data!$B$2:$O$15,7, FALSE)/100))*8760)/1000</f>
        <v>59308.800931218357</v>
      </c>
      <c r="H37" s="30">
        <f>(H13*(VLOOKUP(H$27,tech_data!$B$2:$O$15,6, FALSE)/100)*(1-(VLOOKUP(H$27,tech_data!$B$2:$O$15,7, FALSE)/100))*8760)/1000</f>
        <v>27932.66881259052</v>
      </c>
      <c r="I37" s="30">
        <f>(I13*(VLOOKUP(I$27,tech_data!$B$2:$O$15,6, FALSE)/100)*(1-(VLOOKUP(I$27,tech_data!$B$2:$O$15,7, FALSE)/100))*8760)/1000</f>
        <v>32298.811362403059</v>
      </c>
      <c r="J37" s="30">
        <f>(J13*(VLOOKUP(J$27,tech_data!$B$2:$O$15,6, FALSE)/100)*(1-(VLOOKUP(J$27,tech_data!$B$2:$O$15,7, FALSE)/100))*8760)/1000</f>
        <v>13519.981815407717</v>
      </c>
      <c r="K37" s="30">
        <f>(K13*(VLOOKUP(K$27,tech_data!$B$2:$O$15,6, FALSE)/100)*(1-(VLOOKUP(K$27,tech_data!$B$2:$O$15,7, FALSE)/100))*8760)/1000</f>
        <v>16374.242845582869</v>
      </c>
      <c r="L37" s="30">
        <f>(L13*(VLOOKUP(L$27,tech_data!$B$2:$O$15,6, FALSE)/100)*(1-(VLOOKUP(L$27,tech_data!$B$2:$O$15,7, FALSE)/100))*8760)/1000</f>
        <v>55802.829638757583</v>
      </c>
      <c r="M37" s="30">
        <f>(M13*(VLOOKUP(M$27,tech_data!$B$2:$O$15,6, FALSE)/100)*(1-(VLOOKUP(M$27,tech_data!$B$2:$O$15,7, FALSE)/100))*8760)/1000</f>
        <v>2585.9848430239963</v>
      </c>
      <c r="N37" s="30">
        <f>(N13*(VLOOKUP(N$27,tech_data!$B$2:$O$15,6, FALSE)/100)*(1-(VLOOKUP(N$27,tech_data!$B$2:$O$15,7, FALSE)/100))*8760)/1000</f>
        <v>37.430701047953107</v>
      </c>
      <c r="O37" s="30">
        <f>(O13*(VLOOKUP(O$27,tech_data!$B$2:$O$15,6, FALSE)/100)*(1-(VLOOKUP(O$27,tech_data!$B$2:$O$15,7, FALSE)/100))*8760)/1000</f>
        <v>8.8814945101330031E-14</v>
      </c>
      <c r="P37" s="30">
        <f>(P13*(VLOOKUP(P$27,tech_data!$B$2:$O$15,6, FALSE)/100)*(1-(VLOOKUP(P$27,tech_data!$B$2:$O$15,7, FALSE)/100))*8760)/1000</f>
        <v>166.93100652880543</v>
      </c>
      <c r="Q37" s="34">
        <f t="shared" si="35"/>
        <v>619999.80032766168</v>
      </c>
      <c r="R37" s="34">
        <f>proj_rukn!D11</f>
        <v>620000</v>
      </c>
      <c r="S37" s="35"/>
      <c r="T37" s="19"/>
      <c r="U37" s="20" t="str">
        <f t="shared" si="36"/>
        <v>INDONESIA</v>
      </c>
      <c r="V37" s="20">
        <f t="shared" si="37"/>
        <v>2028</v>
      </c>
      <c r="W37" s="29">
        <f t="shared" si="38"/>
        <v>0.29399999976396107</v>
      </c>
      <c r="X37" s="29">
        <f t="shared" si="39"/>
        <v>6.4228463863881313E-2</v>
      </c>
      <c r="Y37" s="29">
        <f t="shared" si="40"/>
        <v>0.30651215267529081</v>
      </c>
      <c r="Z37" s="29">
        <f t="shared" si="41"/>
        <v>9.5659387147986885E-2</v>
      </c>
      <c r="AA37" s="29">
        <f t="shared" si="42"/>
        <v>4.5052706142531783E-2</v>
      </c>
      <c r="AB37" s="29">
        <f t="shared" si="43"/>
        <v>5.2094873813400527E-2</v>
      </c>
      <c r="AC37" s="29">
        <f t="shared" si="44"/>
        <v>2.18064293057233E-2</v>
      </c>
      <c r="AD37" s="29">
        <f t="shared" si="45"/>
        <v>2.6410077611201323E-2</v>
      </c>
      <c r="AE37" s="29">
        <f t="shared" si="46"/>
        <v>9.0004592919653403E-2</v>
      </c>
      <c r="AF37" s="29">
        <f t="shared" si="47"/>
        <v>4.1709446384617177E-3</v>
      </c>
      <c r="AG37" s="29">
        <f t="shared" si="48"/>
        <v>6.0372117907411384E-5</v>
      </c>
      <c r="AH37" s="29">
        <f t="shared" si="49"/>
        <v>1.4324995758771618E-19</v>
      </c>
      <c r="AI37" s="29">
        <f t="shared" si="50"/>
        <v>2.6924364562792537E-4</v>
      </c>
      <c r="AJ37" s="29">
        <f t="shared" si="51"/>
        <v>0.99999999999999944</v>
      </c>
      <c r="AM37" s="23"/>
      <c r="AO37" s="20" t="str">
        <f t="shared" si="69"/>
        <v>INDONESIA</v>
      </c>
      <c r="AP37" s="20">
        <f t="shared" si="70"/>
        <v>2028</v>
      </c>
      <c r="AQ37" s="25">
        <f t="shared" si="52"/>
        <v>0.29399999976396107</v>
      </c>
      <c r="AR37" s="25">
        <f t="shared" si="53"/>
        <v>0.37074061653917212</v>
      </c>
      <c r="AS37" s="25">
        <f t="shared" si="54"/>
        <v>9.5659387147986885E-2</v>
      </c>
      <c r="AT37" s="37">
        <f t="shared" si="55"/>
        <v>0.2395999965488794</v>
      </c>
      <c r="AU37" s="24">
        <f t="shared" si="62"/>
        <v>0.99999999999999944</v>
      </c>
      <c r="AW37" s="24">
        <f t="shared" si="79"/>
        <v>0.29399999999999998</v>
      </c>
      <c r="AX37" s="24">
        <f t="shared" si="56"/>
        <v>0.23380000000000001</v>
      </c>
      <c r="AY37" s="24">
        <f t="shared" si="72"/>
        <v>9.5659363915885115E-2</v>
      </c>
      <c r="AZ37" s="25">
        <f t="shared" si="77"/>
        <v>0.23960000000000001</v>
      </c>
      <c r="BA37" s="24">
        <f t="shared" si="64"/>
        <v>0.86305936391588522</v>
      </c>
      <c r="BJ37" s="19"/>
      <c r="BK37" s="20" t="str">
        <f t="shared" si="74"/>
        <v>INDONESIA</v>
      </c>
      <c r="BL37" s="20">
        <f t="shared" si="75"/>
        <v>2028</v>
      </c>
      <c r="BM37" s="34">
        <f>VLOOKUP(BL37,proj_rukn!$B$2:$E$21,4,FALSE)</f>
        <v>73628</v>
      </c>
      <c r="BN37" s="30">
        <f t="shared" si="57"/>
        <v>84672.2</v>
      </c>
      <c r="BO37" s="30">
        <f t="shared" si="65"/>
        <v>144109.83152373179</v>
      </c>
      <c r="BQ37" s="30">
        <f t="shared" si="58"/>
        <v>33868.879999999997</v>
      </c>
      <c r="BR37" s="30">
        <f t="shared" si="66"/>
        <v>111597.92078281792</v>
      </c>
      <c r="BS37" s="30"/>
      <c r="BT37" s="30">
        <f t="shared" si="59"/>
        <v>16934.439999999999</v>
      </c>
      <c r="BU37" s="30">
        <f t="shared" si="67"/>
        <v>32511.910740913856</v>
      </c>
      <c r="BW37" s="30">
        <f t="shared" si="60"/>
        <v>20.978508057699628</v>
      </c>
      <c r="BX37" s="30">
        <f t="shared" si="68"/>
        <v>12.421253135271691</v>
      </c>
      <c r="BZ37" s="24">
        <f t="shared" si="76"/>
        <v>7.5054736544484399E-2</v>
      </c>
      <c r="CA37" s="24">
        <f t="shared" si="61"/>
        <v>0.11022570113357058</v>
      </c>
      <c r="CF37" s="23"/>
    </row>
    <row r="38" spans="1:84" x14ac:dyDescent="0.25">
      <c r="A38" s="19"/>
      <c r="B38" s="20" t="str">
        <f>proj_rukn!A12</f>
        <v>INDONESIA</v>
      </c>
      <c r="C38" s="20">
        <f>proj_rukn!B12</f>
        <v>2029</v>
      </c>
      <c r="D38" s="30">
        <f>(D14*(VLOOKUP(D$27,tech_data!$B$2:$O$15,6, FALSE)/100)*(1-(VLOOKUP(D$27,tech_data!$B$2:$O$15,7, FALSE)/100))*8760)/1000</f>
        <v>190675.9206021913</v>
      </c>
      <c r="E38" s="30">
        <f>(E14*(VLOOKUP(E$27,tech_data!$B$2:$O$15,6, FALSE)/100)*(1-(VLOOKUP(E$27,tech_data!$B$2:$O$15,7, FALSE)/100))*8760)/1000</f>
        <v>39821.634770958844</v>
      </c>
      <c r="F38" s="30">
        <f>(F14*(VLOOKUP(F$27,tech_data!$B$2:$O$15,6, FALSE)/100)*(1-(VLOOKUP(F$27,tech_data!$B$2:$O$15,7, FALSE)/100))*8760)/1000</f>
        <v>202737.64525516584</v>
      </c>
      <c r="G38" s="30">
        <f>(G14*(VLOOKUP(G$27,tech_data!$B$2:$O$15,6, FALSE)/100)*(1-(VLOOKUP(G$27,tech_data!$B$2:$O$15,7, FALSE)/100))*8760)/1000</f>
        <v>61216.230355237552</v>
      </c>
      <c r="H38" s="30">
        <f>(H14*(VLOOKUP(H$27,tech_data!$B$2:$O$15,6, FALSE)/100)*(1-(VLOOKUP(H$27,tech_data!$B$2:$O$15,7, FALSE)/100))*8760)/1000</f>
        <v>27932.66881259052</v>
      </c>
      <c r="I38" s="30">
        <f>(I14*(VLOOKUP(I$27,tech_data!$B$2:$O$15,6, FALSE)/100)*(1-(VLOOKUP(I$27,tech_data!$B$2:$O$15,7, FALSE)/100))*8760)/1000</f>
        <v>32298.811362403059</v>
      </c>
      <c r="J38" s="30">
        <f>(J14*(VLOOKUP(J$27,tech_data!$B$2:$O$15,6, FALSE)/100)*(1-(VLOOKUP(J$27,tech_data!$B$2:$O$15,7, FALSE)/100))*8760)/1000</f>
        <v>13519.981815407717</v>
      </c>
      <c r="K38" s="30">
        <f>(K14*(VLOOKUP(K$27,tech_data!$B$2:$O$15,6, FALSE)/100)*(1-(VLOOKUP(K$27,tech_data!$B$2:$O$15,7, FALSE)/100))*8760)/1000</f>
        <v>16374.242845582869</v>
      </c>
      <c r="L38" s="30">
        <f>(L14*(VLOOKUP(L$27,tech_data!$B$2:$O$15,6, FALSE)/100)*(1-(VLOOKUP(L$27,tech_data!$B$2:$O$15,7, FALSE)/100))*8760)/1000</f>
        <v>65799.177345973963</v>
      </c>
      <c r="M38" s="30">
        <f>(M14*(VLOOKUP(M$27,tech_data!$B$2:$O$15,6, FALSE)/100)*(1-(VLOOKUP(M$27,tech_data!$B$2:$O$15,7, FALSE)/100))*8760)/1000</f>
        <v>2585.9848430239963</v>
      </c>
      <c r="N38" s="30">
        <f>(N14*(VLOOKUP(N$27,tech_data!$B$2:$O$15,6, FALSE)/100)*(1-(VLOOKUP(N$27,tech_data!$B$2:$O$15,7, FALSE)/100))*8760)/1000</f>
        <v>37.430701047953107</v>
      </c>
      <c r="O38" s="30">
        <f>(O14*(VLOOKUP(O$27,tech_data!$B$2:$O$15,6, FALSE)/100)*(1-(VLOOKUP(O$27,tech_data!$B$2:$O$15,7, FALSE)/100))*8760)/1000</f>
        <v>8.8814945101330031E-14</v>
      </c>
      <c r="P38" s="30">
        <f>(P14*(VLOOKUP(P$27,tech_data!$B$2:$O$15,6, FALSE)/100)*(1-(VLOOKUP(P$27,tech_data!$B$2:$O$15,7, FALSE)/100))*8760)/1000</f>
        <v>177.04121048563059</v>
      </c>
      <c r="Q38" s="34">
        <f t="shared" si="35"/>
        <v>652999.72870958375</v>
      </c>
      <c r="R38" s="34">
        <f>proj_rukn!D12</f>
        <v>653000</v>
      </c>
      <c r="S38" s="35"/>
      <c r="T38" s="19"/>
      <c r="U38" s="20" t="str">
        <f t="shared" si="36"/>
        <v>INDONESIA</v>
      </c>
      <c r="V38" s="20">
        <f t="shared" si="37"/>
        <v>2029</v>
      </c>
      <c r="W38" s="29">
        <f t="shared" si="38"/>
        <v>0.29199999972280671</v>
      </c>
      <c r="X38" s="29">
        <f t="shared" si="39"/>
        <v>6.0982620696721897E-2</v>
      </c>
      <c r="Y38" s="29">
        <f t="shared" si="40"/>
        <v>0.31047125495105948</v>
      </c>
      <c r="Z38" s="29">
        <f t="shared" si="41"/>
        <v>9.3746180379292263E-2</v>
      </c>
      <c r="AA38" s="29">
        <f t="shared" si="42"/>
        <v>4.2775927132143336E-2</v>
      </c>
      <c r="AB38" s="29">
        <f t="shared" si="43"/>
        <v>4.9462212528372566E-2</v>
      </c>
      <c r="AC38" s="29">
        <f t="shared" si="44"/>
        <v>2.0704421795281661E-2</v>
      </c>
      <c r="AD38" s="29">
        <f t="shared" si="45"/>
        <v>2.5075420594646493E-2</v>
      </c>
      <c r="AE38" s="29">
        <f t="shared" si="46"/>
        <v>0.10076447883983365</v>
      </c>
      <c r="AF38" s="29">
        <f t="shared" si="47"/>
        <v>3.9601622011914981E-3</v>
      </c>
      <c r="AG38" s="29">
        <f t="shared" si="48"/>
        <v>5.7321158650281926E-5</v>
      </c>
      <c r="AH38" s="29">
        <f t="shared" si="49"/>
        <v>1.3601069218947522E-19</v>
      </c>
      <c r="AI38" s="29">
        <f t="shared" si="50"/>
        <v>2.7111988367206229E-4</v>
      </c>
      <c r="AJ38" s="29">
        <f t="shared" si="51"/>
        <v>0.99999999999999989</v>
      </c>
      <c r="AM38" s="23"/>
      <c r="AO38" s="20" t="str">
        <f t="shared" si="69"/>
        <v>INDONESIA</v>
      </c>
      <c r="AP38" s="20">
        <f t="shared" si="70"/>
        <v>2029</v>
      </c>
      <c r="AQ38" s="25">
        <f t="shared" si="52"/>
        <v>0.29199999972280671</v>
      </c>
      <c r="AR38" s="25">
        <f t="shared" si="53"/>
        <v>0.37145387564778132</v>
      </c>
      <c r="AS38" s="25">
        <f t="shared" si="54"/>
        <v>9.3746180379292263E-2</v>
      </c>
      <c r="AT38" s="37">
        <f t="shared" si="55"/>
        <v>0.24279994425011944</v>
      </c>
      <c r="AU38" s="24">
        <f t="shared" si="62"/>
        <v>0.99999999999999978</v>
      </c>
      <c r="AW38" s="24">
        <f t="shared" si="79"/>
        <v>0.29199999999999998</v>
      </c>
      <c r="AX38" s="24">
        <f t="shared" si="56"/>
        <v>0.2384</v>
      </c>
      <c r="AY38" s="24">
        <f t="shared" si="72"/>
        <v>9.3746176637567416E-2</v>
      </c>
      <c r="AZ38" s="25">
        <f t="shared" si="77"/>
        <v>0.24280000000000002</v>
      </c>
      <c r="BA38" s="24">
        <f t="shared" si="64"/>
        <v>0.86694617663756746</v>
      </c>
      <c r="BJ38" s="19"/>
      <c r="BK38" s="20" t="str">
        <f t="shared" si="74"/>
        <v>INDONESIA</v>
      </c>
      <c r="BL38" s="20">
        <f t="shared" si="75"/>
        <v>2029</v>
      </c>
      <c r="BM38" s="34">
        <f>VLOOKUP(BL38,proj_rukn!$B$2:$E$21,4,FALSE)</f>
        <v>78402.6287906465</v>
      </c>
      <c r="BN38" s="30">
        <f t="shared" si="57"/>
        <v>90163.02310924347</v>
      </c>
      <c r="BO38" s="30">
        <f t="shared" si="65"/>
        <v>150814.86897371491</v>
      </c>
      <c r="BQ38" s="30">
        <f t="shared" si="58"/>
        <v>36065.209243697391</v>
      </c>
      <c r="BR38" s="30">
        <f t="shared" si="66"/>
        <v>117918.4194639725</v>
      </c>
      <c r="BS38" s="30"/>
      <c r="BT38" s="30">
        <f t="shared" si="59"/>
        <v>18032.604621848695</v>
      </c>
      <c r="BU38" s="30">
        <f t="shared" si="67"/>
        <v>32896.449509742415</v>
      </c>
      <c r="BW38" s="30">
        <f t="shared" si="60"/>
        <v>22.603629938774336</v>
      </c>
      <c r="BX38" s="30">
        <f t="shared" si="68"/>
        <v>12.421253135271691</v>
      </c>
      <c r="BZ38" s="24">
        <f t="shared" si="76"/>
        <v>7.8807473371708625E-2</v>
      </c>
      <c r="CA38" s="24">
        <f t="shared" si="61"/>
        <v>0.1032760558166156</v>
      </c>
      <c r="CF38" s="23"/>
    </row>
    <row r="39" spans="1:84" x14ac:dyDescent="0.25">
      <c r="A39" s="19"/>
      <c r="B39" s="20" t="str">
        <f>proj_rukn!A13</f>
        <v>INDONESIA</v>
      </c>
      <c r="C39" s="20">
        <f>proj_rukn!B13</f>
        <v>2030</v>
      </c>
      <c r="D39" s="30">
        <f>(D15*(VLOOKUP(D$27,tech_data!$B$2:$O$15,6, FALSE)/100)*(1-(VLOOKUP(D$27,tech_data!$B$2:$O$15,7, FALSE)/100))*8760)/1000</f>
        <v>211805.75696325666</v>
      </c>
      <c r="E39" s="30">
        <f>(E15*(VLOOKUP(E$27,tech_data!$B$2:$O$15,6, FALSE)/100)*(1-(VLOOKUP(E$27,tech_data!$B$2:$O$15,7, FALSE)/100))*8760)/1000</f>
        <v>40383.905787932708</v>
      </c>
      <c r="F39" s="30">
        <f>(F15*(VLOOKUP(F$27,tech_data!$B$2:$O$15,6, FALSE)/100)*(1-(VLOOKUP(F$27,tech_data!$B$2:$O$15,7, FALSE)/100))*8760)/1000</f>
        <v>203354.99648316496</v>
      </c>
      <c r="G39" s="30">
        <f>(G15*(VLOOKUP(G$27,tech_data!$B$2:$O$15,6, FALSE)/100)*(1-(VLOOKUP(G$27,tech_data!$B$2:$O$15,7, FALSE)/100))*8760)/1000</f>
        <v>63207.446735145328</v>
      </c>
      <c r="H39" s="30">
        <f>(H15*(VLOOKUP(H$27,tech_data!$B$2:$O$15,6, FALSE)/100)*(1-(VLOOKUP(H$27,tech_data!$B$2:$O$15,7, FALSE)/100))*8760)/1000</f>
        <v>36822.397765691079</v>
      </c>
      <c r="I39" s="30">
        <f>(I15*(VLOOKUP(I$27,tech_data!$B$2:$O$15,6, FALSE)/100)*(1-(VLOOKUP(I$27,tech_data!$B$2:$O$15,7, FALSE)/100))*8760)/1000</f>
        <v>32761.874521171412</v>
      </c>
      <c r="J39" s="30">
        <f>(J15*(VLOOKUP(J$27,tech_data!$B$2:$O$15,6, FALSE)/100)*(1-(VLOOKUP(J$27,tech_data!$B$2:$O$15,7, FALSE)/100))*8760)/1000</f>
        <v>14571.405653746657</v>
      </c>
      <c r="K39" s="30">
        <f>(K15*(VLOOKUP(K$27,tech_data!$B$2:$O$15,6, FALSE)/100)*(1-(VLOOKUP(K$27,tech_data!$B$2:$O$15,7, FALSE)/100))*8760)/1000</f>
        <v>16374.242845582869</v>
      </c>
      <c r="L39" s="30">
        <f>(L15*(VLOOKUP(L$27,tech_data!$B$2:$O$15,6, FALSE)/100)*(1-(VLOOKUP(L$27,tech_data!$B$2:$O$15,7, FALSE)/100))*8760)/1000</f>
        <v>66094.501935454013</v>
      </c>
      <c r="M39" s="30">
        <f>(M15*(VLOOKUP(M$27,tech_data!$B$2:$O$15,6, FALSE)/100)*(1-(VLOOKUP(M$27,tech_data!$B$2:$O$15,7, FALSE)/100))*8760)/1000</f>
        <v>2585.9848430239963</v>
      </c>
      <c r="N39" s="30">
        <f>(N15*(VLOOKUP(N$27,tech_data!$B$2:$O$15,6, FALSE)/100)*(1-(VLOOKUP(N$27,tech_data!$B$2:$O$15,7, FALSE)/100))*8760)/1000</f>
        <v>37.430701047953107</v>
      </c>
      <c r="O39" s="30">
        <f>(O15*(VLOOKUP(O$27,tech_data!$B$2:$O$15,6, FALSE)/100)*(1-(VLOOKUP(O$27,tech_data!$B$2:$O$15,7, FALSE)/100))*8760)/1000</f>
        <v>8.8814945101330031E-14</v>
      </c>
      <c r="P39" s="30">
        <f>(P15*(VLOOKUP(P$27,tech_data!$B$2:$O$15,6, FALSE)/100)*(1-(VLOOKUP(P$27,tech_data!$B$2:$O$15,7, FALSE)/100))*8760)/1000</f>
        <v>185.71182056499475</v>
      </c>
      <c r="Q39" s="34">
        <f t="shared" si="35"/>
        <v>687999.94423521776</v>
      </c>
      <c r="R39" s="34">
        <f>proj_rukn!D13</f>
        <v>688000</v>
      </c>
      <c r="S39" s="35"/>
      <c r="T39" s="19"/>
      <c r="U39" s="20" t="str">
        <f t="shared" si="36"/>
        <v>INDONESIA</v>
      </c>
      <c r="V39" s="20">
        <f t="shared" si="37"/>
        <v>2030</v>
      </c>
      <c r="W39" s="29">
        <f t="shared" si="38"/>
        <v>0.30785722984134889</v>
      </c>
      <c r="X39" s="29">
        <f t="shared" si="39"/>
        <v>5.8697542240099376E-2</v>
      </c>
      <c r="Y39" s="29">
        <f t="shared" si="40"/>
        <v>0.29557414675260596</v>
      </c>
      <c r="Z39" s="29">
        <f t="shared" si="41"/>
        <v>9.1871296305709532E-2</v>
      </c>
      <c r="AA39" s="29">
        <f t="shared" si="42"/>
        <v>5.3520931323072909E-2</v>
      </c>
      <c r="AB39" s="29">
        <f t="shared" si="43"/>
        <v>4.7619007524178775E-2</v>
      </c>
      <c r="AC39" s="29">
        <f t="shared" si="44"/>
        <v>2.1179370399432608E-2</v>
      </c>
      <c r="AD39" s="29">
        <f t="shared" si="45"/>
        <v>2.3799773506936128E-2</v>
      </c>
      <c r="AE39" s="29">
        <f t="shared" si="46"/>
        <v>9.6067597809073674E-2</v>
      </c>
      <c r="AF39" s="29">
        <f t="shared" si="47"/>
        <v>3.7586992043997661E-3</v>
      </c>
      <c r="AG39" s="29">
        <f t="shared" si="48"/>
        <v>5.440509314221116E-5</v>
      </c>
      <c r="AH39" s="29">
        <f t="shared" si="49"/>
        <v>1.2909150043617651E-19</v>
      </c>
      <c r="AI39" s="29">
        <f t="shared" si="50"/>
        <v>2.6992999363020651E-4</v>
      </c>
      <c r="AJ39" s="29">
        <f t="shared" si="51"/>
        <v>1</v>
      </c>
      <c r="AM39" s="23"/>
      <c r="AO39" s="20" t="str">
        <f t="shared" si="69"/>
        <v>INDONESIA</v>
      </c>
      <c r="AP39" s="20">
        <f t="shared" si="70"/>
        <v>2030</v>
      </c>
      <c r="AQ39" s="25">
        <f t="shared" si="52"/>
        <v>0.30785722984134889</v>
      </c>
      <c r="AR39" s="25">
        <f t="shared" si="53"/>
        <v>0.35427168899270534</v>
      </c>
      <c r="AS39" s="25">
        <f t="shared" si="54"/>
        <v>9.1871296305709532E-2</v>
      </c>
      <c r="AT39" s="37">
        <f t="shared" si="55"/>
        <v>0.24599978486023605</v>
      </c>
      <c r="AU39" s="24">
        <f t="shared" si="62"/>
        <v>0.99999999999999978</v>
      </c>
      <c r="AW39" s="24">
        <f t="shared" si="79"/>
        <v>0.28999999999999998</v>
      </c>
      <c r="AX39" s="24">
        <f t="shared" si="56"/>
        <v>0.24300000000000002</v>
      </c>
      <c r="AY39" s="24">
        <f t="shared" si="72"/>
        <v>9.1871253104816072E-2</v>
      </c>
      <c r="AZ39" s="25">
        <f t="shared" si="77"/>
        <v>0.246</v>
      </c>
      <c r="BA39" s="24">
        <f t="shared" si="64"/>
        <v>0.87087125310481606</v>
      </c>
      <c r="BJ39" s="19"/>
      <c r="BK39" s="20" t="str">
        <f t="shared" si="74"/>
        <v>INDONESIA</v>
      </c>
      <c r="BL39" s="20">
        <f t="shared" si="75"/>
        <v>2030</v>
      </c>
      <c r="BM39" s="34">
        <f>VLOOKUP(BL39,proj_rukn!$B$2:$E$21,4,FALSE)</f>
        <v>83486.88272510338</v>
      </c>
      <c r="BN39" s="30">
        <f t="shared" si="57"/>
        <v>96009.915133868883</v>
      </c>
      <c r="BO39" s="30">
        <f t="shared" si="65"/>
        <v>157458.61557722866</v>
      </c>
      <c r="BQ39" s="30">
        <f t="shared" si="58"/>
        <v>38403.966053547556</v>
      </c>
      <c r="BR39" s="30">
        <f t="shared" si="66"/>
        <v>123868.86613319461</v>
      </c>
      <c r="BS39" s="30"/>
      <c r="BT39" s="30">
        <f t="shared" si="59"/>
        <v>19201.983026773778</v>
      </c>
      <c r="BU39" s="30">
        <f t="shared" si="67"/>
        <v>33589.749444034074</v>
      </c>
      <c r="BW39" s="30">
        <f t="shared" si="60"/>
        <v>23.477582927282771</v>
      </c>
      <c r="BX39" s="30">
        <f t="shared" si="68"/>
        <v>12.421253135271691</v>
      </c>
      <c r="BZ39" s="24">
        <f t="shared" si="76"/>
        <v>8.2747847040294059E-2</v>
      </c>
      <c r="CA39" s="24">
        <f t="shared" si="61"/>
        <v>9.6747131386549334E-2</v>
      </c>
      <c r="CF39" s="23"/>
    </row>
    <row r="40" spans="1:84" x14ac:dyDescent="0.25">
      <c r="A40" s="19"/>
      <c r="B40" s="20" t="str">
        <f>proj_rukn!A14</f>
        <v>INDONESIA</v>
      </c>
      <c r="C40" s="20">
        <f>proj_rukn!B14</f>
        <v>2031</v>
      </c>
      <c r="D40" s="30">
        <f>(D16*(VLOOKUP(D$27,tech_data!$B$2:$O$15,6, FALSE)/100)*(1-(VLOOKUP(D$27,tech_data!$B$2:$O$15,7, FALSE)/100))*8760)/1000</f>
        <v>211805.75696325666</v>
      </c>
      <c r="E40" s="30">
        <f>(E16*(VLOOKUP(E$27,tech_data!$B$2:$O$15,6, FALSE)/100)*(1-(VLOOKUP(E$27,tech_data!$B$2:$O$15,7, FALSE)/100))*8760)/1000</f>
        <v>40383.905787932708</v>
      </c>
      <c r="F40" s="30">
        <f>(F16*(VLOOKUP(F$27,tech_data!$B$2:$O$15,6, FALSE)/100)*(1-(VLOOKUP(F$27,tech_data!$B$2:$O$15,7, FALSE)/100))*8760)/1000</f>
        <v>228847.97050892992</v>
      </c>
      <c r="G40" s="30">
        <f>(G16*(VLOOKUP(G$27,tech_data!$B$2:$O$15,6, FALSE)/100)*(1-(VLOOKUP(G$27,tech_data!$B$2:$O$15,7, FALSE)/100))*8760)/1000</f>
        <v>65544.611621131058</v>
      </c>
      <c r="H40" s="30">
        <f>(H16*(VLOOKUP(H$27,tech_data!$B$2:$O$15,6, FALSE)/100)*(1-(VLOOKUP(H$27,tech_data!$B$2:$O$15,7, FALSE)/100))*8760)/1000</f>
        <v>36822.397765691079</v>
      </c>
      <c r="I40" s="30">
        <f>(I16*(VLOOKUP(I$27,tech_data!$B$2:$O$15,6, FALSE)/100)*(1-(VLOOKUP(I$27,tech_data!$B$2:$O$15,7, FALSE)/100))*8760)/1000</f>
        <v>32761.874521171412</v>
      </c>
      <c r="J40" s="30">
        <f>(J16*(VLOOKUP(J$27,tech_data!$B$2:$O$15,6, FALSE)/100)*(1-(VLOOKUP(J$27,tech_data!$B$2:$O$15,7, FALSE)/100))*8760)/1000</f>
        <v>14571.405653746657</v>
      </c>
      <c r="K40" s="30">
        <f>(K16*(VLOOKUP(K$27,tech_data!$B$2:$O$15,6, FALSE)/100)*(1-(VLOOKUP(K$27,tech_data!$B$2:$O$15,7, FALSE)/100))*8760)/1000</f>
        <v>16374.242845582869</v>
      </c>
      <c r="L40" s="30">
        <f>(L16*(VLOOKUP(L$27,tech_data!$B$2:$O$15,6, FALSE)/100)*(1-(VLOOKUP(L$27,tech_data!$B$2:$O$15,7, FALSE)/100))*8760)/1000</f>
        <v>78264.196481636798</v>
      </c>
      <c r="M40" s="30">
        <f>(M16*(VLOOKUP(M$27,tech_data!$B$2:$O$15,6, FALSE)/100)*(1-(VLOOKUP(M$27,tech_data!$B$2:$O$15,7, FALSE)/100))*8760)/1000</f>
        <v>2585.9848430239963</v>
      </c>
      <c r="N40" s="30">
        <f>(N16*(VLOOKUP(N$27,tech_data!$B$2:$O$15,6, FALSE)/100)*(1-(VLOOKUP(N$27,tech_data!$B$2:$O$15,7, FALSE)/100))*8760)/1000</f>
        <v>37.430701047953107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197.97712947849357</v>
      </c>
      <c r="Q40" s="34">
        <f t="shared" si="35"/>
        <v>727999.77769315126</v>
      </c>
      <c r="R40" s="34">
        <f>proj_rukn!D14</f>
        <v>728000</v>
      </c>
      <c r="S40" s="35"/>
      <c r="T40" s="19"/>
      <c r="U40" s="20" t="str">
        <f t="shared" si="36"/>
        <v>INDONESIA</v>
      </c>
      <c r="V40" s="20">
        <f t="shared" si="37"/>
        <v>2031</v>
      </c>
      <c r="W40" s="29">
        <f t="shared" si="38"/>
        <v>0.29094206269460132</v>
      </c>
      <c r="X40" s="29">
        <f t="shared" si="39"/>
        <v>5.5472414999767142E-2</v>
      </c>
      <c r="Y40" s="29">
        <f t="shared" si="40"/>
        <v>0.31435170383443212</v>
      </c>
      <c r="Z40" s="29">
        <f t="shared" si="41"/>
        <v>9.0033834665204843E-2</v>
      </c>
      <c r="AA40" s="29">
        <f t="shared" si="42"/>
        <v>5.0580232156625132E-2</v>
      </c>
      <c r="AB40" s="29">
        <f t="shared" si="43"/>
        <v>4.5002588634004227E-2</v>
      </c>
      <c r="AC40" s="29">
        <f t="shared" si="44"/>
        <v>2.0015673218911945E-2</v>
      </c>
      <c r="AD40" s="29">
        <f t="shared" si="45"/>
        <v>2.2492098689190179E-2</v>
      </c>
      <c r="AE40" s="29">
        <f t="shared" si="46"/>
        <v>0.1075057972265272</v>
      </c>
      <c r="AF40" s="29">
        <f t="shared" si="47"/>
        <v>3.5521780668921819E-3</v>
      </c>
      <c r="AG40" s="29">
        <f t="shared" si="48"/>
        <v>5.1415813843462445E-5</v>
      </c>
      <c r="AH40" s="29">
        <f t="shared" si="49"/>
        <v>0</v>
      </c>
      <c r="AI40" s="29">
        <f t="shared" si="50"/>
        <v>2.7194668946992464E-4</v>
      </c>
      <c r="AJ40" s="29">
        <f t="shared" si="51"/>
        <v>0.99999999999999989</v>
      </c>
      <c r="AM40" s="23"/>
      <c r="AO40" s="20" t="str">
        <f t="shared" si="69"/>
        <v>INDONESIA</v>
      </c>
      <c r="AP40" s="20">
        <f t="shared" si="70"/>
        <v>2031</v>
      </c>
      <c r="AQ40" s="25">
        <f t="shared" si="52"/>
        <v>0.29094206269460132</v>
      </c>
      <c r="AR40" s="25">
        <f t="shared" si="53"/>
        <v>0.36982411883419924</v>
      </c>
      <c r="AS40" s="25">
        <f t="shared" si="54"/>
        <v>9.0033834665204843E-2</v>
      </c>
      <c r="AT40" s="37">
        <f t="shared" si="55"/>
        <v>0.24919998380599426</v>
      </c>
      <c r="AU40" s="24">
        <f t="shared" si="62"/>
        <v>0.99999999999999978</v>
      </c>
      <c r="AW40" s="24">
        <f t="shared" si="79"/>
        <v>0.28799999999999998</v>
      </c>
      <c r="AX40" s="24">
        <f t="shared" si="56"/>
        <v>0.24760000000000001</v>
      </c>
      <c r="AY40" s="24">
        <f t="shared" si="72"/>
        <v>9.0033828042719755E-2</v>
      </c>
      <c r="AZ40" s="25">
        <f t="shared" si="77"/>
        <v>0.2492</v>
      </c>
      <c r="BA40" s="24">
        <f t="shared" si="64"/>
        <v>0.8748338280427197</v>
      </c>
      <c r="BJ40" s="19"/>
      <c r="BK40" s="20" t="str">
        <f t="shared" si="74"/>
        <v>INDONESIA</v>
      </c>
      <c r="BL40" s="20">
        <f t="shared" si="75"/>
        <v>2031</v>
      </c>
      <c r="BM40" s="34">
        <f>VLOOKUP(BL40,proj_rukn!$B$2:$E$21,4,FALSE)</f>
        <v>88900.840375733664</v>
      </c>
      <c r="BN40" s="30">
        <f t="shared" si="57"/>
        <v>102235.9664320937</v>
      </c>
      <c r="BO40" s="30">
        <f t="shared" si="65"/>
        <v>167141.35423283433</v>
      </c>
      <c r="BQ40" s="30">
        <f t="shared" si="58"/>
        <v>40894.38657283748</v>
      </c>
      <c r="BR40" s="30">
        <f t="shared" si="66"/>
        <v>133080.46561683997</v>
      </c>
      <c r="BS40" s="30"/>
      <c r="BT40" s="30">
        <f t="shared" si="59"/>
        <v>20447.19328641874</v>
      </c>
      <c r="BU40" s="30">
        <f t="shared" si="67"/>
        <v>34060.88861599438</v>
      </c>
      <c r="BW40" s="30">
        <f t="shared" si="60"/>
        <v>25.456029203088082</v>
      </c>
      <c r="BX40" s="30">
        <f t="shared" si="68"/>
        <v>12.421253135271691</v>
      </c>
      <c r="BZ40" s="24">
        <f t="shared" si="76"/>
        <v>8.6885239392308772E-2</v>
      </c>
      <c r="CA40" s="24">
        <f t="shared" si="61"/>
        <v>9.0257223719166044E-2</v>
      </c>
      <c r="CF40" s="23"/>
    </row>
    <row r="41" spans="1:84" x14ac:dyDescent="0.25">
      <c r="A41" s="19"/>
      <c r="B41" s="20" t="str">
        <f>proj_rukn!A15</f>
        <v>INDONESIA</v>
      </c>
      <c r="C41" s="20">
        <f>proj_rukn!B15</f>
        <v>2032</v>
      </c>
      <c r="D41" s="30">
        <f>(D17*(VLOOKUP(D$27,tech_data!$B$2:$O$15,6, FALSE)/100)*(1-(VLOOKUP(D$27,tech_data!$B$2:$O$15,7, FALSE)/100))*8760)/1000</f>
        <v>220505.90969055885</v>
      </c>
      <c r="E41" s="30">
        <f>(E17*(VLOOKUP(E$27,tech_data!$B$2:$O$15,6, FALSE)/100)*(1-(VLOOKUP(E$27,tech_data!$B$2:$O$15,7, FALSE)/100))*8760)/1000</f>
        <v>40383.905787932708</v>
      </c>
      <c r="F41" s="30">
        <f>(F17*(VLOOKUP(F$27,tech_data!$B$2:$O$15,6, FALSE)/100)*(1-(VLOOKUP(F$27,tech_data!$B$2:$O$15,7, FALSE)/100))*8760)/1000</f>
        <v>247481.95719402324</v>
      </c>
      <c r="G41" s="30">
        <f>(G17*(VLOOKUP(G$27,tech_data!$B$2:$O$15,6, FALSE)/100)*(1-(VLOOKUP(G$27,tech_data!$B$2:$O$15,7, FALSE)/100))*8760)/1000</f>
        <v>68027.814835731377</v>
      </c>
      <c r="H41" s="30">
        <f>(H17*(VLOOKUP(H$27,tech_data!$B$2:$O$15,6, FALSE)/100)*(1-(VLOOKUP(H$27,tech_data!$B$2:$O$15,7, FALSE)/100))*8760)/1000</f>
        <v>36822.397765691079</v>
      </c>
      <c r="I41" s="30">
        <f>(I17*(VLOOKUP(I$27,tech_data!$B$2:$O$15,6, FALSE)/100)*(1-(VLOOKUP(I$27,tech_data!$B$2:$O$15,7, FALSE)/100))*8760)/1000</f>
        <v>32761.874521171412</v>
      </c>
      <c r="J41" s="30">
        <f>(J17*(VLOOKUP(J$27,tech_data!$B$2:$O$15,6, FALSE)/100)*(1-(VLOOKUP(J$27,tech_data!$B$2:$O$15,7, FALSE)/100))*8760)/1000</f>
        <v>14571.405653746657</v>
      </c>
      <c r="K41" s="30">
        <f>(K17*(VLOOKUP(K$27,tech_data!$B$2:$O$15,6, FALSE)/100)*(1-(VLOOKUP(K$27,tech_data!$B$2:$O$15,7, FALSE)/100))*8760)/1000</f>
        <v>17753.295811838289</v>
      </c>
      <c r="L41" s="30">
        <f>(L17*(VLOOKUP(L$27,tech_data!$B$2:$O$15,6, FALSE)/100)*(1-(VLOOKUP(L$27,tech_data!$B$2:$O$15,7, FALSE)/100))*8760)/1000</f>
        <v>90067.993252271321</v>
      </c>
      <c r="M41" s="30">
        <f>(M17*(VLOOKUP(M$27,tech_data!$B$2:$O$15,6, FALSE)/100)*(1-(VLOOKUP(M$27,tech_data!$B$2:$O$15,7, FALSE)/100))*8760)/1000</f>
        <v>2585.9848430239963</v>
      </c>
      <c r="N41" s="30">
        <f>(N17*(VLOOKUP(N$27,tech_data!$B$2:$O$15,6, FALSE)/100)*(1-(VLOOKUP(N$27,tech_data!$B$2:$O$15,7, FALSE)/100))*8760)/1000</f>
        <v>37.430701047953107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211.18242618746817</v>
      </c>
      <c r="Q41" s="34">
        <f t="shared" si="35"/>
        <v>770999.97005703696</v>
      </c>
      <c r="R41" s="34">
        <f>proj_rukn!D15</f>
        <v>771000</v>
      </c>
      <c r="S41" s="35"/>
      <c r="T41" s="19"/>
      <c r="U41" s="20" t="str">
        <f t="shared" si="36"/>
        <v>INDONESIA</v>
      </c>
      <c r="V41" s="20">
        <f t="shared" si="37"/>
        <v>2032</v>
      </c>
      <c r="W41" s="29">
        <f t="shared" si="38"/>
        <v>0.28599989397437497</v>
      </c>
      <c r="X41" s="29">
        <f t="shared" si="39"/>
        <v>5.23786087630395E-2</v>
      </c>
      <c r="Y41" s="29">
        <f t="shared" si="40"/>
        <v>0.32098828379424588</v>
      </c>
      <c r="Z41" s="29">
        <f t="shared" si="41"/>
        <v>8.8233226300513112E-2</v>
      </c>
      <c r="AA41" s="29">
        <f t="shared" si="42"/>
        <v>4.77592726274257E-2</v>
      </c>
      <c r="AB41" s="29">
        <f t="shared" si="43"/>
        <v>4.2492705309376023E-2</v>
      </c>
      <c r="AC41" s="29">
        <f t="shared" si="44"/>
        <v>1.8899359558559637E-2</v>
      </c>
      <c r="AD41" s="29">
        <f t="shared" si="45"/>
        <v>2.3026324904428904E-2</v>
      </c>
      <c r="AE41" s="29">
        <f t="shared" si="46"/>
        <v>0.1168197104412446</v>
      </c>
      <c r="AF41" s="29">
        <f t="shared" si="47"/>
        <v>3.3540660745196792E-3</v>
      </c>
      <c r="AG41" s="29">
        <f t="shared" si="48"/>
        <v>4.8548252271895759E-5</v>
      </c>
      <c r="AH41" s="29">
        <f t="shared" si="49"/>
        <v>0</v>
      </c>
      <c r="AI41" s="29">
        <f t="shared" si="50"/>
        <v>2.7390717819592827E-4</v>
      </c>
      <c r="AJ41" s="29">
        <f t="shared" si="51"/>
        <v>0.99999999999999989</v>
      </c>
      <c r="AM41" s="23"/>
      <c r="AO41" s="20" t="str">
        <f t="shared" si="69"/>
        <v>INDONESIA</v>
      </c>
      <c r="AP41" s="20">
        <f t="shared" si="70"/>
        <v>2032</v>
      </c>
      <c r="AQ41" s="25">
        <f t="shared" si="52"/>
        <v>0.28599989397437497</v>
      </c>
      <c r="AR41" s="25">
        <f t="shared" si="53"/>
        <v>0.37336689255728533</v>
      </c>
      <c r="AS41" s="25">
        <f t="shared" si="54"/>
        <v>8.8233226300513112E-2</v>
      </c>
      <c r="AT41" s="37">
        <f t="shared" si="55"/>
        <v>0.25239998716782641</v>
      </c>
      <c r="AU41" s="24">
        <f t="shared" si="62"/>
        <v>0.99999999999999989</v>
      </c>
      <c r="AW41" s="24">
        <f t="shared" si="79"/>
        <v>0.28599999999999998</v>
      </c>
      <c r="AX41" s="24">
        <f t="shared" si="56"/>
        <v>0.25220000000000004</v>
      </c>
      <c r="AY41" s="24">
        <f t="shared" si="72"/>
        <v>8.8233151481865363E-2</v>
      </c>
      <c r="AZ41" s="25">
        <f t="shared" si="77"/>
        <v>0.25240000000000001</v>
      </c>
      <c r="BA41" s="24">
        <f t="shared" si="64"/>
        <v>0.87883315148186547</v>
      </c>
      <c r="BJ41" s="19"/>
      <c r="BK41" s="20" t="str">
        <f t="shared" si="74"/>
        <v>INDONESIA</v>
      </c>
      <c r="BL41" s="20">
        <f t="shared" si="75"/>
        <v>2032</v>
      </c>
      <c r="BM41" s="34">
        <f>VLOOKUP(BL41,proj_rukn!$B$2:$E$21,4,FALSE)</f>
        <v>94665.882370228239</v>
      </c>
      <c r="BN41" s="30">
        <f t="shared" si="57"/>
        <v>108865.76472576246</v>
      </c>
      <c r="BO41" s="30">
        <f t="shared" si="65"/>
        <v>176169.32459353062</v>
      </c>
      <c r="BQ41" s="30">
        <f t="shared" si="58"/>
        <v>43546.30589030499</v>
      </c>
      <c r="BR41" s="30">
        <f t="shared" si="66"/>
        <v>141607.80875444235</v>
      </c>
      <c r="BS41" s="30"/>
      <c r="BT41" s="30">
        <f t="shared" si="59"/>
        <v>21773.152945152495</v>
      </c>
      <c r="BU41" s="30">
        <f t="shared" si="67"/>
        <v>34561.515839088257</v>
      </c>
      <c r="BW41" s="30">
        <f t="shared" si="60"/>
        <v>27.749815042639373</v>
      </c>
      <c r="BX41" s="30">
        <f t="shared" si="68"/>
        <v>12.421253135271691</v>
      </c>
      <c r="BZ41" s="24">
        <f t="shared" si="76"/>
        <v>9.1229501361924217E-2</v>
      </c>
      <c r="CA41" s="24">
        <f t="shared" si="61"/>
        <v>9.1229501089943321E-2</v>
      </c>
      <c r="CF41" s="23"/>
    </row>
    <row r="42" spans="1:84" x14ac:dyDescent="0.25">
      <c r="A42" s="19"/>
      <c r="B42" s="20" t="str">
        <f>proj_rukn!A16</f>
        <v>INDONESIA</v>
      </c>
      <c r="C42" s="20">
        <f>proj_rukn!B16</f>
        <v>2033</v>
      </c>
      <c r="D42" s="30">
        <f>(D18*(VLOOKUP(D$27,tech_data!$B$2:$O$15,6, FALSE)/100)*(1-(VLOOKUP(D$27,tech_data!$B$2:$O$15,7, FALSE)/100))*8760)/1000</f>
        <v>230891.94558225267</v>
      </c>
      <c r="E42" s="30">
        <f>(E18*(VLOOKUP(E$27,tech_data!$B$2:$O$15,6, FALSE)/100)*(1-(VLOOKUP(E$27,tech_data!$B$2:$O$15,7, FALSE)/100))*8760)/1000</f>
        <v>40383.905787932708</v>
      </c>
      <c r="F42" s="30">
        <f>(F18*(VLOOKUP(F$27,tech_data!$B$2:$O$15,6, FALSE)/100)*(1-(VLOOKUP(F$27,tech_data!$B$2:$O$15,7, FALSE)/100))*8760)/1000</f>
        <v>263622.44130689075</v>
      </c>
      <c r="G42" s="30">
        <f>(G18*(VLOOKUP(G$27,tech_data!$B$2:$O$15,6, FALSE)/100)*(1-(VLOOKUP(G$27,tech_data!$B$2:$O$15,7, FALSE)/100))*8760)/1000</f>
        <v>70298.877151935783</v>
      </c>
      <c r="H42" s="30">
        <f>(H18*(VLOOKUP(H$27,tech_data!$B$2:$O$15,6, FALSE)/100)*(1-(VLOOKUP(H$27,tech_data!$B$2:$O$15,7, FALSE)/100))*8760)/1000</f>
        <v>36822.397765691079</v>
      </c>
      <c r="I42" s="30">
        <f>(I18*(VLOOKUP(I$27,tech_data!$B$2:$O$15,6, FALSE)/100)*(1-(VLOOKUP(I$27,tech_data!$B$2:$O$15,7, FALSE)/100))*8760)/1000</f>
        <v>32761.874521171412</v>
      </c>
      <c r="J42" s="30">
        <f>(J18*(VLOOKUP(J$27,tech_data!$B$2:$O$15,6, FALSE)/100)*(1-(VLOOKUP(J$27,tech_data!$B$2:$O$15,7, FALSE)/100))*8760)/1000</f>
        <v>14571.405653746657</v>
      </c>
      <c r="K42" s="30">
        <f>(K18*(VLOOKUP(K$27,tech_data!$B$2:$O$15,6, FALSE)/100)*(1-(VLOOKUP(K$27,tech_data!$B$2:$O$15,7, FALSE)/100))*8760)/1000</f>
        <v>19905.618909267447</v>
      </c>
      <c r="L42" s="30">
        <f>(L18*(VLOOKUP(L$27,tech_data!$B$2:$O$15,6, FALSE)/100)*(1-(VLOOKUP(L$27,tech_data!$B$2:$O$15,7, FALSE)/100))*8760)/1000</f>
        <v>101117.98157648522</v>
      </c>
      <c r="M42" s="30">
        <f>(M18*(VLOOKUP(M$27,tech_data!$B$2:$O$15,6, FALSE)/100)*(1-(VLOOKUP(M$27,tech_data!$B$2:$O$15,7, FALSE)/100))*8760)/1000</f>
        <v>2585.9848430239963</v>
      </c>
      <c r="N42" s="30">
        <f>(N18*(VLOOKUP(N$27,tech_data!$B$2:$O$15,6, FALSE)/100)*(1-(VLOOKUP(N$27,tech_data!$B$2:$O$15,7, FALSE)/100))*8760)/1000</f>
        <v>37.430701047953107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224.14547485193017</v>
      </c>
      <c r="Q42" s="34">
        <f t="shared" si="35"/>
        <v>812999.8637994458</v>
      </c>
      <c r="R42" s="34">
        <f>proj_rukn!D16</f>
        <v>813000</v>
      </c>
      <c r="S42" s="35"/>
      <c r="T42" s="19"/>
      <c r="U42" s="20" t="str">
        <f t="shared" si="36"/>
        <v>INDONESIA</v>
      </c>
      <c r="V42" s="20">
        <f t="shared" si="37"/>
        <v>2033</v>
      </c>
      <c r="W42" s="29">
        <f t="shared" si="38"/>
        <v>0.28399998064355159</v>
      </c>
      <c r="X42" s="29">
        <f t="shared" si="39"/>
        <v>4.9672709167753043E-2</v>
      </c>
      <c r="Y42" s="29">
        <f t="shared" si="40"/>
        <v>0.32425889971849026</v>
      </c>
      <c r="Z42" s="29">
        <f t="shared" si="41"/>
        <v>8.6468498067642244E-2</v>
      </c>
      <c r="AA42" s="29">
        <f t="shared" si="42"/>
        <v>4.5292009759517721E-2</v>
      </c>
      <c r="AB42" s="29">
        <f t="shared" si="43"/>
        <v>4.0297515387103737E-2</v>
      </c>
      <c r="AC42" s="29">
        <f t="shared" si="44"/>
        <v>1.7923011186802847E-2</v>
      </c>
      <c r="AD42" s="29">
        <f t="shared" si="45"/>
        <v>2.4484160201751089E-2</v>
      </c>
      <c r="AE42" s="29">
        <f t="shared" si="46"/>
        <v>0.12437638193925876</v>
      </c>
      <c r="AF42" s="29">
        <f t="shared" si="47"/>
        <v>3.1807936977243058E-3</v>
      </c>
      <c r="AG42" s="29">
        <f t="shared" si="48"/>
        <v>4.6040230404253388E-5</v>
      </c>
      <c r="AH42" s="29">
        <f t="shared" si="49"/>
        <v>0</v>
      </c>
      <c r="AI42" s="29">
        <f t="shared" si="50"/>
        <v>2.7570173727264403E-4</v>
      </c>
      <c r="AJ42" s="29">
        <f t="shared" si="51"/>
        <v>0.99999999999999956</v>
      </c>
      <c r="AM42" s="23"/>
      <c r="AO42" s="20" t="str">
        <f t="shared" si="69"/>
        <v>INDONESIA</v>
      </c>
      <c r="AP42" s="20">
        <f t="shared" si="70"/>
        <v>2033</v>
      </c>
      <c r="AQ42" s="25">
        <f t="shared" si="52"/>
        <v>0.28399998064355159</v>
      </c>
      <c r="AR42" s="25">
        <f t="shared" si="53"/>
        <v>0.37393160888624327</v>
      </c>
      <c r="AS42" s="25">
        <f t="shared" si="54"/>
        <v>8.6468498067642244E-2</v>
      </c>
      <c r="AT42" s="37">
        <f t="shared" si="55"/>
        <v>0.25559991240256269</v>
      </c>
      <c r="AU42" s="24">
        <f t="shared" si="62"/>
        <v>0.99999999999999978</v>
      </c>
      <c r="AW42" s="24">
        <f t="shared" si="79"/>
        <v>0.28399999999999997</v>
      </c>
      <c r="AX42" s="24">
        <f t="shared" si="56"/>
        <v>0.25680000000000003</v>
      </c>
      <c r="AY42" s="24">
        <f t="shared" si="72"/>
        <v>8.6468488452228057E-2</v>
      </c>
      <c r="AZ42" s="25">
        <f t="shared" si="77"/>
        <v>0.25559999999999999</v>
      </c>
      <c r="BA42" s="24">
        <f t="shared" si="64"/>
        <v>0.88286848845222798</v>
      </c>
      <c r="BJ42" s="19"/>
      <c r="BK42" s="20" t="str">
        <f t="shared" si="74"/>
        <v>INDONESIA</v>
      </c>
      <c r="BL42" s="20">
        <f t="shared" si="75"/>
        <v>2033</v>
      </c>
      <c r="BM42" s="34">
        <f>VLOOKUP(BL42,proj_rukn!$B$2:$E$21,4,FALSE)</f>
        <v>100804.77582729411</v>
      </c>
      <c r="BN42" s="30">
        <f t="shared" si="57"/>
        <v>115925.49220138822</v>
      </c>
      <c r="BO42" s="30">
        <f t="shared" si="65"/>
        <v>184601.44209322464</v>
      </c>
      <c r="BQ42" s="30">
        <f t="shared" si="58"/>
        <v>46370.19688055529</v>
      </c>
      <c r="BR42" s="30">
        <f t="shared" si="66"/>
        <v>149581.81872444224</v>
      </c>
      <c r="BS42" s="30"/>
      <c r="BT42" s="30">
        <f t="shared" si="59"/>
        <v>23185.098440277645</v>
      </c>
      <c r="BU42" s="30">
        <f t="shared" si="67"/>
        <v>35019.623368782413</v>
      </c>
      <c r="BW42" s="30">
        <f t="shared" si="60"/>
        <v>30.131226507013025</v>
      </c>
      <c r="BX42" s="30">
        <f t="shared" si="68"/>
        <v>12.421253135271691</v>
      </c>
      <c r="BZ42" s="24">
        <f t="shared" si="76"/>
        <v>9.5790976430020436E-2</v>
      </c>
      <c r="CA42" s="24">
        <f t="shared" si="61"/>
        <v>9.5790956935811564E-2</v>
      </c>
      <c r="CF42" s="23"/>
    </row>
    <row r="43" spans="1:84" x14ac:dyDescent="0.25">
      <c r="A43" s="19"/>
      <c r="B43" s="20" t="str">
        <f>proj_rukn!A17</f>
        <v>INDONESIA</v>
      </c>
      <c r="C43" s="20">
        <f>proj_rukn!B17</f>
        <v>2034</v>
      </c>
      <c r="D43" s="30">
        <f>(D19*(VLOOKUP(D$27,tech_data!$B$2:$O$15,6, FALSE)/100)*(1-(VLOOKUP(D$27,tech_data!$B$2:$O$15,7, FALSE)/100))*8760)/1000</f>
        <v>243083.7871366535</v>
      </c>
      <c r="E43" s="30">
        <f>(E19*(VLOOKUP(E$27,tech_data!$B$2:$O$15,6, FALSE)/100)*(1-(VLOOKUP(E$27,tech_data!$B$2:$O$15,7, FALSE)/100))*8760)/1000</f>
        <v>40383.905787932708</v>
      </c>
      <c r="F43" s="30">
        <f>(F19*(VLOOKUP(F$27,tech_data!$B$2:$O$15,6, FALSE)/100)*(1-(VLOOKUP(F$27,tech_data!$B$2:$O$15,7, FALSE)/100))*8760)/1000</f>
        <v>282401.44860207243</v>
      </c>
      <c r="G43" s="30">
        <f>(G19*(VLOOKUP(G$27,tech_data!$B$2:$O$15,6, FALSE)/100)*(1-(VLOOKUP(G$27,tech_data!$B$2:$O$15,7, FALSE)/100))*8760)/1000</f>
        <v>73045.100020105834</v>
      </c>
      <c r="H43" s="30">
        <f>(H19*(VLOOKUP(H$27,tech_data!$B$2:$O$15,6, FALSE)/100)*(1-(VLOOKUP(H$27,tech_data!$B$2:$O$15,7, FALSE)/100))*8760)/1000</f>
        <v>36822.397765691079</v>
      </c>
      <c r="I43" s="30">
        <f>(I19*(VLOOKUP(I$27,tech_data!$B$2:$O$15,6, FALSE)/100)*(1-(VLOOKUP(I$27,tech_data!$B$2:$O$15,7, FALSE)/100))*8760)/1000</f>
        <v>32761.874521171412</v>
      </c>
      <c r="J43" s="30">
        <f>(J19*(VLOOKUP(J$27,tech_data!$B$2:$O$15,6, FALSE)/100)*(1-(VLOOKUP(J$27,tech_data!$B$2:$O$15,7, FALSE)/100))*8760)/1000</f>
        <v>14571.405653746657</v>
      </c>
      <c r="K43" s="30">
        <f>(K19*(VLOOKUP(K$27,tech_data!$B$2:$O$15,6, FALSE)/100)*(1-(VLOOKUP(K$27,tech_data!$B$2:$O$15,7, FALSE)/100))*8760)/1000</f>
        <v>22438.037240425245</v>
      </c>
      <c r="L43" s="30">
        <f>(L19*(VLOOKUP(L$27,tech_data!$B$2:$O$15,6, FALSE)/100)*(1-(VLOOKUP(L$27,tech_data!$B$2:$O$15,7, FALSE)/100))*8760)/1000</f>
        <v>113868.19711756652</v>
      </c>
      <c r="M43" s="30">
        <f>(M19*(VLOOKUP(M$27,tech_data!$B$2:$O$15,6, FALSE)/100)*(1-(VLOOKUP(M$27,tech_data!$B$2:$O$15,7, FALSE)/100))*8760)/1000</f>
        <v>2585.9848430239963</v>
      </c>
      <c r="N43" s="30">
        <f>(N19*(VLOOKUP(N$27,tech_data!$B$2:$O$15,6, FALSE)/100)*(1-(VLOOKUP(N$27,tech_data!$B$2:$O$15,7, FALSE)/100))*8760)/1000</f>
        <v>37.430701047953107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239.24508159022471</v>
      </c>
      <c r="Q43" s="34">
        <f t="shared" si="35"/>
        <v>861999.56938943733</v>
      </c>
      <c r="R43" s="34">
        <f>proj_rukn!D17</f>
        <v>862000</v>
      </c>
      <c r="S43" s="35"/>
      <c r="T43" s="19"/>
      <c r="U43" s="20" t="str">
        <f t="shared" si="36"/>
        <v>INDONESIA</v>
      </c>
      <c r="V43" s="20">
        <f t="shared" si="37"/>
        <v>2034</v>
      </c>
      <c r="W43" s="29">
        <f t="shared" si="38"/>
        <v>0.28199989393130687</v>
      </c>
      <c r="X43" s="29">
        <f t="shared" si="39"/>
        <v>4.6849102043678537E-2</v>
      </c>
      <c r="Y43" s="29">
        <f t="shared" si="40"/>
        <v>0.32761205298756718</v>
      </c>
      <c r="Z43" s="29">
        <f t="shared" si="41"/>
        <v>8.473913748221984E-2</v>
      </c>
      <c r="AA43" s="29">
        <f t="shared" si="42"/>
        <v>4.271742013951671E-2</v>
      </c>
      <c r="AB43" s="29">
        <f t="shared" si="43"/>
        <v>3.8006833976004149E-2</v>
      </c>
      <c r="AC43" s="29">
        <f t="shared" si="44"/>
        <v>1.6904191337436196E-2</v>
      </c>
      <c r="AD43" s="29">
        <f t="shared" si="45"/>
        <v>2.60302186186918E-2</v>
      </c>
      <c r="AE43" s="29">
        <f t="shared" si="46"/>
        <v>0.13209774245968647</v>
      </c>
      <c r="AF43" s="29">
        <f t="shared" si="47"/>
        <v>2.9999839151377702E-3</v>
      </c>
      <c r="AG43" s="29">
        <f t="shared" si="48"/>
        <v>4.3423108754527147E-5</v>
      </c>
      <c r="AH43" s="29">
        <f t="shared" si="49"/>
        <v>0</v>
      </c>
      <c r="AI43" s="29">
        <f t="shared" si="50"/>
        <v>2.7754663701245737E-4</v>
      </c>
      <c r="AJ43" s="29">
        <f t="shared" si="51"/>
        <v>1</v>
      </c>
      <c r="AM43" s="23"/>
      <c r="AO43" s="20" t="str">
        <f t="shared" si="69"/>
        <v>INDONESIA</v>
      </c>
      <c r="AP43" s="20">
        <f t="shared" si="70"/>
        <v>2034</v>
      </c>
      <c r="AQ43" s="25">
        <f t="shared" si="52"/>
        <v>0.28199989393130687</v>
      </c>
      <c r="AR43" s="25">
        <f t="shared" si="53"/>
        <v>0.37446115503124566</v>
      </c>
      <c r="AS43" s="25">
        <f t="shared" si="54"/>
        <v>8.473913748221984E-2</v>
      </c>
      <c r="AT43" s="37">
        <f t="shared" si="55"/>
        <v>0.25879981355522758</v>
      </c>
      <c r="AU43" s="24">
        <f t="shared" si="62"/>
        <v>1</v>
      </c>
      <c r="AW43" s="24">
        <f t="shared" si="79"/>
        <v>0.28199999999999997</v>
      </c>
      <c r="AX43" s="24">
        <f t="shared" si="56"/>
        <v>0.26140000000000002</v>
      </c>
      <c r="AY43" s="24">
        <f t="shared" si="72"/>
        <v>8.4739118683183498E-2</v>
      </c>
      <c r="AZ43" s="25">
        <f t="shared" si="77"/>
        <v>0.25880000000000003</v>
      </c>
      <c r="BA43" s="24">
        <f t="shared" si="64"/>
        <v>0.88693911868318354</v>
      </c>
      <c r="BJ43" s="19"/>
      <c r="BK43" s="20" t="str">
        <f t="shared" si="74"/>
        <v>INDONESIA</v>
      </c>
      <c r="BL43" s="20">
        <f t="shared" si="75"/>
        <v>2034</v>
      </c>
      <c r="BM43" s="34">
        <f>VLOOKUP(BL43,proj_rukn!$B$2:$E$21,4,FALSE)</f>
        <v>107341.76426782849</v>
      </c>
      <c r="BN43" s="30">
        <f t="shared" si="57"/>
        <v>123443.02890800276</v>
      </c>
      <c r="BO43" s="30">
        <f t="shared" si="65"/>
        <v>194455.0420780954</v>
      </c>
      <c r="BQ43" s="30">
        <f t="shared" si="58"/>
        <v>49377.211563201105</v>
      </c>
      <c r="BR43" s="30">
        <f t="shared" si="66"/>
        <v>158881.62596072815</v>
      </c>
      <c r="BS43" s="30"/>
      <c r="BT43" s="30">
        <f t="shared" si="59"/>
        <v>24688.605781600552</v>
      </c>
      <c r="BU43" s="30">
        <f t="shared" si="67"/>
        <v>35573.416117367247</v>
      </c>
      <c r="BW43" s="30">
        <f t="shared" si="60"/>
        <v>32.892355776011421</v>
      </c>
      <c r="BX43" s="30">
        <f t="shared" si="68"/>
        <v>12.421253135271691</v>
      </c>
      <c r="BZ43" s="24">
        <f t="shared" si="76"/>
        <v>0.10058052525152146</v>
      </c>
      <c r="CA43" s="24">
        <f t="shared" si="61"/>
        <v>0.10058051534545245</v>
      </c>
      <c r="CF43" s="23"/>
    </row>
    <row r="44" spans="1:84" x14ac:dyDescent="0.25">
      <c r="A44" s="19"/>
      <c r="B44" s="20" t="str">
        <f>proj_rukn!A18</f>
        <v>INDONESIA</v>
      </c>
      <c r="C44" s="20">
        <f>proj_rukn!B18</f>
        <v>2035</v>
      </c>
      <c r="D44" s="30">
        <f>(D20*(VLOOKUP(D$27,tech_data!$B$2:$O$15,6, FALSE)/100)*(1-(VLOOKUP(D$27,tech_data!$B$2:$O$15,7, FALSE)/100))*8760)/1000</f>
        <v>255079.9747376517</v>
      </c>
      <c r="E44" s="30">
        <f>(E20*(VLOOKUP(E$27,tech_data!$B$2:$O$15,6, FALSE)/100)*(1-(VLOOKUP(E$27,tech_data!$B$2:$O$15,7, FALSE)/100))*8760)/1000</f>
        <v>40383.905787932708</v>
      </c>
      <c r="F44" s="30">
        <f>(F20*(VLOOKUP(F$27,tech_data!$B$2:$O$15,6, FALSE)/100)*(1-(VLOOKUP(F$27,tech_data!$B$2:$O$15,7, FALSE)/100))*8760)/1000</f>
        <v>301200.82238819177</v>
      </c>
      <c r="G44" s="30">
        <f>(G20*(VLOOKUP(G$27,tech_data!$B$2:$O$15,6, FALSE)/100)*(1-(VLOOKUP(G$27,tech_data!$B$2:$O$15,7, FALSE)/100))*8760)/1000</f>
        <v>75653.453086111636</v>
      </c>
      <c r="H44" s="30">
        <f>(H20*(VLOOKUP(H$27,tech_data!$B$2:$O$15,6, FALSE)/100)*(1-(VLOOKUP(H$27,tech_data!$B$2:$O$15,7, FALSE)/100))*8760)/1000</f>
        <v>36822.397765691079</v>
      </c>
      <c r="I44" s="30">
        <f>(I20*(VLOOKUP(I$27,tech_data!$B$2:$O$15,6, FALSE)/100)*(1-(VLOOKUP(I$27,tech_data!$B$2:$O$15,7, FALSE)/100))*8760)/1000</f>
        <v>32761.874521171412</v>
      </c>
      <c r="J44" s="30">
        <f>(J20*(VLOOKUP(J$27,tech_data!$B$2:$O$15,6, FALSE)/100)*(1-(VLOOKUP(J$27,tech_data!$B$2:$O$15,7, FALSE)/100))*8760)/1000</f>
        <v>14571.405653746657</v>
      </c>
      <c r="K44" s="30">
        <f>(K20*(VLOOKUP(K$27,tech_data!$B$2:$O$15,6, FALSE)/100)*(1-(VLOOKUP(K$27,tech_data!$B$2:$O$15,7, FALSE)/100))*8760)/1000</f>
        <v>25207.05868881779</v>
      </c>
      <c r="L44" s="30">
        <f>(L20*(VLOOKUP(L$27,tech_data!$B$2:$O$15,6, FALSE)/100)*(1-(VLOOKUP(L$27,tech_data!$B$2:$O$15,7, FALSE)/100))*8760)/1000</f>
        <v>126695.66611272903</v>
      </c>
      <c r="M44" s="30">
        <f>(M20*(VLOOKUP(M$27,tech_data!$B$2:$O$15,6, FALSE)/100)*(1-(VLOOKUP(M$27,tech_data!$B$2:$O$15,7, FALSE)/100))*8760)/1000</f>
        <v>2585.9848430239963</v>
      </c>
      <c r="N44" s="30">
        <f>(N20*(VLOOKUP(N$27,tech_data!$B$2:$O$15,6, FALSE)/100)*(1-(VLOOKUP(N$27,tech_data!$B$2:$O$15,7, FALSE)/100))*8760)/1000</f>
        <v>37.430701047953107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254.40735864363202</v>
      </c>
      <c r="Q44" s="34">
        <f t="shared" si="35"/>
        <v>910999.97428611573</v>
      </c>
      <c r="R44" s="34">
        <f>proj_rukn!D18</f>
        <v>911000</v>
      </c>
      <c r="S44" s="35"/>
      <c r="T44" s="19"/>
      <c r="U44" s="20" t="str">
        <f t="shared" si="36"/>
        <v>INDONESIA</v>
      </c>
      <c r="V44" s="20">
        <f t="shared" si="37"/>
        <v>2035</v>
      </c>
      <c r="W44" s="29">
        <f t="shared" si="38"/>
        <v>0.27999998017292954</v>
      </c>
      <c r="X44" s="29">
        <f t="shared" si="39"/>
        <v>4.4329206287386159E-2</v>
      </c>
      <c r="Y44" s="29">
        <f t="shared" si="40"/>
        <v>0.33062659812281653</v>
      </c>
      <c r="Z44" s="29">
        <f t="shared" si="41"/>
        <v>8.3044407487931848E-2</v>
      </c>
      <c r="AA44" s="29">
        <f t="shared" si="42"/>
        <v>4.0419757195433628E-2</v>
      </c>
      <c r="AB44" s="29">
        <f t="shared" si="43"/>
        <v>3.5962541653027494E-2</v>
      </c>
      <c r="AC44" s="29">
        <f t="shared" si="44"/>
        <v>1.5994957261294331E-2</v>
      </c>
      <c r="AD44" s="29">
        <f t="shared" si="45"/>
        <v>2.7669659056325138E-2</v>
      </c>
      <c r="AE44" s="29">
        <f t="shared" si="46"/>
        <v>0.13907318297348054</v>
      </c>
      <c r="AF44" s="29">
        <f t="shared" si="47"/>
        <v>2.8386223007859511E-3</v>
      </c>
      <c r="AG44" s="29">
        <f t="shared" si="48"/>
        <v>4.1087488588882584E-5</v>
      </c>
      <c r="AH44" s="29">
        <f t="shared" si="49"/>
        <v>0</v>
      </c>
      <c r="AI44" s="29">
        <f t="shared" si="50"/>
        <v>2.79261652935822E-4</v>
      </c>
      <c r="AJ44" s="29">
        <f t="shared" si="51"/>
        <v>0.99999999999999989</v>
      </c>
      <c r="AM44" s="23"/>
      <c r="AO44" s="20" t="str">
        <f t="shared" si="69"/>
        <v>INDONESIA</v>
      </c>
      <c r="AP44" s="20">
        <f t="shared" si="70"/>
        <v>2035</v>
      </c>
      <c r="AQ44" s="25">
        <f t="shared" si="52"/>
        <v>0.27999998017292954</v>
      </c>
      <c r="AR44" s="25">
        <f t="shared" si="53"/>
        <v>0.37495580441020265</v>
      </c>
      <c r="AS44" s="25">
        <f t="shared" si="54"/>
        <v>8.3044407487931848E-2</v>
      </c>
      <c r="AT44" s="37">
        <f t="shared" si="55"/>
        <v>0.2619998079289359</v>
      </c>
      <c r="AU44" s="24">
        <f t="shared" si="62"/>
        <v>1</v>
      </c>
      <c r="AW44" s="24">
        <f t="shared" si="79"/>
        <v>0.27999999999999997</v>
      </c>
      <c r="AX44" s="24">
        <f t="shared" si="56"/>
        <v>0.26600000000000001</v>
      </c>
      <c r="AY44" s="24">
        <f t="shared" si="72"/>
        <v>8.3044336309519823E-2</v>
      </c>
      <c r="AZ44" s="25">
        <f t="shared" si="77"/>
        <v>0.26200000000000001</v>
      </c>
      <c r="BA44" s="24">
        <f t="shared" si="64"/>
        <v>0.89104433630951985</v>
      </c>
      <c r="BJ44" s="19"/>
      <c r="BK44" s="20" t="str">
        <f t="shared" si="74"/>
        <v>INDONESIA</v>
      </c>
      <c r="BL44" s="20">
        <f t="shared" si="75"/>
        <v>2035</v>
      </c>
      <c r="BM44" s="34">
        <f>VLOOKUP(BL44,proj_rukn!$B$2:$E$21,4,FALSE)</f>
        <v>114302.66335665289</v>
      </c>
      <c r="BN44" s="30">
        <f t="shared" si="57"/>
        <v>131448.06286015082</v>
      </c>
      <c r="BO44" s="30">
        <f t="shared" si="65"/>
        <v>204248.08159176557</v>
      </c>
      <c r="BQ44" s="30">
        <f t="shared" si="58"/>
        <v>52579.225144060329</v>
      </c>
      <c r="BR44" s="30">
        <f t="shared" si="66"/>
        <v>168148.44427911265</v>
      </c>
      <c r="BS44" s="30"/>
      <c r="BT44" s="30">
        <f t="shared" si="59"/>
        <v>26289.612572030164</v>
      </c>
      <c r="BU44" s="30">
        <f t="shared" si="67"/>
        <v>36099.637312652907</v>
      </c>
      <c r="BW44" s="30">
        <f t="shared" si="60"/>
        <v>35.730352565266315</v>
      </c>
      <c r="BX44" s="30">
        <f t="shared" si="68"/>
        <v>12.421253135271691</v>
      </c>
      <c r="BZ44" s="24">
        <f t="shared" si="76"/>
        <v>0.10560955151409754</v>
      </c>
      <c r="CA44" s="24">
        <f t="shared" si="61"/>
        <v>0.10560946313300419</v>
      </c>
      <c r="CF44" s="23"/>
    </row>
    <row r="45" spans="1:84" x14ac:dyDescent="0.25">
      <c r="A45" s="19"/>
      <c r="B45" s="20" t="str">
        <f>proj_rukn!A19</f>
        <v>INDONESIA</v>
      </c>
      <c r="C45" s="20">
        <f>proj_rukn!B19</f>
        <v>2036</v>
      </c>
      <c r="D45" s="30">
        <f>(D21*(VLOOKUP(D$27,tech_data!$B$2:$O$15,6, FALSE)/100)*(1-(VLOOKUP(D$27,tech_data!$B$2:$O$15,7, FALSE)/100))*8760)/1000</f>
        <v>268547.90507003426</v>
      </c>
      <c r="E45" s="30">
        <f>(E21*(VLOOKUP(E$27,tech_data!$B$2:$O$15,6, FALSE)/100)*(1-(VLOOKUP(E$27,tech_data!$B$2:$O$15,7, FALSE)/100))*8760)/1000</f>
        <v>40383.905787932708</v>
      </c>
      <c r="F45" s="30">
        <f>(F21*(VLOOKUP(F$27,tech_data!$B$2:$O$15,6, FALSE)/100)*(1-(VLOOKUP(F$27,tech_data!$B$2:$O$15,7, FALSE)/100))*8760)/1000</f>
        <v>322268.56445461506</v>
      </c>
      <c r="G45" s="30">
        <f>(G21*(VLOOKUP(G$27,tech_data!$B$2:$O$15,6, FALSE)/100)*(1-(VLOOKUP(G$27,tech_data!$B$2:$O$15,7, FALSE)/100))*8760)/1000</f>
        <v>78616.415215438697</v>
      </c>
      <c r="H45" s="30">
        <f>(H21*(VLOOKUP(H$27,tech_data!$B$2:$O$15,6, FALSE)/100)*(1-(VLOOKUP(H$27,tech_data!$B$2:$O$15,7, FALSE)/100))*8760)/1000</f>
        <v>36822.397765691079</v>
      </c>
      <c r="I45" s="30">
        <f>(I21*(VLOOKUP(I$27,tech_data!$B$2:$O$15,6, FALSE)/100)*(1-(VLOOKUP(I$27,tech_data!$B$2:$O$15,7, FALSE)/100))*8760)/1000</f>
        <v>32761.874521171412</v>
      </c>
      <c r="J45" s="30">
        <f>(J21*(VLOOKUP(J$27,tech_data!$B$2:$O$15,6, FALSE)/100)*(1-(VLOOKUP(J$27,tech_data!$B$2:$O$15,7, FALSE)/100))*8760)/1000</f>
        <v>14571.405653746657</v>
      </c>
      <c r="K45" s="30">
        <f>(K21*(VLOOKUP(K$27,tech_data!$B$2:$O$15,6, FALSE)/100)*(1-(VLOOKUP(K$27,tech_data!$B$2:$O$15,7, FALSE)/100))*8760)/1000</f>
        <v>28408.136651685843</v>
      </c>
      <c r="L45" s="30">
        <f>(L21*(VLOOKUP(L$27,tech_data!$B$2:$O$15,6, FALSE)/100)*(1-(VLOOKUP(L$27,tech_data!$B$2:$O$15,7, FALSE)/100))*8760)/1000</f>
        <v>140995.9514775729</v>
      </c>
      <c r="M45" s="30">
        <f>(M21*(VLOOKUP(M$27,tech_data!$B$2:$O$15,6, FALSE)/100)*(1-(VLOOKUP(M$27,tech_data!$B$2:$O$15,7, FALSE)/100))*8760)/1000</f>
        <v>2585.9848430239963</v>
      </c>
      <c r="N45" s="30">
        <f>(N21*(VLOOKUP(N$27,tech_data!$B$2:$O$15,6, FALSE)/100)*(1-(VLOOKUP(N$27,tech_data!$B$2:$O$15,7, FALSE)/100))*8760)/1000</f>
        <v>37.430701047953107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271.42515267239691</v>
      </c>
      <c r="Q45" s="34">
        <f t="shared" si="35"/>
        <v>965999.97214196064</v>
      </c>
      <c r="R45" s="34">
        <f>proj_rukn!D19</f>
        <v>966000</v>
      </c>
      <c r="S45" s="35"/>
      <c r="T45" s="19"/>
      <c r="U45" s="20" t="str">
        <f t="shared" si="36"/>
        <v>INDONESIA</v>
      </c>
      <c r="V45" s="20">
        <f t="shared" si="37"/>
        <v>2036</v>
      </c>
      <c r="W45" s="29">
        <f t="shared" si="38"/>
        <v>0.27799990974592825</v>
      </c>
      <c r="X45" s="29">
        <f t="shared" si="39"/>
        <v>4.1805286700358213E-2</v>
      </c>
      <c r="Y45" s="29">
        <f t="shared" si="40"/>
        <v>0.33361135998796426</v>
      </c>
      <c r="Z45" s="29">
        <f t="shared" si="41"/>
        <v>8.1383454950954642E-2</v>
      </c>
      <c r="AA45" s="29">
        <f t="shared" si="42"/>
        <v>3.8118425287366121E-2</v>
      </c>
      <c r="AB45" s="29">
        <f t="shared" si="43"/>
        <v>3.3914984954426915E-2</v>
      </c>
      <c r="AC45" s="29">
        <f t="shared" si="44"/>
        <v>1.5084271298100291E-2</v>
      </c>
      <c r="AD45" s="29">
        <f t="shared" si="45"/>
        <v>2.9408009804280887E-2</v>
      </c>
      <c r="AE45" s="29">
        <f t="shared" si="46"/>
        <v>0.14595854611148223</v>
      </c>
      <c r="AF45" s="29">
        <f t="shared" si="47"/>
        <v>2.6770030202899085E-3</v>
      </c>
      <c r="AG45" s="29">
        <f t="shared" si="48"/>
        <v>3.8748138848240457E-5</v>
      </c>
      <c r="AH45" s="29">
        <f t="shared" si="49"/>
        <v>0</v>
      </c>
      <c r="AI45" s="29">
        <f t="shared" si="50"/>
        <v>2.809784270185352E-4</v>
      </c>
      <c r="AJ45" s="29">
        <f t="shared" si="51"/>
        <v>0.99999999999999989</v>
      </c>
      <c r="AM45" s="23"/>
      <c r="AO45" s="20" t="str">
        <f t="shared" si="69"/>
        <v>INDONESIA</v>
      </c>
      <c r="AP45" s="20">
        <f t="shared" si="70"/>
        <v>2036</v>
      </c>
      <c r="AQ45" s="25">
        <f t="shared" si="52"/>
        <v>0.27799990974592825</v>
      </c>
      <c r="AR45" s="25">
        <f t="shared" si="53"/>
        <v>0.37541664668832242</v>
      </c>
      <c r="AS45" s="25">
        <f t="shared" si="54"/>
        <v>8.1383454950954642E-2</v>
      </c>
      <c r="AT45" s="37">
        <f t="shared" si="55"/>
        <v>0.26519998861479455</v>
      </c>
      <c r="AU45" s="24">
        <f t="shared" si="62"/>
        <v>0.99999999999999989</v>
      </c>
      <c r="AW45" s="24">
        <f t="shared" si="79"/>
        <v>0.27800000000000002</v>
      </c>
      <c r="AX45" s="24">
        <f t="shared" si="56"/>
        <v>0.27060000000000001</v>
      </c>
      <c r="AY45" s="24">
        <f t="shared" si="72"/>
        <v>8.1383449583329423E-2</v>
      </c>
      <c r="AZ45" s="25">
        <f t="shared" si="77"/>
        <v>0.26519999999999999</v>
      </c>
      <c r="BA45" s="24">
        <f t="shared" si="64"/>
        <v>0.8951834495833294</v>
      </c>
      <c r="BJ45" s="19"/>
      <c r="BK45" s="20" t="str">
        <f t="shared" si="74"/>
        <v>INDONESIA</v>
      </c>
      <c r="BL45" s="20">
        <f t="shared" si="75"/>
        <v>2036</v>
      </c>
      <c r="BM45" s="34">
        <f>VLOOKUP(BL45,proj_rukn!$B$2:$E$21,4,FALSE)</f>
        <v>121714.9628529077</v>
      </c>
      <c r="BN45" s="30">
        <f t="shared" si="57"/>
        <v>139972.20728084384</v>
      </c>
      <c r="BO45" s="30">
        <f t="shared" si="65"/>
        <v>215235.75859127386</v>
      </c>
      <c r="BQ45" s="30">
        <f t="shared" si="58"/>
        <v>55988.88291233754</v>
      </c>
      <c r="BR45" s="30">
        <f t="shared" si="66"/>
        <v>178538.41747655545</v>
      </c>
      <c r="BS45" s="30"/>
      <c r="BT45" s="30">
        <f t="shared" si="59"/>
        <v>27994.44145616877</v>
      </c>
      <c r="BU45" s="30">
        <f t="shared" si="67"/>
        <v>36697.341114718416</v>
      </c>
      <c r="BW45" s="30">
        <f t="shared" si="60"/>
        <v>38.92521960550804</v>
      </c>
      <c r="BX45" s="30">
        <f t="shared" si="68"/>
        <v>12.421253135271691</v>
      </c>
      <c r="BZ45" s="24">
        <f t="shared" si="76"/>
        <v>0.11089002908980242</v>
      </c>
      <c r="CA45" s="24">
        <f t="shared" si="61"/>
        <v>0.11088993614926694</v>
      </c>
      <c r="CF45" s="23"/>
    </row>
    <row r="46" spans="1:84" x14ac:dyDescent="0.25">
      <c r="A46" s="19"/>
      <c r="B46" s="20" t="str">
        <f>proj_rukn!A20</f>
        <v>INDONESIA</v>
      </c>
      <c r="C46" s="20">
        <f>proj_rukn!B20</f>
        <v>2037</v>
      </c>
      <c r="D46" s="30">
        <f>(D22*(VLOOKUP(D$27,tech_data!$B$2:$O$15,6, FALSE)/100)*(1-(VLOOKUP(D$27,tech_data!$B$2:$O$15,7, FALSE)/100))*8760)/1000</f>
        <v>282347.96598929749</v>
      </c>
      <c r="E46" s="30">
        <f>(E22*(VLOOKUP(E$27,tech_data!$B$2:$O$15,6, FALSE)/100)*(1-(VLOOKUP(E$27,tech_data!$B$2:$O$15,7, FALSE)/100))*8760)/1000</f>
        <v>40383.905787932708</v>
      </c>
      <c r="F46" s="30">
        <f>(F22*(VLOOKUP(F$27,tech_data!$B$2:$O$15,6, FALSE)/100)*(1-(VLOOKUP(F$27,tech_data!$B$2:$O$15,7, FALSE)/100))*8760)/1000</f>
        <v>344104.71358916606</v>
      </c>
      <c r="G46" s="30">
        <f>(G22*(VLOOKUP(G$27,tech_data!$B$2:$O$15,6, FALSE)/100)*(1-(VLOOKUP(G$27,tech_data!$B$2:$O$15,7, FALSE)/100))*8760)/1000</f>
        <v>81590.199219282091</v>
      </c>
      <c r="H46" s="30">
        <f>(H22*(VLOOKUP(H$27,tech_data!$B$2:$O$15,6, FALSE)/100)*(1-(VLOOKUP(H$27,tech_data!$B$2:$O$15,7, FALSE)/100))*8760)/1000</f>
        <v>36822.397765691079</v>
      </c>
      <c r="I46" s="30">
        <f>(I22*(VLOOKUP(I$27,tech_data!$B$2:$O$15,6, FALSE)/100)*(1-(VLOOKUP(I$27,tech_data!$B$2:$O$15,7, FALSE)/100))*8760)/1000</f>
        <v>32761.874521171412</v>
      </c>
      <c r="J46" s="30">
        <f>(J22*(VLOOKUP(J$27,tech_data!$B$2:$O$15,6, FALSE)/100)*(1-(VLOOKUP(J$27,tech_data!$B$2:$O$15,7, FALSE)/100))*8760)/1000</f>
        <v>14571.405653746657</v>
      </c>
      <c r="K46" s="30">
        <f>(K22*(VLOOKUP(K$27,tech_data!$B$2:$O$15,6, FALSE)/100)*(1-(VLOOKUP(K$27,tech_data!$B$2:$O$15,7, FALSE)/100))*8760)/1000</f>
        <v>31969.778496700637</v>
      </c>
      <c r="L46" s="30">
        <f>(L22*(VLOOKUP(L$27,tech_data!$B$2:$O$15,6, FALSE)/100)*(1-(VLOOKUP(L$27,tech_data!$B$2:$O$15,7, FALSE)/100))*8760)/1000</f>
        <v>155824.30564849469</v>
      </c>
      <c r="M46" s="30">
        <f>(M22*(VLOOKUP(M$27,tech_data!$B$2:$O$15,6, FALSE)/100)*(1-(VLOOKUP(M$27,tech_data!$B$2:$O$15,7, FALSE)/100))*8760)/1000</f>
        <v>2585.9848430239963</v>
      </c>
      <c r="N46" s="30">
        <f>(N22*(VLOOKUP(N$27,tech_data!$B$2:$O$15,6, FALSE)/100)*(1-(VLOOKUP(N$27,tech_data!$B$2:$O$15,7, FALSE)/100))*8760)/1000</f>
        <v>37.430701047953107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289.11199813692394</v>
      </c>
      <c r="Q46" s="34">
        <f t="shared" si="35"/>
        <v>1022999.962215555</v>
      </c>
      <c r="R46" s="34">
        <f>proj_rukn!D20</f>
        <v>1023000</v>
      </c>
      <c r="S46" s="35"/>
      <c r="T46" s="19"/>
      <c r="U46" s="20" t="str">
        <f t="shared" si="36"/>
        <v>INDONESIA</v>
      </c>
      <c r="V46" s="20">
        <f t="shared" si="37"/>
        <v>2037</v>
      </c>
      <c r="W46" s="29">
        <f t="shared" si="38"/>
        <v>0.27599997694799944</v>
      </c>
      <c r="X46" s="29">
        <f t="shared" si="39"/>
        <v>3.9475960195024397E-2</v>
      </c>
      <c r="Y46" s="29">
        <f t="shared" si="40"/>
        <v>0.33636825640142126</v>
      </c>
      <c r="Z46" s="29">
        <f t="shared" si="41"/>
        <v>7.9755818409395329E-2</v>
      </c>
      <c r="AA46" s="29">
        <f t="shared" si="42"/>
        <v>3.5994525049583802E-2</v>
      </c>
      <c r="AB46" s="29">
        <f t="shared" si="43"/>
        <v>3.2025293969921181E-2</v>
      </c>
      <c r="AC46" s="29">
        <f t="shared" si="44"/>
        <v>1.4243798819101358E-2</v>
      </c>
      <c r="AD46" s="29">
        <f t="shared" si="45"/>
        <v>3.1251006527372997E-2</v>
      </c>
      <c r="AE46" s="29">
        <f t="shared" si="46"/>
        <v>0.15232093001354496</v>
      </c>
      <c r="AF46" s="29">
        <f t="shared" si="47"/>
        <v>2.5278445146991184E-3</v>
      </c>
      <c r="AG46" s="29">
        <f t="shared" si="48"/>
        <v>3.6589151935927569E-5</v>
      </c>
      <c r="AH46" s="29">
        <f t="shared" si="49"/>
        <v>0</v>
      </c>
      <c r="AI46" s="29">
        <f t="shared" si="50"/>
        <v>2.8261193432576638E-4</v>
      </c>
      <c r="AJ46" s="29">
        <f t="shared" si="51"/>
        <v>0.99999999999999967</v>
      </c>
      <c r="AM46" s="23"/>
      <c r="AO46" s="20" t="str">
        <f t="shared" si="69"/>
        <v>INDONESIA</v>
      </c>
      <c r="AP46" s="20">
        <f t="shared" si="70"/>
        <v>2037</v>
      </c>
      <c r="AQ46" s="25">
        <f t="shared" si="52"/>
        <v>0.27599997694799944</v>
      </c>
      <c r="AR46" s="25">
        <f t="shared" si="53"/>
        <v>0.37584421659644562</v>
      </c>
      <c r="AS46" s="25">
        <f t="shared" si="54"/>
        <v>7.9755818409395329E-2</v>
      </c>
      <c r="AT46" s="37">
        <f t="shared" si="55"/>
        <v>0.26839998804615933</v>
      </c>
      <c r="AU46" s="24">
        <f t="shared" si="62"/>
        <v>0.99999999999999978</v>
      </c>
      <c r="AW46" s="24">
        <f t="shared" si="79"/>
        <v>0.27600000000000002</v>
      </c>
      <c r="AX46" s="24">
        <f t="shared" si="56"/>
        <v>0.2752</v>
      </c>
      <c r="AY46" s="24">
        <f t="shared" si="72"/>
        <v>7.9755780591662828E-2</v>
      </c>
      <c r="AZ46" s="25">
        <f t="shared" si="77"/>
        <v>0.26840000000000003</v>
      </c>
      <c r="BA46" s="24">
        <f t="shared" si="64"/>
        <v>0.89935578059166277</v>
      </c>
      <c r="BJ46" s="19"/>
      <c r="BK46" s="20" t="str">
        <f t="shared" si="74"/>
        <v>INDONESIA</v>
      </c>
      <c r="BL46" s="20">
        <f t="shared" si="75"/>
        <v>2037</v>
      </c>
      <c r="BM46" s="34">
        <f>VLOOKUP(BL46,proj_rukn!$B$2:$E$21,4,FALSE)</f>
        <v>129607.93517172612</v>
      </c>
      <c r="BN46" s="30">
        <f t="shared" si="57"/>
        <v>149049.12544748501</v>
      </c>
      <c r="BO46" s="30">
        <f t="shared" si="65"/>
        <v>226571.93709677365</v>
      </c>
      <c r="BQ46" s="30">
        <f t="shared" si="58"/>
        <v>59619.650178994008</v>
      </c>
      <c r="BR46" s="30">
        <f t="shared" si="66"/>
        <v>189274.53851127121</v>
      </c>
      <c r="BS46" s="30"/>
      <c r="BT46" s="30">
        <f t="shared" si="59"/>
        <v>29809.825089497004</v>
      </c>
      <c r="BU46" s="30">
        <f t="shared" si="67"/>
        <v>37297.398585502466</v>
      </c>
      <c r="BW46" s="30">
        <f t="shared" si="60"/>
        <v>42.303936237738178</v>
      </c>
      <c r="BX46" s="30">
        <f t="shared" si="68"/>
        <v>12.421253135271691</v>
      </c>
      <c r="BZ46" s="24">
        <f t="shared" si="76"/>
        <v>0.11643453054429254</v>
      </c>
      <c r="CA46" s="24">
        <f t="shared" si="61"/>
        <v>0.11643445573476872</v>
      </c>
      <c r="CF46" s="23"/>
    </row>
    <row r="47" spans="1:84" x14ac:dyDescent="0.25">
      <c r="A47" s="19"/>
      <c r="B47" s="20" t="str">
        <f>proj_rukn!A21</f>
        <v>INDONESIA</v>
      </c>
      <c r="C47" s="20">
        <f>proj_rukn!B21</f>
        <v>2038</v>
      </c>
      <c r="D47" s="30">
        <f>(D23*(VLOOKUP(D$27,tech_data!$B$2:$O$15,6, FALSE)/100)*(1-(VLOOKUP(D$27,tech_data!$B$2:$O$15,7, FALSE)/100))*8760)/1000</f>
        <v>298385.94758584845</v>
      </c>
      <c r="E47" s="30">
        <f>(E23*(VLOOKUP(E$27,tech_data!$B$2:$O$15,6, FALSE)/100)*(1-(VLOOKUP(E$27,tech_data!$B$2:$O$15,7, FALSE)/100))*8760)/1000</f>
        <v>51937.124696465668</v>
      </c>
      <c r="F47" s="30">
        <f>(F23*(VLOOKUP(F$27,tech_data!$B$2:$O$15,6, FALSE)/100)*(1-(VLOOKUP(F$27,tech_data!$B$2:$O$15,7, FALSE)/100))*8760)/1000</f>
        <v>357787.45170562883</v>
      </c>
      <c r="G47" s="30">
        <f>(G23*(VLOOKUP(G$27,tech_data!$B$2:$O$15,6, FALSE)/100)*(1-(VLOOKUP(G$27,tech_data!$B$2:$O$15,7, FALSE)/100))*8760)/1000</f>
        <v>85116.951550245547</v>
      </c>
      <c r="H47" s="30">
        <f>(H23*(VLOOKUP(H$27,tech_data!$B$2:$O$15,6, FALSE)/100)*(1-(VLOOKUP(H$27,tech_data!$B$2:$O$15,7, FALSE)/100))*8760)/1000</f>
        <v>36822.397765691079</v>
      </c>
      <c r="I47" s="30">
        <f>(I23*(VLOOKUP(I$27,tech_data!$B$2:$O$15,6, FALSE)/100)*(1-(VLOOKUP(I$27,tech_data!$B$2:$O$15,7, FALSE)/100))*8760)/1000</f>
        <v>32761.874521171412</v>
      </c>
      <c r="J47" s="30">
        <f>(J23*(VLOOKUP(J$27,tech_data!$B$2:$O$15,6, FALSE)/100)*(1-(VLOOKUP(J$27,tech_data!$B$2:$O$15,7, FALSE)/100))*8760)/1000</f>
        <v>28040.197123788308</v>
      </c>
      <c r="K47" s="30">
        <f>(K23*(VLOOKUP(K$27,tech_data!$B$2:$O$15,6, FALSE)/100)*(1-(VLOOKUP(K$27,tech_data!$B$2:$O$15,7, FALSE)/100))*8760)/1000</f>
        <v>36159.985999467412</v>
      </c>
      <c r="L47" s="30">
        <f>(L23*(VLOOKUP(L$27,tech_data!$B$2:$O$15,6, FALSE)/100)*(1-(VLOOKUP(L$27,tech_data!$B$2:$O$15,7, FALSE)/100))*8760)/1000</f>
        <v>159364.46221510659</v>
      </c>
      <c r="M47" s="30">
        <f>(M23*(VLOOKUP(M$27,tech_data!$B$2:$O$15,6, FALSE)/100)*(1-(VLOOKUP(M$27,tech_data!$B$2:$O$15,7, FALSE)/100))*8760)/1000</f>
        <v>2585.9848430239963</v>
      </c>
      <c r="N47" s="30">
        <f>(N23*(VLOOKUP(N$27,tech_data!$B$2:$O$15,6, FALSE)/100)*(1-(VLOOKUP(N$27,tech_data!$B$2:$O$15,7, FALSE)/100))*8760)/1000</f>
        <v>37.430701047953107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306.89060580769018</v>
      </c>
      <c r="Q47" s="34">
        <f t="shared" si="35"/>
        <v>1088999.8087074852</v>
      </c>
      <c r="R47" s="34">
        <f>proj_rukn!D21</f>
        <v>1089000</v>
      </c>
      <c r="S47" s="35"/>
      <c r="T47" s="19"/>
      <c r="U47" s="20" t="str">
        <f t="shared" si="36"/>
        <v>INDONESIA</v>
      </c>
      <c r="V47" s="20">
        <f t="shared" si="37"/>
        <v>2038</v>
      </c>
      <c r="W47" s="29">
        <f t="shared" si="38"/>
        <v>0.27399999999999769</v>
      </c>
      <c r="X47" s="29">
        <f t="shared" si="39"/>
        <v>4.7692501211831183E-2</v>
      </c>
      <c r="Y47" s="29">
        <f t="shared" si="40"/>
        <v>0.32854684532064382</v>
      </c>
      <c r="Z47" s="29">
        <f t="shared" si="41"/>
        <v>7.8160667127452815E-2</v>
      </c>
      <c r="AA47" s="29">
        <f t="shared" si="42"/>
        <v>3.381304337362092E-2</v>
      </c>
      <c r="AB47" s="29">
        <f t="shared" si="43"/>
        <v>3.0084371236075703E-2</v>
      </c>
      <c r="AC47" s="29">
        <f t="shared" si="44"/>
        <v>2.5748578557666348E-2</v>
      </c>
      <c r="AD47" s="29">
        <f t="shared" si="45"/>
        <v>3.3204767999348933E-2</v>
      </c>
      <c r="AE47" s="29">
        <f t="shared" si="46"/>
        <v>0.14634021139476</v>
      </c>
      <c r="AF47" s="29">
        <f t="shared" si="47"/>
        <v>2.3746421462582773E-3</v>
      </c>
      <c r="AG47" s="29">
        <f t="shared" si="48"/>
        <v>3.4371632344342605E-5</v>
      </c>
      <c r="AH47" s="29">
        <f t="shared" si="49"/>
        <v>0</v>
      </c>
      <c r="AI47" s="29">
        <f t="shared" si="50"/>
        <v>2.8180960488132065E-4</v>
      </c>
      <c r="AJ47" s="29">
        <f t="shared" si="51"/>
        <v>1</v>
      </c>
      <c r="AM47" s="23"/>
      <c r="AO47" s="20" t="str">
        <f t="shared" si="69"/>
        <v>INDONESIA</v>
      </c>
      <c r="AP47" s="20">
        <f t="shared" si="70"/>
        <v>2038</v>
      </c>
      <c r="AQ47" s="25">
        <f t="shared" si="52"/>
        <v>0.27399999999999769</v>
      </c>
      <c r="AR47" s="25">
        <f t="shared" si="53"/>
        <v>0.37623934653247498</v>
      </c>
      <c r="AS47" s="25">
        <f t="shared" si="54"/>
        <v>7.8160667127452815E-2</v>
      </c>
      <c r="AT47" s="37">
        <f t="shared" si="55"/>
        <v>0.27159998634007448</v>
      </c>
      <c r="AU47" s="24">
        <f t="shared" si="62"/>
        <v>1</v>
      </c>
      <c r="AW47" s="24">
        <f t="shared" si="79"/>
        <v>0.27400000000000002</v>
      </c>
      <c r="AX47" s="24">
        <f t="shared" si="56"/>
        <v>0.27980000000000005</v>
      </c>
      <c r="AY47" s="24">
        <f t="shared" si="72"/>
        <v>7.8160664979829569E-2</v>
      </c>
      <c r="AZ47" s="25">
        <f t="shared" si="77"/>
        <v>0.27160000000000001</v>
      </c>
      <c r="BA47" s="24">
        <f t="shared" si="64"/>
        <v>0.90356066497982956</v>
      </c>
      <c r="BJ47" s="19"/>
      <c r="BK47" s="20" t="str">
        <f t="shared" si="74"/>
        <v>INDONESIA</v>
      </c>
      <c r="BL47" s="20">
        <f t="shared" si="75"/>
        <v>2038</v>
      </c>
      <c r="BM47" s="34">
        <f>VLOOKUP(BL47,proj_rukn!$B$2:$E$21,4,FALSE)</f>
        <v>138012.75098591595</v>
      </c>
      <c r="BN47" s="30">
        <f t="shared" si="57"/>
        <v>158714.66363380331</v>
      </c>
      <c r="BO47" s="30">
        <f t="shared" si="65"/>
        <v>239398.91026664726</v>
      </c>
      <c r="BQ47" s="30">
        <f t="shared" si="58"/>
        <v>63485.865453521328</v>
      </c>
      <c r="BR47" s="30">
        <f t="shared" si="66"/>
        <v>197526.0243073976</v>
      </c>
      <c r="BS47" s="30"/>
      <c r="BT47" s="30">
        <f t="shared" si="59"/>
        <v>31742.932726760664</v>
      </c>
      <c r="BU47" s="30">
        <f t="shared" si="67"/>
        <v>41872.885959249688</v>
      </c>
      <c r="BW47" s="30">
        <f t="shared" si="60"/>
        <v>45.156102571541375</v>
      </c>
      <c r="BX47" s="30">
        <f t="shared" si="68"/>
        <v>12.421253135271691</v>
      </c>
      <c r="BZ47" s="24">
        <f t="shared" si="76"/>
        <v>0.12225625707150717</v>
      </c>
      <c r="CA47" s="24">
        <f t="shared" si="61"/>
        <v>0.12225614753077613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71" si="80">B4</f>
        <v>INDONESIA</v>
      </c>
      <c r="C52" s="20">
        <f t="shared" si="80"/>
        <v>2019</v>
      </c>
      <c r="D52" s="30">
        <f>(indonesia!D28*3.6/(VLOOKUP(D$51,tech_data!$B$2:$J$15,4,FALSE)/100))/1000</f>
        <v>1555.6592401348964</v>
      </c>
      <c r="E52" s="30">
        <f>(indonesia!E28*3.6/(VLOOKUP(E$51,tech_data!$B$2:$J$15,4,FALSE)/100))/1000</f>
        <v>170.13833105204085</v>
      </c>
      <c r="F52" s="30">
        <f>(indonesia!F28*3.6/(VLOOKUP(F$51,tech_data!$B$2:$J$15,4,FALSE)/100))/1000</f>
        <v>196.8472859659675</v>
      </c>
      <c r="G52" s="30">
        <f>(indonesia!G28*3.6/(VLOOKUP(G$51,tech_data!$B$2:$J$15,4,FALSE)/100))/1000</f>
        <v>259.03361579237452</v>
      </c>
      <c r="H52" s="30">
        <f>(indonesia!H28*3.6/(VLOOKUP(H$51,tech_data!$B$2:$J$15,4,FALSE)/100))/1000</f>
        <v>343.73399039999998</v>
      </c>
      <c r="I52" s="30">
        <f>(indonesia!I28*3.6/(VLOOKUP(I$51,tech_data!$B$2:$J$15,4,FALSE)/100))/1000</f>
        <v>95.714564584576522</v>
      </c>
      <c r="J52" s="30">
        <f>(indonesia!J28*3.6/(VLOOKUP(J$51,tech_data!$B$2:$J$15,4,FALSE)/100))/1000</f>
        <v>4.5179628302769226</v>
      </c>
      <c r="K52" s="30">
        <f>K28*3.6/1000</f>
        <v>0.1160272512</v>
      </c>
      <c r="L52" s="30">
        <f>L28*3.6/1000</f>
        <v>0</v>
      </c>
      <c r="M52" s="30">
        <f>(indonesia!M28*3.6/(VLOOKUP(M$51,tech_data!$B$2:$J$15,4,FALSE)/100))/1000</f>
        <v>4.1432945618858561</v>
      </c>
      <c r="N52" s="30">
        <f>N28*3.6/1000</f>
        <v>0</v>
      </c>
      <c r="O52" s="30">
        <f>(indonesia!O28*3.6/(VLOOKUP(O$51,tech_data!$B$2:$J$15,4,FALSE)/100))/1000</f>
        <v>0</v>
      </c>
      <c r="P52" s="30">
        <v>0</v>
      </c>
      <c r="Q52" s="30">
        <f t="shared" ref="Q52:Q71" si="81">SUM(D52:O52)</f>
        <v>2629.9043125732187</v>
      </c>
      <c r="R52" s="30"/>
      <c r="T52" s="19"/>
      <c r="U52" s="20" t="str">
        <f t="shared" ref="U52:U71" si="82">B52</f>
        <v>INDONESIA</v>
      </c>
      <c r="V52" s="20">
        <f t="shared" ref="V52:V71" si="83">C52</f>
        <v>2019</v>
      </c>
      <c r="W52" s="30">
        <f>D52*VLOOKUP(W$51,tech_data!$B$2:$K$15,10,FALSE)*1000</f>
        <v>155130339.42625189</v>
      </c>
      <c r="X52" s="30">
        <f>E52*VLOOKUP(X$51,tech_data!$B$2:$K$15,10,FALSE)*1000</f>
        <v>10565590.358331738</v>
      </c>
      <c r="Y52" s="30">
        <f>F52*VLOOKUP(Y$51,tech_data!$B$2:$K$15,10,FALSE)*1000</f>
        <v>12224216.458486583</v>
      </c>
      <c r="Z52" s="30">
        <f>G52*VLOOKUP(Z$51,tech_data!$B$2:$K$15,10,FALSE)*1000</f>
        <v>19471556.899112795</v>
      </c>
      <c r="AA52" s="30">
        <f>H28*VLOOKUP(AA$51,tech_data!$B$2:$K$15,10,FALSE)/1000</f>
        <v>810.78254985599995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465540.57697349478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84">SUM(W52:AI52)</f>
        <v>197858054.50170636</v>
      </c>
      <c r="AK52" s="25"/>
      <c r="AM52" s="23"/>
      <c r="AO52" s="20" t="str">
        <f t="shared" ref="AO52:AO71" si="85">U52</f>
        <v>INDONESIA</v>
      </c>
      <c r="AP52" s="20">
        <f t="shared" ref="AP52:AP71" si="86">V52</f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1594.2526376387464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126.87719464123566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262.78489925769122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52.493925748358635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97.863398329064097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215.16327165729527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8.5431961535622829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0.189216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6.1664380627951392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2364.3341774887494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80"/>
        <v>INDONESIA</v>
      </c>
      <c r="C53" s="20">
        <f t="shared" si="80"/>
        <v>2020</v>
      </c>
      <c r="D53" s="30">
        <f>(indonesia!D29*3.6/(VLOOKUP(D$51,tech_data!$B$2:$J$15,4,FALSE)/100))/1000</f>
        <v>1610.2171901117772</v>
      </c>
      <c r="E53" s="30">
        <f>(indonesia!E29*3.6/(VLOOKUP(E$51,tech_data!$B$2:$J$15,4,FALSE)/100))/1000</f>
        <v>252.48337835521232</v>
      </c>
      <c r="F53" s="30">
        <f>(indonesia!F29*3.6/(VLOOKUP(F$51,tech_data!$B$2:$J$15,4,FALSE)/100))/1000</f>
        <v>240.36592461207135</v>
      </c>
      <c r="G53" s="30">
        <f>(indonesia!G29*3.6/(VLOOKUP(G$51,tech_data!$B$2:$J$15,4,FALSE)/100))/1000</f>
        <v>259.03361579237452</v>
      </c>
      <c r="H53" s="30">
        <f>(indonesia!H29*3.6/(VLOOKUP(H$51,tech_data!$B$2:$J$15,4,FALSE)/100))/1000</f>
        <v>343.73399039999998</v>
      </c>
      <c r="I53" s="30">
        <f>(indonesia!I29*3.6/(VLOOKUP(I$51,tech_data!$B$2:$J$15,4,FALSE)/100))/1000</f>
        <v>95.714564584576522</v>
      </c>
      <c r="J53" s="30">
        <f>(indonesia!J29*3.6/(VLOOKUP(J$51,tech_data!$B$2:$J$15,4,FALSE)/100))/1000</f>
        <v>4.5179628302769226</v>
      </c>
      <c r="K53" s="30">
        <f t="shared" ref="K53:L53" si="87">K29*3.6/1000</f>
        <v>54.592794510490826</v>
      </c>
      <c r="L53" s="30">
        <f t="shared" si="87"/>
        <v>0</v>
      </c>
      <c r="M53" s="30">
        <f>(indonesia!M29*3.6/(VLOOKUP(M$51,tech_data!$B$2:$J$15,4,FALSE)/100))/1000</f>
        <v>4.1432945618858561</v>
      </c>
      <c r="N53" s="30">
        <f t="shared" ref="N53:N71" si="88">N29*3.6/1000</f>
        <v>0</v>
      </c>
      <c r="O53" s="30">
        <f>(indonesia!O29*3.6/(VLOOKUP(O$51,tech_data!$B$2:$J$15,4,FALSE)/100))/1000</f>
        <v>0</v>
      </c>
      <c r="P53" s="30">
        <v>0</v>
      </c>
      <c r="Q53" s="30">
        <f t="shared" si="81"/>
        <v>2864.8027157586653</v>
      </c>
      <c r="R53" s="30"/>
      <c r="T53" s="19"/>
      <c r="U53" s="20" t="str">
        <f t="shared" si="82"/>
        <v>INDONESIA</v>
      </c>
      <c r="V53" s="20">
        <f t="shared" si="83"/>
        <v>2020</v>
      </c>
      <c r="W53" s="30">
        <f>D53*VLOOKUP(W$51,tech_data!$B$2:$K$15,10,FALSE)*1000</f>
        <v>160570858.19794643</v>
      </c>
      <c r="X53" s="30">
        <f>E53*VLOOKUP(X$51,tech_data!$B$2:$K$15,10,FALSE)*1000</f>
        <v>15679217.795858685</v>
      </c>
      <c r="Y53" s="30">
        <f>F53*VLOOKUP(Y$51,tech_data!$B$2:$K$15,10,FALSE)*1000</f>
        <v>14926723.918409631</v>
      </c>
      <c r="Z53" s="30">
        <f>G53*VLOOKUP(Z$51,tech_data!$B$2:$K$15,10,FALSE)*1000</f>
        <v>19471556.899112795</v>
      </c>
      <c r="AA53" s="30">
        <f>H29*VLOOKUP(AA$51,tech_data!$B$2:$K$15,10,FALSE)/1000</f>
        <v>810.78254985599995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465540.57697349478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84"/>
        <v>211114708.1708509</v>
      </c>
      <c r="AK53" s="25">
        <f>(AJ53-AJ52)/AJ52</f>
        <v>6.7000828965647255E-2</v>
      </c>
      <c r="AL53" s="24">
        <v>6.7000000000000004E-2</v>
      </c>
      <c r="AM53" s="26"/>
      <c r="AN53" s="24"/>
      <c r="AO53" s="20" t="str">
        <f t="shared" si="85"/>
        <v>INDONESIA</v>
      </c>
      <c r="AP53" s="20">
        <f t="shared" si="8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3437.3202453514546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2171.4138751028145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1985.5923080674552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52.493925748358635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97.863398329064097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215.16327165729527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8.5431961535622829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9293.8538486415728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6.1664380627951392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20.232351040177988</v>
      </c>
      <c r="BD53" s="30">
        <f>SUM(AQ53:BC53)</f>
        <v>17288.642858154548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80"/>
        <v>INDONESIA</v>
      </c>
      <c r="C54" s="20">
        <f t="shared" si="80"/>
        <v>2021</v>
      </c>
      <c r="D54" s="30">
        <f>(indonesia!D30*3.6/(VLOOKUP(D$51,tech_data!$B$2:$J$15,4,FALSE)/100))/1000</f>
        <v>1610.2171901273741</v>
      </c>
      <c r="E54" s="30">
        <f>(indonesia!E30*3.6/(VLOOKUP(E$51,tech_data!$B$2:$J$15,4,FALSE)/100))/1000</f>
        <v>401.93799581902385</v>
      </c>
      <c r="F54" s="30">
        <f>(indonesia!F30*3.6/(VLOOKUP(F$51,tech_data!$B$2:$J$15,4,FALSE)/100))/1000</f>
        <v>318.68401963123659</v>
      </c>
      <c r="G54" s="30">
        <f>(indonesia!G30*3.6/(VLOOKUP(G$51,tech_data!$B$2:$J$15,4,FALSE)/100))/1000</f>
        <v>259.03361580708884</v>
      </c>
      <c r="H54" s="30">
        <f>(indonesia!H30*3.6/(VLOOKUP(H$51,tech_data!$B$2:$J$15,4,FALSE)/100))/1000</f>
        <v>343.733990553946</v>
      </c>
      <c r="I54" s="30">
        <f>(indonesia!I30*3.6/(VLOOKUP(I$51,tech_data!$B$2:$J$15,4,FALSE)/100))/1000</f>
        <v>95.714564594815485</v>
      </c>
      <c r="J54" s="30">
        <f>(indonesia!J30*3.6/(VLOOKUP(J$51,tech_data!$B$2:$J$15,4,FALSE)/100))/1000</f>
        <v>4.5179628518925465</v>
      </c>
      <c r="K54" s="30">
        <f t="shared" ref="K54:L54" si="89">K30*3.6/1000</f>
        <v>54.592794510490826</v>
      </c>
      <c r="L54" s="30">
        <f t="shared" si="89"/>
        <v>0</v>
      </c>
      <c r="M54" s="30">
        <f>(indonesia!M30*3.6/(VLOOKUP(M$51,tech_data!$B$2:$J$15,4,FALSE)/100))/1000</f>
        <v>4.1432945618858561</v>
      </c>
      <c r="N54" s="30">
        <f t="shared" si="88"/>
        <v>0</v>
      </c>
      <c r="O54" s="30">
        <f>(indonesia!O30*3.6/(VLOOKUP(O$51,tech_data!$B$2:$J$15,4,FALSE)/100))/1000</f>
        <v>0</v>
      </c>
      <c r="P54" s="30">
        <v>0</v>
      </c>
      <c r="Q54" s="30">
        <f t="shared" si="81"/>
        <v>3092.5754284577542</v>
      </c>
      <c r="R54" s="30"/>
      <c r="T54" s="19"/>
      <c r="U54" s="20" t="str">
        <f t="shared" si="82"/>
        <v>INDONESIA</v>
      </c>
      <c r="V54" s="20">
        <f t="shared" si="83"/>
        <v>2021</v>
      </c>
      <c r="W54" s="30">
        <f>D54*VLOOKUP(W$51,tech_data!$B$2:$K$15,10,FALSE)*1000</f>
        <v>160570858.19950175</v>
      </c>
      <c r="X54" s="30">
        <f>E54*VLOOKUP(X$51,tech_data!$B$2:$K$15,10,FALSE)*1000</f>
        <v>24960349.540361382</v>
      </c>
      <c r="Y54" s="30">
        <f>F54*VLOOKUP(Y$51,tech_data!$B$2:$K$15,10,FALSE)*1000</f>
        <v>19790277.619099792</v>
      </c>
      <c r="Z54" s="30">
        <f>G54*VLOOKUP(Z$51,tech_data!$B$2:$K$15,10,FALSE)*1000</f>
        <v>19471556.900218867</v>
      </c>
      <c r="AA54" s="30">
        <f>H30*VLOOKUP(AA$51,tech_data!$B$2:$K$15,10,FALSE)/1000</f>
        <v>810.78255021912014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465540.57697349478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84"/>
        <v>225259393.61870551</v>
      </c>
      <c r="AK54" s="25">
        <f t="shared" ref="AK54:AK71" si="90">(AJ54-AJ53)/AJ53</f>
        <v>6.7000000001930696E-2</v>
      </c>
      <c r="AL54" s="24">
        <f>AL53</f>
        <v>6.7000000000000004E-2</v>
      </c>
      <c r="AM54" s="26"/>
      <c r="AN54" s="24"/>
      <c r="AO54" s="20" t="str">
        <f t="shared" si="85"/>
        <v>INDONESIA</v>
      </c>
      <c r="AP54" s="20">
        <f t="shared" si="8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1650.1640829157398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3899.0776077290234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3421.3224294647594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52.493926049822058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97.863401802444031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215.1632729442627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8.5431982746464001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89.029345255203566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6.1664380627951392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1.8375419473227654</v>
      </c>
      <c r="BD54" s="30">
        <f t="shared" ref="BD54:BD71" si="91">SUM(AQ54:BC54)</f>
        <v>9441.6612444460188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80"/>
        <v>INDONESIA</v>
      </c>
      <c r="C55" s="20">
        <f t="shared" si="80"/>
        <v>2022</v>
      </c>
      <c r="D55" s="30">
        <f>(indonesia!D31*3.6/(VLOOKUP(D$51,tech_data!$B$2:$J$15,4,FALSE)/100))/1000</f>
        <v>1610.2171901273741</v>
      </c>
      <c r="E55" s="30">
        <f>(indonesia!E31*3.6/(VLOOKUP(E$51,tech_data!$B$2:$J$15,4,FALSE)/100))/1000</f>
        <v>401.93799581902385</v>
      </c>
      <c r="F55" s="30">
        <f>(indonesia!F31*3.6/(VLOOKUP(F$51,tech_data!$B$2:$J$15,4,FALSE)/100))/1000</f>
        <v>318.68401963123659</v>
      </c>
      <c r="G55" s="30">
        <f>(indonesia!G31*3.6/(VLOOKUP(G$51,tech_data!$B$2:$J$15,4,FALSE)/100))/1000</f>
        <v>259.03361580708884</v>
      </c>
      <c r="H55" s="30">
        <f>(indonesia!H31*3.6/(VLOOKUP(H$51,tech_data!$B$2:$J$15,4,FALSE)/100))/1000</f>
        <v>744.87116833574714</v>
      </c>
      <c r="I55" s="30">
        <f>(indonesia!I31*3.6/(VLOOKUP(I$51,tech_data!$B$2:$J$15,4,FALSE)/100))/1000</f>
        <v>122.39549568910634</v>
      </c>
      <c r="J55" s="30">
        <f>(indonesia!J31*3.6/(VLOOKUP(J$51,tech_data!$B$2:$J$15,4,FALSE)/100))/1000</f>
        <v>60.839918169334723</v>
      </c>
      <c r="K55" s="30">
        <f t="shared" ref="K55:L55" si="92">K31*3.6/1000</f>
        <v>58.947274244098324</v>
      </c>
      <c r="L55" s="30">
        <f t="shared" si="92"/>
        <v>11.397529051999351</v>
      </c>
      <c r="M55" s="30">
        <f>(indonesia!M31*3.6/(VLOOKUP(M$51,tech_data!$B$2:$J$15,4,FALSE)/100))/1000</f>
        <v>30.030791725439961</v>
      </c>
      <c r="N55" s="30">
        <f t="shared" si="88"/>
        <v>0.13475052377263119</v>
      </c>
      <c r="O55" s="30">
        <f>(indonesia!O31*3.6/(VLOOKUP(O$51,tech_data!$B$2:$J$15,4,FALSE)/100))/1000</f>
        <v>0</v>
      </c>
      <c r="P55" s="30">
        <v>0</v>
      </c>
      <c r="Q55" s="30">
        <f t="shared" si="81"/>
        <v>3618.4897491242218</v>
      </c>
      <c r="R55" s="30"/>
      <c r="T55" s="19"/>
      <c r="U55" s="20" t="str">
        <f t="shared" si="82"/>
        <v>INDONESIA</v>
      </c>
      <c r="V55" s="20">
        <f t="shared" si="83"/>
        <v>2022</v>
      </c>
      <c r="W55" s="30">
        <f>D55*VLOOKUP(W$51,tech_data!$B$2:$K$15,10,FALSE)*1000</f>
        <v>160570858.19950175</v>
      </c>
      <c r="X55" s="30">
        <f>E55*VLOOKUP(X$51,tech_data!$B$2:$K$15,10,FALSE)*1000</f>
        <v>24960349.540361382</v>
      </c>
      <c r="Y55" s="30">
        <f>F55*VLOOKUP(Y$51,tech_data!$B$2:$K$15,10,FALSE)*1000</f>
        <v>19790277.619099792</v>
      </c>
      <c r="Z55" s="30">
        <f>G55*VLOOKUP(Z$51,tech_data!$B$2:$K$15,10,FALSE)*1000</f>
        <v>19471556.900218867</v>
      </c>
      <c r="AA55" s="30">
        <f>H31*VLOOKUP(AA$51,tech_data!$B$2:$K$15,10,FALSE)/1000</f>
        <v>1756.9648683119437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3374259.7582704336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84"/>
        <v>228169058.98232055</v>
      </c>
      <c r="AK55" s="25">
        <f t="shared" si="90"/>
        <v>1.2916954613400939E-2</v>
      </c>
      <c r="AL55" s="24">
        <f>AL54</f>
        <v>6.7000000000000004E-2</v>
      </c>
      <c r="AM55" s="26"/>
      <c r="AN55" s="24"/>
      <c r="AO55" s="20" t="str">
        <f t="shared" si="85"/>
        <v>INDONESIA</v>
      </c>
      <c r="AP55" s="20">
        <f t="shared" si="8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1650.1640824048425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299.73707285067866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425.43308424536343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52.493925751340505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9148.4477311430292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3568.7690527327582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5535.2683684892036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831.89784369534573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1377.4014584344227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1657.20505426881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61.694294742874376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2.892460898523697</v>
      </c>
      <c r="BD55" s="30">
        <f t="shared" si="91"/>
        <v>24611.404429657192</v>
      </c>
      <c r="BE55" s="20">
        <v>2022</v>
      </c>
      <c r="BF55" s="23"/>
      <c r="BG55" s="19"/>
      <c r="BH55" s="30"/>
      <c r="BI55" s="30">
        <f>MIN($BD$53)</f>
        <v>17288.642858154548</v>
      </c>
      <c r="BJ55" s="30">
        <f>MIN($BD$54)</f>
        <v>9441.6612444460188</v>
      </c>
      <c r="BK55" s="30">
        <f t="shared" ref="BK55" si="93">MIN($BD$55)</f>
        <v>24611.404429657192</v>
      </c>
      <c r="BL55" s="30">
        <f>MIN($BD$56)</f>
        <v>13272.718861378913</v>
      </c>
      <c r="BM55" s="30">
        <f>MIN($BD$57)</f>
        <v>10720.515420752628</v>
      </c>
      <c r="BN55" s="30">
        <f>MIN($BD$58)</f>
        <v>14748.700972286015</v>
      </c>
      <c r="BO55" s="30">
        <f>MIN($BD$59)</f>
        <v>16038.964230075371</v>
      </c>
      <c r="BP55" s="30">
        <f>MIN($BD$60)</f>
        <v>18579.822815514439</v>
      </c>
      <c r="BQ55" s="30">
        <f>MIN($BD$61)</f>
        <v>14800.838432845912</v>
      </c>
      <c r="BR55" s="30">
        <f>MIN($BD$62)</f>
        <v>15777.233178555281</v>
      </c>
      <c r="BS55" s="30">
        <f>MIN($BD$63)</f>
        <v>19152.038236123277</v>
      </c>
      <c r="BT55" s="30">
        <f>MIN($BD$64)</f>
        <v>17931.223642069184</v>
      </c>
      <c r="BU55" s="30">
        <f>MIN($BD$65)</f>
        <v>20120.414019392691</v>
      </c>
      <c r="BV55" s="30">
        <f>MIN($BD$66)</f>
        <v>20600.206306833206</v>
      </c>
      <c r="BW55" s="30">
        <f>MIN($BD$67)</f>
        <v>23295.658846276256</v>
      </c>
      <c r="BX55" s="30">
        <f>MIN($BD$68)</f>
        <v>23899.311012048693</v>
      </c>
      <c r="BY55" s="30">
        <f>MIN($BD$69)</f>
        <v>26383.971485372582</v>
      </c>
      <c r="BZ55" s="30">
        <f>MIN($BD$70)</f>
        <v>27693.843192870849</v>
      </c>
      <c r="CA55" s="30">
        <f>MIN($BD$71)</f>
        <v>31397.227876047131</v>
      </c>
      <c r="CD55" s="23"/>
    </row>
    <row r="56" spans="1:82" x14ac:dyDescent="0.25">
      <c r="A56" s="19"/>
      <c r="B56" s="20" t="str">
        <f t="shared" si="80"/>
        <v>INDONESIA</v>
      </c>
      <c r="C56" s="20">
        <f t="shared" si="80"/>
        <v>2023</v>
      </c>
      <c r="D56" s="30">
        <f>(indonesia!D32*3.6/(VLOOKUP(D$51,tech_data!$B$2:$J$15,4,FALSE)/100))/1000</f>
        <v>1610.2171901273741</v>
      </c>
      <c r="E56" s="30">
        <f>(indonesia!E32*3.6/(VLOOKUP(E$51,tech_data!$B$2:$J$15,4,FALSE)/100))/1000</f>
        <v>401.93799581902385</v>
      </c>
      <c r="F56" s="30">
        <f>(indonesia!F32*3.6/(VLOOKUP(F$51,tech_data!$B$2:$J$15,4,FALSE)/100))/1000</f>
        <v>564.8567563618027</v>
      </c>
      <c r="G56" s="30">
        <f>(indonesia!G32*3.6/(VLOOKUP(G$51,tech_data!$B$2:$J$15,4,FALSE)/100))/1000</f>
        <v>259.03361581836134</v>
      </c>
      <c r="H56" s="30">
        <f>(indonesia!H32*3.6/(VLOOKUP(H$51,tech_data!$B$2:$J$15,4,FALSE)/100))/1000</f>
        <v>744.87116833574714</v>
      </c>
      <c r="I56" s="30">
        <f>(indonesia!I32*3.6/(VLOOKUP(I$51,tech_data!$B$2:$J$15,4,FALSE)/100))/1000</f>
        <v>122.39549568910634</v>
      </c>
      <c r="J56" s="30">
        <f>(indonesia!J32*3.6/(VLOOKUP(J$51,tech_data!$B$2:$J$15,4,FALSE)/100))/1000</f>
        <v>60.839918169334723</v>
      </c>
      <c r="K56" s="30">
        <f t="shared" ref="K56:L56" si="94">K32*3.6/1000</f>
        <v>58.947274244098324</v>
      </c>
      <c r="L56" s="30">
        <f t="shared" si="94"/>
        <v>13.872528335778572</v>
      </c>
      <c r="M56" s="30">
        <f>(indonesia!M32*3.6/(VLOOKUP(M$51,tech_data!$B$2:$J$15,4,FALSE)/100))/1000</f>
        <v>30.030791725439961</v>
      </c>
      <c r="N56" s="30">
        <f t="shared" si="88"/>
        <v>0.13475052377263119</v>
      </c>
      <c r="O56" s="30">
        <f>(indonesia!O32*3.6/(VLOOKUP(O$51,tech_data!$B$2:$J$15,4,FALSE)/100))/1000</f>
        <v>0</v>
      </c>
      <c r="P56" s="30">
        <v>0</v>
      </c>
      <c r="Q56" s="30">
        <f t="shared" si="81"/>
        <v>3867.1374851498399</v>
      </c>
      <c r="R56" s="30"/>
      <c r="T56" s="19"/>
      <c r="U56" s="20" t="str">
        <f t="shared" si="82"/>
        <v>INDONESIA</v>
      </c>
      <c r="V56" s="20">
        <f t="shared" si="83"/>
        <v>2023</v>
      </c>
      <c r="W56" s="30">
        <f>D56*VLOOKUP(W$51,tech_data!$B$2:$K$15,10,FALSE)*1000</f>
        <v>160570858.19950175</v>
      </c>
      <c r="X56" s="30">
        <f>E56*VLOOKUP(X$51,tech_data!$B$2:$K$15,10,FALSE)*1000</f>
        <v>24960349.540361382</v>
      </c>
      <c r="Y56" s="30">
        <f>F56*VLOOKUP(Y$51,tech_data!$B$2:$K$15,10,FALSE)*1000</f>
        <v>35077604.57006795</v>
      </c>
      <c r="Z56" s="30">
        <f>G56*VLOOKUP(Z$51,tech_data!$B$2:$K$15,10,FALSE)*1000</f>
        <v>19471556.901066221</v>
      </c>
      <c r="AA56" s="30">
        <f>H32*VLOOKUP(AA$51,tech_data!$B$2:$K$15,10,FALSE)/1000</f>
        <v>1756.9648683119437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3374259.7582704336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84"/>
        <v>243456385.93413603</v>
      </c>
      <c r="AK56" s="25">
        <f t="shared" si="90"/>
        <v>6.7000000000000046E-2</v>
      </c>
      <c r="AL56" s="24">
        <f t="shared" ref="AL56:AL70" si="95">AL55</f>
        <v>6.7000000000000004E-2</v>
      </c>
      <c r="AM56" s="26"/>
      <c r="AN56" s="24"/>
      <c r="AO56" s="20" t="str">
        <f t="shared" si="85"/>
        <v>INDONESIA</v>
      </c>
      <c r="AP56" s="20">
        <f t="shared" si="8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1650.1640824048425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299.73707285067866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10170.871541897212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52.493925982291287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212.06987346770288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275.14114913320242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115.04462838961548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96.130584220643073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352.01684291134001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44.694629934140764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1.6582379223945483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2.696292264847659</v>
      </c>
      <c r="BD56" s="30">
        <f t="shared" si="91"/>
        <v>13272.718861378913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80"/>
        <v>INDONESIA</v>
      </c>
      <c r="C57" s="20">
        <f t="shared" si="80"/>
        <v>2024</v>
      </c>
      <c r="D57" s="30">
        <f>(indonesia!D33*3.6/(VLOOKUP(D$51,tech_data!$B$2:$J$15,4,FALSE)/100))/1000</f>
        <v>1610.2171901273741</v>
      </c>
      <c r="E57" s="30">
        <f>(indonesia!E33*3.6/(VLOOKUP(E$51,tech_data!$B$2:$J$15,4,FALSE)/100))/1000</f>
        <v>401.93799581902385</v>
      </c>
      <c r="F57" s="30">
        <f>(indonesia!F33*3.6/(VLOOKUP(F$51,tech_data!$B$2:$J$15,4,FALSE)/100))/1000</f>
        <v>661.65482740415803</v>
      </c>
      <c r="G57" s="30">
        <f>(indonesia!G33*3.6/(VLOOKUP(G$51,tech_data!$B$2:$J$15,4,FALSE)/100))/1000</f>
        <v>379.03974047995541</v>
      </c>
      <c r="H57" s="30">
        <f>(indonesia!H33*3.6/(VLOOKUP(H$51,tech_data!$B$2:$J$15,4,FALSE)/100))/1000</f>
        <v>744.87116833574714</v>
      </c>
      <c r="I57" s="30">
        <f>(indonesia!I33*3.6/(VLOOKUP(I$51,tech_data!$B$2:$J$15,4,FALSE)/100))/1000</f>
        <v>122.39549568910634</v>
      </c>
      <c r="J57" s="30">
        <f>(indonesia!J33*3.6/(VLOOKUP(J$51,tech_data!$B$2:$J$15,4,FALSE)/100))/1000</f>
        <v>60.839918169334723</v>
      </c>
      <c r="K57" s="30">
        <f t="shared" ref="K57:L57" si="96">K33*3.6/1000</f>
        <v>58.947274244098324</v>
      </c>
      <c r="L57" s="30">
        <f t="shared" si="96"/>
        <v>21.004370848284125</v>
      </c>
      <c r="M57" s="30">
        <f>(indonesia!M33*3.6/(VLOOKUP(M$51,tech_data!$B$2:$J$15,4,FALSE)/100))/1000</f>
        <v>30.030791725439961</v>
      </c>
      <c r="N57" s="30">
        <f t="shared" si="88"/>
        <v>0.13475052377263119</v>
      </c>
      <c r="O57" s="30">
        <f>(indonesia!O33*3.6/(VLOOKUP(O$51,tech_data!$B$2:$J$15,4,FALSE)/100))/1000</f>
        <v>9.8755607147120955E-16</v>
      </c>
      <c r="P57" s="30">
        <v>0</v>
      </c>
      <c r="Q57" s="30">
        <f t="shared" si="81"/>
        <v>4091.0735233662949</v>
      </c>
      <c r="R57" s="30"/>
      <c r="T57" s="19"/>
      <c r="U57" s="20" t="str">
        <f t="shared" si="82"/>
        <v>INDONESIA</v>
      </c>
      <c r="V57" s="20">
        <f t="shared" si="83"/>
        <v>2024</v>
      </c>
      <c r="W57" s="30">
        <f>D57*VLOOKUP(W$51,tech_data!$B$2:$K$15,10,FALSE)*1000</f>
        <v>160570858.19950175</v>
      </c>
      <c r="X57" s="30">
        <f>E57*VLOOKUP(X$51,tech_data!$B$2:$K$15,10,FALSE)*1000</f>
        <v>24960349.540361382</v>
      </c>
      <c r="Y57" s="30">
        <f>F57*VLOOKUP(Y$51,tech_data!$B$2:$K$15,10,FALSE)*1000</f>
        <v>41088764.781798214</v>
      </c>
      <c r="Z57" s="30">
        <f>G57*VLOOKUP(Z$51,tech_data!$B$2:$K$15,10,FALSE)*1000</f>
        <v>28492417.291878249</v>
      </c>
      <c r="AA57" s="30">
        <f>H33*VLOOKUP(AA$51,tech_data!$B$2:$K$15,10,FALSE)/1000</f>
        <v>1756.9648683119437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3374259.7582704336</v>
      </c>
      <c r="AG57" s="30">
        <f>N57*VLOOKUP(AG$51,tech_data!$B$2:$K$15,10,FALSE)*1000</f>
        <v>0</v>
      </c>
      <c r="AH57" s="30">
        <f>O57*VLOOKUP(AH$51,tech_data!$B$2:$K$15,10,FALSE)*1000</f>
        <v>2.7424432104755487E-11</v>
      </c>
      <c r="AI57" s="30"/>
      <c r="AJ57" s="30">
        <f t="shared" si="84"/>
        <v>258488406.53667834</v>
      </c>
      <c r="AK57" s="25">
        <f t="shared" si="90"/>
        <v>6.1744203360551933E-2</v>
      </c>
      <c r="AL57" s="24">
        <f t="shared" si="95"/>
        <v>6.7000000000000004E-2</v>
      </c>
      <c r="AM57" s="26"/>
      <c r="AN57" s="24"/>
      <c r="AO57" s="20" t="str">
        <f t="shared" si="85"/>
        <v>INDONESIA</v>
      </c>
      <c r="AP57" s="20">
        <f t="shared" si="8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1650.1640824048425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299.73707285067866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4586.089123377853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2511.1688474446464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212.06987346770288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275.14114913320242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115.04462838961558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96.130584220643073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926.29020452210239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44.694629934140764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1.6582379223945483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1.7718998011667309E-13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2.3269870848049758</v>
      </c>
      <c r="BD57" s="30">
        <f t="shared" si="91"/>
        <v>10720.515420752628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80"/>
        <v>INDONESIA</v>
      </c>
      <c r="C58" s="20">
        <f t="shared" si="80"/>
        <v>2025</v>
      </c>
      <c r="D58" s="30">
        <f>(indonesia!D34*3.6/(VLOOKUP(D$51,tech_data!$B$2:$J$15,4,FALSE)/100))/1000</f>
        <v>1610.2171901273741</v>
      </c>
      <c r="E58" s="30">
        <f>(indonesia!E34*3.6/(VLOOKUP(E$51,tech_data!$B$2:$J$15,4,FALSE)/100))/1000</f>
        <v>401.93799581902385</v>
      </c>
      <c r="F58" s="30">
        <f>(indonesia!F34*3.6/(VLOOKUP(F$51,tech_data!$B$2:$J$15,4,FALSE)/100))/1000</f>
        <v>749.27832948111575</v>
      </c>
      <c r="G58" s="30">
        <f>(indonesia!G34*3.6/(VLOOKUP(G$51,tech_data!$B$2:$J$15,4,FALSE)/100))/1000</f>
        <v>397.70755340485488</v>
      </c>
      <c r="H58" s="30">
        <f>(indonesia!H34*3.6/(VLOOKUP(H$51,tech_data!$B$2:$J$15,4,FALSE)/100))/1000</f>
        <v>744.87116833574714</v>
      </c>
      <c r="I58" s="30">
        <f>(indonesia!I34*3.6/(VLOOKUP(I$51,tech_data!$B$2:$J$15,4,FALSE)/100))/1000</f>
        <v>122.39549568910634</v>
      </c>
      <c r="J58" s="30">
        <f>(indonesia!J34*3.6/(VLOOKUP(J$51,tech_data!$B$2:$J$15,4,FALSE)/100))/1000</f>
        <v>60.839918169334723</v>
      </c>
      <c r="K58" s="30">
        <f t="shared" ref="K58:L58" si="97">K34*3.6/1000</f>
        <v>58.947274244098324</v>
      </c>
      <c r="L58" s="30">
        <f t="shared" si="97"/>
        <v>80.102950842371968</v>
      </c>
      <c r="M58" s="30">
        <f>(indonesia!M34*3.6/(VLOOKUP(M$51,tech_data!$B$2:$J$15,4,FALSE)/100))/1000</f>
        <v>30.030791725439961</v>
      </c>
      <c r="N58" s="30">
        <f t="shared" si="88"/>
        <v>0.13475052377263119</v>
      </c>
      <c r="O58" s="30">
        <f>(indonesia!O34*3.6/(VLOOKUP(O$51,tech_data!$B$2:$J$15,4,FALSE)/100))/1000</f>
        <v>9.8755607147120955E-16</v>
      </c>
      <c r="P58" s="30">
        <v>0</v>
      </c>
      <c r="Q58" s="30">
        <f t="shared" si="81"/>
        <v>4256.4634183622393</v>
      </c>
      <c r="R58" s="30"/>
      <c r="T58" s="19"/>
      <c r="U58" s="20" t="str">
        <f t="shared" si="82"/>
        <v>INDONESIA</v>
      </c>
      <c r="V58" s="20">
        <f t="shared" si="83"/>
        <v>2025</v>
      </c>
      <c r="W58" s="30">
        <f>D58*VLOOKUP(W$51,tech_data!$B$2:$K$15,10,FALSE)*1000</f>
        <v>160570858.19950175</v>
      </c>
      <c r="X58" s="30">
        <f>E58*VLOOKUP(X$51,tech_data!$B$2:$K$15,10,FALSE)*1000</f>
        <v>24960349.540361382</v>
      </c>
      <c r="Y58" s="30">
        <f>F58*VLOOKUP(Y$51,tech_data!$B$2:$K$15,10,FALSE)*1000</f>
        <v>46530184.260777295</v>
      </c>
      <c r="Z58" s="30">
        <f>G58*VLOOKUP(Z$51,tech_data!$B$2:$K$15,10,FALSE)*1000</f>
        <v>29895676.789442942</v>
      </c>
      <c r="AA58" s="30">
        <f>H34*VLOOKUP(AA$51,tech_data!$B$2:$K$15,10,FALSE)/1000</f>
        <v>1756.9648683119437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3374259.7582704336</v>
      </c>
      <c r="AG58" s="30">
        <f>N58*VLOOKUP(AG$51,tech_data!$B$2:$K$15,10,FALSE)*1000</f>
        <v>0</v>
      </c>
      <c r="AH58" s="30">
        <f>O58*VLOOKUP(AH$51,tech_data!$B$2:$K$15,10,FALSE)*1000</f>
        <v>2.7424432104755487E-11</v>
      </c>
      <c r="AI58" s="30"/>
      <c r="AJ58" s="30">
        <f t="shared" si="84"/>
        <v>265333085.5132221</v>
      </c>
      <c r="AK58" s="25">
        <f t="shared" si="90"/>
        <v>2.6479636236886799E-2</v>
      </c>
      <c r="AL58" s="24">
        <f t="shared" si="95"/>
        <v>6.7000000000000004E-2</v>
      </c>
      <c r="AM58" s="26"/>
      <c r="AN58" s="24"/>
      <c r="AO58" s="20" t="str">
        <f t="shared" si="85"/>
        <v>INDONESIA</v>
      </c>
      <c r="AP58" s="20">
        <f t="shared" si="8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1650.1640824048425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299.73707285067866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4352.110432781903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459.27802910053578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212.06987346770288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275.14114913320242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115.04462838961555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96.130584220643073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7239.6246590757282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44.694629934140764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1.6582379223945483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6.0582686890014835E-15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3.0475930046273416</v>
      </c>
      <c r="BD58" s="30">
        <f t="shared" si="91"/>
        <v>14748.700972286015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0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80"/>
        <v>INDONESIA</v>
      </c>
      <c r="C59" s="20">
        <f t="shared" si="80"/>
        <v>2026</v>
      </c>
      <c r="D59" s="30">
        <f>(indonesia!D35*3.6/(VLOOKUP(D$51,tech_data!$B$2:$J$15,4,FALSE)/100))/1000</f>
        <v>1610.2171901273741</v>
      </c>
      <c r="E59" s="30">
        <f>(indonesia!E35*3.6/(VLOOKUP(E$51,tech_data!$B$2:$J$15,4,FALSE)/100))/1000</f>
        <v>401.93799581902385</v>
      </c>
      <c r="F59" s="30">
        <f>(indonesia!F35*3.6/(VLOOKUP(F$51,tech_data!$B$2:$J$15,4,FALSE)/100))/1000</f>
        <v>914.49658909666402</v>
      </c>
      <c r="G59" s="30">
        <f>(indonesia!G35*3.6/(VLOOKUP(G$51,tech_data!$B$2:$J$15,4,FALSE)/100))/1000</f>
        <v>421.71327075335677</v>
      </c>
      <c r="H59" s="30">
        <f>(indonesia!H35*3.6/(VLOOKUP(H$51,tech_data!$B$2:$J$15,4,FALSE)/100))/1000</f>
        <v>744.87116833574714</v>
      </c>
      <c r="I59" s="30">
        <f>(indonesia!I35*3.6/(VLOOKUP(I$51,tech_data!$B$2:$J$15,4,FALSE)/100))/1000</f>
        <v>122.39549568910634</v>
      </c>
      <c r="J59" s="30">
        <f>(indonesia!J35*3.6/(VLOOKUP(J$51,tech_data!$B$2:$J$15,4,FALSE)/100))/1000</f>
        <v>60.839918169334723</v>
      </c>
      <c r="K59" s="30">
        <f t="shared" ref="K59:L59" si="98">K35*3.6/1000</f>
        <v>58.947274244098324</v>
      </c>
      <c r="L59" s="30">
        <f t="shared" si="98"/>
        <v>120.28343708459001</v>
      </c>
      <c r="M59" s="30">
        <f>(indonesia!M35*3.6/(VLOOKUP(M$51,tech_data!$B$2:$J$15,4,FALSE)/100))/1000</f>
        <v>30.030791725439961</v>
      </c>
      <c r="N59" s="30">
        <f t="shared" si="88"/>
        <v>0.13475052377263119</v>
      </c>
      <c r="O59" s="30">
        <f>(indonesia!O35*3.6/(VLOOKUP(O$51,tech_data!$B$2:$J$15,4,FALSE)/100))/1000</f>
        <v>9.8755607147120955E-16</v>
      </c>
      <c r="P59" s="30">
        <v>0</v>
      </c>
      <c r="Q59" s="30">
        <f t="shared" si="81"/>
        <v>4485.8678815685098</v>
      </c>
      <c r="R59" s="30"/>
      <c r="T59" s="19"/>
      <c r="U59" s="20" t="str">
        <f t="shared" si="82"/>
        <v>INDONESIA</v>
      </c>
      <c r="V59" s="20">
        <f t="shared" si="83"/>
        <v>2026</v>
      </c>
      <c r="W59" s="30">
        <f>D59*VLOOKUP(W$51,tech_data!$B$2:$K$15,10,FALSE)*1000</f>
        <v>160570858.19950175</v>
      </c>
      <c r="X59" s="30">
        <f>E59*VLOOKUP(X$51,tech_data!$B$2:$K$15,10,FALSE)*1000</f>
        <v>24960349.540361382</v>
      </c>
      <c r="Y59" s="30">
        <f>F59*VLOOKUP(Y$51,tech_data!$B$2:$K$15,10,FALSE)*1000</f>
        <v>56790238.182902835</v>
      </c>
      <c r="Z59" s="30">
        <f>G59*VLOOKUP(Z$51,tech_data!$B$2:$K$15,10,FALSE)*1000</f>
        <v>31700186.562529832</v>
      </c>
      <c r="AA59" s="30">
        <f>H35*VLOOKUP(AA$51,tech_data!$B$2:$K$15,10,FALSE)/1000</f>
        <v>1756.9648683119437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3374259.7582704336</v>
      </c>
      <c r="AG59" s="30">
        <f>N59*VLOOKUP(AG$51,tech_data!$B$2:$K$15,10,FALSE)*1000</f>
        <v>0</v>
      </c>
      <c r="AH59" s="30">
        <f>O59*VLOOKUP(AH$51,tech_data!$B$2:$K$15,10,FALSE)*1000</f>
        <v>2.7424432104755487E-11</v>
      </c>
      <c r="AI59" s="30"/>
      <c r="AJ59" s="30">
        <f t="shared" si="84"/>
        <v>277397649.20843452</v>
      </c>
      <c r="AK59" s="25">
        <f t="shared" si="90"/>
        <v>4.5469503631167855E-2</v>
      </c>
      <c r="AL59" s="24">
        <f t="shared" si="95"/>
        <v>6.7000000000000004E-2</v>
      </c>
      <c r="AM59" s="26"/>
      <c r="AN59" s="24"/>
      <c r="AO59" s="20" t="str">
        <f t="shared" si="85"/>
        <v>INDONESIA</v>
      </c>
      <c r="AP59" s="20">
        <f t="shared" si="8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1650.1640824048425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299.73707285067866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7540.8912167580866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572.42363251604911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212.0698734677033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275.14114913320242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115.04462838961555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96.130584220643073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5227.7109087454346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44.694629934140764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1.6582379223945483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6.0582686890014835E-15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3.2982137325780556</v>
      </c>
      <c r="BD59" s="30">
        <f t="shared" si="91"/>
        <v>16038.964230075371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80"/>
        <v>INDONESIA</v>
      </c>
      <c r="C60" s="20">
        <f t="shared" si="80"/>
        <v>2027</v>
      </c>
      <c r="D60" s="30">
        <f>(indonesia!D36*3.6/(VLOOKUP(D$51,tech_data!$B$2:$J$15,4,FALSE)/100))/1000</f>
        <v>1623.2016065621187</v>
      </c>
      <c r="E60" s="30">
        <f>(indonesia!E36*3.6/(VLOOKUP(E$51,tech_data!$B$2:$J$15,4,FALSE)/100))/1000</f>
        <v>401.93799581902385</v>
      </c>
      <c r="F60" s="30">
        <f>(indonesia!F36*3.6/(VLOOKUP(F$51,tech_data!$B$2:$J$15,4,FALSE)/100))/1000</f>
        <v>1099.1408936122446</v>
      </c>
      <c r="G60" s="30">
        <f>(indonesia!G36*3.6/(VLOOKUP(G$51,tech_data!$B$2:$J$15,4,FALSE)/100))/1000</f>
        <v>449.94691507765913</v>
      </c>
      <c r="H60" s="30">
        <f>(indonesia!H36*3.6/(VLOOKUP(H$51,tech_data!$B$2:$J$15,4,FALSE)/100))/1000</f>
        <v>744.87116833574714</v>
      </c>
      <c r="I60" s="30">
        <f>(indonesia!I36*3.6/(VLOOKUP(I$51,tech_data!$B$2:$J$15,4,FALSE)/100))/1000</f>
        <v>122.39549568910634</v>
      </c>
      <c r="J60" s="30">
        <f>(indonesia!J36*3.6/(VLOOKUP(J$51,tech_data!$B$2:$J$15,4,FALSE)/100))/1000</f>
        <v>60.839918169334723</v>
      </c>
      <c r="K60" s="30">
        <f t="shared" ref="K60:L60" si="99">K36*3.6/1000</f>
        <v>58.947274244098324</v>
      </c>
      <c r="L60" s="30">
        <f t="shared" si="99"/>
        <v>167.3655480724625</v>
      </c>
      <c r="M60" s="30">
        <f>(indonesia!M36*3.6/(VLOOKUP(M$51,tech_data!$B$2:$J$15,4,FALSE)/100))/1000</f>
        <v>30.030791725439961</v>
      </c>
      <c r="N60" s="30">
        <f t="shared" si="88"/>
        <v>0.13475052377263119</v>
      </c>
      <c r="O60" s="30">
        <f>(indonesia!O36*3.6/(VLOOKUP(O$51,tech_data!$B$2:$J$15,4,FALSE)/100))/1000</f>
        <v>9.8755607147120955E-16</v>
      </c>
      <c r="P60" s="30">
        <v>0</v>
      </c>
      <c r="Q60" s="30">
        <f t="shared" si="81"/>
        <v>4758.8123578310096</v>
      </c>
      <c r="R60" s="30"/>
      <c r="T60" s="19"/>
      <c r="U60" s="20" t="str">
        <f t="shared" si="82"/>
        <v>INDONESIA</v>
      </c>
      <c r="V60" s="20">
        <f t="shared" si="83"/>
        <v>2027</v>
      </c>
      <c r="W60" s="30">
        <f>D60*VLOOKUP(W$51,tech_data!$B$2:$K$15,10,FALSE)*1000</f>
        <v>161865664.20637447</v>
      </c>
      <c r="X60" s="30">
        <f>E60*VLOOKUP(X$51,tech_data!$B$2:$K$15,10,FALSE)*1000</f>
        <v>24960349.540361382</v>
      </c>
      <c r="Y60" s="30">
        <f>F60*VLOOKUP(Y$51,tech_data!$B$2:$K$15,10,FALSE)*1000</f>
        <v>68256649.493320391</v>
      </c>
      <c r="Z60" s="30">
        <f>G60*VLOOKUP(Z$51,tech_data!$B$2:$K$15,10,FALSE)*1000</f>
        <v>33822509.606387638</v>
      </c>
      <c r="AA60" s="30">
        <f>H36*VLOOKUP(AA$51,tech_data!$B$2:$K$15,10,FALSE)/1000</f>
        <v>1756.9648683119437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3374259.7582704336</v>
      </c>
      <c r="AG60" s="30">
        <f>N60*VLOOKUP(AG$51,tech_data!$B$2:$K$15,10,FALSE)*1000</f>
        <v>0</v>
      </c>
      <c r="AH60" s="30">
        <f>O60*VLOOKUP(AH$51,tech_data!$B$2:$K$15,10,FALSE)*1000</f>
        <v>2.7424432104755487E-11</v>
      </c>
      <c r="AI60" s="30"/>
      <c r="AJ60" s="30">
        <f t="shared" si="84"/>
        <v>292281189.56958258</v>
      </c>
      <c r="AK60" s="25">
        <f t="shared" si="90"/>
        <v>5.3654169037188483E-2</v>
      </c>
      <c r="AL60" s="24">
        <f t="shared" si="95"/>
        <v>6.7000000000000004E-2</v>
      </c>
      <c r="AM60" s="26"/>
      <c r="AN60" s="24"/>
      <c r="AO60" s="20" t="str">
        <f t="shared" si="85"/>
        <v>INDONESIA</v>
      </c>
      <c r="AP60" s="20">
        <f t="shared" si="8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2088.8014825650548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299.73707285067866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8530.4868564829994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663.90985772255033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212.06987346770288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275.14114913320242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115.04462838961555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96.130584220643129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6248.3090867653164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44.694629934140764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1.6582379223945483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6.0582686890014835E-15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3.8393560601390857</v>
      </c>
      <c r="BD60" s="30">
        <f t="shared" si="91"/>
        <v>18579.822815514439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80"/>
        <v>INDONESIA</v>
      </c>
      <c r="C61" s="20">
        <f t="shared" si="80"/>
        <v>2028</v>
      </c>
      <c r="D61" s="30">
        <f>(indonesia!D37*3.6/(VLOOKUP(D$51,tech_data!$B$2:$J$15,4,FALSE)/100))/1000</f>
        <v>1697.0891072585132</v>
      </c>
      <c r="E61" s="30">
        <f>(indonesia!E37*3.6/(VLOOKUP(E$51,tech_data!$B$2:$J$15,4,FALSE)/100))/1000</f>
        <v>401.93799581902385</v>
      </c>
      <c r="F61" s="30">
        <f>(indonesia!F37*3.6/(VLOOKUP(F$51,tech_data!$B$2:$J$15,4,FALSE)/100))/1000</f>
        <v>1172.8026933326662</v>
      </c>
      <c r="G61" s="30">
        <f>(indonesia!G37*3.6/(VLOOKUP(G$51,tech_data!$B$2:$J$15,4,FALSE)/100))/1000</f>
        <v>464.15583337475232</v>
      </c>
      <c r="H61" s="30">
        <f>(indonesia!H37*3.6/(VLOOKUP(H$51,tech_data!$B$2:$J$15,4,FALSE)/100))/1000</f>
        <v>744.87116833574714</v>
      </c>
      <c r="I61" s="30">
        <f>(indonesia!I37*3.6/(VLOOKUP(I$51,tech_data!$B$2:$J$15,4,FALSE)/100))/1000</f>
        <v>122.39549568910634</v>
      </c>
      <c r="J61" s="30">
        <f>(indonesia!J37*3.6/(VLOOKUP(J$51,tech_data!$B$2:$J$15,4,FALSE)/100))/1000</f>
        <v>60.839918169334723</v>
      </c>
      <c r="K61" s="30">
        <f t="shared" ref="K61:L61" si="100">K37*3.6/1000</f>
        <v>58.947274244098324</v>
      </c>
      <c r="L61" s="30">
        <f t="shared" si="100"/>
        <v>200.89018669952731</v>
      </c>
      <c r="M61" s="30">
        <f>(indonesia!M37*3.6/(VLOOKUP(M$51,tech_data!$B$2:$J$15,4,FALSE)/100))/1000</f>
        <v>30.030791725439961</v>
      </c>
      <c r="N61" s="30">
        <f t="shared" si="88"/>
        <v>0.13475052377263119</v>
      </c>
      <c r="O61" s="30">
        <f>(indonesia!O37*3.6/(VLOOKUP(O$51,tech_data!$B$2:$J$15,4,FALSE)/100))/1000</f>
        <v>1.1153504733655399E-15</v>
      </c>
      <c r="P61" s="30">
        <v>0</v>
      </c>
      <c r="Q61" s="30">
        <f t="shared" si="81"/>
        <v>4954.095215171983</v>
      </c>
      <c r="R61" s="30"/>
      <c r="T61" s="19"/>
      <c r="U61" s="20" t="str">
        <f t="shared" si="82"/>
        <v>INDONESIA</v>
      </c>
      <c r="V61" s="20">
        <f t="shared" si="83"/>
        <v>2028</v>
      </c>
      <c r="W61" s="30">
        <f>D61*VLOOKUP(W$51,tech_data!$B$2:$K$15,10,FALSE)*1000</f>
        <v>169233725.77581891</v>
      </c>
      <c r="X61" s="30">
        <f>E61*VLOOKUP(X$51,tech_data!$B$2:$K$15,10,FALSE)*1000</f>
        <v>24960349.540361382</v>
      </c>
      <c r="Y61" s="30">
        <f>F61*VLOOKUP(Y$51,tech_data!$B$2:$K$15,10,FALSE)*1000</f>
        <v>72831047.255958572</v>
      </c>
      <c r="Z61" s="30">
        <f>G61*VLOOKUP(Z$51,tech_data!$B$2:$K$15,10,FALSE)*1000</f>
        <v>34890593.994780131</v>
      </c>
      <c r="AA61" s="30">
        <f>H37*VLOOKUP(AA$51,tech_data!$B$2:$K$15,10,FALSE)/1000</f>
        <v>1756.9648683119437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3374259.7582704336</v>
      </c>
      <c r="AG61" s="30">
        <f>N61*VLOOKUP(AG$51,tech_data!$B$2:$K$15,10,FALSE)*1000</f>
        <v>0</v>
      </c>
      <c r="AH61" s="30">
        <f>O61*VLOOKUP(AH$51,tech_data!$B$2:$K$15,10,FALSE)*1000</f>
        <v>3.0973282645361046E-11</v>
      </c>
      <c r="AI61" s="30"/>
      <c r="AJ61" s="30">
        <f t="shared" si="84"/>
        <v>305291733.29005772</v>
      </c>
      <c r="AK61" s="25">
        <f t="shared" si="90"/>
        <v>4.4513790776733349E-2</v>
      </c>
      <c r="AL61" s="24">
        <f t="shared" si="95"/>
        <v>6.7000000000000004E-2</v>
      </c>
      <c r="AM61" s="26"/>
      <c r="AN61" s="24"/>
      <c r="AO61" s="20" t="str">
        <f t="shared" si="85"/>
        <v>INDONESIA</v>
      </c>
      <c r="AP61" s="20">
        <f t="shared" si="8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4159.5259020570456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299.73707285067866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4383.4273313450622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382.29413627559097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212.06987346770288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275.14114913320242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115.04462838961555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96.130584220643073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4828.4468586126823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44.694629934140764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1.6582379223945483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2.8987485758109109E-14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2.6680286371512105</v>
      </c>
      <c r="BD61" s="30">
        <f t="shared" si="91"/>
        <v>14800.838432845912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0</v>
      </c>
      <c r="BQ61" s="20" t="b">
        <f>$AS$37&lt;=$AY$37</f>
        <v>0</v>
      </c>
      <c r="BR61" s="20" t="b">
        <f>$AS$38&lt;=$AY$38</f>
        <v>0</v>
      </c>
      <c r="BS61" s="20" t="b">
        <f>$AS$39&lt;=$AY$39</f>
        <v>0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80"/>
        <v>INDONESIA</v>
      </c>
      <c r="C62" s="20">
        <f t="shared" si="80"/>
        <v>2029</v>
      </c>
      <c r="D62" s="30">
        <f>(indonesia!D38*3.6/(VLOOKUP(D$51,tech_data!$B$2:$J$15,4,FALSE)/100))/1000</f>
        <v>1775.2585711238501</v>
      </c>
      <c r="E62" s="30">
        <f>(indonesia!E38*3.6/(VLOOKUP(E$51,tech_data!$B$2:$J$15,4,FALSE)/100))/1000</f>
        <v>401.93799581902385</v>
      </c>
      <c r="F62" s="30">
        <f>(indonesia!F38*3.6/(VLOOKUP(F$51,tech_data!$B$2:$J$15,4,FALSE)/100))/1000</f>
        <v>1251.1808964318807</v>
      </c>
      <c r="G62" s="30">
        <f>(indonesia!G38*3.6/(VLOOKUP(G$51,tech_data!$B$2:$J$15,4,FALSE)/100))/1000</f>
        <v>479.08354191055474</v>
      </c>
      <c r="H62" s="30">
        <f>(indonesia!H38*3.6/(VLOOKUP(H$51,tech_data!$B$2:$J$15,4,FALSE)/100))/1000</f>
        <v>744.87116833574714</v>
      </c>
      <c r="I62" s="30">
        <f>(indonesia!I38*3.6/(VLOOKUP(I$51,tech_data!$B$2:$J$15,4,FALSE)/100))/1000</f>
        <v>122.39549568910634</v>
      </c>
      <c r="J62" s="30">
        <f>(indonesia!J38*3.6/(VLOOKUP(J$51,tech_data!$B$2:$J$15,4,FALSE)/100))/1000</f>
        <v>60.839918169334723</v>
      </c>
      <c r="K62" s="30">
        <f t="shared" ref="K62:L62" si="101">K38*3.6/1000</f>
        <v>58.947274244098324</v>
      </c>
      <c r="L62" s="30">
        <f t="shared" si="101"/>
        <v>236.87703844550629</v>
      </c>
      <c r="M62" s="30">
        <f>(indonesia!M38*3.6/(VLOOKUP(M$51,tech_data!$B$2:$J$15,4,FALSE)/100))/1000</f>
        <v>30.030791725439961</v>
      </c>
      <c r="N62" s="30">
        <f t="shared" si="88"/>
        <v>0.13475052377263119</v>
      </c>
      <c r="O62" s="30">
        <f>(indonesia!O38*3.6/(VLOOKUP(O$51,tech_data!$B$2:$J$15,4,FALSE)/100))/1000</f>
        <v>1.1153504733655399E-15</v>
      </c>
      <c r="P62" s="30">
        <v>0</v>
      </c>
      <c r="Q62" s="30">
        <f t="shared" si="81"/>
        <v>5161.557442418316</v>
      </c>
      <c r="R62" s="30"/>
      <c r="T62" s="19"/>
      <c r="U62" s="20" t="str">
        <f t="shared" si="82"/>
        <v>INDONESIA</v>
      </c>
      <c r="V62" s="20">
        <f t="shared" si="83"/>
        <v>2029</v>
      </c>
      <c r="W62" s="30">
        <f>D62*VLOOKUP(W$51,tech_data!$B$2:$K$15,10,FALSE)*1000</f>
        <v>177028784.71247035</v>
      </c>
      <c r="X62" s="30">
        <f>E62*VLOOKUP(X$51,tech_data!$B$2:$K$15,10,FALSE)*1000</f>
        <v>24960349.540361382</v>
      </c>
      <c r="Y62" s="30">
        <f>F62*VLOOKUP(Y$51,tech_data!$B$2:$K$15,10,FALSE)*1000</f>
        <v>77698333.668419778</v>
      </c>
      <c r="Z62" s="30">
        <f>G62*VLOOKUP(Z$51,tech_data!$B$2:$K$15,10,FALSE)*1000</f>
        <v>36012709.845416404</v>
      </c>
      <c r="AA62" s="30">
        <f>H38*VLOOKUP(AA$51,tech_data!$B$2:$K$15,10,FALSE)/1000</f>
        <v>1756.9648683119437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3374259.7582704336</v>
      </c>
      <c r="AG62" s="30">
        <f>N62*VLOOKUP(AG$51,tech_data!$B$2:$K$15,10,FALSE)*1000</f>
        <v>0</v>
      </c>
      <c r="AH62" s="30">
        <f>O62*VLOOKUP(AH$51,tech_data!$B$2:$K$15,10,FALSE)*1000</f>
        <v>3.0973282645361046E-11</v>
      </c>
      <c r="AI62" s="30"/>
      <c r="AJ62" s="30">
        <f t="shared" si="84"/>
        <v>319076194.48980671</v>
      </c>
      <c r="AK62" s="25">
        <f t="shared" si="90"/>
        <v>4.5151766971208401E-2</v>
      </c>
      <c r="AL62" s="24">
        <f t="shared" si="95"/>
        <v>6.7000000000000004E-2</v>
      </c>
      <c r="AM62" s="26"/>
      <c r="AN62" s="24"/>
      <c r="AO62" s="20" t="str">
        <f t="shared" si="85"/>
        <v>INDONESIA</v>
      </c>
      <c r="AP62" s="20">
        <f t="shared" si="8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4379.8990013414077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299.73707285067866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4668.475563909481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399.90012660774659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212.06987346770288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275.14114913320242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115.04462838961555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96.130584220643073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5281.6396348994258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44.694629934140764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1.6582379223945483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6.8422371602526511E-15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2.8426758788410398</v>
      </c>
      <c r="BD62" s="30">
        <f t="shared" si="91"/>
        <v>15777.233178555281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80"/>
        <v>INDONESIA</v>
      </c>
      <c r="C63" s="20">
        <f t="shared" si="80"/>
        <v>2030</v>
      </c>
      <c r="D63" s="30">
        <f>(indonesia!D39*3.6/(VLOOKUP(D$51,tech_data!$B$2:$J$15,4,FALSE)/100))/1000</f>
        <v>1971.9846337958381</v>
      </c>
      <c r="E63" s="30">
        <f>(indonesia!E39*3.6/(VLOOKUP(E$51,tech_data!$B$2:$J$15,4,FALSE)/100))/1000</f>
        <v>407.61325468193769</v>
      </c>
      <c r="F63" s="30">
        <f>(indonesia!F39*3.6/(VLOOKUP(F$51,tech_data!$B$2:$J$15,4,FALSE)/100))/1000</f>
        <v>1254.9908354389606</v>
      </c>
      <c r="G63" s="30">
        <f>(indonesia!G39*3.6/(VLOOKUP(G$51,tech_data!$B$2:$J$15,4,FALSE)/100))/1000</f>
        <v>494.6669744489634</v>
      </c>
      <c r="H63" s="30">
        <f>(indonesia!H39*3.6/(VLOOKUP(H$51,tech_data!$B$2:$J$15,4,FALSE)/100))/1000</f>
        <v>981.93060708509552</v>
      </c>
      <c r="I63" s="30">
        <f>(indonesia!I39*3.6/(VLOOKUP(I$51,tech_data!$B$2:$J$15,4,FALSE)/100))/1000</f>
        <v>124.15026134338642</v>
      </c>
      <c r="J63" s="30">
        <f>(indonesia!J39*3.6/(VLOOKUP(J$51,tech_data!$B$2:$J$15,4,FALSE)/100))/1000</f>
        <v>65.571325441859955</v>
      </c>
      <c r="K63" s="30">
        <f t="shared" ref="K63:L63" si="102">K39*3.6/1000</f>
        <v>58.947274244098324</v>
      </c>
      <c r="L63" s="30">
        <f t="shared" si="102"/>
        <v>237.94020696763445</v>
      </c>
      <c r="M63" s="30">
        <f>(indonesia!M39*3.6/(VLOOKUP(M$51,tech_data!$B$2:$J$15,4,FALSE)/100))/1000</f>
        <v>30.030791725439961</v>
      </c>
      <c r="N63" s="30">
        <f t="shared" si="88"/>
        <v>0.13475052377263119</v>
      </c>
      <c r="O63" s="30">
        <f>(indonesia!O39*3.6/(VLOOKUP(O$51,tech_data!$B$2:$J$15,4,FALSE)/100))/1000</f>
        <v>1.1153504733655399E-15</v>
      </c>
      <c r="P63" s="30">
        <v>0</v>
      </c>
      <c r="Q63" s="30">
        <f t="shared" si="81"/>
        <v>5627.9609156969882</v>
      </c>
      <c r="R63" s="30"/>
      <c r="T63" s="19"/>
      <c r="U63" s="20" t="str">
        <f t="shared" si="82"/>
        <v>INDONESIA</v>
      </c>
      <c r="V63" s="20">
        <f t="shared" si="83"/>
        <v>2030</v>
      </c>
      <c r="W63" s="30">
        <f>D63*VLOOKUP(W$51,tech_data!$B$2:$K$15,10,FALSE)*1000</f>
        <v>196646307.68212098</v>
      </c>
      <c r="X63" s="30">
        <f>E63*VLOOKUP(X$51,tech_data!$B$2:$K$15,10,FALSE)*1000</f>
        <v>25312783.115748331</v>
      </c>
      <c r="Y63" s="30">
        <f>F63*VLOOKUP(Y$51,tech_data!$B$2:$K$15,10,FALSE)*1000</f>
        <v>77934930.880759448</v>
      </c>
      <c r="Z63" s="30">
        <f>G63*VLOOKUP(Z$51,tech_data!$B$2:$K$15,10,FALSE)*1000</f>
        <v>37184116.469328582</v>
      </c>
      <c r="AA63" s="30">
        <f>H39*VLOOKUP(AA$51,tech_data!$B$2:$K$15,10,FALSE)/1000</f>
        <v>2316.1288194619688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3374259.7582704336</v>
      </c>
      <c r="AG63" s="30">
        <f>N63*VLOOKUP(AG$51,tech_data!$B$2:$K$15,10,FALSE)*1000</f>
        <v>0</v>
      </c>
      <c r="AH63" s="30">
        <f>O63*VLOOKUP(AH$51,tech_data!$B$2:$K$15,10,FALSE)*1000</f>
        <v>3.0973282645361046E-11</v>
      </c>
      <c r="AI63" s="30"/>
      <c r="AJ63" s="30">
        <f t="shared" si="84"/>
        <v>340454714.03504729</v>
      </c>
      <c r="AK63" s="25">
        <f t="shared" si="90"/>
        <v>6.7001299107958198E-2</v>
      </c>
      <c r="AL63" s="24">
        <f t="shared" si="95"/>
        <v>6.7000000000000004E-2</v>
      </c>
      <c r="AM63" s="26"/>
      <c r="AN63" s="24"/>
      <c r="AO63" s="20" t="str">
        <f t="shared" si="85"/>
        <v>INDONESIA</v>
      </c>
      <c r="AP63" s="20">
        <f t="shared" si="8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8465.0670601784605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440.64748940095217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1821.1140390294499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416.35968640489898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5560.6801771658365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495.70287622544868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579.32516563413242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96.130584220643073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1228.1441830687208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44.694629934140764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1.6582379223945483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6.8422371602526511E-15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2.5141069382009076</v>
      </c>
      <c r="BD63" s="30">
        <f t="shared" si="91"/>
        <v>19152.038236123277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80"/>
        <v>INDONESIA</v>
      </c>
      <c r="C64" s="20">
        <f t="shared" si="80"/>
        <v>2031</v>
      </c>
      <c r="D64" s="30">
        <f>(indonesia!D40*3.6/(VLOOKUP(D$51,tech_data!$B$2:$J$15,4,FALSE)/100))/1000</f>
        <v>1971.9846337958381</v>
      </c>
      <c r="E64" s="30">
        <f>(indonesia!E40*3.6/(VLOOKUP(E$51,tech_data!$B$2:$J$15,4,FALSE)/100))/1000</f>
        <v>407.61325468193769</v>
      </c>
      <c r="F64" s="30">
        <f>(indonesia!F40*3.6/(VLOOKUP(F$51,tech_data!$B$2:$J$15,4,FALSE)/100))/1000</f>
        <v>1412.3189037122531</v>
      </c>
      <c r="G64" s="30">
        <f>(indonesia!G40*3.6/(VLOOKUP(G$51,tech_data!$B$2:$J$15,4,FALSE)/100))/1000</f>
        <v>512.95783007841692</v>
      </c>
      <c r="H64" s="30">
        <f>(indonesia!H40*3.6/(VLOOKUP(H$51,tech_data!$B$2:$J$15,4,FALSE)/100))/1000</f>
        <v>981.93060708509552</v>
      </c>
      <c r="I64" s="30">
        <f>(indonesia!I40*3.6/(VLOOKUP(I$51,tech_data!$B$2:$J$15,4,FALSE)/100))/1000</f>
        <v>124.15026134338642</v>
      </c>
      <c r="J64" s="30">
        <f>(indonesia!J40*3.6/(VLOOKUP(J$51,tech_data!$B$2:$J$15,4,FALSE)/100))/1000</f>
        <v>65.571325441859955</v>
      </c>
      <c r="K64" s="30">
        <f t="shared" ref="K64:L64" si="103">K40*3.6/1000</f>
        <v>58.947274244098324</v>
      </c>
      <c r="L64" s="30">
        <f t="shared" si="103"/>
        <v>281.75110733389249</v>
      </c>
      <c r="M64" s="30">
        <f>(indonesia!M40*3.6/(VLOOKUP(M$51,tech_data!$B$2:$J$15,4,FALSE)/100))/1000</f>
        <v>30.030791725439961</v>
      </c>
      <c r="N64" s="30">
        <f t="shared" si="88"/>
        <v>0.13475052377263119</v>
      </c>
      <c r="O64" s="30">
        <f>(indonesia!O40*3.6/(VLOOKUP(O$51,tech_data!$B$2:$J$15,4,FALSE)/100))/1000</f>
        <v>0</v>
      </c>
      <c r="P64" s="30">
        <v>0</v>
      </c>
      <c r="Q64" s="30">
        <f t="shared" si="81"/>
        <v>5847.390739965992</v>
      </c>
      <c r="R64" s="30"/>
      <c r="T64" s="19"/>
      <c r="U64" s="20" t="str">
        <f t="shared" si="82"/>
        <v>INDONESIA</v>
      </c>
      <c r="V64" s="20">
        <f t="shared" si="83"/>
        <v>2031</v>
      </c>
      <c r="W64" s="30">
        <f>D64*VLOOKUP(W$51,tech_data!$B$2:$K$15,10,FALSE)*1000</f>
        <v>196646307.68212098</v>
      </c>
      <c r="X64" s="30">
        <f>E64*VLOOKUP(X$51,tech_data!$B$2:$K$15,10,FALSE)*1000</f>
        <v>25312783.115748331</v>
      </c>
      <c r="Y64" s="30">
        <f>F64*VLOOKUP(Y$51,tech_data!$B$2:$K$15,10,FALSE)*1000</f>
        <v>87705003.920530915</v>
      </c>
      <c r="Z64" s="30">
        <f>G64*VLOOKUP(Z$51,tech_data!$B$2:$K$15,10,FALSE)*1000</f>
        <v>38559040.086994603</v>
      </c>
      <c r="AA64" s="30">
        <f>H40*VLOOKUP(AA$51,tech_data!$B$2:$K$15,10,FALSE)/1000</f>
        <v>2316.1288194619688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3374259.7582704336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84"/>
        <v>351599710.69248474</v>
      </c>
      <c r="AK64" s="25">
        <f t="shared" si="90"/>
        <v>3.2735621502630007E-2</v>
      </c>
      <c r="AL64" s="24">
        <f t="shared" si="95"/>
        <v>6.7000000000000004E-2</v>
      </c>
      <c r="AM64" s="26"/>
      <c r="AN64" s="24"/>
      <c r="AO64" s="20" t="str">
        <f t="shared" si="85"/>
        <v>INDONESIA</v>
      </c>
      <c r="AP64" s="20">
        <f t="shared" si="8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2020.9063930603966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303.96928154190567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7903.6460519856464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474.98716098114096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279.56230345693632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279.08580604937242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123.99143515409186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96.130584220643087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6399.1809243974203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44.694629934140764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1.6582379223945483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-1.9327696002552805E-13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3.410833365095677</v>
      </c>
      <c r="BD64" s="30">
        <f t="shared" si="91"/>
        <v>17931.223642069184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80"/>
        <v>INDONESIA</v>
      </c>
      <c r="C65" s="20">
        <f t="shared" si="80"/>
        <v>2032</v>
      </c>
      <c r="D65" s="30">
        <f>(indonesia!D41*3.6/(VLOOKUP(D$51,tech_data!$B$2:$J$15,4,FALSE)/100))/1000</f>
        <v>2052.986055739686</v>
      </c>
      <c r="E65" s="30">
        <f>(indonesia!E41*3.6/(VLOOKUP(E$51,tech_data!$B$2:$J$15,4,FALSE)/100))/1000</f>
        <v>407.61325468193769</v>
      </c>
      <c r="F65" s="30">
        <f>(indonesia!F41*3.6/(VLOOKUP(F$51,tech_data!$B$2:$J$15,4,FALSE)/100))/1000</f>
        <v>1527.3172215402578</v>
      </c>
      <c r="G65" s="30">
        <f>(indonesia!G41*3.6/(VLOOKUP(G$51,tech_data!$B$2:$J$15,4,FALSE)/100))/1000</f>
        <v>532.39159436659338</v>
      </c>
      <c r="H65" s="30">
        <f>(indonesia!H41*3.6/(VLOOKUP(H$51,tech_data!$B$2:$J$15,4,FALSE)/100))/1000</f>
        <v>981.93060708509552</v>
      </c>
      <c r="I65" s="30">
        <f>(indonesia!I41*3.6/(VLOOKUP(I$51,tech_data!$B$2:$J$15,4,FALSE)/100))/1000</f>
        <v>124.15026134338642</v>
      </c>
      <c r="J65" s="30">
        <f>(indonesia!J41*3.6/(VLOOKUP(J$51,tech_data!$B$2:$J$15,4,FALSE)/100))/1000</f>
        <v>65.571325441859955</v>
      </c>
      <c r="K65" s="30">
        <f t="shared" ref="K65:L65" si="104">K41*3.6/1000</f>
        <v>63.911864922617838</v>
      </c>
      <c r="L65" s="30">
        <f t="shared" si="104"/>
        <v>324.2447757081768</v>
      </c>
      <c r="M65" s="30">
        <f>(indonesia!M41*3.6/(VLOOKUP(M$51,tech_data!$B$2:$J$15,4,FALSE)/100))/1000</f>
        <v>30.030791725439961</v>
      </c>
      <c r="N65" s="30">
        <f t="shared" si="88"/>
        <v>0.13475052377263119</v>
      </c>
      <c r="O65" s="30">
        <f>(indonesia!O41*3.6/(VLOOKUP(O$51,tech_data!$B$2:$J$15,4,FALSE)/100))/1000</f>
        <v>0</v>
      </c>
      <c r="P65" s="30">
        <v>0</v>
      </c>
      <c r="Q65" s="30">
        <f t="shared" si="81"/>
        <v>6110.2825030788244</v>
      </c>
      <c r="R65" s="30"/>
      <c r="T65" s="19"/>
      <c r="U65" s="20" t="str">
        <f t="shared" si="82"/>
        <v>INDONESIA</v>
      </c>
      <c r="V65" s="20">
        <f t="shared" si="83"/>
        <v>2032</v>
      </c>
      <c r="W65" s="30">
        <f>D65*VLOOKUP(W$51,tech_data!$B$2:$K$15,10,FALSE)*1000</f>
        <v>204723769.47836146</v>
      </c>
      <c r="X65" s="30">
        <f>E65*VLOOKUP(X$51,tech_data!$B$2:$K$15,10,FALSE)*1000</f>
        <v>25312783.115748331</v>
      </c>
      <c r="Y65" s="30">
        <f>F65*VLOOKUP(Y$51,tech_data!$B$2:$K$15,10,FALSE)*1000</f>
        <v>94846399.457650006</v>
      </c>
      <c r="Z65" s="30">
        <f>G65*VLOOKUP(Z$51,tech_data!$B$2:$K$15,10,FALSE)*1000</f>
        <v>40019876.148536824</v>
      </c>
      <c r="AA65" s="30">
        <f>H41*VLOOKUP(AA$51,tech_data!$B$2:$K$15,10,FALSE)/1000</f>
        <v>2316.1288194619688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3374259.7582704336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84"/>
        <v>368279404.08738649</v>
      </c>
      <c r="AK65" s="25">
        <f t="shared" si="90"/>
        <v>4.7439440044050846E-2</v>
      </c>
      <c r="AL65" s="24">
        <f t="shared" si="95"/>
        <v>6.7000000000000004E-2</v>
      </c>
      <c r="AM65" s="26"/>
      <c r="AN65" s="24"/>
      <c r="AO65" s="20" t="str">
        <f t="shared" si="85"/>
        <v>INDONESIA</v>
      </c>
      <c r="AP65" s="20">
        <f t="shared" si="8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4757.282980278922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303.96928154190567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6437.9321120848081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502.1096688127061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279.56230345693632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279.08580604937242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123.99143515409186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943.08320504874382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6443.3765512240589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44.694629934140764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1.6582379223945483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3.6678078846131847</v>
      </c>
      <c r="BD65" s="30">
        <f t="shared" si="91"/>
        <v>20120.414019392691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80"/>
        <v>INDONESIA</v>
      </c>
      <c r="C66" s="20">
        <f t="shared" si="80"/>
        <v>2033</v>
      </c>
      <c r="D66" s="30">
        <f>(indonesia!D42*3.6/(VLOOKUP(D$51,tech_data!$B$2:$J$15,4,FALSE)/100))/1000</f>
        <v>2149.6836312830419</v>
      </c>
      <c r="E66" s="30">
        <f>(indonesia!E42*3.6/(VLOOKUP(E$51,tech_data!$B$2:$J$15,4,FALSE)/100))/1000</f>
        <v>407.61325468193769</v>
      </c>
      <c r="F66" s="30">
        <f>(indonesia!F42*3.6/(VLOOKUP(F$51,tech_data!$B$2:$J$15,4,FALSE)/100))/1000</f>
        <v>1626.927066351097</v>
      </c>
      <c r="G66" s="30">
        <f>(indonesia!G42*3.6/(VLOOKUP(G$51,tech_data!$B$2:$J$15,4,FALSE)/100))/1000</f>
        <v>550.1651255368887</v>
      </c>
      <c r="H66" s="30">
        <f>(indonesia!H42*3.6/(VLOOKUP(H$51,tech_data!$B$2:$J$15,4,FALSE)/100))/1000</f>
        <v>981.93060708509552</v>
      </c>
      <c r="I66" s="30">
        <f>(indonesia!I42*3.6/(VLOOKUP(I$51,tech_data!$B$2:$J$15,4,FALSE)/100))/1000</f>
        <v>124.15026134338642</v>
      </c>
      <c r="J66" s="30">
        <f>(indonesia!J42*3.6/(VLOOKUP(J$51,tech_data!$B$2:$J$15,4,FALSE)/100))/1000</f>
        <v>65.571325441859955</v>
      </c>
      <c r="K66" s="30">
        <f t="shared" ref="K66:L66" si="105">K42*3.6/1000</f>
        <v>71.660228073362816</v>
      </c>
      <c r="L66" s="30">
        <f t="shared" si="105"/>
        <v>364.02473367534685</v>
      </c>
      <c r="M66" s="30">
        <f>(indonesia!M42*3.6/(VLOOKUP(M$51,tech_data!$B$2:$J$15,4,FALSE)/100))/1000</f>
        <v>30.030791725439961</v>
      </c>
      <c r="N66" s="30">
        <f t="shared" si="88"/>
        <v>0.13475052377263119</v>
      </c>
      <c r="O66" s="30">
        <f>(indonesia!O42*3.6/(VLOOKUP(O$51,tech_data!$B$2:$J$15,4,FALSE)/100))/1000</f>
        <v>0</v>
      </c>
      <c r="P66" s="30">
        <v>0</v>
      </c>
      <c r="Q66" s="30">
        <f t="shared" si="81"/>
        <v>6371.8917757212312</v>
      </c>
      <c r="R66" s="30"/>
      <c r="T66" s="19"/>
      <c r="U66" s="20" t="str">
        <f t="shared" si="82"/>
        <v>INDONESIA</v>
      </c>
      <c r="V66" s="20">
        <f t="shared" si="83"/>
        <v>2033</v>
      </c>
      <c r="W66" s="30">
        <f>D66*VLOOKUP(W$51,tech_data!$B$2:$K$15,10,FALSE)*1000</f>
        <v>214366451.71154493</v>
      </c>
      <c r="X66" s="30">
        <f>E66*VLOOKUP(X$51,tech_data!$B$2:$K$15,10,FALSE)*1000</f>
        <v>25312783.115748331</v>
      </c>
      <c r="Y66" s="30">
        <f>F66*VLOOKUP(Y$51,tech_data!$B$2:$K$15,10,FALSE)*1000</f>
        <v>101032170.82040313</v>
      </c>
      <c r="Z66" s="30">
        <f>G66*VLOOKUP(Z$51,tech_data!$B$2:$K$15,10,FALSE)*1000</f>
        <v>41355912.486607924</v>
      </c>
      <c r="AA66" s="30">
        <f>H42*VLOOKUP(AA$51,tech_data!$B$2:$K$15,10,FALSE)/1000</f>
        <v>2316.1288194619688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3374259.7582704336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84"/>
        <v>385443894.02139419</v>
      </c>
      <c r="AK66" s="25">
        <f t="shared" si="90"/>
        <v>4.6607249125272456E-2</v>
      </c>
      <c r="AL66" s="24">
        <f t="shared" si="95"/>
        <v>6.7000000000000004E-2</v>
      </c>
      <c r="AM66" s="26"/>
      <c r="AN66" s="24"/>
      <c r="AO66" s="20" t="str">
        <f t="shared" si="85"/>
        <v>INDONESIA</v>
      </c>
      <c r="AP66" s="20">
        <f t="shared" si="8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5370.5387717228514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303.96928154190567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5982.2553492405514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472.03326840632064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279.56230345693632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279.08580604937242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123.99143515409186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1426.0873180274605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6312.6915132814493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44.69462993414075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1.6582379223945483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3.6383920957309321</v>
      </c>
      <c r="BD66" s="30">
        <f t="shared" si="91"/>
        <v>20600.206306833206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80"/>
        <v>INDONESIA</v>
      </c>
      <c r="C67" s="20">
        <f t="shared" si="80"/>
        <v>2034</v>
      </c>
      <c r="D67" s="30">
        <f>(indonesia!D43*3.6/(VLOOKUP(D$51,tech_data!$B$2:$J$15,4,FALSE)/100))/1000</f>
        <v>2263.1938802378086</v>
      </c>
      <c r="E67" s="30">
        <f>(indonesia!E43*3.6/(VLOOKUP(E$51,tech_data!$B$2:$J$15,4,FALSE)/100))/1000</f>
        <v>407.61325468193769</v>
      </c>
      <c r="F67" s="30">
        <f>(indonesia!F43*3.6/(VLOOKUP(F$51,tech_data!$B$2:$J$15,4,FALSE)/100))/1000</f>
        <v>1742.8203685156468</v>
      </c>
      <c r="G67" s="30">
        <f>(indonesia!G43*3.6/(VLOOKUP(G$51,tech_data!$B$2:$J$15,4,FALSE)/100))/1000</f>
        <v>571.65730450517617</v>
      </c>
      <c r="H67" s="30">
        <f>(indonesia!H43*3.6/(VLOOKUP(H$51,tech_data!$B$2:$J$15,4,FALSE)/100))/1000</f>
        <v>981.93060708509552</v>
      </c>
      <c r="I67" s="30">
        <f>(indonesia!I43*3.6/(VLOOKUP(I$51,tech_data!$B$2:$J$15,4,FALSE)/100))/1000</f>
        <v>124.15026134338642</v>
      </c>
      <c r="J67" s="30">
        <f>(indonesia!J43*3.6/(VLOOKUP(J$51,tech_data!$B$2:$J$15,4,FALSE)/100))/1000</f>
        <v>65.571325441859955</v>
      </c>
      <c r="K67" s="30">
        <f t="shared" ref="K67:L67" si="106">K43*3.6/1000</f>
        <v>80.776934065530881</v>
      </c>
      <c r="L67" s="30">
        <f t="shared" si="106"/>
        <v>409.92550962323952</v>
      </c>
      <c r="M67" s="30">
        <f>(indonesia!M43*3.6/(VLOOKUP(M$51,tech_data!$B$2:$J$15,4,FALSE)/100))/1000</f>
        <v>30.030791725439961</v>
      </c>
      <c r="N67" s="30">
        <f t="shared" si="88"/>
        <v>0.13475052377263119</v>
      </c>
      <c r="O67" s="30">
        <f>(indonesia!O43*3.6/(VLOOKUP(O$51,tech_data!$B$2:$J$15,4,FALSE)/100))/1000</f>
        <v>0</v>
      </c>
      <c r="P67" s="30">
        <v>0</v>
      </c>
      <c r="Q67" s="30">
        <f t="shared" si="81"/>
        <v>6677.8049877488938</v>
      </c>
      <c r="R67" s="30"/>
      <c r="T67" s="19"/>
      <c r="U67" s="20" t="str">
        <f t="shared" si="82"/>
        <v>INDONESIA</v>
      </c>
      <c r="V67" s="20">
        <f t="shared" si="83"/>
        <v>2034</v>
      </c>
      <c r="W67" s="30">
        <f>D67*VLOOKUP(W$51,tech_data!$B$2:$K$15,10,FALSE)*1000</f>
        <v>225685693.73731425</v>
      </c>
      <c r="X67" s="30">
        <f>E67*VLOOKUP(X$51,tech_data!$B$2:$K$15,10,FALSE)*1000</f>
        <v>25312783.115748331</v>
      </c>
      <c r="Y67" s="30">
        <f>F67*VLOOKUP(Y$51,tech_data!$B$2:$K$15,10,FALSE)*1000</f>
        <v>108229144.88482167</v>
      </c>
      <c r="Z67" s="30">
        <f>G67*VLOOKUP(Z$51,tech_data!$B$2:$K$15,10,FALSE)*1000</f>
        <v>42971479.57965409</v>
      </c>
      <c r="AA67" s="30">
        <f>H43*VLOOKUP(AA$51,tech_data!$B$2:$K$15,10,FALSE)/1000</f>
        <v>2316.1288194619688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3374259.7582704336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84"/>
        <v>405575677.20462823</v>
      </c>
      <c r="AK67" s="25">
        <f t="shared" si="90"/>
        <v>5.2230126084489521E-2</v>
      </c>
      <c r="AL67" s="24">
        <f t="shared" si="95"/>
        <v>6.7000000000000004E-2</v>
      </c>
      <c r="AM67" s="26"/>
      <c r="AN67" s="24"/>
      <c r="AO67" s="20" t="str">
        <f t="shared" si="85"/>
        <v>INDONESIA</v>
      </c>
      <c r="AP67" s="20">
        <f t="shared" si="8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6037.5981999364803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303.96928154190567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6759.8576857871603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551.82245573521755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279.56230345693632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279.08580604937242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123.99143515409202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1672.1607494901984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7237.06912277228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44.694629934140764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1.6582379223945483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4.188938496077097</v>
      </c>
      <c r="BD67" s="30">
        <f t="shared" si="91"/>
        <v>23295.658846276256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0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si="80"/>
        <v>INDONESIA</v>
      </c>
      <c r="C68" s="20">
        <f t="shared" si="80"/>
        <v>2035</v>
      </c>
      <c r="D68" s="30">
        <f>(indonesia!D44*3.6/(VLOOKUP(D$51,tech_data!$B$2:$J$15,4,FALSE)/100))/1000</f>
        <v>2374.882523419516</v>
      </c>
      <c r="E68" s="30">
        <f>(indonesia!E44*3.6/(VLOOKUP(E$51,tech_data!$B$2:$J$15,4,FALSE)/100))/1000</f>
        <v>407.61325468193769</v>
      </c>
      <c r="F68" s="30">
        <f>(indonesia!F44*3.6/(VLOOKUP(F$51,tech_data!$B$2:$J$15,4,FALSE)/100))/1000</f>
        <v>1858.8393610242692</v>
      </c>
      <c r="G68" s="30">
        <f>(indonesia!G44*3.6/(VLOOKUP(G$51,tech_data!$B$2:$J$15,4,FALSE)/100))/1000</f>
        <v>592.07050241304762</v>
      </c>
      <c r="H68" s="30">
        <f>(indonesia!H44*3.6/(VLOOKUP(H$51,tech_data!$B$2:$J$15,4,FALSE)/100))/1000</f>
        <v>981.93060708509552</v>
      </c>
      <c r="I68" s="30">
        <f>(indonesia!I44*3.6/(VLOOKUP(I$51,tech_data!$B$2:$J$15,4,FALSE)/100))/1000</f>
        <v>124.15026134338642</v>
      </c>
      <c r="J68" s="30">
        <f>(indonesia!J44*3.6/(VLOOKUP(J$51,tech_data!$B$2:$J$15,4,FALSE)/100))/1000</f>
        <v>65.571325441859955</v>
      </c>
      <c r="K68" s="30">
        <f t="shared" ref="K68:L68" si="107">K44*3.6/1000</f>
        <v>90.745411279744047</v>
      </c>
      <c r="L68" s="30">
        <f t="shared" si="107"/>
        <v>456.10439800582452</v>
      </c>
      <c r="M68" s="30">
        <f>(indonesia!M44*3.6/(VLOOKUP(M$51,tech_data!$B$2:$J$15,4,FALSE)/100))/1000</f>
        <v>30.030791725439961</v>
      </c>
      <c r="N68" s="30">
        <f t="shared" si="88"/>
        <v>0.13475052377263119</v>
      </c>
      <c r="O68" s="30">
        <f>(indonesia!O44*3.6/(VLOOKUP(O$51,tech_data!$B$2:$J$15,4,FALSE)/100))/1000</f>
        <v>0</v>
      </c>
      <c r="P68" s="30">
        <v>0</v>
      </c>
      <c r="Q68" s="30">
        <f t="shared" si="81"/>
        <v>6982.0731869438941</v>
      </c>
      <c r="R68" s="30"/>
      <c r="T68" s="19"/>
      <c r="U68" s="20" t="str">
        <f t="shared" si="82"/>
        <v>INDONESIA</v>
      </c>
      <c r="V68" s="20">
        <f t="shared" si="83"/>
        <v>2035</v>
      </c>
      <c r="W68" s="30">
        <f>D68*VLOOKUP(W$51,tech_data!$B$2:$K$15,10,FALSE)*1000</f>
        <v>236823285.23539415</v>
      </c>
      <c r="X68" s="30">
        <f>E68*VLOOKUP(X$51,tech_data!$B$2:$K$15,10,FALSE)*1000</f>
        <v>25312783.115748331</v>
      </c>
      <c r="Y68" s="30">
        <f>F68*VLOOKUP(Y$51,tech_data!$B$2:$K$15,10,FALSE)*1000</f>
        <v>115433924.31960712</v>
      </c>
      <c r="Z68" s="30">
        <f>G68*VLOOKUP(Z$51,tech_data!$B$2:$K$15,10,FALSE)*1000</f>
        <v>44505939.666388787</v>
      </c>
      <c r="AA68" s="30">
        <f>H44*VLOOKUP(AA$51,tech_data!$B$2:$K$15,10,FALSE)/1000</f>
        <v>2316.1288194619688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3374259.7582704336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84"/>
        <v>425452508.22422832</v>
      </c>
      <c r="AK68" s="25">
        <f t="shared" si="90"/>
        <v>4.9008932578497505E-2</v>
      </c>
      <c r="AL68" s="24">
        <f t="shared" si="95"/>
        <v>6.7000000000000004E-2</v>
      </c>
      <c r="AM68" s="26"/>
      <c r="AN68" s="24"/>
      <c r="AO68" s="20" t="str">
        <f t="shared" si="85"/>
        <v>INDONESIA</v>
      </c>
      <c r="AP68" s="20">
        <f t="shared" si="8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6092.3872713720057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303.96928154190567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6919.5473826621828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534.07184013494327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279.56230345693632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279.0858060493722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123.99143515409186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1832.3392229780886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7483.7654074226111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44.694629934140764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1.6582379223945483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4.2381934200214975</v>
      </c>
      <c r="BD68" s="30">
        <f t="shared" si="91"/>
        <v>23899.311012048693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80"/>
        <v>INDONESIA</v>
      </c>
      <c r="C69" s="20">
        <f t="shared" si="80"/>
        <v>2036</v>
      </c>
      <c r="D69" s="30">
        <f>(indonesia!D45*3.6/(VLOOKUP(D$51,tech_data!$B$2:$J$15,4,FALSE)/100))/1000</f>
        <v>2500.2735989279054</v>
      </c>
      <c r="E69" s="30">
        <f>(indonesia!E45*3.6/(VLOOKUP(E$51,tech_data!$B$2:$J$15,4,FALSE)/100))/1000</f>
        <v>407.61325468193769</v>
      </c>
      <c r="F69" s="30">
        <f>(indonesia!F45*3.6/(VLOOKUP(F$51,tech_data!$B$2:$J$15,4,FALSE)/100))/1000</f>
        <v>1988.8574263484813</v>
      </c>
      <c r="G69" s="30">
        <f>(indonesia!G45*3.6/(VLOOKUP(G$51,tech_data!$B$2:$J$15,4,FALSE)/100))/1000</f>
        <v>615.25890168604212</v>
      </c>
      <c r="H69" s="30">
        <f>(indonesia!H45*3.6/(VLOOKUP(H$51,tech_data!$B$2:$J$15,4,FALSE)/100))/1000</f>
        <v>981.93060708509552</v>
      </c>
      <c r="I69" s="30">
        <f>(indonesia!I45*3.6/(VLOOKUP(I$51,tech_data!$B$2:$J$15,4,FALSE)/100))/1000</f>
        <v>124.15026134338642</v>
      </c>
      <c r="J69" s="30">
        <f>(indonesia!J45*3.6/(VLOOKUP(J$51,tech_data!$B$2:$J$15,4,FALSE)/100))/1000</f>
        <v>65.571325441859955</v>
      </c>
      <c r="K69" s="30">
        <f t="shared" ref="K69:L69" si="108">K45*3.6/1000</f>
        <v>102.26929194606903</v>
      </c>
      <c r="L69" s="30">
        <f t="shared" si="108"/>
        <v>507.58542531926247</v>
      </c>
      <c r="M69" s="30">
        <f>(indonesia!M45*3.6/(VLOOKUP(M$51,tech_data!$B$2:$J$15,4,FALSE)/100))/1000</f>
        <v>30.030791725439961</v>
      </c>
      <c r="N69" s="30">
        <f t="shared" si="88"/>
        <v>0.13475052377263119</v>
      </c>
      <c r="O69" s="30">
        <f>(indonesia!O45*3.6/(VLOOKUP(O$51,tech_data!$B$2:$J$15,4,FALSE)/100))/1000</f>
        <v>0</v>
      </c>
      <c r="P69" s="30">
        <v>0</v>
      </c>
      <c r="Q69" s="30">
        <f t="shared" si="81"/>
        <v>7323.6756350292526</v>
      </c>
      <c r="R69" s="30"/>
      <c r="T69" s="19"/>
      <c r="U69" s="20" t="str">
        <f t="shared" si="82"/>
        <v>INDONESIA</v>
      </c>
      <c r="V69" s="20">
        <f t="shared" si="83"/>
        <v>2036</v>
      </c>
      <c r="W69" s="30">
        <f>D69*VLOOKUP(W$51,tech_data!$B$2:$K$15,10,FALSE)*1000</f>
        <v>249327283.28509071</v>
      </c>
      <c r="X69" s="30">
        <f>E69*VLOOKUP(X$51,tech_data!$B$2:$K$15,10,FALSE)*1000</f>
        <v>25312783.115748331</v>
      </c>
      <c r="Y69" s="30">
        <f>F69*VLOOKUP(Y$51,tech_data!$B$2:$K$15,10,FALSE)*1000</f>
        <v>123508046.1762407</v>
      </c>
      <c r="Z69" s="30">
        <f>G69*VLOOKUP(Z$51,tech_data!$B$2:$K$15,10,FALSE)*1000</f>
        <v>46249011.639739789</v>
      </c>
      <c r="AA69" s="30">
        <f>H45*VLOOKUP(AA$51,tech_data!$B$2:$K$15,10,FALSE)/1000</f>
        <v>2316.1288194619688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3374259.7582704336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84"/>
        <v>447773700.10390943</v>
      </c>
      <c r="AK69" s="25">
        <f t="shared" si="90"/>
        <v>5.2464591107586236E-2</v>
      </c>
      <c r="AL69" s="24">
        <f t="shared" si="95"/>
        <v>6.7000000000000004E-2</v>
      </c>
      <c r="AM69" s="26"/>
      <c r="AN69" s="24"/>
      <c r="AO69" s="20" t="str">
        <f t="shared" si="85"/>
        <v>INDONESIA</v>
      </c>
      <c r="AP69" s="20">
        <f t="shared" si="8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6669.7400235190325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303.96928154190607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7628.6216411400947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595.06671621407088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279.56230345693632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279.08580604937242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123.99143515409186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2113.9454861315289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8338.9108213753079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44.694629934140764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1.6582379223945483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4.7251029337049868</v>
      </c>
      <c r="BD69" s="30">
        <f t="shared" si="91"/>
        <v>26383.971485372582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80"/>
        <v>INDONESIA</v>
      </c>
      <c r="C70" s="20">
        <f t="shared" si="80"/>
        <v>2037</v>
      </c>
      <c r="D70" s="30">
        <f>(indonesia!D46*3.6/(VLOOKUP(D$51,tech_data!$B$2:$J$15,4,FALSE)/100))/1000</f>
        <v>2628.7569247279425</v>
      </c>
      <c r="E70" s="30">
        <f>(indonesia!E46*3.6/(VLOOKUP(E$51,tech_data!$B$2:$J$15,4,FALSE)/100))/1000</f>
        <v>407.61325468193769</v>
      </c>
      <c r="F70" s="30">
        <f>(indonesia!F46*3.6/(VLOOKUP(F$51,tech_data!$B$2:$J$15,4,FALSE)/100))/1000</f>
        <v>2123.6176610074249</v>
      </c>
      <c r="G70" s="30">
        <f>(indonesia!G46*3.6/(VLOOKUP(G$51,tech_data!$B$2:$J$15,4,FALSE)/100))/1000</f>
        <v>638.53199389003373</v>
      </c>
      <c r="H70" s="30">
        <f>(indonesia!H46*3.6/(VLOOKUP(H$51,tech_data!$B$2:$J$15,4,FALSE)/100))/1000</f>
        <v>981.93060708509552</v>
      </c>
      <c r="I70" s="30">
        <f>(indonesia!I46*3.6/(VLOOKUP(I$51,tech_data!$B$2:$J$15,4,FALSE)/100))/1000</f>
        <v>124.15026134338642</v>
      </c>
      <c r="J70" s="30">
        <f>(indonesia!J46*3.6/(VLOOKUP(J$51,tech_data!$B$2:$J$15,4,FALSE)/100))/1000</f>
        <v>65.571325441859955</v>
      </c>
      <c r="K70" s="30">
        <f t="shared" ref="K70:L70" si="109">K46*3.6/1000</f>
        <v>115.0912025881223</v>
      </c>
      <c r="L70" s="30">
        <f t="shared" si="109"/>
        <v>560.9675003345809</v>
      </c>
      <c r="M70" s="30">
        <f>(indonesia!M46*3.6/(VLOOKUP(M$51,tech_data!$B$2:$J$15,4,FALSE)/100))/1000</f>
        <v>30.030791725439961</v>
      </c>
      <c r="N70" s="30">
        <f t="shared" si="88"/>
        <v>0.13475052377263119</v>
      </c>
      <c r="O70" s="30">
        <f>(indonesia!O46*3.6/(VLOOKUP(O$51,tech_data!$B$2:$J$15,4,FALSE)/100))/1000</f>
        <v>0</v>
      </c>
      <c r="P70" s="30">
        <v>0</v>
      </c>
      <c r="Q70" s="30">
        <f t="shared" si="81"/>
        <v>7676.3962733495973</v>
      </c>
      <c r="R70" s="30"/>
      <c r="T70" s="19"/>
      <c r="U70" s="20" t="str">
        <f t="shared" si="82"/>
        <v>INDONESIA</v>
      </c>
      <c r="V70" s="20">
        <f t="shared" si="83"/>
        <v>2037</v>
      </c>
      <c r="W70" s="30">
        <f>D70*VLOOKUP(W$51,tech_data!$B$2:$K$15,10,FALSE)*1000</f>
        <v>262139640.53387043</v>
      </c>
      <c r="X70" s="30">
        <f>E70*VLOOKUP(X$51,tech_data!$B$2:$K$15,10,FALSE)*1000</f>
        <v>25312783.115748331</v>
      </c>
      <c r="Y70" s="30">
        <f>F70*VLOOKUP(Y$51,tech_data!$B$2:$K$15,10,FALSE)*1000</f>
        <v>131876656.7485611</v>
      </c>
      <c r="Z70" s="30">
        <f>G70*VLOOKUP(Z$51,tech_data!$B$2:$K$15,10,FALSE)*1000</f>
        <v>47998449.980713837</v>
      </c>
      <c r="AA70" s="30">
        <f>H46*VLOOKUP(AA$51,tech_data!$B$2:$K$15,10,FALSE)/1000</f>
        <v>2316.1288194619688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3374259.7582704336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84"/>
        <v>470704106.26598358</v>
      </c>
      <c r="AK70" s="25">
        <f t="shared" si="90"/>
        <v>5.1209810126751451E-2</v>
      </c>
      <c r="AL70" s="24">
        <f t="shared" si="95"/>
        <v>6.7000000000000004E-2</v>
      </c>
      <c r="AM70" s="26"/>
      <c r="AN70" s="24"/>
      <c r="AO70" s="20" t="str">
        <f t="shared" si="85"/>
        <v>INDONESIA</v>
      </c>
      <c r="AP70" s="20">
        <f t="shared" si="8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6902.7037353759906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303.96928154190567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7989.9237230415847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601.50109499254336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279.56230345693632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279.08580604937242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123.99143515409186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2354.1807090323528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8807.6455872527458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44.694629934140764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1.6582379223945483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4.9266491167896165</v>
      </c>
      <c r="BD70" s="30">
        <f t="shared" si="91"/>
        <v>27693.843192870849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80"/>
        <v>INDONESIA</v>
      </c>
      <c r="C71" s="20">
        <f t="shared" si="80"/>
        <v>2038</v>
      </c>
      <c r="D71" s="30">
        <f>(indonesia!D47*3.6/(VLOOKUP(D$51,tech_data!$B$2:$J$15,4,FALSE)/100))/1000</f>
        <v>2778.0760637303129</v>
      </c>
      <c r="E71" s="30">
        <f>(indonesia!E47*3.6/(VLOOKUP(E$51,tech_data!$B$2:$J$15,4,FALSE)/100))/1000</f>
        <v>524.22518385217688</v>
      </c>
      <c r="F71" s="30">
        <f>(indonesia!F47*3.6/(VLOOKUP(F$51,tech_data!$B$2:$J$15,4,FALSE)/100))/1000</f>
        <v>2208.0597019547376</v>
      </c>
      <c r="G71" s="30">
        <f>(indonesia!G47*3.6/(VLOOKUP(G$51,tech_data!$B$2:$J$15,4,FALSE)/100))/1000</f>
        <v>666.13266430626948</v>
      </c>
      <c r="H71" s="30">
        <f>(indonesia!H47*3.6/(VLOOKUP(H$51,tech_data!$B$2:$J$15,4,FALSE)/100))/1000</f>
        <v>981.93060708509552</v>
      </c>
      <c r="I71" s="30">
        <f>(indonesia!I47*3.6/(VLOOKUP(I$51,tech_data!$B$2:$J$15,4,FALSE)/100))/1000</f>
        <v>124.15026134338642</v>
      </c>
      <c r="J71" s="30">
        <f>(indonesia!J47*3.6/(VLOOKUP(J$51,tech_data!$B$2:$J$15,4,FALSE)/100))/1000</f>
        <v>126.18088705704739</v>
      </c>
      <c r="K71" s="30">
        <f t="shared" ref="K71:L71" si="110">K47*3.6/1000</f>
        <v>130.1759495980827</v>
      </c>
      <c r="L71" s="30">
        <f t="shared" si="110"/>
        <v>573.7120639743838</v>
      </c>
      <c r="M71" s="30">
        <f>(indonesia!M47*3.6/(VLOOKUP(M$51,tech_data!$B$2:$J$15,4,FALSE)/100))/1000</f>
        <v>30.030791725439961</v>
      </c>
      <c r="N71" s="30">
        <f t="shared" si="88"/>
        <v>0.13475052377263119</v>
      </c>
      <c r="O71" s="30">
        <f>(indonesia!O47*3.6/(VLOOKUP(O$51,tech_data!$B$2:$J$15,4,FALSE)/100))/1000</f>
        <v>0</v>
      </c>
      <c r="P71" s="30">
        <v>0</v>
      </c>
      <c r="Q71" s="30">
        <f t="shared" si="81"/>
        <v>8142.8089251507054</v>
      </c>
      <c r="R71" s="30"/>
      <c r="T71" s="19"/>
      <c r="U71" s="20" t="str">
        <f t="shared" si="82"/>
        <v>INDONESIA</v>
      </c>
      <c r="V71" s="20">
        <f t="shared" si="83"/>
        <v>2038</v>
      </c>
      <c r="W71" s="30">
        <f>D71*VLOOKUP(W$51,tech_data!$B$2:$K$15,10,FALSE)*1000</f>
        <v>277029745.07518679</v>
      </c>
      <c r="X71" s="30">
        <f>E71*VLOOKUP(X$51,tech_data!$B$2:$K$15,10,FALSE)*1000</f>
        <v>32554383.917220183</v>
      </c>
      <c r="Y71" s="30">
        <f>F71*VLOOKUP(Y$51,tech_data!$B$2:$K$15,10,FALSE)*1000</f>
        <v>137120507.49138921</v>
      </c>
      <c r="Z71" s="30">
        <f>G71*VLOOKUP(Z$51,tech_data!$B$2:$K$15,10,FALSE)*1000</f>
        <v>50073192.375902273</v>
      </c>
      <c r="AA71" s="30">
        <f>H47*VLOOKUP(AA$51,tech_data!$B$2:$K$15,10,FALSE)/1000</f>
        <v>2316.1288194619688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3374259.7582704336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84"/>
        <v>500154404.74678838</v>
      </c>
      <c r="AK71" s="25">
        <f t="shared" si="90"/>
        <v>6.2566478789465127E-2</v>
      </c>
      <c r="AL71" s="24">
        <f>AL70</f>
        <v>6.7000000000000004E-2</v>
      </c>
      <c r="AM71" s="26"/>
      <c r="AN71" s="24"/>
      <c r="AO71" s="20" t="str">
        <f t="shared" si="85"/>
        <v>INDONESIA</v>
      </c>
      <c r="AP71" s="20">
        <f t="shared" si="8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7738.2465075048922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3199.3148351142486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6177.8374997647625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694.8804973171608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279.56230345693632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279.08580604937242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6071.4481236236852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2761.1274431345223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4144.3831697128417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44.694629934140764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1.6582379223945483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4.9888225121717236</v>
      </c>
      <c r="BD71" s="30">
        <f t="shared" si="91"/>
        <v>31397.227876047131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 t="s">
        <v>145</v>
      </c>
      <c r="AS74" s="30">
        <f>(VLOOKUP(AQ$51,tech_data!$B$2:$O$15,11,FALSE))</f>
        <v>1478888.8888888888</v>
      </c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 t="s">
        <v>146</v>
      </c>
      <c r="AS75" s="30">
        <f>(VLOOKUP(AQ$51,tech_data!$B$2:$O$15,12,FALSE))</f>
        <v>46266.666666666664</v>
      </c>
    </row>
    <row r="76" spans="1:82" x14ac:dyDescent="0.25">
      <c r="A76" s="19"/>
      <c r="B76" s="20" t="str">
        <f t="shared" ref="B76:C76" si="111">B28</f>
        <v>INDONESIA</v>
      </c>
      <c r="C76" s="20">
        <f t="shared" si="111"/>
        <v>2019</v>
      </c>
      <c r="D76" s="30">
        <f>D28*3.6/1000</f>
        <v>601.52157285215992</v>
      </c>
      <c r="E76" s="30">
        <f t="shared" ref="E76:O76" si="112">E28*3.6/1000</f>
        <v>60.682671408561234</v>
      </c>
      <c r="F76" s="30">
        <f t="shared" si="112"/>
        <v>114.82758348014771</v>
      </c>
      <c r="G76" s="30">
        <f t="shared" si="112"/>
        <v>119.15546326449228</v>
      </c>
      <c r="H76" s="30">
        <f t="shared" si="112"/>
        <v>46.404088704000003</v>
      </c>
      <c r="I76" s="30">
        <f t="shared" si="112"/>
        <v>90.928836355347698</v>
      </c>
      <c r="J76" s="30">
        <f t="shared" si="112"/>
        <v>3.6143702642215385</v>
      </c>
      <c r="K76" s="30">
        <f t="shared" si="112"/>
        <v>0.1160272512</v>
      </c>
      <c r="L76" s="30">
        <f t="shared" si="112"/>
        <v>0</v>
      </c>
      <c r="M76" s="30">
        <f t="shared" si="112"/>
        <v>1.2844213141846152</v>
      </c>
      <c r="N76" s="30">
        <f t="shared" si="112"/>
        <v>0</v>
      </c>
      <c r="O76" s="30">
        <f t="shared" si="112"/>
        <v>0</v>
      </c>
      <c r="P76" s="30">
        <f>(indonesia!P52*3.6/(VLOOKUP(P$51,tech_data!$B$2:$J$15,4,FALSE)/100))/1000</f>
        <v>0</v>
      </c>
      <c r="Q76" s="30">
        <f t="shared" ref="Q76:Q95" si="113">SUM(D76:O76)</f>
        <v>1038.5350348943148</v>
      </c>
      <c r="R76" s="30"/>
      <c r="S76" s="23"/>
      <c r="T76" s="19"/>
      <c r="U76" s="20" t="str">
        <f t="shared" ref="U76:V76" si="114">U28</f>
        <v>INDONESIA</v>
      </c>
      <c r="V76" s="20">
        <f t="shared" si="114"/>
        <v>2019</v>
      </c>
      <c r="W76" s="30">
        <f>D52*(1-(VLOOKUP(W$75,tech_data!$B$2:$O$15,4,FALSE)/100))</f>
        <v>954.1376672827364</v>
      </c>
      <c r="X76" s="30">
        <f>E52*(1-(VLOOKUP(X$75,tech_data!$B$2:$O$15,4,FALSE)/100))</f>
        <v>109.45565964347961</v>
      </c>
      <c r="Y76" s="30">
        <f>F52*(1-(VLOOKUP(Y$75,tech_data!$B$2:$O$15,4,FALSE)/100))</f>
        <v>82.019702485819778</v>
      </c>
      <c r="Z76" s="30">
        <f>G52*(1-(VLOOKUP(Z$75,tech_data!$B$2:$O$15,4,FALSE)/100))</f>
        <v>139.87815252788224</v>
      </c>
      <c r="AA76" s="30">
        <f>H52*(1-(VLOOKUP(AA$75,tech_data!$B$2:$O$15,4,FALSE)/100))</f>
        <v>297.32990169599998</v>
      </c>
      <c r="AB76" s="30">
        <f>I52*(1-(VLOOKUP(AB$75,tech_data!$B$2:$O$15,4,FALSE)/100))</f>
        <v>4.7857282292288303</v>
      </c>
      <c r="AC76" s="30">
        <f>J52*(1-(VLOOKUP(AC$75,tech_data!$B$2:$O$15,4,FALSE)/100))</f>
        <v>0.90359256605538429</v>
      </c>
      <c r="AD76" s="30">
        <f>K52*(1-(VLOOKUP(AD$75,tech_data!$B$2:$O$15,4,FALSE)/100))</f>
        <v>9.7462891007999999E-2</v>
      </c>
      <c r="AE76" s="30">
        <f>L52*(1-(VLOOKUP(AE$75,tech_data!$B$2:$O$15,4,FALSE)/100))</f>
        <v>0</v>
      </c>
      <c r="AF76" s="30">
        <f>M52*(1-(VLOOKUP(AF$75,tech_data!$B$2:$O$15,4,FALSE)/100))</f>
        <v>2.8588732477012404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(indonesia!AI52*3.6/(VLOOKUP(AI$51,tech_data!$B$2:$J$15,4,FALSE)/100))/1000</f>
        <v>0</v>
      </c>
      <c r="AJ76" s="30">
        <f t="shared" ref="AJ76:AJ95" si="115">SUM(W76:AH76)</f>
        <v>1591.4667405699115</v>
      </c>
      <c r="AK76" s="30"/>
      <c r="AL76" s="23"/>
      <c r="AR76" s="30" t="s">
        <v>118</v>
      </c>
      <c r="AS76" s="30">
        <f>(VLOOKUP(AQ$51,tech_data!$B$2:$O$15,13,FALSE))</f>
        <v>0.11555555555555556</v>
      </c>
    </row>
    <row r="77" spans="1:82" x14ac:dyDescent="0.25">
      <c r="A77" s="19"/>
      <c r="B77" s="20" t="str">
        <f t="shared" ref="B77:C77" si="116">B29</f>
        <v>INDONESIA</v>
      </c>
      <c r="C77" s="20">
        <f t="shared" si="116"/>
        <v>2020</v>
      </c>
      <c r="D77" s="30">
        <f t="shared" ref="D77:O95" si="117">D29*3.6/1000</f>
        <v>622.61731350988725</v>
      </c>
      <c r="E77" s="30">
        <f t="shared" si="117"/>
        <v>90.052404946692391</v>
      </c>
      <c r="F77" s="30">
        <f t="shared" si="117"/>
        <v>140.21345602370832</v>
      </c>
      <c r="G77" s="30">
        <f t="shared" si="117"/>
        <v>119.15546326449228</v>
      </c>
      <c r="H77" s="30">
        <f t="shared" si="117"/>
        <v>46.404088704000003</v>
      </c>
      <c r="I77" s="30">
        <f t="shared" si="117"/>
        <v>90.928836355347698</v>
      </c>
      <c r="J77" s="30">
        <f t="shared" si="117"/>
        <v>3.6143702642215385</v>
      </c>
      <c r="K77" s="30">
        <f t="shared" si="117"/>
        <v>54.592794510490826</v>
      </c>
      <c r="L77" s="30">
        <f t="shared" si="117"/>
        <v>0</v>
      </c>
      <c r="M77" s="30">
        <f t="shared" si="117"/>
        <v>1.2844213141846152</v>
      </c>
      <c r="N77" s="30">
        <f t="shared" si="117"/>
        <v>0</v>
      </c>
      <c r="O77" s="30">
        <f t="shared" si="117"/>
        <v>0</v>
      </c>
      <c r="P77" s="30">
        <f>(indonesia!P53*3.6/(VLOOKUP(P$51,tech_data!$B$2:$J$15,4,FALSE)/100))/1000</f>
        <v>0</v>
      </c>
      <c r="Q77" s="30">
        <f t="shared" si="113"/>
        <v>1168.8631488930248</v>
      </c>
      <c r="R77" s="30"/>
      <c r="S77" s="23"/>
      <c r="T77" s="19"/>
      <c r="U77" s="20" t="str">
        <f t="shared" ref="U77:V77" si="118">U29</f>
        <v>INDONESIA</v>
      </c>
      <c r="V77" s="20">
        <f t="shared" si="118"/>
        <v>2020</v>
      </c>
      <c r="W77" s="30">
        <f>D53*(1-(VLOOKUP(W$75,tech_data!$B$2:$O$15,4,FALSE)/100))</f>
        <v>987.59987660188995</v>
      </c>
      <c r="X77" s="30">
        <f>E53*(1-(VLOOKUP(X$75,tech_data!$B$2:$O$15,4,FALSE)/100))</f>
        <v>162.43097340851992</v>
      </c>
      <c r="Y77" s="30">
        <f>F53*(1-(VLOOKUP(Y$75,tech_data!$B$2:$O$15,4,FALSE)/100))</f>
        <v>100.15246858836305</v>
      </c>
      <c r="Z77" s="30">
        <f>G53*(1-(VLOOKUP(Z$75,tech_data!$B$2:$O$15,4,FALSE)/100))</f>
        <v>139.87815252788224</v>
      </c>
      <c r="AA77" s="30">
        <f>H53*(1-(VLOOKUP(AA$75,tech_data!$B$2:$O$15,4,FALSE)/100))</f>
        <v>297.32990169599998</v>
      </c>
      <c r="AB77" s="30">
        <f>I53*(1-(VLOOKUP(AB$75,tech_data!$B$2:$O$15,4,FALSE)/100))</f>
        <v>4.7857282292288303</v>
      </c>
      <c r="AC77" s="30">
        <f>J53*(1-(VLOOKUP(AC$75,tech_data!$B$2:$O$15,4,FALSE)/100))</f>
        <v>0.90359256605538429</v>
      </c>
      <c r="AD77" s="30">
        <f>K53*(1-(VLOOKUP(AD$75,tech_data!$B$2:$O$15,4,FALSE)/100))</f>
        <v>45.857947388812292</v>
      </c>
      <c r="AE77" s="30">
        <f>L53*(1-(VLOOKUP(AE$75,tech_data!$B$2:$O$15,4,FALSE)/100))</f>
        <v>0</v>
      </c>
      <c r="AF77" s="30">
        <f>M53*(1-(VLOOKUP(AF$75,tech_data!$B$2:$O$15,4,FALSE)/100))</f>
        <v>2.8588732477012404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(indonesia!AI53*3.6/(VLOOKUP(AI$51,tech_data!$B$2:$J$15,4,FALSE)/100))/1000</f>
        <v>0</v>
      </c>
      <c r="AJ77" s="30">
        <f t="shared" si="115"/>
        <v>1741.7975142544531</v>
      </c>
      <c r="AK77" s="30"/>
      <c r="AL77" s="23"/>
      <c r="AR77" s="30" t="s">
        <v>147</v>
      </c>
      <c r="AS77" s="30">
        <f>(VLOOKUP(AQ$51,tech_data!$B$2:$O$15,14,FALSE))</f>
        <v>1.47</v>
      </c>
    </row>
    <row r="78" spans="1:82" x14ac:dyDescent="0.25">
      <c r="A78" s="19"/>
      <c r="B78" s="20" t="str">
        <f t="shared" ref="B78:C78" si="119">B30</f>
        <v>INDONESIA</v>
      </c>
      <c r="C78" s="20">
        <f t="shared" si="119"/>
        <v>2021</v>
      </c>
      <c r="D78" s="30">
        <f t="shared" si="117"/>
        <v>622.617313515918</v>
      </c>
      <c r="E78" s="30">
        <f t="shared" si="117"/>
        <v>143.35788517545183</v>
      </c>
      <c r="F78" s="30">
        <f t="shared" si="117"/>
        <v>185.89901145155468</v>
      </c>
      <c r="G78" s="30">
        <f t="shared" si="117"/>
        <v>119.15546327126086</v>
      </c>
      <c r="H78" s="30">
        <f t="shared" si="117"/>
        <v>46.40408872478271</v>
      </c>
      <c r="I78" s="30">
        <f t="shared" si="117"/>
        <v>90.928836365074702</v>
      </c>
      <c r="J78" s="30">
        <f t="shared" si="117"/>
        <v>3.6143702815140375</v>
      </c>
      <c r="K78" s="30">
        <f t="shared" si="117"/>
        <v>54.592794510490826</v>
      </c>
      <c r="L78" s="30">
        <f t="shared" si="117"/>
        <v>0</v>
      </c>
      <c r="M78" s="30">
        <f t="shared" si="117"/>
        <v>1.2844213141846152</v>
      </c>
      <c r="N78" s="30">
        <f t="shared" si="117"/>
        <v>0</v>
      </c>
      <c r="O78" s="30">
        <f t="shared" si="117"/>
        <v>0</v>
      </c>
      <c r="P78" s="30">
        <f>(indonesia!P54*3.6/(VLOOKUP(P$51,tech_data!$B$2:$J$15,4,FALSE)/100))/1000</f>
        <v>0</v>
      </c>
      <c r="Q78" s="30">
        <f t="shared" si="113"/>
        <v>1267.8541846102321</v>
      </c>
      <c r="R78" s="30"/>
      <c r="S78" s="23"/>
      <c r="T78" s="19"/>
      <c r="U78" s="20" t="str">
        <f t="shared" ref="U78:V78" si="120">U30</f>
        <v>INDONESIA</v>
      </c>
      <c r="V78" s="20">
        <f t="shared" si="120"/>
        <v>2021</v>
      </c>
      <c r="W78" s="30">
        <f>D54*(1-(VLOOKUP(W$75,tech_data!$B$2:$O$15,4,FALSE)/100))</f>
        <v>987.59987661145601</v>
      </c>
      <c r="X78" s="30">
        <f>E54*(1-(VLOOKUP(X$75,tech_data!$B$2:$O$15,4,FALSE)/100))</f>
        <v>258.58011064357203</v>
      </c>
      <c r="Y78" s="30">
        <f>F54*(1-(VLOOKUP(Y$75,tech_data!$B$2:$O$15,4,FALSE)/100))</f>
        <v>132.78500817968191</v>
      </c>
      <c r="Z78" s="30">
        <f>G54*(1-(VLOOKUP(Z$75,tech_data!$B$2:$O$15,4,FALSE)/100))</f>
        <v>139.87815253582798</v>
      </c>
      <c r="AA78" s="30">
        <f>H54*(1-(VLOOKUP(AA$75,tech_data!$B$2:$O$15,4,FALSE)/100))</f>
        <v>297.3299018291633</v>
      </c>
      <c r="AB78" s="30">
        <f>I54*(1-(VLOOKUP(AB$75,tech_data!$B$2:$O$15,4,FALSE)/100))</f>
        <v>4.7857282297407782</v>
      </c>
      <c r="AC78" s="30">
        <f>J54*(1-(VLOOKUP(AC$75,tech_data!$B$2:$O$15,4,FALSE)/100))</f>
        <v>0.90359257037850915</v>
      </c>
      <c r="AD78" s="30">
        <f>K54*(1-(VLOOKUP(AD$75,tech_data!$B$2:$O$15,4,FALSE)/100))</f>
        <v>45.857947388812292</v>
      </c>
      <c r="AE78" s="30">
        <f>L54*(1-(VLOOKUP(AE$75,tech_data!$B$2:$O$15,4,FALSE)/100))</f>
        <v>0</v>
      </c>
      <c r="AF78" s="30">
        <f>M54*(1-(VLOOKUP(AF$75,tech_data!$B$2:$O$15,4,FALSE)/100))</f>
        <v>2.8588732477012404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(indonesia!AI54*3.6/(VLOOKUP(AI$51,tech_data!$B$2:$J$15,4,FALSE)/100))/1000</f>
        <v>0</v>
      </c>
      <c r="AJ78" s="30">
        <f t="shared" si="115"/>
        <v>1870.5791912363338</v>
      </c>
      <c r="AK78" s="30"/>
      <c r="AL78" s="23"/>
      <c r="AR78" s="30" t="s">
        <v>149</v>
      </c>
      <c r="AS78" s="30">
        <f>(VLOOKUP(AQ$51,tech_data!$B$2:$O$15,6,FALSE)/100)</f>
        <v>0.65</v>
      </c>
    </row>
    <row r="79" spans="1:82" x14ac:dyDescent="0.25">
      <c r="A79" s="19"/>
      <c r="B79" s="20" t="str">
        <f t="shared" ref="B79:C79" si="121">B31</f>
        <v>INDONESIA</v>
      </c>
      <c r="C79" s="20">
        <f t="shared" si="121"/>
        <v>2022</v>
      </c>
      <c r="D79" s="30">
        <f t="shared" si="117"/>
        <v>622.617313515918</v>
      </c>
      <c r="E79" s="30">
        <f t="shared" si="117"/>
        <v>143.35788517545183</v>
      </c>
      <c r="F79" s="30">
        <f t="shared" si="117"/>
        <v>185.89901145155468</v>
      </c>
      <c r="G79" s="30">
        <f t="shared" si="117"/>
        <v>119.15546327126086</v>
      </c>
      <c r="H79" s="30">
        <f t="shared" si="117"/>
        <v>100.55760772532587</v>
      </c>
      <c r="I79" s="30">
        <f t="shared" si="117"/>
        <v>116.27572090465101</v>
      </c>
      <c r="J79" s="30">
        <f t="shared" si="117"/>
        <v>48.671934535467777</v>
      </c>
      <c r="K79" s="30">
        <f t="shared" si="117"/>
        <v>58.947274244098324</v>
      </c>
      <c r="L79" s="30">
        <f t="shared" si="117"/>
        <v>11.397529051999351</v>
      </c>
      <c r="M79" s="30">
        <f t="shared" si="117"/>
        <v>9.3095454348863882</v>
      </c>
      <c r="N79" s="30">
        <f t="shared" si="117"/>
        <v>0.13475052377263119</v>
      </c>
      <c r="O79" s="30">
        <f t="shared" si="117"/>
        <v>0</v>
      </c>
      <c r="P79" s="30">
        <f>(indonesia!P55*3.6/(VLOOKUP(P$51,tech_data!$B$2:$J$15,4,FALSE)/100))/1000</f>
        <v>0</v>
      </c>
      <c r="Q79" s="30">
        <f t="shared" si="113"/>
        <v>1416.3240358343865</v>
      </c>
      <c r="R79" s="30"/>
      <c r="S79" s="23"/>
      <c r="T79" s="19"/>
      <c r="U79" s="20" t="str">
        <f t="shared" ref="U79:V79" si="122">U31</f>
        <v>INDONESIA</v>
      </c>
      <c r="V79" s="20">
        <f t="shared" si="122"/>
        <v>2022</v>
      </c>
      <c r="W79" s="30">
        <f>D55*(1-(VLOOKUP(W$75,tech_data!$B$2:$O$15,4,FALSE)/100))</f>
        <v>987.59987661145601</v>
      </c>
      <c r="X79" s="30">
        <f>E55*(1-(VLOOKUP(X$75,tech_data!$B$2:$O$15,4,FALSE)/100))</f>
        <v>258.58011064357203</v>
      </c>
      <c r="Y79" s="30">
        <f>F55*(1-(VLOOKUP(Y$75,tech_data!$B$2:$O$15,4,FALSE)/100))</f>
        <v>132.78500817968191</v>
      </c>
      <c r="Z79" s="30">
        <f>G55*(1-(VLOOKUP(Z$75,tech_data!$B$2:$O$15,4,FALSE)/100))</f>
        <v>139.87815253582798</v>
      </c>
      <c r="AA79" s="30">
        <f>H55*(1-(VLOOKUP(AA$75,tech_data!$B$2:$O$15,4,FALSE)/100))</f>
        <v>644.31356061042129</v>
      </c>
      <c r="AB79" s="30">
        <f>I55*(1-(VLOOKUP(AB$75,tech_data!$B$2:$O$15,4,FALSE)/100))</f>
        <v>6.1197747844553225</v>
      </c>
      <c r="AC79" s="30">
        <f>J55*(1-(VLOOKUP(AC$75,tech_data!$B$2:$O$15,4,FALSE)/100))</f>
        <v>12.167983633866942</v>
      </c>
      <c r="AD79" s="30">
        <f>K55*(1-(VLOOKUP(AD$75,tech_data!$B$2:$O$15,4,FALSE)/100))</f>
        <v>49.515710365042594</v>
      </c>
      <c r="AE79" s="30">
        <f>L55*(1-(VLOOKUP(AE$75,tech_data!$B$2:$O$15,4,FALSE)/100))</f>
        <v>4.6387943241637366</v>
      </c>
      <c r="AF79" s="30">
        <f>M55*(1-(VLOOKUP(AF$75,tech_data!$B$2:$O$15,4,FALSE)/100))</f>
        <v>20.721246290553573</v>
      </c>
      <c r="AG79" s="30">
        <f>N55*(1-(VLOOKUP(AG$75,tech_data!$B$2:$O$15,4,FALSE)/100))</f>
        <v>1.1902962933249094E-2</v>
      </c>
      <c r="AH79" s="30">
        <f>O55*(1-(VLOOKUP(AH$75,tech_data!$B$2:$O$15,4,FALSE)/100))</f>
        <v>0</v>
      </c>
      <c r="AI79" s="30">
        <f>(indonesia!AI55*3.6/(VLOOKUP(AI$51,tech_data!$B$2:$J$15,4,FALSE)/100))/1000</f>
        <v>0</v>
      </c>
      <c r="AJ79" s="30">
        <f t="shared" si="115"/>
        <v>2256.3321209419751</v>
      </c>
      <c r="AK79" s="30"/>
      <c r="AL79" s="23"/>
      <c r="AR79" s="30" t="s">
        <v>150</v>
      </c>
      <c r="AS79" s="30">
        <f>(VLOOKUP(AQ$51,tech_data!$B$2:$O$15,7,FALSE)/100)</f>
        <v>0.14837606837606837</v>
      </c>
    </row>
    <row r="80" spans="1:82" x14ac:dyDescent="0.25">
      <c r="A80" s="19"/>
      <c r="B80" s="20" t="str">
        <f t="shared" ref="B80:C80" si="123">B32</f>
        <v>INDONESIA</v>
      </c>
      <c r="C80" s="20">
        <f t="shared" si="123"/>
        <v>2023</v>
      </c>
      <c r="D80" s="30">
        <f t="shared" si="117"/>
        <v>622.617313515918</v>
      </c>
      <c r="E80" s="30">
        <f t="shared" si="117"/>
        <v>143.35788517545183</v>
      </c>
      <c r="F80" s="30">
        <f t="shared" si="117"/>
        <v>329.49977454438493</v>
      </c>
      <c r="G80" s="30">
        <f t="shared" si="117"/>
        <v>119.15546327644621</v>
      </c>
      <c r="H80" s="30">
        <f t="shared" si="117"/>
        <v>100.55760772532587</v>
      </c>
      <c r="I80" s="30">
        <f t="shared" si="117"/>
        <v>116.27572090465101</v>
      </c>
      <c r="J80" s="30">
        <f t="shared" si="117"/>
        <v>48.671934535467777</v>
      </c>
      <c r="K80" s="30">
        <f t="shared" si="117"/>
        <v>58.947274244098324</v>
      </c>
      <c r="L80" s="30">
        <f t="shared" si="117"/>
        <v>13.872528335778572</v>
      </c>
      <c r="M80" s="30">
        <f t="shared" si="117"/>
        <v>9.3095454348863882</v>
      </c>
      <c r="N80" s="30">
        <f t="shared" si="117"/>
        <v>0.13475052377263119</v>
      </c>
      <c r="O80" s="30">
        <f t="shared" si="117"/>
        <v>0</v>
      </c>
      <c r="P80" s="30">
        <f>(indonesia!P56*3.6/(VLOOKUP(P$51,tech_data!$B$2:$J$15,4,FALSE)/100))/1000</f>
        <v>0</v>
      </c>
      <c r="Q80" s="30">
        <f t="shared" si="113"/>
        <v>1562.3997982161814</v>
      </c>
      <c r="R80" s="30"/>
      <c r="S80" s="23"/>
      <c r="T80" s="19"/>
      <c r="U80" s="20" t="str">
        <f t="shared" ref="U80:V80" si="124">U32</f>
        <v>INDONESIA</v>
      </c>
      <c r="V80" s="20">
        <f t="shared" si="124"/>
        <v>2023</v>
      </c>
      <c r="W80" s="30">
        <f>D56*(1-(VLOOKUP(W$75,tech_data!$B$2:$O$15,4,FALSE)/100))</f>
        <v>987.59987661145601</v>
      </c>
      <c r="X80" s="30">
        <f>E56*(1-(VLOOKUP(X$75,tech_data!$B$2:$O$15,4,FALSE)/100))</f>
        <v>258.58011064357203</v>
      </c>
      <c r="Y80" s="30">
        <f>F56*(1-(VLOOKUP(Y$75,tech_data!$B$2:$O$15,4,FALSE)/100))</f>
        <v>235.35698181741776</v>
      </c>
      <c r="Z80" s="30">
        <f>G56*(1-(VLOOKUP(Z$75,tech_data!$B$2:$O$15,4,FALSE)/100))</f>
        <v>139.87815254191514</v>
      </c>
      <c r="AA80" s="30">
        <f>H56*(1-(VLOOKUP(AA$75,tech_data!$B$2:$O$15,4,FALSE)/100))</f>
        <v>644.31356061042129</v>
      </c>
      <c r="AB80" s="30">
        <f>I56*(1-(VLOOKUP(AB$75,tech_data!$B$2:$O$15,4,FALSE)/100))</f>
        <v>6.1197747844553225</v>
      </c>
      <c r="AC80" s="30">
        <f>J56*(1-(VLOOKUP(AC$75,tech_data!$B$2:$O$15,4,FALSE)/100))</f>
        <v>12.167983633866942</v>
      </c>
      <c r="AD80" s="30">
        <f>K56*(1-(VLOOKUP(AD$75,tech_data!$B$2:$O$15,4,FALSE)/100))</f>
        <v>49.515710365042594</v>
      </c>
      <c r="AE80" s="30">
        <f>L56*(1-(VLOOKUP(AE$75,tech_data!$B$2:$O$15,4,FALSE)/100))</f>
        <v>5.6461190326618791</v>
      </c>
      <c r="AF80" s="30">
        <f>M56*(1-(VLOOKUP(AF$75,tech_data!$B$2:$O$15,4,FALSE)/100))</f>
        <v>20.721246290553573</v>
      </c>
      <c r="AG80" s="30">
        <f>N56*(1-(VLOOKUP(AG$75,tech_data!$B$2:$O$15,4,FALSE)/100))</f>
        <v>1.1902962933249094E-2</v>
      </c>
      <c r="AH80" s="30">
        <f>O56*(1-(VLOOKUP(AH$75,tech_data!$B$2:$O$15,4,FALSE)/100))</f>
        <v>0</v>
      </c>
      <c r="AI80" s="30">
        <f>(indonesia!AI56*3.6/(VLOOKUP(AI$51,tech_data!$B$2:$J$15,4,FALSE)/100))/1000</f>
        <v>0</v>
      </c>
      <c r="AJ80" s="30">
        <f t="shared" si="115"/>
        <v>2359.9114192942961</v>
      </c>
      <c r="AK80" s="30"/>
      <c r="AL80" s="23"/>
      <c r="AR80" s="30" t="s">
        <v>148</v>
      </c>
      <c r="AS80" s="30">
        <f>(VLOOKUP(AQ$51,tech_data!$B$2:$O$15,4,FALSE)/100)</f>
        <v>0.38666666666666666</v>
      </c>
    </row>
    <row r="81" spans="1:38" x14ac:dyDescent="0.25">
      <c r="A81" s="19"/>
      <c r="B81" s="20" t="str">
        <f t="shared" ref="B81:C81" si="125">B33</f>
        <v>INDONESIA</v>
      </c>
      <c r="C81" s="20">
        <f t="shared" si="125"/>
        <v>2024</v>
      </c>
      <c r="D81" s="30">
        <f t="shared" si="117"/>
        <v>622.617313515918</v>
      </c>
      <c r="E81" s="30">
        <f t="shared" si="117"/>
        <v>143.35788517545183</v>
      </c>
      <c r="F81" s="30">
        <f t="shared" si="117"/>
        <v>385.96531598575888</v>
      </c>
      <c r="G81" s="30">
        <f t="shared" si="117"/>
        <v>174.35828062077948</v>
      </c>
      <c r="H81" s="30">
        <f t="shared" si="117"/>
        <v>100.55760772532587</v>
      </c>
      <c r="I81" s="30">
        <f t="shared" si="117"/>
        <v>116.27572090465101</v>
      </c>
      <c r="J81" s="30">
        <f t="shared" si="117"/>
        <v>48.671934535467777</v>
      </c>
      <c r="K81" s="30">
        <f t="shared" si="117"/>
        <v>58.947274244098324</v>
      </c>
      <c r="L81" s="30">
        <f t="shared" si="117"/>
        <v>21.004370848284125</v>
      </c>
      <c r="M81" s="30">
        <f t="shared" si="117"/>
        <v>9.3095454348863882</v>
      </c>
      <c r="N81" s="30">
        <f t="shared" si="117"/>
        <v>0.13475052377263119</v>
      </c>
      <c r="O81" s="30">
        <f t="shared" si="117"/>
        <v>2.8309940715508005E-16</v>
      </c>
      <c r="P81" s="30">
        <f>(indonesia!P57*3.6/(VLOOKUP(P$51,tech_data!$B$2:$J$15,4,FALSE)/100))/1000</f>
        <v>0</v>
      </c>
      <c r="Q81" s="30">
        <f t="shared" si="113"/>
        <v>1681.1999995143942</v>
      </c>
      <c r="R81" s="30"/>
      <c r="S81" s="23"/>
      <c r="T81" s="19"/>
      <c r="U81" s="20" t="str">
        <f t="shared" ref="U81:V81" si="126">U33</f>
        <v>INDONESIA</v>
      </c>
      <c r="V81" s="20">
        <f t="shared" si="126"/>
        <v>2024</v>
      </c>
      <c r="W81" s="30">
        <f>D57*(1-(VLOOKUP(W$75,tech_data!$B$2:$O$15,4,FALSE)/100))</f>
        <v>987.59987661145601</v>
      </c>
      <c r="X81" s="30">
        <f>E57*(1-(VLOOKUP(X$75,tech_data!$B$2:$O$15,4,FALSE)/100))</f>
        <v>258.58011064357203</v>
      </c>
      <c r="Y81" s="30">
        <f>F57*(1-(VLOOKUP(Y$75,tech_data!$B$2:$O$15,4,FALSE)/100))</f>
        <v>275.68951141839915</v>
      </c>
      <c r="Z81" s="30">
        <f>G57*(1-(VLOOKUP(Z$75,tech_data!$B$2:$O$15,4,FALSE)/100))</f>
        <v>204.68145985917593</v>
      </c>
      <c r="AA81" s="30">
        <f>H57*(1-(VLOOKUP(AA$75,tech_data!$B$2:$O$15,4,FALSE)/100))</f>
        <v>644.31356061042129</v>
      </c>
      <c r="AB81" s="30">
        <f>I57*(1-(VLOOKUP(AB$75,tech_data!$B$2:$O$15,4,FALSE)/100))</f>
        <v>6.1197747844553225</v>
      </c>
      <c r="AC81" s="30">
        <f>J57*(1-(VLOOKUP(AC$75,tech_data!$B$2:$O$15,4,FALSE)/100))</f>
        <v>12.167983633866942</v>
      </c>
      <c r="AD81" s="30">
        <f>K57*(1-(VLOOKUP(AD$75,tech_data!$B$2:$O$15,4,FALSE)/100))</f>
        <v>49.515710365042594</v>
      </c>
      <c r="AE81" s="30">
        <f>L57*(1-(VLOOKUP(AE$75,tech_data!$B$2:$O$15,4,FALSE)/100))</f>
        <v>8.5487789352516401</v>
      </c>
      <c r="AF81" s="30">
        <f>M57*(1-(VLOOKUP(AF$75,tech_data!$B$2:$O$15,4,FALSE)/100))</f>
        <v>20.721246290553573</v>
      </c>
      <c r="AG81" s="30">
        <f>N57*(1-(VLOOKUP(AG$75,tech_data!$B$2:$O$15,4,FALSE)/100))</f>
        <v>1.1902962933249094E-2</v>
      </c>
      <c r="AH81" s="30">
        <f>O57*(1-(VLOOKUP(AH$75,tech_data!$B$2:$O$15,4,FALSE)/100))</f>
        <v>7.044566643161295E-16</v>
      </c>
      <c r="AI81" s="30">
        <f>(indonesia!AI57*3.6/(VLOOKUP(AI$51,tech_data!$B$2:$J$15,4,FALSE)/100))/1000</f>
        <v>0</v>
      </c>
      <c r="AJ81" s="30">
        <f t="shared" si="115"/>
        <v>2467.9499161151275</v>
      </c>
      <c r="AK81" s="30"/>
      <c r="AL81" s="23"/>
    </row>
    <row r="82" spans="1:38" x14ac:dyDescent="0.25">
      <c r="A82" s="19"/>
      <c r="B82" s="20" t="str">
        <f t="shared" ref="B82:C82" si="127">B34</f>
        <v>INDONESIA</v>
      </c>
      <c r="C82" s="20">
        <f t="shared" si="127"/>
        <v>2025</v>
      </c>
      <c r="D82" s="30">
        <f t="shared" si="117"/>
        <v>622.617313515918</v>
      </c>
      <c r="E82" s="30">
        <f t="shared" si="117"/>
        <v>143.35788517545183</v>
      </c>
      <c r="F82" s="30">
        <f t="shared" si="117"/>
        <v>437.07902553065094</v>
      </c>
      <c r="G82" s="30">
        <f t="shared" si="117"/>
        <v>182.94547456623326</v>
      </c>
      <c r="H82" s="30">
        <f t="shared" si="117"/>
        <v>100.55760772532587</v>
      </c>
      <c r="I82" s="30">
        <f t="shared" si="117"/>
        <v>116.27572090465101</v>
      </c>
      <c r="J82" s="30">
        <f t="shared" si="117"/>
        <v>48.671934535467777</v>
      </c>
      <c r="K82" s="30">
        <f t="shared" si="117"/>
        <v>58.947274244098324</v>
      </c>
      <c r="L82" s="30">
        <f t="shared" si="117"/>
        <v>80.102950842371968</v>
      </c>
      <c r="M82" s="30">
        <f t="shared" si="117"/>
        <v>9.3095454348863882</v>
      </c>
      <c r="N82" s="30">
        <f t="shared" si="117"/>
        <v>0.13475052377263119</v>
      </c>
      <c r="O82" s="30">
        <f t="shared" si="117"/>
        <v>2.8309940715508005E-16</v>
      </c>
      <c r="P82" s="30">
        <f>(indonesia!P58*3.6/(VLOOKUP(P$51,tech_data!$B$2:$J$15,4,FALSE)/100))/1000</f>
        <v>0</v>
      </c>
      <c r="Q82" s="30">
        <f t="shared" si="113"/>
        <v>1799.9994829988279</v>
      </c>
      <c r="R82" s="30"/>
      <c r="S82" s="23"/>
      <c r="T82" s="19"/>
      <c r="U82" s="20" t="str">
        <f t="shared" ref="U82:V82" si="128">U34</f>
        <v>INDONESIA</v>
      </c>
      <c r="V82" s="20">
        <f t="shared" si="128"/>
        <v>2025</v>
      </c>
      <c r="W82" s="30">
        <f>D58*(1-(VLOOKUP(W$75,tech_data!$B$2:$O$15,4,FALSE)/100))</f>
        <v>987.59987661145601</v>
      </c>
      <c r="X82" s="30">
        <f>E58*(1-(VLOOKUP(X$75,tech_data!$B$2:$O$15,4,FALSE)/100))</f>
        <v>258.58011064357203</v>
      </c>
      <c r="Y82" s="30">
        <f>F58*(1-(VLOOKUP(Y$75,tech_data!$B$2:$O$15,4,FALSE)/100))</f>
        <v>312.19930395046487</v>
      </c>
      <c r="Z82" s="30">
        <f>G58*(1-(VLOOKUP(Z$75,tech_data!$B$2:$O$15,4,FALSE)/100))</f>
        <v>214.76207883862165</v>
      </c>
      <c r="AA82" s="30">
        <f>H58*(1-(VLOOKUP(AA$75,tech_data!$B$2:$O$15,4,FALSE)/100))</f>
        <v>644.31356061042129</v>
      </c>
      <c r="AB82" s="30">
        <f>I58*(1-(VLOOKUP(AB$75,tech_data!$B$2:$O$15,4,FALSE)/100))</f>
        <v>6.1197747844553225</v>
      </c>
      <c r="AC82" s="30">
        <f>J58*(1-(VLOOKUP(AC$75,tech_data!$B$2:$O$15,4,FALSE)/100))</f>
        <v>12.167983633866942</v>
      </c>
      <c r="AD82" s="30">
        <f>K58*(1-(VLOOKUP(AD$75,tech_data!$B$2:$O$15,4,FALSE)/100))</f>
        <v>49.515710365042594</v>
      </c>
      <c r="AE82" s="30">
        <f>L58*(1-(VLOOKUP(AE$75,tech_data!$B$2:$O$15,4,FALSE)/100))</f>
        <v>32.601900992845394</v>
      </c>
      <c r="AF82" s="30">
        <f>M58*(1-(VLOOKUP(AF$75,tech_data!$B$2:$O$15,4,FALSE)/100))</f>
        <v>20.721246290553573</v>
      </c>
      <c r="AG82" s="30">
        <f>N58*(1-(VLOOKUP(AG$75,tech_data!$B$2:$O$15,4,FALSE)/100))</f>
        <v>1.1902962933249094E-2</v>
      </c>
      <c r="AH82" s="30">
        <f>O58*(1-(VLOOKUP(AH$75,tech_data!$B$2:$O$15,4,FALSE)/100))</f>
        <v>7.044566643161295E-16</v>
      </c>
      <c r="AI82" s="30">
        <f>(indonesia!AI58*3.6/(VLOOKUP(AI$51,tech_data!$B$2:$J$15,4,FALSE)/100))/1000</f>
        <v>0</v>
      </c>
      <c r="AJ82" s="30">
        <f t="shared" si="115"/>
        <v>2538.5934496842333</v>
      </c>
      <c r="AK82" s="30"/>
      <c r="AL82" s="23"/>
    </row>
    <row r="83" spans="1:38" x14ac:dyDescent="0.25">
      <c r="A83" s="19"/>
      <c r="B83" s="20" t="str">
        <f t="shared" ref="B83:C83" si="129">B35</f>
        <v>INDONESIA</v>
      </c>
      <c r="C83" s="20">
        <f t="shared" si="129"/>
        <v>2026</v>
      </c>
      <c r="D83" s="30">
        <f t="shared" si="117"/>
        <v>622.617313515918</v>
      </c>
      <c r="E83" s="30">
        <f t="shared" si="117"/>
        <v>143.35788517545183</v>
      </c>
      <c r="F83" s="30">
        <f t="shared" si="117"/>
        <v>533.45634363972067</v>
      </c>
      <c r="G83" s="30">
        <f t="shared" si="117"/>
        <v>193.98810454654412</v>
      </c>
      <c r="H83" s="30">
        <f t="shared" si="117"/>
        <v>100.55760772532587</v>
      </c>
      <c r="I83" s="30">
        <f t="shared" si="117"/>
        <v>116.27572090465101</v>
      </c>
      <c r="J83" s="30">
        <f t="shared" si="117"/>
        <v>48.671934535467777</v>
      </c>
      <c r="K83" s="30">
        <f t="shared" si="117"/>
        <v>58.947274244098324</v>
      </c>
      <c r="L83" s="30">
        <f t="shared" si="117"/>
        <v>120.28343708459001</v>
      </c>
      <c r="M83" s="30">
        <f t="shared" si="117"/>
        <v>9.3095454348863882</v>
      </c>
      <c r="N83" s="30">
        <f t="shared" si="117"/>
        <v>0.13475052377263119</v>
      </c>
      <c r="O83" s="30">
        <f t="shared" si="117"/>
        <v>2.8309940715508005E-16</v>
      </c>
      <c r="P83" s="30">
        <f>(indonesia!P59*3.6/(VLOOKUP(P$51,tech_data!$B$2:$J$15,4,FALSE)/100))/1000</f>
        <v>0</v>
      </c>
      <c r="Q83" s="30">
        <f t="shared" si="113"/>
        <v>1947.5999173304265</v>
      </c>
      <c r="R83" s="30"/>
      <c r="S83" s="23"/>
      <c r="T83" s="19"/>
      <c r="U83" s="20" t="str">
        <f t="shared" ref="U83:V83" si="130">U35</f>
        <v>INDONESIA</v>
      </c>
      <c r="V83" s="20">
        <f t="shared" si="130"/>
        <v>2026</v>
      </c>
      <c r="W83" s="30">
        <f>D59*(1-(VLOOKUP(W$75,tech_data!$B$2:$O$15,4,FALSE)/100))</f>
        <v>987.59987661145601</v>
      </c>
      <c r="X83" s="30">
        <f>E59*(1-(VLOOKUP(X$75,tech_data!$B$2:$O$15,4,FALSE)/100))</f>
        <v>258.58011064357203</v>
      </c>
      <c r="Y83" s="30">
        <f>F59*(1-(VLOOKUP(Y$75,tech_data!$B$2:$O$15,4,FALSE)/100))</f>
        <v>381.0402454569433</v>
      </c>
      <c r="Z83" s="30">
        <f>G59*(1-(VLOOKUP(Z$75,tech_data!$B$2:$O$15,4,FALSE)/100))</f>
        <v>227.72516620681267</v>
      </c>
      <c r="AA83" s="30">
        <f>H59*(1-(VLOOKUP(AA$75,tech_data!$B$2:$O$15,4,FALSE)/100))</f>
        <v>644.31356061042129</v>
      </c>
      <c r="AB83" s="30">
        <f>I59*(1-(VLOOKUP(AB$75,tech_data!$B$2:$O$15,4,FALSE)/100))</f>
        <v>6.1197747844553225</v>
      </c>
      <c r="AC83" s="30">
        <f>J59*(1-(VLOOKUP(AC$75,tech_data!$B$2:$O$15,4,FALSE)/100))</f>
        <v>12.167983633866942</v>
      </c>
      <c r="AD83" s="30">
        <f>K59*(1-(VLOOKUP(AD$75,tech_data!$B$2:$O$15,4,FALSE)/100))</f>
        <v>49.515710365042594</v>
      </c>
      <c r="AE83" s="30">
        <f>L59*(1-(VLOOKUP(AE$75,tech_data!$B$2:$O$15,4,FALSE)/100))</f>
        <v>48.955358893428134</v>
      </c>
      <c r="AF83" s="30">
        <f>M59*(1-(VLOOKUP(AF$75,tech_data!$B$2:$O$15,4,FALSE)/100))</f>
        <v>20.721246290553573</v>
      </c>
      <c r="AG83" s="30">
        <f>N59*(1-(VLOOKUP(AG$75,tech_data!$B$2:$O$15,4,FALSE)/100))</f>
        <v>1.1902962933249094E-2</v>
      </c>
      <c r="AH83" s="30">
        <f>O59*(1-(VLOOKUP(AH$75,tech_data!$B$2:$O$15,4,FALSE)/100))</f>
        <v>7.044566643161295E-16</v>
      </c>
      <c r="AI83" s="30">
        <f>(indonesia!AI59*3.6/(VLOOKUP(AI$51,tech_data!$B$2:$J$15,4,FALSE)/100))/1000</f>
        <v>0</v>
      </c>
      <c r="AJ83" s="30">
        <f t="shared" si="115"/>
        <v>2636.7509364594853</v>
      </c>
      <c r="AK83" s="30"/>
      <c r="AL83" s="23"/>
    </row>
    <row r="84" spans="1:38" x14ac:dyDescent="0.25">
      <c r="A84" s="19"/>
      <c r="B84" s="20" t="str">
        <f t="shared" ref="B84:C84" si="131">B36</f>
        <v>INDONESIA</v>
      </c>
      <c r="C84" s="20">
        <f t="shared" si="131"/>
        <v>2027</v>
      </c>
      <c r="D84" s="30">
        <f t="shared" si="117"/>
        <v>627.63795453735258</v>
      </c>
      <c r="E84" s="30">
        <f t="shared" si="117"/>
        <v>143.35788517545183</v>
      </c>
      <c r="F84" s="30">
        <f t="shared" si="117"/>
        <v>641.16552127380942</v>
      </c>
      <c r="G84" s="30">
        <f t="shared" si="117"/>
        <v>206.9755809357232</v>
      </c>
      <c r="H84" s="30">
        <f t="shared" si="117"/>
        <v>100.55760772532587</v>
      </c>
      <c r="I84" s="30">
        <f t="shared" si="117"/>
        <v>116.27572090465101</v>
      </c>
      <c r="J84" s="30">
        <f t="shared" si="117"/>
        <v>48.671934535467777</v>
      </c>
      <c r="K84" s="30">
        <f t="shared" si="117"/>
        <v>58.947274244098324</v>
      </c>
      <c r="L84" s="30">
        <f t="shared" si="117"/>
        <v>167.3655480724625</v>
      </c>
      <c r="M84" s="30">
        <f t="shared" si="117"/>
        <v>9.3095454348863882</v>
      </c>
      <c r="N84" s="30">
        <f t="shared" si="117"/>
        <v>0.13475052377263119</v>
      </c>
      <c r="O84" s="30">
        <f t="shared" si="117"/>
        <v>2.8309940715508005E-16</v>
      </c>
      <c r="P84" s="30">
        <f>(indonesia!P60*3.6/(VLOOKUP(P$51,tech_data!$B$2:$J$15,4,FALSE)/100))/1000</f>
        <v>0</v>
      </c>
      <c r="Q84" s="30">
        <f t="shared" si="113"/>
        <v>2120.3993233630013</v>
      </c>
      <c r="R84" s="30"/>
      <c r="S84" s="23"/>
      <c r="T84" s="19"/>
      <c r="U84" s="20" t="str">
        <f t="shared" ref="U84:V84" si="132">U36</f>
        <v>INDONESIA</v>
      </c>
      <c r="V84" s="20">
        <f t="shared" si="132"/>
        <v>2027</v>
      </c>
      <c r="W84" s="30">
        <f>D60*(1-(VLOOKUP(W$75,tech_data!$B$2:$O$15,4,FALSE)/100))</f>
        <v>995.56365202476604</v>
      </c>
      <c r="X84" s="30">
        <f>E60*(1-(VLOOKUP(X$75,tech_data!$B$2:$O$15,4,FALSE)/100))</f>
        <v>258.58011064357203</v>
      </c>
      <c r="Y84" s="30">
        <f>F60*(1-(VLOOKUP(Y$75,tech_data!$B$2:$O$15,4,FALSE)/100))</f>
        <v>457.97537233843519</v>
      </c>
      <c r="Z84" s="30">
        <f>G60*(1-(VLOOKUP(Z$75,tech_data!$B$2:$O$15,4,FALSE)/100))</f>
        <v>242.97133414193596</v>
      </c>
      <c r="AA84" s="30">
        <f>H60*(1-(VLOOKUP(AA$75,tech_data!$B$2:$O$15,4,FALSE)/100))</f>
        <v>644.31356061042129</v>
      </c>
      <c r="AB84" s="30">
        <f>I60*(1-(VLOOKUP(AB$75,tech_data!$B$2:$O$15,4,FALSE)/100))</f>
        <v>6.1197747844553225</v>
      </c>
      <c r="AC84" s="30">
        <f>J60*(1-(VLOOKUP(AC$75,tech_data!$B$2:$O$15,4,FALSE)/100))</f>
        <v>12.167983633866942</v>
      </c>
      <c r="AD84" s="30">
        <f>K60*(1-(VLOOKUP(AD$75,tech_data!$B$2:$O$15,4,FALSE)/100))</f>
        <v>49.515710365042594</v>
      </c>
      <c r="AE84" s="30">
        <f>L60*(1-(VLOOKUP(AE$75,tech_data!$B$2:$O$15,4,FALSE)/100))</f>
        <v>68.117778065492246</v>
      </c>
      <c r="AF84" s="30">
        <f>M60*(1-(VLOOKUP(AF$75,tech_data!$B$2:$O$15,4,FALSE)/100))</f>
        <v>20.721246290553573</v>
      </c>
      <c r="AG84" s="30">
        <f>N60*(1-(VLOOKUP(AG$75,tech_data!$B$2:$O$15,4,FALSE)/100))</f>
        <v>1.1902962933249094E-2</v>
      </c>
      <c r="AH84" s="30">
        <f>O60*(1-(VLOOKUP(AH$75,tech_data!$B$2:$O$15,4,FALSE)/100))</f>
        <v>7.044566643161295E-16</v>
      </c>
      <c r="AI84" s="30">
        <f>(indonesia!AI60*3.6/(VLOOKUP(AI$51,tech_data!$B$2:$J$15,4,FALSE)/100))/1000</f>
        <v>0</v>
      </c>
      <c r="AJ84" s="30">
        <f t="shared" si="115"/>
        <v>2756.0584258614745</v>
      </c>
      <c r="AK84" s="30"/>
      <c r="AL84" s="23"/>
    </row>
    <row r="85" spans="1:38" x14ac:dyDescent="0.25">
      <c r="A85" s="19"/>
      <c r="B85" s="20" t="str">
        <f t="shared" ref="B85:C85" si="133">B37</f>
        <v>INDONESIA</v>
      </c>
      <c r="C85" s="20">
        <f t="shared" si="133"/>
        <v>2028</v>
      </c>
      <c r="D85" s="30">
        <f t="shared" si="117"/>
        <v>656.20778813995844</v>
      </c>
      <c r="E85" s="30">
        <f t="shared" si="117"/>
        <v>143.35788517545183</v>
      </c>
      <c r="F85" s="30">
        <f t="shared" si="117"/>
        <v>684.13490444405545</v>
      </c>
      <c r="G85" s="30">
        <f t="shared" si="117"/>
        <v>213.51168335238609</v>
      </c>
      <c r="H85" s="30">
        <f t="shared" si="117"/>
        <v>100.55760772532587</v>
      </c>
      <c r="I85" s="30">
        <f t="shared" si="117"/>
        <v>116.27572090465101</v>
      </c>
      <c r="J85" s="30">
        <f t="shared" si="117"/>
        <v>48.671934535467777</v>
      </c>
      <c r="K85" s="30">
        <f t="shared" si="117"/>
        <v>58.947274244098324</v>
      </c>
      <c r="L85" s="30">
        <f t="shared" si="117"/>
        <v>200.89018669952731</v>
      </c>
      <c r="M85" s="30">
        <f t="shared" si="117"/>
        <v>9.3095454348863882</v>
      </c>
      <c r="N85" s="30">
        <f t="shared" si="117"/>
        <v>0.13475052377263119</v>
      </c>
      <c r="O85" s="30">
        <f t="shared" si="117"/>
        <v>3.1973380236478813E-16</v>
      </c>
      <c r="P85" s="30">
        <f>(indonesia!P61*3.6/(VLOOKUP(P$51,tech_data!$B$2:$J$15,4,FALSE)/100))/1000</f>
        <v>0</v>
      </c>
      <c r="Q85" s="30">
        <f t="shared" si="113"/>
        <v>2231.9992811795814</v>
      </c>
      <c r="R85" s="30"/>
      <c r="S85" s="23"/>
      <c r="T85" s="19"/>
      <c r="U85" s="20" t="str">
        <f t="shared" ref="U85:V85" si="134">U37</f>
        <v>INDONESIA</v>
      </c>
      <c r="V85" s="20">
        <f t="shared" si="134"/>
        <v>2028</v>
      </c>
      <c r="W85" s="30">
        <f>D61*(1-(VLOOKUP(W$75,tech_data!$B$2:$O$15,4,FALSE)/100))</f>
        <v>1040.8813191185548</v>
      </c>
      <c r="X85" s="30">
        <f>E61*(1-(VLOOKUP(X$75,tech_data!$B$2:$O$15,4,FALSE)/100))</f>
        <v>258.58011064357203</v>
      </c>
      <c r="Y85" s="30">
        <f>F61*(1-(VLOOKUP(Y$75,tech_data!$B$2:$O$15,4,FALSE)/100))</f>
        <v>488.66778888861086</v>
      </c>
      <c r="Z85" s="30">
        <f>G61*(1-(VLOOKUP(Z$75,tech_data!$B$2:$O$15,4,FALSE)/100))</f>
        <v>250.64415002236626</v>
      </c>
      <c r="AA85" s="30">
        <f>H61*(1-(VLOOKUP(AA$75,tech_data!$B$2:$O$15,4,FALSE)/100))</f>
        <v>644.31356061042129</v>
      </c>
      <c r="AB85" s="30">
        <f>I61*(1-(VLOOKUP(AB$75,tech_data!$B$2:$O$15,4,FALSE)/100))</f>
        <v>6.1197747844553225</v>
      </c>
      <c r="AC85" s="30">
        <f>J61*(1-(VLOOKUP(AC$75,tech_data!$B$2:$O$15,4,FALSE)/100))</f>
        <v>12.167983633866942</v>
      </c>
      <c r="AD85" s="30">
        <f>K61*(1-(VLOOKUP(AD$75,tech_data!$B$2:$O$15,4,FALSE)/100))</f>
        <v>49.515710365042594</v>
      </c>
      <c r="AE85" s="30">
        <f>L61*(1-(VLOOKUP(AE$75,tech_data!$B$2:$O$15,4,FALSE)/100))</f>
        <v>81.762305986707617</v>
      </c>
      <c r="AF85" s="30">
        <f>M61*(1-(VLOOKUP(AF$75,tech_data!$B$2:$O$15,4,FALSE)/100))</f>
        <v>20.721246290553573</v>
      </c>
      <c r="AG85" s="30">
        <f>N61*(1-(VLOOKUP(AG$75,tech_data!$B$2:$O$15,4,FALSE)/100))</f>
        <v>1.1902962933249094E-2</v>
      </c>
      <c r="AH85" s="30">
        <f>O61*(1-(VLOOKUP(AH$75,tech_data!$B$2:$O$15,4,FALSE)/100))</f>
        <v>7.9561667100075191E-16</v>
      </c>
      <c r="AI85" s="30">
        <f>(indonesia!AI61*3.6/(VLOOKUP(AI$51,tech_data!$B$2:$J$15,4,FALSE)/100))/1000</f>
        <v>0</v>
      </c>
      <c r="AJ85" s="30">
        <f t="shared" si="115"/>
        <v>2853.3858533070847</v>
      </c>
      <c r="AK85" s="30"/>
      <c r="AL85" s="23"/>
    </row>
    <row r="86" spans="1:38" x14ac:dyDescent="0.25">
      <c r="A86" s="19"/>
      <c r="B86" s="20" t="str">
        <f t="shared" ref="B86:C86" si="135">B38</f>
        <v>INDONESIA</v>
      </c>
      <c r="C86" s="20">
        <f t="shared" si="135"/>
        <v>2029</v>
      </c>
      <c r="D86" s="30">
        <f t="shared" si="117"/>
        <v>686.43331416788874</v>
      </c>
      <c r="E86" s="30">
        <f t="shared" si="117"/>
        <v>143.35788517545183</v>
      </c>
      <c r="F86" s="30">
        <f t="shared" si="117"/>
        <v>729.8555229185971</v>
      </c>
      <c r="G86" s="30">
        <f t="shared" si="117"/>
        <v>220.37842927885518</v>
      </c>
      <c r="H86" s="30">
        <f t="shared" si="117"/>
        <v>100.55760772532587</v>
      </c>
      <c r="I86" s="30">
        <f t="shared" si="117"/>
        <v>116.27572090465101</v>
      </c>
      <c r="J86" s="30">
        <f t="shared" si="117"/>
        <v>48.671934535467777</v>
      </c>
      <c r="K86" s="30">
        <f t="shared" si="117"/>
        <v>58.947274244098324</v>
      </c>
      <c r="L86" s="30">
        <f t="shared" si="117"/>
        <v>236.87703844550629</v>
      </c>
      <c r="M86" s="30">
        <f t="shared" si="117"/>
        <v>9.3095454348863882</v>
      </c>
      <c r="N86" s="30">
        <f t="shared" si="117"/>
        <v>0.13475052377263119</v>
      </c>
      <c r="O86" s="30">
        <f t="shared" si="117"/>
        <v>3.1973380236478813E-16</v>
      </c>
      <c r="P86" s="30">
        <f>(indonesia!P62*3.6/(VLOOKUP(P$51,tech_data!$B$2:$J$15,4,FALSE)/100))/1000</f>
        <v>0</v>
      </c>
      <c r="Q86" s="30">
        <f t="shared" si="113"/>
        <v>2350.7990233545011</v>
      </c>
      <c r="R86" s="30"/>
      <c r="S86" s="23"/>
      <c r="T86" s="19"/>
      <c r="U86" s="20" t="str">
        <f t="shared" ref="U86:V86" si="136">U38</f>
        <v>INDONESIA</v>
      </c>
      <c r="V86" s="20">
        <f t="shared" si="136"/>
        <v>2029</v>
      </c>
      <c r="W86" s="30">
        <f>D62*(1-(VLOOKUP(W$75,tech_data!$B$2:$O$15,4,FALSE)/100))</f>
        <v>1088.8252569559613</v>
      </c>
      <c r="X86" s="30">
        <f>E62*(1-(VLOOKUP(X$75,tech_data!$B$2:$O$15,4,FALSE)/100))</f>
        <v>258.58011064357203</v>
      </c>
      <c r="Y86" s="30">
        <f>F62*(1-(VLOOKUP(Y$75,tech_data!$B$2:$O$15,4,FALSE)/100))</f>
        <v>521.32537351328358</v>
      </c>
      <c r="Z86" s="30">
        <f>G62*(1-(VLOOKUP(Z$75,tech_data!$B$2:$O$15,4,FALSE)/100))</f>
        <v>258.70511263169959</v>
      </c>
      <c r="AA86" s="30">
        <f>H62*(1-(VLOOKUP(AA$75,tech_data!$B$2:$O$15,4,FALSE)/100))</f>
        <v>644.31356061042129</v>
      </c>
      <c r="AB86" s="30">
        <f>I62*(1-(VLOOKUP(AB$75,tech_data!$B$2:$O$15,4,FALSE)/100))</f>
        <v>6.1197747844553225</v>
      </c>
      <c r="AC86" s="30">
        <f>J62*(1-(VLOOKUP(AC$75,tech_data!$B$2:$O$15,4,FALSE)/100))</f>
        <v>12.167983633866942</v>
      </c>
      <c r="AD86" s="30">
        <f>K62*(1-(VLOOKUP(AD$75,tech_data!$B$2:$O$15,4,FALSE)/100))</f>
        <v>49.515710365042594</v>
      </c>
      <c r="AE86" s="30">
        <f>L62*(1-(VLOOKUP(AE$75,tech_data!$B$2:$O$15,4,FALSE)/100))</f>
        <v>96.408954647321067</v>
      </c>
      <c r="AF86" s="30">
        <f>M62*(1-(VLOOKUP(AF$75,tech_data!$B$2:$O$15,4,FALSE)/100))</f>
        <v>20.721246290553573</v>
      </c>
      <c r="AG86" s="30">
        <f>N62*(1-(VLOOKUP(AG$75,tech_data!$B$2:$O$15,4,FALSE)/100))</f>
        <v>1.1902962933249094E-2</v>
      </c>
      <c r="AH86" s="30">
        <f>O62*(1-(VLOOKUP(AH$75,tech_data!$B$2:$O$15,4,FALSE)/100))</f>
        <v>7.9561667100075191E-16</v>
      </c>
      <c r="AI86" s="30">
        <f>(indonesia!AI62*3.6/(VLOOKUP(AI$51,tech_data!$B$2:$J$15,4,FALSE)/100))/1000</f>
        <v>0</v>
      </c>
      <c r="AJ86" s="30">
        <f t="shared" si="115"/>
        <v>2956.6949870391104</v>
      </c>
      <c r="AK86" s="30"/>
      <c r="AL86" s="23"/>
    </row>
    <row r="87" spans="1:38" x14ac:dyDescent="0.25">
      <c r="A87" s="19"/>
      <c r="B87" s="20" t="str">
        <f t="shared" ref="B87:C87" si="137">B39</f>
        <v>INDONESIA</v>
      </c>
      <c r="C87" s="20">
        <f t="shared" si="137"/>
        <v>2030</v>
      </c>
      <c r="D87" s="30">
        <f t="shared" si="117"/>
        <v>762.50072506772403</v>
      </c>
      <c r="E87" s="30">
        <f t="shared" si="117"/>
        <v>145.38206083655777</v>
      </c>
      <c r="F87" s="30">
        <f t="shared" si="117"/>
        <v>732.07798733939387</v>
      </c>
      <c r="G87" s="30">
        <f t="shared" si="117"/>
        <v>227.54680824652317</v>
      </c>
      <c r="H87" s="30">
        <f t="shared" si="117"/>
        <v>132.5606319564879</v>
      </c>
      <c r="I87" s="30">
        <f t="shared" si="117"/>
        <v>117.94274827621709</v>
      </c>
      <c r="J87" s="30">
        <f t="shared" si="117"/>
        <v>52.457060353487961</v>
      </c>
      <c r="K87" s="30">
        <f t="shared" si="117"/>
        <v>58.947274244098324</v>
      </c>
      <c r="L87" s="30">
        <f t="shared" si="117"/>
        <v>237.94020696763445</v>
      </c>
      <c r="M87" s="30">
        <f t="shared" si="117"/>
        <v>9.3095454348863882</v>
      </c>
      <c r="N87" s="30">
        <f t="shared" si="117"/>
        <v>0.13475052377263119</v>
      </c>
      <c r="O87" s="30">
        <f t="shared" si="117"/>
        <v>3.1973380236478813E-16</v>
      </c>
      <c r="P87" s="30">
        <f>(indonesia!P63*3.6/(VLOOKUP(P$51,tech_data!$B$2:$J$15,4,FALSE)/100))/1000</f>
        <v>0</v>
      </c>
      <c r="Q87" s="30">
        <f t="shared" si="113"/>
        <v>2476.7997992467836</v>
      </c>
      <c r="R87" s="30"/>
      <c r="S87" s="23"/>
      <c r="T87" s="19"/>
      <c r="U87" s="20" t="str">
        <f t="shared" ref="U87:V87" si="138">U39</f>
        <v>INDONESIA</v>
      </c>
      <c r="V87" s="20">
        <f t="shared" si="138"/>
        <v>2030</v>
      </c>
      <c r="W87" s="30">
        <f>D63*(1-(VLOOKUP(W$75,tech_data!$B$2:$O$15,4,FALSE)/100))</f>
        <v>1209.4839087281139</v>
      </c>
      <c r="X87" s="30">
        <f>E63*(1-(VLOOKUP(X$75,tech_data!$B$2:$O$15,4,FALSE)/100))</f>
        <v>262.23119384537989</v>
      </c>
      <c r="Y87" s="30">
        <f>F63*(1-(VLOOKUP(Y$75,tech_data!$B$2:$O$15,4,FALSE)/100))</f>
        <v>522.91284809956687</v>
      </c>
      <c r="Z87" s="30">
        <f>G63*(1-(VLOOKUP(Z$75,tech_data!$B$2:$O$15,4,FALSE)/100))</f>
        <v>267.12016620244026</v>
      </c>
      <c r="AA87" s="30">
        <f>H63*(1-(VLOOKUP(AA$75,tech_data!$B$2:$O$15,4,FALSE)/100))</f>
        <v>849.36997512860762</v>
      </c>
      <c r="AB87" s="30">
        <f>I63*(1-(VLOOKUP(AB$75,tech_data!$B$2:$O$15,4,FALSE)/100))</f>
        <v>6.2075130671693266</v>
      </c>
      <c r="AC87" s="30">
        <f>J63*(1-(VLOOKUP(AC$75,tech_data!$B$2:$O$15,4,FALSE)/100))</f>
        <v>13.114265088371988</v>
      </c>
      <c r="AD87" s="30">
        <f>K63*(1-(VLOOKUP(AD$75,tech_data!$B$2:$O$15,4,FALSE)/100))</f>
        <v>49.515710365042594</v>
      </c>
      <c r="AE87" s="30">
        <f>L63*(1-(VLOOKUP(AE$75,tech_data!$B$2:$O$15,4,FALSE)/100))</f>
        <v>96.841664235827224</v>
      </c>
      <c r="AF87" s="30">
        <f>M63*(1-(VLOOKUP(AF$75,tech_data!$B$2:$O$15,4,FALSE)/100))</f>
        <v>20.721246290553573</v>
      </c>
      <c r="AG87" s="30">
        <f>N63*(1-(VLOOKUP(AG$75,tech_data!$B$2:$O$15,4,FALSE)/100))</f>
        <v>1.1902962933249094E-2</v>
      </c>
      <c r="AH87" s="30">
        <f>O63*(1-(VLOOKUP(AH$75,tech_data!$B$2:$O$15,4,FALSE)/100))</f>
        <v>7.9561667100075191E-16</v>
      </c>
      <c r="AI87" s="30">
        <f>(indonesia!AI63*3.6/(VLOOKUP(AI$51,tech_data!$B$2:$J$15,4,FALSE)/100))/1000</f>
        <v>0</v>
      </c>
      <c r="AJ87" s="30">
        <f t="shared" si="115"/>
        <v>3297.5303940140066</v>
      </c>
      <c r="AK87" s="30"/>
      <c r="AL87" s="23"/>
    </row>
    <row r="88" spans="1:38" x14ac:dyDescent="0.25">
      <c r="A88" s="19"/>
      <c r="B88" s="20" t="str">
        <f t="shared" ref="B88:C88" si="139">B40</f>
        <v>INDONESIA</v>
      </c>
      <c r="C88" s="20">
        <f t="shared" si="139"/>
        <v>2031</v>
      </c>
      <c r="D88" s="30">
        <f t="shared" si="117"/>
        <v>762.50072506772403</v>
      </c>
      <c r="E88" s="30">
        <f t="shared" si="117"/>
        <v>145.38206083655777</v>
      </c>
      <c r="F88" s="30">
        <f t="shared" si="117"/>
        <v>823.85269383214779</v>
      </c>
      <c r="G88" s="30">
        <f t="shared" si="117"/>
        <v>235.96060183607182</v>
      </c>
      <c r="H88" s="30">
        <f t="shared" si="117"/>
        <v>132.5606319564879</v>
      </c>
      <c r="I88" s="30">
        <f t="shared" si="117"/>
        <v>117.94274827621709</v>
      </c>
      <c r="J88" s="30">
        <f t="shared" si="117"/>
        <v>52.457060353487961</v>
      </c>
      <c r="K88" s="30">
        <f t="shared" si="117"/>
        <v>58.947274244098324</v>
      </c>
      <c r="L88" s="30">
        <f t="shared" si="117"/>
        <v>281.75110733389249</v>
      </c>
      <c r="M88" s="30">
        <f t="shared" si="117"/>
        <v>9.3095454348863882</v>
      </c>
      <c r="N88" s="30">
        <f t="shared" si="117"/>
        <v>0.13475052377263119</v>
      </c>
      <c r="O88" s="30">
        <f t="shared" si="117"/>
        <v>0</v>
      </c>
      <c r="P88" s="30">
        <f>(indonesia!P64*3.6/(VLOOKUP(P$51,tech_data!$B$2:$J$15,4,FALSE)/100))/1000</f>
        <v>0</v>
      </c>
      <c r="Q88" s="30">
        <f t="shared" si="113"/>
        <v>2620.7991996953442</v>
      </c>
      <c r="R88" s="30"/>
      <c r="S88" s="23"/>
      <c r="T88" s="19"/>
      <c r="U88" s="20" t="str">
        <f t="shared" ref="U88:V88" si="140">U40</f>
        <v>INDONESIA</v>
      </c>
      <c r="V88" s="20">
        <f t="shared" si="140"/>
        <v>2031</v>
      </c>
      <c r="W88" s="30">
        <f>D64*(1-(VLOOKUP(W$75,tech_data!$B$2:$O$15,4,FALSE)/100))</f>
        <v>1209.4839087281139</v>
      </c>
      <c r="X88" s="30">
        <f>E64*(1-(VLOOKUP(X$75,tech_data!$B$2:$O$15,4,FALSE)/100))</f>
        <v>262.23119384537989</v>
      </c>
      <c r="Y88" s="30">
        <f>F64*(1-(VLOOKUP(Y$75,tech_data!$B$2:$O$15,4,FALSE)/100))</f>
        <v>588.46620988010545</v>
      </c>
      <c r="Z88" s="30">
        <f>G64*(1-(VLOOKUP(Z$75,tech_data!$B$2:$O$15,4,FALSE)/100))</f>
        <v>276.99722824234516</v>
      </c>
      <c r="AA88" s="30">
        <f>H64*(1-(VLOOKUP(AA$75,tech_data!$B$2:$O$15,4,FALSE)/100))</f>
        <v>849.36997512860762</v>
      </c>
      <c r="AB88" s="30">
        <f>I64*(1-(VLOOKUP(AB$75,tech_data!$B$2:$O$15,4,FALSE)/100))</f>
        <v>6.2075130671693266</v>
      </c>
      <c r="AC88" s="30">
        <f>J64*(1-(VLOOKUP(AC$75,tech_data!$B$2:$O$15,4,FALSE)/100))</f>
        <v>13.114265088371988</v>
      </c>
      <c r="AD88" s="30">
        <f>K64*(1-(VLOOKUP(AD$75,tech_data!$B$2:$O$15,4,FALSE)/100))</f>
        <v>49.515710365042594</v>
      </c>
      <c r="AE88" s="30">
        <f>L64*(1-(VLOOKUP(AE$75,tech_data!$B$2:$O$15,4,FALSE)/100))</f>
        <v>114.67270068489425</v>
      </c>
      <c r="AF88" s="30">
        <f>M64*(1-(VLOOKUP(AF$75,tech_data!$B$2:$O$15,4,FALSE)/100))</f>
        <v>20.721246290553573</v>
      </c>
      <c r="AG88" s="30">
        <f>N64*(1-(VLOOKUP(AG$75,tech_data!$B$2:$O$15,4,FALSE)/100))</f>
        <v>1.1902962933249094E-2</v>
      </c>
      <c r="AH88" s="30">
        <f>O64*(1-(VLOOKUP(AH$75,tech_data!$B$2:$O$15,4,FALSE)/100))</f>
        <v>0</v>
      </c>
      <c r="AI88" s="30">
        <f>(indonesia!AI64*3.6/(VLOOKUP(AI$51,tech_data!$B$2:$J$15,4,FALSE)/100))/1000</f>
        <v>0</v>
      </c>
      <c r="AJ88" s="30">
        <f t="shared" si="115"/>
        <v>3390.7918542835168</v>
      </c>
      <c r="AK88" s="30"/>
      <c r="AL88" s="23"/>
    </row>
    <row r="89" spans="1:38" x14ac:dyDescent="0.25">
      <c r="A89" s="19"/>
      <c r="B89" s="20" t="str">
        <f t="shared" ref="B89:C89" si="141">B41</f>
        <v>INDONESIA</v>
      </c>
      <c r="C89" s="20">
        <f t="shared" si="141"/>
        <v>2032</v>
      </c>
      <c r="D89" s="30">
        <f t="shared" si="117"/>
        <v>793.82127488601179</v>
      </c>
      <c r="E89" s="30">
        <f t="shared" si="117"/>
        <v>145.38206083655777</v>
      </c>
      <c r="F89" s="30">
        <f t="shared" si="117"/>
        <v>890.93504589848374</v>
      </c>
      <c r="G89" s="30">
        <f t="shared" si="117"/>
        <v>244.90013340863297</v>
      </c>
      <c r="H89" s="30">
        <f t="shared" si="117"/>
        <v>132.5606319564879</v>
      </c>
      <c r="I89" s="30">
        <f t="shared" si="117"/>
        <v>117.94274827621709</v>
      </c>
      <c r="J89" s="30">
        <f t="shared" si="117"/>
        <v>52.457060353487961</v>
      </c>
      <c r="K89" s="30">
        <f t="shared" si="117"/>
        <v>63.911864922617838</v>
      </c>
      <c r="L89" s="30">
        <f t="shared" si="117"/>
        <v>324.2447757081768</v>
      </c>
      <c r="M89" s="30">
        <f t="shared" si="117"/>
        <v>9.3095454348863882</v>
      </c>
      <c r="N89" s="30">
        <f t="shared" si="117"/>
        <v>0.13475052377263119</v>
      </c>
      <c r="O89" s="30">
        <f t="shared" si="117"/>
        <v>0</v>
      </c>
      <c r="P89" s="30">
        <f>(indonesia!P65*3.6/(VLOOKUP(P$51,tech_data!$B$2:$J$15,4,FALSE)/100))/1000</f>
        <v>0</v>
      </c>
      <c r="Q89" s="30">
        <f t="shared" si="113"/>
        <v>2775.5998922053327</v>
      </c>
      <c r="R89" s="30"/>
      <c r="S89" s="23"/>
      <c r="T89" s="19"/>
      <c r="U89" s="20" t="str">
        <f t="shared" ref="U89:V89" si="142">U41</f>
        <v>INDONESIA</v>
      </c>
      <c r="V89" s="20">
        <f t="shared" si="142"/>
        <v>2032</v>
      </c>
      <c r="W89" s="30">
        <f>D65*(1-(VLOOKUP(W$75,tech_data!$B$2:$O$15,4,FALSE)/100))</f>
        <v>1259.1647808536741</v>
      </c>
      <c r="X89" s="30">
        <f>E65*(1-(VLOOKUP(X$75,tech_data!$B$2:$O$15,4,FALSE)/100))</f>
        <v>262.23119384537989</v>
      </c>
      <c r="Y89" s="30">
        <f>F65*(1-(VLOOKUP(Y$75,tech_data!$B$2:$O$15,4,FALSE)/100))</f>
        <v>636.3821756417741</v>
      </c>
      <c r="Z89" s="30">
        <f>G65*(1-(VLOOKUP(Z$75,tech_data!$B$2:$O$15,4,FALSE)/100))</f>
        <v>287.49146095796044</v>
      </c>
      <c r="AA89" s="30">
        <f>H65*(1-(VLOOKUP(AA$75,tech_data!$B$2:$O$15,4,FALSE)/100))</f>
        <v>849.36997512860762</v>
      </c>
      <c r="AB89" s="30">
        <f>I65*(1-(VLOOKUP(AB$75,tech_data!$B$2:$O$15,4,FALSE)/100))</f>
        <v>6.2075130671693266</v>
      </c>
      <c r="AC89" s="30">
        <f>J65*(1-(VLOOKUP(AC$75,tech_data!$B$2:$O$15,4,FALSE)/100))</f>
        <v>13.114265088371988</v>
      </c>
      <c r="AD89" s="30">
        <f>K65*(1-(VLOOKUP(AD$75,tech_data!$B$2:$O$15,4,FALSE)/100))</f>
        <v>53.685966534998983</v>
      </c>
      <c r="AE89" s="30">
        <f>L65*(1-(VLOOKUP(AE$75,tech_data!$B$2:$O$15,4,FALSE)/100))</f>
        <v>131.96762371322797</v>
      </c>
      <c r="AF89" s="30">
        <f>M65*(1-(VLOOKUP(AF$75,tech_data!$B$2:$O$15,4,FALSE)/100))</f>
        <v>20.721246290553573</v>
      </c>
      <c r="AG89" s="30">
        <f>N65*(1-(VLOOKUP(AG$75,tech_data!$B$2:$O$15,4,FALSE)/100))</f>
        <v>1.1902962933249094E-2</v>
      </c>
      <c r="AH89" s="30">
        <f>O65*(1-(VLOOKUP(AH$75,tech_data!$B$2:$O$15,4,FALSE)/100))</f>
        <v>0</v>
      </c>
      <c r="AI89" s="30">
        <f>(indonesia!AI65*3.6/(VLOOKUP(AI$51,tech_data!$B$2:$J$15,4,FALSE)/100))/1000</f>
        <v>0</v>
      </c>
      <c r="AJ89" s="30">
        <f t="shared" si="115"/>
        <v>3520.3481040846514</v>
      </c>
      <c r="AK89" s="30"/>
      <c r="AL89" s="23"/>
    </row>
    <row r="90" spans="1:38" x14ac:dyDescent="0.25">
      <c r="A90" s="19"/>
      <c r="B90" s="20" t="str">
        <f t="shared" ref="B90:C90" si="143">B42</f>
        <v>INDONESIA</v>
      </c>
      <c r="C90" s="20">
        <f t="shared" si="143"/>
        <v>2033</v>
      </c>
      <c r="D90" s="30">
        <f t="shared" si="117"/>
        <v>831.2110040961096</v>
      </c>
      <c r="E90" s="30">
        <f t="shared" si="117"/>
        <v>145.38206083655777</v>
      </c>
      <c r="F90" s="30">
        <f t="shared" si="117"/>
        <v>949.04078870480669</v>
      </c>
      <c r="G90" s="30">
        <f t="shared" si="117"/>
        <v>253.07595774696884</v>
      </c>
      <c r="H90" s="30">
        <f t="shared" si="117"/>
        <v>132.5606319564879</v>
      </c>
      <c r="I90" s="30">
        <f t="shared" si="117"/>
        <v>117.94274827621709</v>
      </c>
      <c r="J90" s="30">
        <f t="shared" si="117"/>
        <v>52.457060353487961</v>
      </c>
      <c r="K90" s="30">
        <f t="shared" si="117"/>
        <v>71.660228073362816</v>
      </c>
      <c r="L90" s="30">
        <f t="shared" si="117"/>
        <v>364.02473367534685</v>
      </c>
      <c r="M90" s="30">
        <f t="shared" si="117"/>
        <v>9.3095454348863882</v>
      </c>
      <c r="N90" s="30">
        <f t="shared" si="117"/>
        <v>0.13475052377263119</v>
      </c>
      <c r="O90" s="30">
        <f t="shared" si="117"/>
        <v>0</v>
      </c>
      <c r="P90" s="30">
        <f>(indonesia!P66*3.6/(VLOOKUP(P$51,tech_data!$B$2:$J$15,4,FALSE)/100))/1000</f>
        <v>0</v>
      </c>
      <c r="Q90" s="30">
        <f t="shared" si="113"/>
        <v>2926.7995096780046</v>
      </c>
      <c r="R90" s="30"/>
      <c r="S90" s="23"/>
      <c r="T90" s="19"/>
      <c r="U90" s="20" t="str">
        <f t="shared" ref="U90:V90" si="144">U42</f>
        <v>INDONESIA</v>
      </c>
      <c r="V90" s="20">
        <f t="shared" si="144"/>
        <v>2033</v>
      </c>
      <c r="W90" s="30">
        <f>D66*(1-(VLOOKUP(W$75,tech_data!$B$2:$O$15,4,FALSE)/100))</f>
        <v>1318.4726271869322</v>
      </c>
      <c r="X90" s="30">
        <f>E66*(1-(VLOOKUP(X$75,tech_data!$B$2:$O$15,4,FALSE)/100))</f>
        <v>262.23119384537989</v>
      </c>
      <c r="Y90" s="30">
        <f>F66*(1-(VLOOKUP(Y$75,tech_data!$B$2:$O$15,4,FALSE)/100))</f>
        <v>677.8862776462903</v>
      </c>
      <c r="Z90" s="30">
        <f>G66*(1-(VLOOKUP(Z$75,tech_data!$B$2:$O$15,4,FALSE)/100))</f>
        <v>297.08916778991994</v>
      </c>
      <c r="AA90" s="30">
        <f>H66*(1-(VLOOKUP(AA$75,tech_data!$B$2:$O$15,4,FALSE)/100))</f>
        <v>849.36997512860762</v>
      </c>
      <c r="AB90" s="30">
        <f>I66*(1-(VLOOKUP(AB$75,tech_data!$B$2:$O$15,4,FALSE)/100))</f>
        <v>6.2075130671693266</v>
      </c>
      <c r="AC90" s="30">
        <f>J66*(1-(VLOOKUP(AC$75,tech_data!$B$2:$O$15,4,FALSE)/100))</f>
        <v>13.114265088371988</v>
      </c>
      <c r="AD90" s="30">
        <f>K66*(1-(VLOOKUP(AD$75,tech_data!$B$2:$O$15,4,FALSE)/100))</f>
        <v>60.194591581624763</v>
      </c>
      <c r="AE90" s="30">
        <f>L66*(1-(VLOOKUP(AE$75,tech_data!$B$2:$O$15,4,FALSE)/100))</f>
        <v>148.15806660586617</v>
      </c>
      <c r="AF90" s="30">
        <f>M66*(1-(VLOOKUP(AF$75,tech_data!$B$2:$O$15,4,FALSE)/100))</f>
        <v>20.721246290553573</v>
      </c>
      <c r="AG90" s="30">
        <f>N66*(1-(VLOOKUP(AG$75,tech_data!$B$2:$O$15,4,FALSE)/100))</f>
        <v>1.1902962933249094E-2</v>
      </c>
      <c r="AH90" s="30">
        <f>O66*(1-(VLOOKUP(AH$75,tech_data!$B$2:$O$15,4,FALSE)/100))</f>
        <v>0</v>
      </c>
      <c r="AI90" s="30">
        <f>(indonesia!AI66*3.6/(VLOOKUP(AI$51,tech_data!$B$2:$J$15,4,FALSE)/100))/1000</f>
        <v>0</v>
      </c>
      <c r="AJ90" s="30">
        <f t="shared" si="115"/>
        <v>3653.4568271936487</v>
      </c>
      <c r="AK90" s="30"/>
      <c r="AL90" s="23"/>
    </row>
    <row r="91" spans="1:38" x14ac:dyDescent="0.25">
      <c r="A91" s="19"/>
      <c r="B91" s="20" t="str">
        <f t="shared" ref="B91:C91" si="145">B43</f>
        <v>INDONESIA</v>
      </c>
      <c r="C91" s="20">
        <f t="shared" si="145"/>
        <v>2034</v>
      </c>
      <c r="D91" s="30">
        <f t="shared" si="117"/>
        <v>875.10163369195254</v>
      </c>
      <c r="E91" s="30">
        <f t="shared" si="117"/>
        <v>145.38206083655777</v>
      </c>
      <c r="F91" s="30">
        <f t="shared" si="117"/>
        <v>1016.6452149674607</v>
      </c>
      <c r="G91" s="30">
        <f t="shared" si="117"/>
        <v>262.96236007238105</v>
      </c>
      <c r="H91" s="30">
        <f t="shared" si="117"/>
        <v>132.5606319564879</v>
      </c>
      <c r="I91" s="30">
        <f t="shared" si="117"/>
        <v>117.94274827621709</v>
      </c>
      <c r="J91" s="30">
        <f t="shared" si="117"/>
        <v>52.457060353487961</v>
      </c>
      <c r="K91" s="30">
        <f t="shared" si="117"/>
        <v>80.776934065530881</v>
      </c>
      <c r="L91" s="30">
        <f t="shared" si="117"/>
        <v>409.92550962323952</v>
      </c>
      <c r="M91" s="30">
        <f t="shared" si="117"/>
        <v>9.3095454348863882</v>
      </c>
      <c r="N91" s="30">
        <f t="shared" si="117"/>
        <v>0.13475052377263119</v>
      </c>
      <c r="O91" s="30">
        <f t="shared" si="117"/>
        <v>0</v>
      </c>
      <c r="P91" s="30">
        <f>(indonesia!P67*3.6/(VLOOKUP(P$51,tech_data!$B$2:$J$15,4,FALSE)/100))/1000</f>
        <v>0</v>
      </c>
      <c r="Q91" s="30">
        <f t="shared" si="113"/>
        <v>3103.1984498019751</v>
      </c>
      <c r="R91" s="30"/>
      <c r="S91" s="23"/>
      <c r="T91" s="19"/>
      <c r="U91" s="20" t="str">
        <f t="shared" ref="U91:V91" si="146">U43</f>
        <v>INDONESIA</v>
      </c>
      <c r="V91" s="20">
        <f t="shared" si="146"/>
        <v>2034</v>
      </c>
      <c r="W91" s="30">
        <f>D67*(1-(VLOOKUP(W$75,tech_data!$B$2:$O$15,4,FALSE)/100))</f>
        <v>1388.0922465458559</v>
      </c>
      <c r="X91" s="30">
        <f>E67*(1-(VLOOKUP(X$75,tech_data!$B$2:$O$15,4,FALSE)/100))</f>
        <v>262.23119384537989</v>
      </c>
      <c r="Y91" s="30">
        <f>F67*(1-(VLOOKUP(Y$75,tech_data!$B$2:$O$15,4,FALSE)/100))</f>
        <v>726.17515354818613</v>
      </c>
      <c r="Z91" s="30">
        <f>G67*(1-(VLOOKUP(Z$75,tech_data!$B$2:$O$15,4,FALSE)/100))</f>
        <v>308.69494443279513</v>
      </c>
      <c r="AA91" s="30">
        <f>H67*(1-(VLOOKUP(AA$75,tech_data!$B$2:$O$15,4,FALSE)/100))</f>
        <v>849.36997512860762</v>
      </c>
      <c r="AB91" s="30">
        <f>I67*(1-(VLOOKUP(AB$75,tech_data!$B$2:$O$15,4,FALSE)/100))</f>
        <v>6.2075130671693266</v>
      </c>
      <c r="AC91" s="30">
        <f>J67*(1-(VLOOKUP(AC$75,tech_data!$B$2:$O$15,4,FALSE)/100))</f>
        <v>13.114265088371988</v>
      </c>
      <c r="AD91" s="30">
        <f>K67*(1-(VLOOKUP(AD$75,tech_data!$B$2:$O$15,4,FALSE)/100))</f>
        <v>67.85262461504594</v>
      </c>
      <c r="AE91" s="30">
        <f>L67*(1-(VLOOKUP(AE$75,tech_data!$B$2:$O$15,4,FALSE)/100))</f>
        <v>166.83968241665849</v>
      </c>
      <c r="AF91" s="30">
        <f>M67*(1-(VLOOKUP(AF$75,tech_data!$B$2:$O$15,4,FALSE)/100))</f>
        <v>20.721246290553573</v>
      </c>
      <c r="AG91" s="30">
        <f>N67*(1-(VLOOKUP(AG$75,tech_data!$B$2:$O$15,4,FALSE)/100))</f>
        <v>1.1902962933249094E-2</v>
      </c>
      <c r="AH91" s="30">
        <f>O67*(1-(VLOOKUP(AH$75,tech_data!$B$2:$O$15,4,FALSE)/100))</f>
        <v>0</v>
      </c>
      <c r="AI91" s="30">
        <f>(indonesia!AI67*3.6/(VLOOKUP(AI$51,tech_data!$B$2:$J$15,4,FALSE)/100))/1000</f>
        <v>0</v>
      </c>
      <c r="AJ91" s="30">
        <f t="shared" si="115"/>
        <v>3809.3107479415571</v>
      </c>
      <c r="AK91" s="30"/>
      <c r="AL91" s="23"/>
    </row>
    <row r="92" spans="1:38" x14ac:dyDescent="0.25">
      <c r="A92" s="19"/>
      <c r="B92" s="20" t="str">
        <f t="shared" ref="B92:C92" si="147">B44</f>
        <v>INDONESIA</v>
      </c>
      <c r="C92" s="20">
        <f t="shared" si="147"/>
        <v>2035</v>
      </c>
      <c r="D92" s="30">
        <f t="shared" si="117"/>
        <v>918.28790905554615</v>
      </c>
      <c r="E92" s="30">
        <f t="shared" si="117"/>
        <v>145.38206083655777</v>
      </c>
      <c r="F92" s="30">
        <f t="shared" si="117"/>
        <v>1084.3229605974905</v>
      </c>
      <c r="G92" s="30">
        <f t="shared" si="117"/>
        <v>272.35243111000193</v>
      </c>
      <c r="H92" s="30">
        <f t="shared" si="117"/>
        <v>132.5606319564879</v>
      </c>
      <c r="I92" s="30">
        <f t="shared" si="117"/>
        <v>117.94274827621709</v>
      </c>
      <c r="J92" s="30">
        <f t="shared" si="117"/>
        <v>52.457060353487961</v>
      </c>
      <c r="K92" s="30">
        <f t="shared" si="117"/>
        <v>90.745411279744047</v>
      </c>
      <c r="L92" s="30">
        <f t="shared" si="117"/>
        <v>456.10439800582452</v>
      </c>
      <c r="M92" s="30">
        <f t="shared" si="117"/>
        <v>9.3095454348863882</v>
      </c>
      <c r="N92" s="30">
        <f t="shared" si="117"/>
        <v>0.13475052377263119</v>
      </c>
      <c r="O92" s="30">
        <f t="shared" si="117"/>
        <v>0</v>
      </c>
      <c r="P92" s="30">
        <f>(indonesia!P68*3.6/(VLOOKUP(P$51,tech_data!$B$2:$J$15,4,FALSE)/100))/1000</f>
        <v>0</v>
      </c>
      <c r="Q92" s="30">
        <f t="shared" si="113"/>
        <v>3279.5999074300162</v>
      </c>
      <c r="R92" s="30"/>
      <c r="S92" s="23"/>
      <c r="T92" s="19"/>
      <c r="U92" s="20" t="str">
        <f t="shared" ref="U92:V92" si="148">U44</f>
        <v>INDONESIA</v>
      </c>
      <c r="V92" s="20">
        <f t="shared" si="148"/>
        <v>2035</v>
      </c>
      <c r="W92" s="30">
        <f>D68*(1-(VLOOKUP(W$75,tech_data!$B$2:$O$15,4,FALSE)/100))</f>
        <v>1456.5946143639696</v>
      </c>
      <c r="X92" s="30">
        <f>E68*(1-(VLOOKUP(X$75,tech_data!$B$2:$O$15,4,FALSE)/100))</f>
        <v>262.23119384537989</v>
      </c>
      <c r="Y92" s="30">
        <f>F68*(1-(VLOOKUP(Y$75,tech_data!$B$2:$O$15,4,FALSE)/100))</f>
        <v>774.51640042677877</v>
      </c>
      <c r="Z92" s="30">
        <f>G68*(1-(VLOOKUP(Z$75,tech_data!$B$2:$O$15,4,FALSE)/100))</f>
        <v>319.71807130304575</v>
      </c>
      <c r="AA92" s="30">
        <f>H68*(1-(VLOOKUP(AA$75,tech_data!$B$2:$O$15,4,FALSE)/100))</f>
        <v>849.36997512860762</v>
      </c>
      <c r="AB92" s="30">
        <f>I68*(1-(VLOOKUP(AB$75,tech_data!$B$2:$O$15,4,FALSE)/100))</f>
        <v>6.2075130671693266</v>
      </c>
      <c r="AC92" s="30">
        <f>J68*(1-(VLOOKUP(AC$75,tech_data!$B$2:$O$15,4,FALSE)/100))</f>
        <v>13.114265088371988</v>
      </c>
      <c r="AD92" s="30">
        <f>K68*(1-(VLOOKUP(AD$75,tech_data!$B$2:$O$15,4,FALSE)/100))</f>
        <v>76.226145474985003</v>
      </c>
      <c r="AE92" s="30">
        <f>L68*(1-(VLOOKUP(AE$75,tech_data!$B$2:$O$15,4,FALSE)/100))</f>
        <v>185.6344899883706</v>
      </c>
      <c r="AF92" s="30">
        <f>M68*(1-(VLOOKUP(AF$75,tech_data!$B$2:$O$15,4,FALSE)/100))</f>
        <v>20.721246290553573</v>
      </c>
      <c r="AG92" s="30">
        <f>N68*(1-(VLOOKUP(AG$75,tech_data!$B$2:$O$15,4,FALSE)/100))</f>
        <v>1.1902962933249094E-2</v>
      </c>
      <c r="AH92" s="30">
        <f>O68*(1-(VLOOKUP(AH$75,tech_data!$B$2:$O$15,4,FALSE)/100))</f>
        <v>0</v>
      </c>
      <c r="AI92" s="30">
        <f>(indonesia!AI68*3.6/(VLOOKUP(AI$51,tech_data!$B$2:$J$15,4,FALSE)/100))/1000</f>
        <v>0</v>
      </c>
      <c r="AJ92" s="30">
        <f t="shared" si="115"/>
        <v>3964.3458179401655</v>
      </c>
      <c r="AK92" s="30"/>
      <c r="AL92" s="23"/>
    </row>
    <row r="93" spans="1:38" x14ac:dyDescent="0.25">
      <c r="A93" s="19"/>
      <c r="B93" s="20" t="str">
        <f t="shared" ref="B93:C93" si="149">B45</f>
        <v>INDONESIA</v>
      </c>
      <c r="C93" s="20">
        <f t="shared" si="149"/>
        <v>2036</v>
      </c>
      <c r="D93" s="30">
        <f t="shared" si="117"/>
        <v>966.77245825212333</v>
      </c>
      <c r="E93" s="30">
        <f t="shared" si="117"/>
        <v>145.38206083655777</v>
      </c>
      <c r="F93" s="30">
        <f t="shared" si="117"/>
        <v>1160.1668320366141</v>
      </c>
      <c r="G93" s="30">
        <f t="shared" si="117"/>
        <v>283.01909477557933</v>
      </c>
      <c r="H93" s="30">
        <f t="shared" si="117"/>
        <v>132.5606319564879</v>
      </c>
      <c r="I93" s="30">
        <f t="shared" si="117"/>
        <v>117.94274827621709</v>
      </c>
      <c r="J93" s="30">
        <f t="shared" si="117"/>
        <v>52.457060353487961</v>
      </c>
      <c r="K93" s="30">
        <f t="shared" si="117"/>
        <v>102.26929194606903</v>
      </c>
      <c r="L93" s="30">
        <f t="shared" si="117"/>
        <v>507.58542531926247</v>
      </c>
      <c r="M93" s="30">
        <f t="shared" si="117"/>
        <v>9.3095454348863882</v>
      </c>
      <c r="N93" s="30">
        <f t="shared" si="117"/>
        <v>0.13475052377263119</v>
      </c>
      <c r="O93" s="30">
        <f t="shared" si="117"/>
        <v>0</v>
      </c>
      <c r="P93" s="30">
        <f>(indonesia!P69*3.6/(VLOOKUP(P$51,tech_data!$B$2:$J$15,4,FALSE)/100))/1000</f>
        <v>0</v>
      </c>
      <c r="Q93" s="30">
        <f t="shared" si="113"/>
        <v>3477.5998997110578</v>
      </c>
      <c r="R93" s="30"/>
      <c r="S93" s="23"/>
      <c r="T93" s="19"/>
      <c r="U93" s="20" t="str">
        <f t="shared" ref="U93:V93" si="150">U45</f>
        <v>INDONESIA</v>
      </c>
      <c r="V93" s="20">
        <f t="shared" si="150"/>
        <v>2036</v>
      </c>
      <c r="W93" s="30">
        <f>D69*(1-(VLOOKUP(W$75,tech_data!$B$2:$O$15,4,FALSE)/100))</f>
        <v>1533.5011406757819</v>
      </c>
      <c r="X93" s="30">
        <f>E69*(1-(VLOOKUP(X$75,tech_data!$B$2:$O$15,4,FALSE)/100))</f>
        <v>262.23119384537989</v>
      </c>
      <c r="Y93" s="30">
        <f>F69*(1-(VLOOKUP(Y$75,tech_data!$B$2:$O$15,4,FALSE)/100))</f>
        <v>828.69059431186713</v>
      </c>
      <c r="Z93" s="30">
        <f>G69*(1-(VLOOKUP(Z$75,tech_data!$B$2:$O$15,4,FALSE)/100))</f>
        <v>332.23980691046279</v>
      </c>
      <c r="AA93" s="30">
        <f>H69*(1-(VLOOKUP(AA$75,tech_data!$B$2:$O$15,4,FALSE)/100))</f>
        <v>849.36997512860762</v>
      </c>
      <c r="AB93" s="30">
        <f>I69*(1-(VLOOKUP(AB$75,tech_data!$B$2:$O$15,4,FALSE)/100))</f>
        <v>6.2075130671693266</v>
      </c>
      <c r="AC93" s="30">
        <f>J69*(1-(VLOOKUP(AC$75,tech_data!$B$2:$O$15,4,FALSE)/100))</f>
        <v>13.114265088371988</v>
      </c>
      <c r="AD93" s="30">
        <f>K69*(1-(VLOOKUP(AD$75,tech_data!$B$2:$O$15,4,FALSE)/100))</f>
        <v>85.906205234697978</v>
      </c>
      <c r="AE93" s="30">
        <f>L69*(1-(VLOOKUP(AE$75,tech_data!$B$2:$O$15,4,FALSE)/100))</f>
        <v>206.58726810493985</v>
      </c>
      <c r="AF93" s="30">
        <f>M69*(1-(VLOOKUP(AF$75,tech_data!$B$2:$O$15,4,FALSE)/100))</f>
        <v>20.721246290553573</v>
      </c>
      <c r="AG93" s="30">
        <f>N69*(1-(VLOOKUP(AG$75,tech_data!$B$2:$O$15,4,FALSE)/100))</f>
        <v>1.1902962933249094E-2</v>
      </c>
      <c r="AH93" s="30">
        <f>O69*(1-(VLOOKUP(AH$75,tech_data!$B$2:$O$15,4,FALSE)/100))</f>
        <v>0</v>
      </c>
      <c r="AI93" s="30">
        <f>(indonesia!AI69*3.6/(VLOOKUP(AI$51,tech_data!$B$2:$J$15,4,FALSE)/100))/1000</f>
        <v>0</v>
      </c>
      <c r="AJ93" s="30">
        <f t="shared" si="115"/>
        <v>4138.5811116207651</v>
      </c>
      <c r="AK93" s="30"/>
      <c r="AL93" s="23"/>
    </row>
    <row r="94" spans="1:38" x14ac:dyDescent="0.25">
      <c r="A94" s="19"/>
      <c r="B94" s="20" t="str">
        <f t="shared" ref="B94:C94" si="151">B46</f>
        <v>INDONESIA</v>
      </c>
      <c r="C94" s="20">
        <f t="shared" si="151"/>
        <v>2037</v>
      </c>
      <c r="D94" s="30">
        <f t="shared" si="117"/>
        <v>1016.452677561471</v>
      </c>
      <c r="E94" s="30">
        <f t="shared" si="117"/>
        <v>145.38206083655777</v>
      </c>
      <c r="F94" s="30">
        <f t="shared" si="117"/>
        <v>1238.7769689209979</v>
      </c>
      <c r="G94" s="30">
        <f t="shared" si="117"/>
        <v>293.72471718941551</v>
      </c>
      <c r="H94" s="30">
        <f t="shared" si="117"/>
        <v>132.5606319564879</v>
      </c>
      <c r="I94" s="30">
        <f t="shared" si="117"/>
        <v>117.94274827621709</v>
      </c>
      <c r="J94" s="30">
        <f t="shared" si="117"/>
        <v>52.457060353487961</v>
      </c>
      <c r="K94" s="30">
        <f t="shared" si="117"/>
        <v>115.0912025881223</v>
      </c>
      <c r="L94" s="30">
        <f t="shared" si="117"/>
        <v>560.9675003345809</v>
      </c>
      <c r="M94" s="30">
        <f t="shared" si="117"/>
        <v>9.3095454348863882</v>
      </c>
      <c r="N94" s="30">
        <f t="shared" si="117"/>
        <v>0.13475052377263119</v>
      </c>
      <c r="O94" s="30">
        <f t="shared" si="117"/>
        <v>0</v>
      </c>
      <c r="P94" s="30">
        <f>(indonesia!P70*3.6/(VLOOKUP(P$51,tech_data!$B$2:$J$15,4,FALSE)/100))/1000</f>
        <v>0</v>
      </c>
      <c r="Q94" s="30">
        <f t="shared" si="113"/>
        <v>3682.7998639759971</v>
      </c>
      <c r="R94" s="30"/>
      <c r="S94" s="23"/>
      <c r="T94" s="19"/>
      <c r="U94" s="20" t="str">
        <f t="shared" ref="U94:V94" si="152">U46</f>
        <v>INDONESIA</v>
      </c>
      <c r="V94" s="20">
        <f t="shared" si="152"/>
        <v>2037</v>
      </c>
      <c r="W94" s="30">
        <f>D70*(1-(VLOOKUP(W$75,tech_data!$B$2:$O$15,4,FALSE)/100))</f>
        <v>1612.3042471664712</v>
      </c>
      <c r="X94" s="30">
        <f>E70*(1-(VLOOKUP(X$75,tech_data!$B$2:$O$15,4,FALSE)/100))</f>
        <v>262.23119384537989</v>
      </c>
      <c r="Y94" s="30">
        <f>F70*(1-(VLOOKUP(Y$75,tech_data!$B$2:$O$15,4,FALSE)/100))</f>
        <v>884.840692086427</v>
      </c>
      <c r="Z94" s="30">
        <f>G70*(1-(VLOOKUP(Z$75,tech_data!$B$2:$O$15,4,FALSE)/100))</f>
        <v>344.80727670061822</v>
      </c>
      <c r="AA94" s="30">
        <f>H70*(1-(VLOOKUP(AA$75,tech_data!$B$2:$O$15,4,FALSE)/100))</f>
        <v>849.36997512860762</v>
      </c>
      <c r="AB94" s="30">
        <f>I70*(1-(VLOOKUP(AB$75,tech_data!$B$2:$O$15,4,FALSE)/100))</f>
        <v>6.2075130671693266</v>
      </c>
      <c r="AC94" s="30">
        <f>J70*(1-(VLOOKUP(AC$75,tech_data!$B$2:$O$15,4,FALSE)/100))</f>
        <v>13.114265088371988</v>
      </c>
      <c r="AD94" s="30">
        <f>K70*(1-(VLOOKUP(AD$75,tech_data!$B$2:$O$15,4,FALSE)/100))</f>
        <v>96.676610174022727</v>
      </c>
      <c r="AE94" s="30">
        <f>L70*(1-(VLOOKUP(AE$75,tech_data!$B$2:$O$15,4,FALSE)/100))</f>
        <v>228.31377263617443</v>
      </c>
      <c r="AF94" s="30">
        <f>M70*(1-(VLOOKUP(AF$75,tech_data!$B$2:$O$15,4,FALSE)/100))</f>
        <v>20.721246290553573</v>
      </c>
      <c r="AG94" s="30">
        <f>N70*(1-(VLOOKUP(AG$75,tech_data!$B$2:$O$15,4,FALSE)/100))</f>
        <v>1.1902962933249094E-2</v>
      </c>
      <c r="AH94" s="30">
        <f>O70*(1-(VLOOKUP(AH$75,tech_data!$B$2:$O$15,4,FALSE)/100))</f>
        <v>0</v>
      </c>
      <c r="AI94" s="30">
        <f>(indonesia!AI70*3.6/(VLOOKUP(AI$51,tech_data!$B$2:$J$15,4,FALSE)/100))/1000</f>
        <v>0</v>
      </c>
      <c r="AJ94" s="30">
        <f t="shared" si="115"/>
        <v>4318.5986951467294</v>
      </c>
      <c r="AK94" s="30"/>
      <c r="AL94" s="23"/>
    </row>
    <row r="95" spans="1:38" x14ac:dyDescent="0.25">
      <c r="A95" s="19"/>
      <c r="B95" s="20" t="str">
        <f t="shared" ref="B95:C95" si="153">B47</f>
        <v>INDONESIA</v>
      </c>
      <c r="C95" s="20">
        <f t="shared" si="153"/>
        <v>2038</v>
      </c>
      <c r="D95" s="30">
        <f t="shared" si="117"/>
        <v>1074.1894113090543</v>
      </c>
      <c r="E95" s="30">
        <f t="shared" si="117"/>
        <v>186.97364890727638</v>
      </c>
      <c r="F95" s="30">
        <f t="shared" si="117"/>
        <v>1288.0348261402637</v>
      </c>
      <c r="G95" s="30">
        <f t="shared" si="117"/>
        <v>306.42102558088396</v>
      </c>
      <c r="H95" s="30">
        <f t="shared" si="117"/>
        <v>132.5606319564879</v>
      </c>
      <c r="I95" s="30">
        <f t="shared" si="117"/>
        <v>117.94274827621709</v>
      </c>
      <c r="J95" s="30">
        <f t="shared" si="117"/>
        <v>100.94470964563791</v>
      </c>
      <c r="K95" s="30">
        <f t="shared" si="117"/>
        <v>130.1759495980827</v>
      </c>
      <c r="L95" s="30">
        <f t="shared" si="117"/>
        <v>573.7120639743838</v>
      </c>
      <c r="M95" s="30">
        <f t="shared" si="117"/>
        <v>9.3095454348863882</v>
      </c>
      <c r="N95" s="30">
        <f t="shared" si="117"/>
        <v>0.13475052377263119</v>
      </c>
      <c r="O95" s="30">
        <f t="shared" si="117"/>
        <v>0</v>
      </c>
      <c r="P95" s="30">
        <f>(indonesia!P71*3.6/(VLOOKUP(P$51,tech_data!$B$2:$J$15,4,FALSE)/100))/1000</f>
        <v>0</v>
      </c>
      <c r="Q95" s="30">
        <f t="shared" si="113"/>
        <v>3920.3993113469469</v>
      </c>
      <c r="R95" s="30"/>
      <c r="S95" s="23"/>
      <c r="T95" s="19"/>
      <c r="U95" s="20" t="str">
        <f t="shared" ref="U95:V95" si="154">U47</f>
        <v>INDONESIA</v>
      </c>
      <c r="V95" s="20">
        <f t="shared" si="154"/>
        <v>2038</v>
      </c>
      <c r="W95" s="30">
        <f>D71*(1-(VLOOKUP(W$75,tech_data!$B$2:$O$15,4,FALSE)/100))</f>
        <v>1703.8866524212585</v>
      </c>
      <c r="X95" s="30">
        <f>E71*(1-(VLOOKUP(X$75,tech_data!$B$2:$O$15,4,FALSE)/100))</f>
        <v>337.25153494490047</v>
      </c>
      <c r="Y95" s="30">
        <f>F71*(1-(VLOOKUP(Y$75,tech_data!$B$2:$O$15,4,FALSE)/100))</f>
        <v>920.02487581447394</v>
      </c>
      <c r="Z95" s="30">
        <f>G71*(1-(VLOOKUP(Z$75,tech_data!$B$2:$O$15,4,FALSE)/100))</f>
        <v>359.71163872538551</v>
      </c>
      <c r="AA95" s="30">
        <f>H71*(1-(VLOOKUP(AA$75,tech_data!$B$2:$O$15,4,FALSE)/100))</f>
        <v>849.36997512860762</v>
      </c>
      <c r="AB95" s="30">
        <f>I71*(1-(VLOOKUP(AB$75,tech_data!$B$2:$O$15,4,FALSE)/100))</f>
        <v>6.2075130671693266</v>
      </c>
      <c r="AC95" s="30">
        <f>J71*(1-(VLOOKUP(AC$75,tech_data!$B$2:$O$15,4,FALSE)/100))</f>
        <v>25.236177411409471</v>
      </c>
      <c r="AD95" s="30">
        <f>K71*(1-(VLOOKUP(AD$75,tech_data!$B$2:$O$15,4,FALSE)/100))</f>
        <v>109.34779766238945</v>
      </c>
      <c r="AE95" s="30">
        <f>L71*(1-(VLOOKUP(AE$75,tech_data!$B$2:$O$15,4,FALSE)/100))</f>
        <v>233.50081003757421</v>
      </c>
      <c r="AF95" s="30">
        <f>M71*(1-(VLOOKUP(AF$75,tech_data!$B$2:$O$15,4,FALSE)/100))</f>
        <v>20.721246290553573</v>
      </c>
      <c r="AG95" s="30">
        <f>N71*(1-(VLOOKUP(AG$75,tech_data!$B$2:$O$15,4,FALSE)/100))</f>
        <v>1.1902962933249094E-2</v>
      </c>
      <c r="AH95" s="30">
        <f>O71*(1-(VLOOKUP(AH$75,tech_data!$B$2:$O$15,4,FALSE)/100))</f>
        <v>0</v>
      </c>
      <c r="AI95" s="30">
        <f>(indonesia!AI71*3.6/(VLOOKUP(AI$51,tech_data!$B$2:$J$15,4,FALSE)/100))/1000</f>
        <v>0</v>
      </c>
      <c r="AJ95" s="30">
        <f t="shared" si="115"/>
        <v>4565.2701244666559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C5F9-B293-4E65-818A-ECBC2382B130}">
  <sheetPr codeName="Sheet8"/>
  <dimension ref="A1:CF96"/>
  <sheetViews>
    <sheetView zoomScale="85" zoomScaleNormal="85" workbookViewId="0">
      <selection activeCell="I17" sqref="I17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proj_rukn!A22</f>
        <v>SUMATERA</v>
      </c>
      <c r="C4" s="20">
        <f>proj_rukn!B22</f>
        <v>2019</v>
      </c>
      <c r="D4" s="30">
        <f>existing_capacity!C3</f>
        <v>5328.13</v>
      </c>
      <c r="E4" s="30">
        <f>existing_capacity!D3</f>
        <v>1253.6999999999998</v>
      </c>
      <c r="F4" s="30">
        <f>existing_capacity!E3</f>
        <v>1289.43</v>
      </c>
      <c r="G4" s="30">
        <f>existing_capacity!F3</f>
        <v>2494.56</v>
      </c>
      <c r="H4" s="30">
        <f>existing_capacity!G3</f>
        <v>677</v>
      </c>
      <c r="I4" s="30">
        <f>existing_capacity!H3</f>
        <v>1959.96</v>
      </c>
      <c r="J4" s="30">
        <f>existing_capacity!I3</f>
        <v>70.260000000000005</v>
      </c>
      <c r="K4" s="30">
        <f>existing_capacity!J3</f>
        <v>1.1300000000000001</v>
      </c>
      <c r="L4" s="30">
        <f>existing_capacity!K3</f>
        <v>0</v>
      </c>
      <c r="M4" s="30">
        <f>existing_capacity!L3</f>
        <v>36.599999999999994</v>
      </c>
      <c r="N4" s="30">
        <f>existing_capacity!M3</f>
        <v>0</v>
      </c>
      <c r="O4" s="30">
        <f>existing_capacity!N3</f>
        <v>0</v>
      </c>
      <c r="P4" s="30">
        <v>0</v>
      </c>
      <c r="Q4" s="30">
        <f>SUM(D4:O4)</f>
        <v>13110.769999999999</v>
      </c>
      <c r="R4" s="30"/>
      <c r="S4" s="36"/>
      <c r="T4" s="19"/>
      <c r="U4" s="20" t="str">
        <f t="shared" ref="U4:V23" si="0">B4</f>
        <v>SUMATERA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SUMATERA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potential!G3</f>
        <v>9679</v>
      </c>
      <c r="AV4" s="30">
        <f>potential!H3</f>
        <v>15579</v>
      </c>
      <c r="AW4" s="30">
        <f>potential!I3</f>
        <v>5734</v>
      </c>
      <c r="AX4" s="30">
        <f>potential!J3</f>
        <v>68749</v>
      </c>
      <c r="AY4" s="30">
        <f>potential!K3</f>
        <v>7397</v>
      </c>
      <c r="AZ4" s="30">
        <f>potential!L3</f>
        <v>15589</v>
      </c>
      <c r="BA4" s="30">
        <f>potential!M3</f>
        <v>6027</v>
      </c>
      <c r="BB4" s="30">
        <v>999</v>
      </c>
      <c r="BC4" s="30">
        <v>999</v>
      </c>
      <c r="BD4" s="30">
        <f t="shared" ref="BD4:BD23" si="3">SUM(AU4:BA4)</f>
        <v>128754</v>
      </c>
      <c r="BF4" s="23"/>
      <c r="BG4" s="19"/>
      <c r="BH4" s="20" t="str">
        <f>AO4</f>
        <v>SUMATERA</v>
      </c>
      <c r="BI4" s="20">
        <f>AP4</f>
        <v>2019</v>
      </c>
      <c r="BJ4" s="25">
        <f t="shared" ref="BJ4:BJ22" si="4">SUM(K28:L28,N28)/Q28</f>
        <v>3.510068412253982E-5</v>
      </c>
      <c r="BK4" s="43">
        <f t="shared" ref="BK4:BK23" si="5">$BO$5+((BJ4-$BN$5)*($BO$6-$BO$5)/($BN$6-$BN$5))</f>
        <v>2.7269740153028913E-4</v>
      </c>
      <c r="BL4" s="34">
        <f>BK4*Q28*1000</f>
        <v>16149.804261856876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SUMATERA</v>
      </c>
      <c r="C5" s="20">
        <f>C4+1</f>
        <v>2020</v>
      </c>
      <c r="D5" s="30">
        <f>D4+W5</f>
        <v>5620.9312904661601</v>
      </c>
      <c r="E5" s="30">
        <f t="shared" ref="E5:O5" si="6">E4+X5</f>
        <v>1253.6999999999998</v>
      </c>
      <c r="F5" s="30">
        <f t="shared" si="6"/>
        <v>2267.4714495312837</v>
      </c>
      <c r="G5" s="30">
        <f t="shared" si="6"/>
        <v>2494.56</v>
      </c>
      <c r="H5" s="30">
        <f t="shared" si="6"/>
        <v>677</v>
      </c>
      <c r="I5" s="30">
        <f t="shared" si="6"/>
        <v>2104.0843791711036</v>
      </c>
      <c r="J5" s="30">
        <f t="shared" si="6"/>
        <v>204.17234962042568</v>
      </c>
      <c r="K5" s="30">
        <f t="shared" si="6"/>
        <v>446.31824511809629</v>
      </c>
      <c r="L5" s="30">
        <f t="shared" si="6"/>
        <v>98.265118814329995</v>
      </c>
      <c r="M5" s="30">
        <f t="shared" si="6"/>
        <v>36.599999999999994</v>
      </c>
      <c r="N5" s="30">
        <f t="shared" si="6"/>
        <v>1.7841139784521141</v>
      </c>
      <c r="O5" s="30">
        <f t="shared" si="6"/>
        <v>0</v>
      </c>
      <c r="P5" s="30">
        <f>BL5/((VLOOKUP(P$3,tech_data!$B$2:$G$15,6,FALSE)/100)*24*365)</f>
        <v>4.6224023738190301</v>
      </c>
      <c r="Q5" s="30">
        <f t="shared" ref="Q5:Q23" si="7">SUM(D5:O5)</f>
        <v>15204.886946699851</v>
      </c>
      <c r="R5" s="30"/>
      <c r="S5" s="36"/>
      <c r="T5" s="19"/>
      <c r="U5" s="20" t="str">
        <f t="shared" si="0"/>
        <v>SUMATERA</v>
      </c>
      <c r="V5" s="20">
        <f t="shared" si="0"/>
        <v>2020</v>
      </c>
      <c r="W5" s="30">
        <v>292.80129046616031</v>
      </c>
      <c r="X5" s="30">
        <v>0</v>
      </c>
      <c r="Y5" s="30">
        <v>978.04144953128377</v>
      </c>
      <c r="Z5" s="30">
        <v>0</v>
      </c>
      <c r="AA5" s="30">
        <v>0</v>
      </c>
      <c r="AB5" s="30">
        <v>144.12437917110367</v>
      </c>
      <c r="AC5" s="30">
        <v>133.91234962042569</v>
      </c>
      <c r="AD5" s="30">
        <v>445.18824511809629</v>
      </c>
      <c r="AE5" s="30">
        <v>98.265118814329995</v>
      </c>
      <c r="AF5" s="30">
        <v>0</v>
      </c>
      <c r="AG5" s="30">
        <v>1.7841139784521141</v>
      </c>
      <c r="AH5" s="30">
        <v>0</v>
      </c>
      <c r="AI5" s="30">
        <f t="shared" ref="AI5:AI23" si="8">IF(P5&gt;=P4, P5-P4, 0)</f>
        <v>4.6224023738190301</v>
      </c>
      <c r="AJ5" s="34">
        <f t="shared" si="1"/>
        <v>2098.7393490736713</v>
      </c>
      <c r="AM5" s="23"/>
      <c r="AO5" s="20" t="str">
        <f t="shared" si="2"/>
        <v>SUMATERA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9679</v>
      </c>
      <c r="AV5" s="30">
        <f t="shared" si="9"/>
        <v>15434.875620828896</v>
      </c>
      <c r="AW5" s="30">
        <f t="shared" si="9"/>
        <v>5600.0876503795744</v>
      </c>
      <c r="AX5" s="30">
        <f t="shared" si="9"/>
        <v>68303.811754881899</v>
      </c>
      <c r="AY5" s="30">
        <f t="shared" si="9"/>
        <v>7298.73488118567</v>
      </c>
      <c r="AZ5" s="30">
        <f t="shared" si="9"/>
        <v>15589</v>
      </c>
      <c r="BA5" s="30">
        <f t="shared" si="9"/>
        <v>6025.2158860215477</v>
      </c>
      <c r="BB5" s="30">
        <v>999</v>
      </c>
      <c r="BC5" s="30">
        <v>999</v>
      </c>
      <c r="BD5" s="30">
        <f t="shared" si="3"/>
        <v>127930.72579329758</v>
      </c>
      <c r="BF5" s="23"/>
      <c r="BG5" s="19"/>
      <c r="BH5" s="20" t="str">
        <f t="shared" ref="BH5:BI23" si="10">AO5</f>
        <v>SUMATERA</v>
      </c>
      <c r="BI5" s="20">
        <f t="shared" si="10"/>
        <v>2020</v>
      </c>
      <c r="BJ5" s="25">
        <f t="shared" si="4"/>
        <v>1.7124544316020528E-2</v>
      </c>
      <c r="BK5" s="43">
        <f t="shared" si="5"/>
        <v>2.764688649525011E-4</v>
      </c>
      <c r="BL5" s="34">
        <f t="shared" ref="BL5:BL23" si="11">BK5*Q29*1000</f>
        <v>18221.510157594617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SUMATERA</v>
      </c>
      <c r="C6" s="20">
        <f t="shared" ref="C6:C23" si="13">C5+1</f>
        <v>2021</v>
      </c>
      <c r="D6" s="30">
        <f t="shared" ref="D6:O21" si="14">D5+W6</f>
        <v>5784.8864693317755</v>
      </c>
      <c r="E6" s="30">
        <f t="shared" ref="E6:O20" si="15">E5+X6</f>
        <v>1253.6999999999998</v>
      </c>
      <c r="F6" s="30">
        <f t="shared" si="15"/>
        <v>3941.2388959066529</v>
      </c>
      <c r="G6" s="30">
        <f t="shared" si="15"/>
        <v>2494.5600006307609</v>
      </c>
      <c r="H6" s="30">
        <f t="shared" si="15"/>
        <v>677</v>
      </c>
      <c r="I6" s="30">
        <f t="shared" si="15"/>
        <v>2104.0843791711036</v>
      </c>
      <c r="J6" s="30">
        <f t="shared" si="15"/>
        <v>204.17234962042568</v>
      </c>
      <c r="K6" s="30">
        <f t="shared" si="15"/>
        <v>446.31824511809629</v>
      </c>
      <c r="L6" s="30">
        <f t="shared" si="15"/>
        <v>240.29038508063019</v>
      </c>
      <c r="M6" s="30">
        <f t="shared" si="15"/>
        <v>36.599999999999994</v>
      </c>
      <c r="N6" s="30">
        <f t="shared" si="15"/>
        <v>1.7841139784521141</v>
      </c>
      <c r="O6" s="30">
        <f t="shared" si="15"/>
        <v>0</v>
      </c>
      <c r="P6" s="30">
        <f>BL6/((VLOOKUP(P$3,tech_data!$B$2:$G$15,6,FALSE)/100)*24*365)</f>
        <v>5.0525001987992937</v>
      </c>
      <c r="Q6" s="30">
        <f t="shared" si="7"/>
        <v>17184.63483883789</v>
      </c>
      <c r="R6" s="30"/>
      <c r="S6" s="36"/>
      <c r="T6" s="19"/>
      <c r="U6" s="20" t="str">
        <f t="shared" si="0"/>
        <v>SUMATERA</v>
      </c>
      <c r="V6" s="20">
        <f t="shared" si="0"/>
        <v>2021</v>
      </c>
      <c r="W6" s="30">
        <v>163.95517886561498</v>
      </c>
      <c r="X6" s="30">
        <v>0</v>
      </c>
      <c r="Y6" s="30">
        <v>1673.767446375369</v>
      </c>
      <c r="Z6" s="30">
        <v>6.3076106691215778E-7</v>
      </c>
      <c r="AA6" s="30">
        <v>0</v>
      </c>
      <c r="AB6" s="30">
        <v>0</v>
      </c>
      <c r="AC6" s="30">
        <v>0</v>
      </c>
      <c r="AD6" s="30">
        <v>0</v>
      </c>
      <c r="AE6" s="30">
        <v>142.02526626630021</v>
      </c>
      <c r="AF6" s="30">
        <v>0</v>
      </c>
      <c r="AG6" s="30">
        <v>0</v>
      </c>
      <c r="AH6" s="30">
        <v>0</v>
      </c>
      <c r="AI6" s="30">
        <f t="shared" si="8"/>
        <v>0.43009782498026361</v>
      </c>
      <c r="AJ6" s="34">
        <f t="shared" si="1"/>
        <v>1980.1779899630255</v>
      </c>
      <c r="AM6" s="23"/>
      <c r="AO6" s="20" t="str">
        <f t="shared" si="2"/>
        <v>SUMATERA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9679</v>
      </c>
      <c r="AV6" s="30">
        <f t="shared" si="9"/>
        <v>15434.875620828896</v>
      </c>
      <c r="AW6" s="30">
        <f t="shared" si="9"/>
        <v>5600.0876503795744</v>
      </c>
      <c r="AX6" s="30">
        <f t="shared" si="9"/>
        <v>68303.811754881899</v>
      </c>
      <c r="AY6" s="30">
        <f t="shared" si="9"/>
        <v>7156.7096149193694</v>
      </c>
      <c r="AZ6" s="30">
        <f t="shared" si="9"/>
        <v>15589</v>
      </c>
      <c r="BA6" s="30">
        <f t="shared" si="9"/>
        <v>6025.2158860215477</v>
      </c>
      <c r="BB6" s="30">
        <v>999</v>
      </c>
      <c r="BC6" s="30">
        <v>999</v>
      </c>
      <c r="BD6" s="30">
        <f t="shared" si="3"/>
        <v>127788.70052703128</v>
      </c>
      <c r="BF6" s="23"/>
      <c r="BG6" s="19"/>
      <c r="BH6" s="20" t="str">
        <f t="shared" si="10"/>
        <v>SUMATERA</v>
      </c>
      <c r="BI6" s="20">
        <f t="shared" si="10"/>
        <v>2021</v>
      </c>
      <c r="BJ6" s="25">
        <f t="shared" si="4"/>
        <v>2.1811477514895348E-2</v>
      </c>
      <c r="BK6" s="43">
        <f t="shared" si="5"/>
        <v>2.7750322262397694E-4</v>
      </c>
      <c r="BL6" s="34">
        <f t="shared" si="11"/>
        <v>19916.955783666817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SUMATERA</v>
      </c>
      <c r="C7" s="20">
        <f t="shared" si="13"/>
        <v>2022</v>
      </c>
      <c r="D7" s="30">
        <f t="shared" si="14"/>
        <v>5908.493350906143</v>
      </c>
      <c r="E7" s="30">
        <f t="shared" si="15"/>
        <v>1253.6999999999998</v>
      </c>
      <c r="F7" s="30">
        <f t="shared" si="15"/>
        <v>5852.9215596573549</v>
      </c>
      <c r="G7" s="30">
        <f t="shared" si="15"/>
        <v>2527.7937346479766</v>
      </c>
      <c r="H7" s="30">
        <f t="shared" si="15"/>
        <v>677</v>
      </c>
      <c r="I7" s="30">
        <f t="shared" si="15"/>
        <v>2104.0843791711036</v>
      </c>
      <c r="J7" s="30">
        <f t="shared" si="15"/>
        <v>204.17234962042568</v>
      </c>
      <c r="K7" s="30">
        <f t="shared" si="15"/>
        <v>446.31824511809629</v>
      </c>
      <c r="L7" s="30">
        <f t="shared" si="15"/>
        <v>240.29038508063019</v>
      </c>
      <c r="M7" s="30">
        <f t="shared" si="15"/>
        <v>36.599999999999994</v>
      </c>
      <c r="N7" s="30">
        <f t="shared" si="15"/>
        <v>1.7841139784521141</v>
      </c>
      <c r="O7" s="30">
        <f t="shared" si="15"/>
        <v>0</v>
      </c>
      <c r="P7" s="30">
        <f>BL7/((VLOOKUP(P$3,tech_data!$B$2:$G$15,6,FALSE)/100)*24*365)</f>
        <v>5.4714281726709872</v>
      </c>
      <c r="Q7" s="30">
        <f t="shared" si="7"/>
        <v>19253.158118180178</v>
      </c>
      <c r="R7" s="30"/>
      <c r="S7" s="36"/>
      <c r="T7" s="19"/>
      <c r="U7" s="20" t="str">
        <f t="shared" si="0"/>
        <v>SUMATERA</v>
      </c>
      <c r="V7" s="20">
        <f t="shared" si="0"/>
        <v>2022</v>
      </c>
      <c r="W7" s="30">
        <v>123.60688157436731</v>
      </c>
      <c r="X7" s="30">
        <v>0</v>
      </c>
      <c r="Y7" s="30">
        <v>1911.6826637507022</v>
      </c>
      <c r="Z7" s="30">
        <v>33.233734017215582</v>
      </c>
      <c r="AA7" s="30">
        <v>0</v>
      </c>
      <c r="AB7" s="30">
        <v>0</v>
      </c>
      <c r="AC7" s="30">
        <v>0</v>
      </c>
      <c r="AD7" s="30">
        <v>0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0.41892797387169356</v>
      </c>
      <c r="AJ7" s="34">
        <f t="shared" si="1"/>
        <v>2068.9422073161568</v>
      </c>
      <c r="AM7" s="23"/>
      <c r="AO7" s="20" t="str">
        <f t="shared" si="2"/>
        <v>SUMATERA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9679</v>
      </c>
      <c r="AV7" s="30">
        <f t="shared" si="9"/>
        <v>15434.875620828896</v>
      </c>
      <c r="AW7" s="30">
        <f t="shared" si="9"/>
        <v>5600.0876503795744</v>
      </c>
      <c r="AX7" s="30">
        <f t="shared" si="9"/>
        <v>68303.811754881899</v>
      </c>
      <c r="AY7" s="30">
        <f t="shared" si="9"/>
        <v>7156.7096149193694</v>
      </c>
      <c r="AZ7" s="30">
        <f t="shared" si="9"/>
        <v>15589</v>
      </c>
      <c r="BA7" s="30">
        <f t="shared" si="9"/>
        <v>6025.2158860215477</v>
      </c>
      <c r="BB7" s="30">
        <v>999</v>
      </c>
      <c r="BC7" s="30">
        <v>999</v>
      </c>
      <c r="BD7" s="30">
        <f t="shared" si="3"/>
        <v>127788.70052703128</v>
      </c>
      <c r="BF7" s="23"/>
      <c r="BG7" s="19"/>
      <c r="BH7" s="20" t="str">
        <f t="shared" si="10"/>
        <v>SUMATERA</v>
      </c>
      <c r="BI7" s="20">
        <f t="shared" si="10"/>
        <v>2022</v>
      </c>
      <c r="BJ7" s="25">
        <f t="shared" si="4"/>
        <v>2.0114263802662652E-2</v>
      </c>
      <c r="BK7" s="43">
        <f t="shared" si="5"/>
        <v>2.7712866511507041E-4</v>
      </c>
      <c r="BL7" s="34">
        <f t="shared" si="11"/>
        <v>21568.369856669033</v>
      </c>
      <c r="BP7" s="23"/>
    </row>
    <row r="8" spans="1:68" x14ac:dyDescent="0.25">
      <c r="A8" s="19"/>
      <c r="B8" s="20" t="str">
        <f t="shared" si="12"/>
        <v>SUMATERA</v>
      </c>
      <c r="C8" s="20">
        <f t="shared" si="13"/>
        <v>2023</v>
      </c>
      <c r="D8" s="30">
        <f t="shared" si="14"/>
        <v>6025.0203136787341</v>
      </c>
      <c r="E8" s="30">
        <f t="shared" si="15"/>
        <v>1253.6999999999998</v>
      </c>
      <c r="F8" s="30">
        <f t="shared" si="15"/>
        <v>8056.2033411085295</v>
      </c>
      <c r="G8" s="30">
        <f t="shared" si="15"/>
        <v>2527.7937346479766</v>
      </c>
      <c r="H8" s="30">
        <f t="shared" si="15"/>
        <v>677</v>
      </c>
      <c r="I8" s="30">
        <f t="shared" si="15"/>
        <v>2104.0843791711036</v>
      </c>
      <c r="J8" s="30">
        <f t="shared" si="15"/>
        <v>204.17234962042568</v>
      </c>
      <c r="K8" s="30">
        <f t="shared" si="15"/>
        <v>446.31824511809629</v>
      </c>
      <c r="L8" s="30">
        <f t="shared" si="15"/>
        <v>269.67876009565214</v>
      </c>
      <c r="M8" s="30">
        <f t="shared" si="15"/>
        <v>36.599999999999994</v>
      </c>
      <c r="N8" s="30">
        <f t="shared" si="15"/>
        <v>1.7841139784521141</v>
      </c>
      <c r="O8" s="30">
        <f t="shared" si="15"/>
        <v>0</v>
      </c>
      <c r="P8" s="30">
        <f>BL8/((VLOOKUP(P$3,tech_data!$B$2:$G$15,6,FALSE)/100)*24*365)</f>
        <v>5.9436298178255527</v>
      </c>
      <c r="Q8" s="30">
        <f t="shared" si="7"/>
        <v>21602.355237418968</v>
      </c>
      <c r="R8" s="30"/>
      <c r="S8" s="36"/>
      <c r="T8" s="19"/>
      <c r="U8" s="20" t="str">
        <f t="shared" si="0"/>
        <v>SUMATERA</v>
      </c>
      <c r="V8" s="20">
        <f t="shared" si="0"/>
        <v>2023</v>
      </c>
      <c r="W8" s="30">
        <v>116.52696277259138</v>
      </c>
      <c r="X8" s="30">
        <v>0</v>
      </c>
      <c r="Y8" s="30">
        <v>2203.2817814511745</v>
      </c>
      <c r="Z8" s="30">
        <v>0</v>
      </c>
      <c r="AA8" s="30">
        <v>0</v>
      </c>
      <c r="AB8" s="30">
        <v>0</v>
      </c>
      <c r="AC8" s="30">
        <v>0</v>
      </c>
      <c r="AD8" s="30">
        <v>0</v>
      </c>
      <c r="AE8" s="30">
        <v>29.388375015021978</v>
      </c>
      <c r="AF8" s="30">
        <v>0</v>
      </c>
      <c r="AG8" s="30">
        <v>0</v>
      </c>
      <c r="AH8" s="30">
        <v>0</v>
      </c>
      <c r="AI8" s="30">
        <f t="shared" si="8"/>
        <v>0.47220164515456542</v>
      </c>
      <c r="AJ8" s="34">
        <f t="shared" si="1"/>
        <v>2349.6693208839429</v>
      </c>
      <c r="AM8" s="23"/>
      <c r="AO8" s="20" t="str">
        <f t="shared" si="2"/>
        <v>SUMATERA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9679</v>
      </c>
      <c r="AV8" s="30">
        <f t="shared" si="9"/>
        <v>15434.875620828896</v>
      </c>
      <c r="AW8" s="30">
        <f t="shared" si="9"/>
        <v>5600.0876503795744</v>
      </c>
      <c r="AX8" s="30">
        <f t="shared" si="9"/>
        <v>68303.811754881899</v>
      </c>
      <c r="AY8" s="30">
        <f t="shared" si="9"/>
        <v>7127.3212399043477</v>
      </c>
      <c r="AZ8" s="30">
        <f t="shared" si="9"/>
        <v>15589</v>
      </c>
      <c r="BA8" s="30">
        <f t="shared" si="9"/>
        <v>6025.2158860215477</v>
      </c>
      <c r="BB8" s="30">
        <v>999</v>
      </c>
      <c r="BC8" s="30">
        <v>999</v>
      </c>
      <c r="BD8" s="30">
        <f t="shared" si="3"/>
        <v>127759.31215201625</v>
      </c>
      <c r="BF8" s="23"/>
      <c r="BG8" s="19"/>
      <c r="BH8" s="20" t="str">
        <f t="shared" si="10"/>
        <v>SUMATERA</v>
      </c>
      <c r="BI8" s="20">
        <f t="shared" si="10"/>
        <v>2023</v>
      </c>
      <c r="BJ8" s="25">
        <f t="shared" si="4"/>
        <v>1.9576961757442276E-2</v>
      </c>
      <c r="BK8" s="43">
        <f t="shared" si="5"/>
        <v>2.7701008811198728E-4</v>
      </c>
      <c r="BL8" s="34">
        <f t="shared" si="11"/>
        <v>23429.788741868331</v>
      </c>
      <c r="BP8" s="23"/>
    </row>
    <row r="9" spans="1:68" x14ac:dyDescent="0.25">
      <c r="A9" s="19"/>
      <c r="B9" s="20" t="str">
        <f t="shared" si="12"/>
        <v>SUMATERA</v>
      </c>
      <c r="C9" s="20">
        <f t="shared" si="13"/>
        <v>2024</v>
      </c>
      <c r="D9" s="30">
        <f t="shared" si="14"/>
        <v>6226.3625208631292</v>
      </c>
      <c r="E9" s="30">
        <f t="shared" si="15"/>
        <v>1253.6999999999998</v>
      </c>
      <c r="F9" s="30">
        <f t="shared" si="15"/>
        <v>9395.4148842707691</v>
      </c>
      <c r="G9" s="30">
        <f t="shared" si="15"/>
        <v>2774.8604369970699</v>
      </c>
      <c r="H9" s="30">
        <f t="shared" si="15"/>
        <v>677</v>
      </c>
      <c r="I9" s="30">
        <f t="shared" si="15"/>
        <v>2104.0843791711036</v>
      </c>
      <c r="J9" s="30">
        <f t="shared" si="15"/>
        <v>204.17234962042568</v>
      </c>
      <c r="K9" s="30">
        <f t="shared" si="15"/>
        <v>446.31824511809629</v>
      </c>
      <c r="L9" s="30">
        <f t="shared" si="15"/>
        <v>1264.8545522906543</v>
      </c>
      <c r="M9" s="30">
        <f t="shared" si="15"/>
        <v>36.599999999999994</v>
      </c>
      <c r="N9" s="30">
        <f t="shared" si="15"/>
        <v>1.7841139784521141</v>
      </c>
      <c r="O9" s="30">
        <f t="shared" si="15"/>
        <v>0</v>
      </c>
      <c r="P9" s="30">
        <f>BL9/((VLOOKUP(P$3,tech_data!$B$2:$G$15,6,FALSE)/100)*24*365)</f>
        <v>6.7360376329180331</v>
      </c>
      <c r="Q9" s="30">
        <f t="shared" si="7"/>
        <v>24385.151482309695</v>
      </c>
      <c r="R9" s="30"/>
      <c r="S9" s="36"/>
      <c r="T9" s="19"/>
      <c r="U9" s="20" t="str">
        <f t="shared" si="0"/>
        <v>SUMATERA</v>
      </c>
      <c r="V9" s="20">
        <f t="shared" si="0"/>
        <v>2024</v>
      </c>
      <c r="W9" s="30">
        <v>201.34220718439511</v>
      </c>
      <c r="X9" s="30">
        <v>0</v>
      </c>
      <c r="Y9" s="30">
        <v>1339.2115431622392</v>
      </c>
      <c r="Z9" s="30">
        <v>247.06670234909311</v>
      </c>
      <c r="AA9" s="30">
        <v>0</v>
      </c>
      <c r="AB9" s="30">
        <v>0</v>
      </c>
      <c r="AC9" s="30">
        <v>0</v>
      </c>
      <c r="AD9" s="30">
        <v>0</v>
      </c>
      <c r="AE9" s="30">
        <v>995.17579219500226</v>
      </c>
      <c r="AF9" s="30">
        <v>0</v>
      </c>
      <c r="AG9" s="30">
        <v>0</v>
      </c>
      <c r="AH9" s="30">
        <v>0</v>
      </c>
      <c r="AI9" s="30">
        <f t="shared" si="8"/>
        <v>0.79240781509248048</v>
      </c>
      <c r="AJ9" s="34">
        <f t="shared" si="1"/>
        <v>2783.5886527058224</v>
      </c>
      <c r="AM9" s="23"/>
      <c r="AO9" s="20" t="str">
        <f t="shared" si="2"/>
        <v>SUMATERA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9679</v>
      </c>
      <c r="AV9" s="30">
        <f t="shared" si="9"/>
        <v>15434.875620828896</v>
      </c>
      <c r="AW9" s="30">
        <f t="shared" si="9"/>
        <v>5600.0876503795744</v>
      </c>
      <c r="AX9" s="30">
        <f t="shared" si="9"/>
        <v>68303.811754881899</v>
      </c>
      <c r="AY9" s="30">
        <f t="shared" si="9"/>
        <v>6132.1454477093457</v>
      </c>
      <c r="AZ9" s="30">
        <f t="shared" si="9"/>
        <v>15589</v>
      </c>
      <c r="BA9" s="30">
        <f t="shared" si="9"/>
        <v>6025.2158860215477</v>
      </c>
      <c r="BB9" s="30">
        <v>999</v>
      </c>
      <c r="BC9" s="30">
        <v>999</v>
      </c>
      <c r="BD9" s="30">
        <f t="shared" si="3"/>
        <v>126764.13635982126</v>
      </c>
      <c r="BF9" s="23"/>
      <c r="BG9" s="19"/>
      <c r="BH9" s="20" t="str">
        <f t="shared" si="10"/>
        <v>SUMATERA</v>
      </c>
      <c r="BI9" s="20">
        <f t="shared" si="10"/>
        <v>2024</v>
      </c>
      <c r="BJ9" s="25">
        <f t="shared" si="4"/>
        <v>5.0412809692816217E-2</v>
      </c>
      <c r="BK9" s="43">
        <f t="shared" si="5"/>
        <v>2.8381524075979392E-4</v>
      </c>
      <c r="BL9" s="34">
        <f t="shared" si="11"/>
        <v>26553.46034896289</v>
      </c>
      <c r="BN9" s="38"/>
      <c r="BP9" s="23"/>
    </row>
    <row r="10" spans="1:68" x14ac:dyDescent="0.25">
      <c r="A10" s="19"/>
      <c r="B10" s="20" t="str">
        <f t="shared" si="12"/>
        <v>SUMATERA</v>
      </c>
      <c r="C10" s="20">
        <f t="shared" si="13"/>
        <v>2025</v>
      </c>
      <c r="D10" s="30">
        <f t="shared" si="14"/>
        <v>6360.8680333723323</v>
      </c>
      <c r="E10" s="30">
        <f t="shared" si="15"/>
        <v>1253.6999999999998</v>
      </c>
      <c r="F10" s="30">
        <f t="shared" si="15"/>
        <v>9601.7694117517731</v>
      </c>
      <c r="G10" s="30">
        <f t="shared" si="15"/>
        <v>3602.5823687252882</v>
      </c>
      <c r="H10" s="30">
        <f t="shared" si="15"/>
        <v>677</v>
      </c>
      <c r="I10" s="30">
        <f t="shared" si="15"/>
        <v>2104.0843791711036</v>
      </c>
      <c r="J10" s="30">
        <f t="shared" si="15"/>
        <v>204.17234962042568</v>
      </c>
      <c r="K10" s="30">
        <f t="shared" si="15"/>
        <v>499.11059294757166</v>
      </c>
      <c r="L10" s="30">
        <f t="shared" si="15"/>
        <v>2500.484414330459</v>
      </c>
      <c r="M10" s="30">
        <f t="shared" si="15"/>
        <v>36.599999999999994</v>
      </c>
      <c r="N10" s="30">
        <f t="shared" si="15"/>
        <v>1.7841139784521141</v>
      </c>
      <c r="O10" s="30">
        <f t="shared" si="15"/>
        <v>0</v>
      </c>
      <c r="P10" s="30">
        <f>BL10/((VLOOKUP(P$3,tech_data!$B$2:$G$15,6,FALSE)/100)*24*365)</f>
        <v>7.5945885747631428</v>
      </c>
      <c r="Q10" s="30">
        <f t="shared" si="7"/>
        <v>26842.1556638974</v>
      </c>
      <c r="R10" s="30"/>
      <c r="S10" s="36"/>
      <c r="T10" s="19"/>
      <c r="U10" s="20" t="str">
        <f t="shared" si="0"/>
        <v>SUMATERA</v>
      </c>
      <c r="V10" s="20">
        <f t="shared" si="0"/>
        <v>2025</v>
      </c>
      <c r="W10" s="30">
        <v>134.50551250920319</v>
      </c>
      <c r="X10" s="30">
        <v>0</v>
      </c>
      <c r="Y10" s="30">
        <v>206.35452748100431</v>
      </c>
      <c r="Z10" s="30">
        <v>827.72193172821835</v>
      </c>
      <c r="AA10" s="30">
        <v>0</v>
      </c>
      <c r="AB10" s="30">
        <v>0</v>
      </c>
      <c r="AC10" s="30">
        <v>0</v>
      </c>
      <c r="AD10" s="30">
        <v>52.792347829475354</v>
      </c>
      <c r="AE10" s="30">
        <v>1235.6298620398049</v>
      </c>
      <c r="AF10" s="30">
        <v>0</v>
      </c>
      <c r="AG10" s="30">
        <v>0</v>
      </c>
      <c r="AH10" s="30">
        <v>0</v>
      </c>
      <c r="AI10" s="30">
        <f t="shared" si="8"/>
        <v>0.85855094184510961</v>
      </c>
      <c r="AJ10" s="34">
        <f t="shared" si="1"/>
        <v>2457.8627325295511</v>
      </c>
      <c r="AM10" s="23"/>
      <c r="AO10" s="20" t="str">
        <f t="shared" si="2"/>
        <v>SUMATERA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9679</v>
      </c>
      <c r="AV10" s="30">
        <f t="shared" si="9"/>
        <v>15434.875620828896</v>
      </c>
      <c r="AW10" s="30">
        <f t="shared" si="9"/>
        <v>5600.0876503795744</v>
      </c>
      <c r="AX10" s="30">
        <f t="shared" si="9"/>
        <v>68251.01940705243</v>
      </c>
      <c r="AY10" s="30">
        <f t="shared" si="9"/>
        <v>4896.515585669541</v>
      </c>
      <c r="AZ10" s="30">
        <f t="shared" si="9"/>
        <v>15589</v>
      </c>
      <c r="BA10" s="30">
        <f t="shared" si="9"/>
        <v>6025.2158860215477</v>
      </c>
      <c r="BB10" s="30">
        <v>999</v>
      </c>
      <c r="BC10" s="30">
        <v>999</v>
      </c>
      <c r="BD10" s="30">
        <f t="shared" si="3"/>
        <v>125475.71414995198</v>
      </c>
      <c r="BF10" s="23"/>
      <c r="BG10" s="19"/>
      <c r="BH10" s="20" t="str">
        <f t="shared" si="10"/>
        <v>SUMATERA</v>
      </c>
      <c r="BI10" s="20">
        <f t="shared" si="10"/>
        <v>2025</v>
      </c>
      <c r="BJ10" s="25">
        <f t="shared" si="4"/>
        <v>8.3780267588183063E-2</v>
      </c>
      <c r="BK10" s="43">
        <f t="shared" si="5"/>
        <v>2.911790935367025E-4</v>
      </c>
      <c r="BL10" s="34">
        <f t="shared" si="11"/>
        <v>29937.868161716313</v>
      </c>
      <c r="BP10" s="23"/>
    </row>
    <row r="11" spans="1:68" x14ac:dyDescent="0.25">
      <c r="A11" s="19"/>
      <c r="B11" s="20" t="str">
        <f t="shared" si="12"/>
        <v>SUMATERA</v>
      </c>
      <c r="C11" s="20">
        <f t="shared" si="13"/>
        <v>2026</v>
      </c>
      <c r="D11" s="30">
        <f t="shared" si="14"/>
        <v>7132.9561216627189</v>
      </c>
      <c r="E11" s="30">
        <f t="shared" si="15"/>
        <v>1253.7006543048251</v>
      </c>
      <c r="F11" s="30">
        <f t="shared" si="15"/>
        <v>9601.7702987065622</v>
      </c>
      <c r="G11" s="30">
        <f t="shared" si="15"/>
        <v>3602.5835246240663</v>
      </c>
      <c r="H11" s="30">
        <f t="shared" si="15"/>
        <v>677.002908176966</v>
      </c>
      <c r="I11" s="30">
        <f t="shared" si="15"/>
        <v>2104.0862490703566</v>
      </c>
      <c r="J11" s="30">
        <f t="shared" si="15"/>
        <v>994.6581744647533</v>
      </c>
      <c r="K11" s="30">
        <f t="shared" si="15"/>
        <v>874.18675885594371</v>
      </c>
      <c r="L11" s="30">
        <f t="shared" si="15"/>
        <v>2500.4857098016428</v>
      </c>
      <c r="M11" s="30">
        <f t="shared" si="15"/>
        <v>36.599999999999994</v>
      </c>
      <c r="N11" s="30">
        <f t="shared" si="15"/>
        <v>1.7841139784521141</v>
      </c>
      <c r="O11" s="30">
        <f t="shared" si="15"/>
        <v>8.9911105641167727E-4</v>
      </c>
      <c r="P11" s="30">
        <f>BL11/((VLOOKUP(P$3,tech_data!$B$2:$G$15,6,FALSE)/100)*24*365)</f>
        <v>8.2636090662539079</v>
      </c>
      <c r="Q11" s="30">
        <f t="shared" si="7"/>
        <v>28779.81541275734</v>
      </c>
      <c r="R11" s="30"/>
      <c r="S11" s="36"/>
      <c r="T11" s="19"/>
      <c r="U11" s="20" t="str">
        <f t="shared" si="0"/>
        <v>SUMATERA</v>
      </c>
      <c r="V11" s="20">
        <f t="shared" si="0"/>
        <v>2026</v>
      </c>
      <c r="W11" s="30">
        <v>772.08808829038685</v>
      </c>
      <c r="X11" s="30">
        <v>6.5430482534164537E-4</v>
      </c>
      <c r="Y11" s="30">
        <v>8.8695478956804931E-4</v>
      </c>
      <c r="Z11" s="30">
        <v>1.1558987778898045E-3</v>
      </c>
      <c r="AA11" s="30">
        <v>2.9081769659476545E-3</v>
      </c>
      <c r="AB11" s="30">
        <v>1.8698992530713845E-3</v>
      </c>
      <c r="AC11" s="30">
        <v>790.48582484432757</v>
      </c>
      <c r="AD11" s="30">
        <v>375.07616590837205</v>
      </c>
      <c r="AE11" s="30">
        <v>1.2954711835779177E-3</v>
      </c>
      <c r="AF11" s="30">
        <v>0</v>
      </c>
      <c r="AG11" s="30">
        <v>0</v>
      </c>
      <c r="AH11" s="30">
        <v>8.9911105641167727E-4</v>
      </c>
      <c r="AI11" s="30">
        <f t="shared" si="8"/>
        <v>0.66902049149076515</v>
      </c>
      <c r="AJ11" s="34">
        <f t="shared" si="1"/>
        <v>1938.3287693514292</v>
      </c>
      <c r="AM11" s="23"/>
      <c r="AO11" s="20" t="str">
        <f t="shared" si="2"/>
        <v>SUMATERA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9678.9970918230338</v>
      </c>
      <c r="AV11" s="30">
        <f t="shared" si="9"/>
        <v>15434.873750929642</v>
      </c>
      <c r="AW11" s="30">
        <f t="shared" si="9"/>
        <v>4809.6018255352465</v>
      </c>
      <c r="AX11" s="30">
        <f t="shared" si="9"/>
        <v>67875.943241144065</v>
      </c>
      <c r="AY11" s="30">
        <f t="shared" si="9"/>
        <v>4896.5142901983572</v>
      </c>
      <c r="AZ11" s="30">
        <f t="shared" si="9"/>
        <v>15589</v>
      </c>
      <c r="BA11" s="30">
        <f t="shared" si="9"/>
        <v>6025.2158860215477</v>
      </c>
      <c r="BB11" s="30">
        <v>999</v>
      </c>
      <c r="BC11" s="30">
        <v>999</v>
      </c>
      <c r="BD11" s="30">
        <f t="shared" si="3"/>
        <v>124310.1460856519</v>
      </c>
      <c r="BF11" s="23"/>
      <c r="BG11" s="19"/>
      <c r="BH11" s="20" t="str">
        <f t="shared" si="10"/>
        <v>SUMATERA</v>
      </c>
      <c r="BI11" s="20">
        <f t="shared" si="10"/>
        <v>2026</v>
      </c>
      <c r="BJ11" s="25">
        <f t="shared" si="4"/>
        <v>8.3123686901733981E-2</v>
      </c>
      <c r="BK11" s="43">
        <f t="shared" si="5"/>
        <v>2.9103419297141719E-4</v>
      </c>
      <c r="BL11" s="34">
        <f t="shared" si="11"/>
        <v>32575.146939172912</v>
      </c>
      <c r="BP11" s="23"/>
    </row>
    <row r="12" spans="1:68" x14ac:dyDescent="0.25">
      <c r="A12" s="19"/>
      <c r="B12" s="20" t="str">
        <f t="shared" si="12"/>
        <v>SUMATERA</v>
      </c>
      <c r="C12" s="20">
        <f t="shared" si="13"/>
        <v>2027</v>
      </c>
      <c r="D12" s="30">
        <f t="shared" si="14"/>
        <v>7956.7741568548026</v>
      </c>
      <c r="E12" s="30">
        <f t="shared" si="15"/>
        <v>1253.7006533048252</v>
      </c>
      <c r="F12" s="30">
        <f t="shared" si="15"/>
        <v>9601.7702987065622</v>
      </c>
      <c r="G12" s="30">
        <f t="shared" si="15"/>
        <v>3602.5835236240664</v>
      </c>
      <c r="H12" s="30">
        <f t="shared" si="15"/>
        <v>677.002907176966</v>
      </c>
      <c r="I12" s="30">
        <f t="shared" si="15"/>
        <v>2815.8668450846226</v>
      </c>
      <c r="J12" s="30">
        <f t="shared" si="15"/>
        <v>2549.6800665574006</v>
      </c>
      <c r="K12" s="30">
        <f t="shared" si="15"/>
        <v>1966.4411204043111</v>
      </c>
      <c r="L12" s="30">
        <f t="shared" si="15"/>
        <v>2517.6549626539777</v>
      </c>
      <c r="M12" s="30">
        <f t="shared" si="15"/>
        <v>36.599999999999994</v>
      </c>
      <c r="N12" s="30">
        <f t="shared" si="15"/>
        <v>1.7841136466054539</v>
      </c>
      <c r="O12" s="30">
        <f t="shared" si="15"/>
        <v>8.9911105641167727E-4</v>
      </c>
      <c r="P12" s="30">
        <f>BL12/((VLOOKUP(P$3,tech_data!$B$2:$G$15,6,FALSE)/100)*24*365)</f>
        <v>9.6533369336413131</v>
      </c>
      <c r="Q12" s="30">
        <f t="shared" si="7"/>
        <v>32979.859547125205</v>
      </c>
      <c r="R12" s="30"/>
      <c r="S12" s="36"/>
      <c r="T12" s="19"/>
      <c r="U12" s="20" t="str">
        <f t="shared" si="0"/>
        <v>SUMATERA</v>
      </c>
      <c r="V12" s="20">
        <f t="shared" si="0"/>
        <v>2027</v>
      </c>
      <c r="W12" s="30">
        <v>823.81803519208393</v>
      </c>
      <c r="X12" s="30">
        <v>-9.9999999747524271E-7</v>
      </c>
      <c r="Y12" s="30">
        <v>0</v>
      </c>
      <c r="Z12" s="30">
        <v>-9.9999999747524271E-7</v>
      </c>
      <c r="AA12" s="30">
        <v>-9.9999999747524271E-7</v>
      </c>
      <c r="AB12" s="30">
        <v>711.78059601426617</v>
      </c>
      <c r="AC12" s="30">
        <v>1555.0218920926472</v>
      </c>
      <c r="AD12" s="30">
        <v>1092.2543615483673</v>
      </c>
      <c r="AE12" s="30">
        <v>17.169252852334932</v>
      </c>
      <c r="AF12" s="30">
        <v>3.5527136788005009E-15</v>
      </c>
      <c r="AG12" s="30">
        <v>-3.3184666015095843E-7</v>
      </c>
      <c r="AH12" s="30">
        <v>0</v>
      </c>
      <c r="AI12" s="30">
        <f t="shared" si="8"/>
        <v>1.3897278673874052</v>
      </c>
      <c r="AJ12" s="34">
        <f t="shared" si="1"/>
        <v>4201.4338622352416</v>
      </c>
      <c r="AM12" s="23"/>
      <c r="AO12" s="20" t="str">
        <f t="shared" si="2"/>
        <v>SUMATERA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9678.9970928230341</v>
      </c>
      <c r="AV12" s="30">
        <f t="shared" si="9"/>
        <v>14723.093154915376</v>
      </c>
      <c r="AW12" s="30">
        <f t="shared" si="9"/>
        <v>3254.5799334425992</v>
      </c>
      <c r="AX12" s="30">
        <f t="shared" si="9"/>
        <v>66783.688879595691</v>
      </c>
      <c r="AY12" s="30">
        <f t="shared" si="9"/>
        <v>4879.3450373460219</v>
      </c>
      <c r="AZ12" s="30">
        <f t="shared" si="9"/>
        <v>15589</v>
      </c>
      <c r="BA12" s="30">
        <f t="shared" si="9"/>
        <v>6025.2158863533941</v>
      </c>
      <c r="BB12" s="30">
        <v>999</v>
      </c>
      <c r="BC12" s="30">
        <v>999</v>
      </c>
      <c r="BD12" s="30">
        <f t="shared" si="3"/>
        <v>120933.91998447612</v>
      </c>
      <c r="BF12" s="23"/>
      <c r="BG12" s="19"/>
      <c r="BH12" s="20" t="str">
        <f t="shared" si="10"/>
        <v>SUMATERA</v>
      </c>
      <c r="BI12" s="20">
        <f t="shared" si="10"/>
        <v>2027</v>
      </c>
      <c r="BJ12" s="25">
        <f t="shared" si="4"/>
        <v>8.7196522286910036E-2</v>
      </c>
      <c r="BK12" s="43">
        <f t="shared" si="5"/>
        <v>2.9193302560814567E-4</v>
      </c>
      <c r="BL12" s="34">
        <f t="shared" si="11"/>
        <v>38053.454192414058</v>
      </c>
      <c r="BP12" s="23"/>
    </row>
    <row r="13" spans="1:68" x14ac:dyDescent="0.25">
      <c r="A13" s="19"/>
      <c r="B13" s="20" t="str">
        <f t="shared" si="12"/>
        <v>SUMATERA</v>
      </c>
      <c r="C13" s="20">
        <f t="shared" si="13"/>
        <v>2028</v>
      </c>
      <c r="D13" s="30">
        <f t="shared" si="14"/>
        <v>8595.313414279226</v>
      </c>
      <c r="E13" s="30">
        <f t="shared" si="15"/>
        <v>1253.7006523048253</v>
      </c>
      <c r="F13" s="30">
        <f t="shared" si="15"/>
        <v>10622.521164416827</v>
      </c>
      <c r="G13" s="30">
        <f t="shared" si="15"/>
        <v>3602.5835236240664</v>
      </c>
      <c r="H13" s="30">
        <f t="shared" si="15"/>
        <v>677.002907176966</v>
      </c>
      <c r="I13" s="30">
        <f t="shared" si="15"/>
        <v>3175.754843898098</v>
      </c>
      <c r="J13" s="30">
        <f t="shared" si="15"/>
        <v>3029.4676968850695</v>
      </c>
      <c r="K13" s="30">
        <f t="shared" si="15"/>
        <v>2115.6679824807411</v>
      </c>
      <c r="L13" s="30">
        <f t="shared" si="15"/>
        <v>2767.0812282867682</v>
      </c>
      <c r="M13" s="30">
        <f t="shared" si="15"/>
        <v>36.599999999999994</v>
      </c>
      <c r="N13" s="30">
        <f t="shared" si="15"/>
        <v>7.7797658070232183</v>
      </c>
      <c r="O13" s="30">
        <f t="shared" si="15"/>
        <v>8.9911105641167727E-4</v>
      </c>
      <c r="P13" s="30">
        <f>BL13/((VLOOKUP(P$3,tech_data!$B$2:$G$15,6,FALSE)/100)*24*365)</f>
        <v>10.502546930757493</v>
      </c>
      <c r="Q13" s="30">
        <f t="shared" si="7"/>
        <v>35883.474078270679</v>
      </c>
      <c r="R13" s="30"/>
      <c r="S13" s="36"/>
      <c r="T13" s="19"/>
      <c r="U13" s="20" t="str">
        <f t="shared" si="0"/>
        <v>SUMATERA</v>
      </c>
      <c r="V13" s="20">
        <f t="shared" si="0"/>
        <v>2028</v>
      </c>
      <c r="W13" s="30">
        <v>638.53925742442357</v>
      </c>
      <c r="X13" s="30">
        <v>-9.9999999747524271E-7</v>
      </c>
      <c r="Y13" s="30">
        <v>1020.7508657102642</v>
      </c>
      <c r="Z13" s="30">
        <v>0</v>
      </c>
      <c r="AA13" s="30">
        <v>0</v>
      </c>
      <c r="AB13" s="30">
        <v>359.88799881347524</v>
      </c>
      <c r="AC13" s="30">
        <v>479.78763032766875</v>
      </c>
      <c r="AD13" s="30">
        <v>149.22686207643008</v>
      </c>
      <c r="AE13" s="30">
        <v>249.42626563279049</v>
      </c>
      <c r="AF13" s="30">
        <v>0</v>
      </c>
      <c r="AG13" s="30">
        <v>5.9956521604177642</v>
      </c>
      <c r="AH13" s="30">
        <v>0</v>
      </c>
      <c r="AI13" s="30">
        <f t="shared" si="8"/>
        <v>0.84920999711617995</v>
      </c>
      <c r="AJ13" s="34">
        <f t="shared" si="1"/>
        <v>2904.4637411425865</v>
      </c>
      <c r="AM13" s="23"/>
      <c r="AO13" s="20" t="str">
        <f t="shared" si="2"/>
        <v>SUMATERA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9678.9970928230341</v>
      </c>
      <c r="AV13" s="30">
        <f t="shared" si="9"/>
        <v>14363.2051561019</v>
      </c>
      <c r="AW13" s="30">
        <f t="shared" si="9"/>
        <v>2774.7923031149303</v>
      </c>
      <c r="AX13" s="30">
        <f t="shared" si="9"/>
        <v>66634.462017519254</v>
      </c>
      <c r="AY13" s="30">
        <f t="shared" si="9"/>
        <v>4629.9187717132318</v>
      </c>
      <c r="AZ13" s="30">
        <f t="shared" si="9"/>
        <v>15589</v>
      </c>
      <c r="BA13" s="30">
        <f t="shared" si="9"/>
        <v>6019.220234192976</v>
      </c>
      <c r="BB13" s="30">
        <v>999</v>
      </c>
      <c r="BC13" s="30">
        <v>999</v>
      </c>
      <c r="BD13" s="30">
        <f t="shared" si="3"/>
        <v>119689.59557546533</v>
      </c>
      <c r="BF13" s="23"/>
      <c r="BG13" s="19"/>
      <c r="BH13" s="20" t="str">
        <f t="shared" si="10"/>
        <v>SUMATERA</v>
      </c>
      <c r="BI13" s="20">
        <f t="shared" si="10"/>
        <v>2028</v>
      </c>
      <c r="BJ13" s="25">
        <f t="shared" si="4"/>
        <v>8.7648355847025683E-2</v>
      </c>
      <c r="BK13" s="43">
        <f t="shared" si="5"/>
        <v>2.920327406007229E-4</v>
      </c>
      <c r="BL13" s="34">
        <f t="shared" si="11"/>
        <v>41401.040001046043</v>
      </c>
      <c r="BP13" s="23"/>
    </row>
    <row r="14" spans="1:68" x14ac:dyDescent="0.25">
      <c r="A14" s="19"/>
      <c r="B14" s="20" t="str">
        <f t="shared" si="12"/>
        <v>SUMATERA</v>
      </c>
      <c r="C14" s="20">
        <f t="shared" si="13"/>
        <v>2029</v>
      </c>
      <c r="D14" s="30">
        <f t="shared" si="14"/>
        <v>8595.313414279226</v>
      </c>
      <c r="E14" s="30">
        <f t="shared" si="15"/>
        <v>1428.6141298242292</v>
      </c>
      <c r="F14" s="30">
        <f t="shared" si="15"/>
        <v>10784.451052543029</v>
      </c>
      <c r="G14" s="30">
        <f t="shared" si="15"/>
        <v>3602.5835236240664</v>
      </c>
      <c r="H14" s="30">
        <f t="shared" si="15"/>
        <v>677.002907176966</v>
      </c>
      <c r="I14" s="30">
        <f t="shared" si="15"/>
        <v>3175.754843898098</v>
      </c>
      <c r="J14" s="30">
        <f t="shared" si="15"/>
        <v>3029.4676968850695</v>
      </c>
      <c r="K14" s="30">
        <f t="shared" si="15"/>
        <v>2115.6679824807411</v>
      </c>
      <c r="L14" s="30">
        <f t="shared" si="15"/>
        <v>2767.0812282867682</v>
      </c>
      <c r="M14" s="30">
        <f t="shared" si="15"/>
        <v>36.599999999999994</v>
      </c>
      <c r="N14" s="30">
        <f t="shared" si="15"/>
        <v>7.779780560357108</v>
      </c>
      <c r="O14" s="30">
        <f t="shared" si="15"/>
        <v>8.9911105641167727E-4</v>
      </c>
      <c r="P14" s="30">
        <f>BL14/((VLOOKUP(P$3,tech_data!$B$2:$G$15,6,FALSE)/100)*24*365)</f>
        <v>10.569717843091288</v>
      </c>
      <c r="Q14" s="30">
        <f t="shared" si="7"/>
        <v>36220.317458669611</v>
      </c>
      <c r="R14" s="30"/>
      <c r="S14" s="36"/>
      <c r="T14" s="19"/>
      <c r="U14" s="20" t="str">
        <f t="shared" si="0"/>
        <v>SUMATERA</v>
      </c>
      <c r="V14" s="20">
        <f t="shared" si="0"/>
        <v>2029</v>
      </c>
      <c r="W14" s="30">
        <v>0</v>
      </c>
      <c r="X14" s="30">
        <v>174.91347751940378</v>
      </c>
      <c r="Y14" s="30">
        <v>161.92988812620274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1.4753333889844712E-5</v>
      </c>
      <c r="AH14" s="30">
        <v>0</v>
      </c>
      <c r="AI14" s="30">
        <f t="shared" si="8"/>
        <v>6.717091233379513E-2</v>
      </c>
      <c r="AJ14" s="34">
        <f t="shared" si="1"/>
        <v>336.91055131127422</v>
      </c>
      <c r="AM14" s="23"/>
      <c r="AO14" s="20" t="str">
        <f t="shared" si="2"/>
        <v>SUMATERA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9678.9970928230341</v>
      </c>
      <c r="AV14" s="30">
        <f t="shared" si="9"/>
        <v>14363.2051561019</v>
      </c>
      <c r="AW14" s="30">
        <f t="shared" si="9"/>
        <v>2774.7923031149303</v>
      </c>
      <c r="AX14" s="30">
        <f t="shared" si="9"/>
        <v>66634.462017519254</v>
      </c>
      <c r="AY14" s="30">
        <f t="shared" si="9"/>
        <v>4629.9187717132318</v>
      </c>
      <c r="AZ14" s="30">
        <f t="shared" si="9"/>
        <v>15589</v>
      </c>
      <c r="BA14" s="30">
        <f t="shared" si="9"/>
        <v>6019.2202194396423</v>
      </c>
      <c r="BB14" s="30">
        <v>999</v>
      </c>
      <c r="BC14" s="30">
        <v>999</v>
      </c>
      <c r="BD14" s="30">
        <f t="shared" si="3"/>
        <v>119689.59556071198</v>
      </c>
      <c r="BF14" s="23"/>
      <c r="BG14" s="19"/>
      <c r="BH14" s="20" t="str">
        <f t="shared" si="10"/>
        <v>SUMATERA</v>
      </c>
      <c r="BI14" s="20">
        <f t="shared" si="10"/>
        <v>2029</v>
      </c>
      <c r="BJ14" s="25">
        <f t="shared" si="4"/>
        <v>8.7052105652764583E-2</v>
      </c>
      <c r="BK14" s="43">
        <f t="shared" si="5"/>
        <v>2.9190115435095493E-4</v>
      </c>
      <c r="BL14" s="34">
        <f t="shared" si="11"/>
        <v>41665.827737465865</v>
      </c>
      <c r="BP14" s="23"/>
    </row>
    <row r="15" spans="1:68" x14ac:dyDescent="0.25">
      <c r="A15" s="19"/>
      <c r="B15" s="20" t="str">
        <f t="shared" si="12"/>
        <v>SUMATERA</v>
      </c>
      <c r="C15" s="20">
        <f t="shared" si="13"/>
        <v>2030</v>
      </c>
      <c r="D15" s="30">
        <f t="shared" si="14"/>
        <v>9191.4270958322104</v>
      </c>
      <c r="E15" s="30">
        <f t="shared" si="15"/>
        <v>2174.7779090597837</v>
      </c>
      <c r="F15" s="30">
        <f t="shared" si="15"/>
        <v>10948.614757980464</v>
      </c>
      <c r="G15" s="30">
        <f t="shared" si="15"/>
        <v>3602.5848050521181</v>
      </c>
      <c r="H15" s="30">
        <f t="shared" si="15"/>
        <v>677.00662120514642</v>
      </c>
      <c r="I15" s="30">
        <f t="shared" si="15"/>
        <v>3175.7573813740046</v>
      </c>
      <c r="J15" s="30">
        <f t="shared" si="15"/>
        <v>3029.4710806358034</v>
      </c>
      <c r="K15" s="30">
        <f t="shared" si="15"/>
        <v>2115.669033827312</v>
      </c>
      <c r="L15" s="30">
        <f t="shared" si="15"/>
        <v>2773.9357581089903</v>
      </c>
      <c r="M15" s="30">
        <f t="shared" si="15"/>
        <v>36.599999999999994</v>
      </c>
      <c r="N15" s="30">
        <f t="shared" si="15"/>
        <v>7.7832164028310569</v>
      </c>
      <c r="O15" s="30">
        <f t="shared" si="15"/>
        <v>1.9317928685418833E-3</v>
      </c>
      <c r="P15" s="30">
        <f>BL15/((VLOOKUP(P$3,tech_data!$B$2:$G$15,6,FALSE)/100)*24*365)</f>
        <v>10.958052491492518</v>
      </c>
      <c r="Q15" s="30">
        <f t="shared" si="7"/>
        <v>37733.629591271529</v>
      </c>
      <c r="R15" s="30"/>
      <c r="S15" s="36"/>
      <c r="T15" s="19"/>
      <c r="U15" s="20" t="str">
        <f t="shared" si="0"/>
        <v>SUMATERA</v>
      </c>
      <c r="V15" s="20">
        <f t="shared" si="0"/>
        <v>2030</v>
      </c>
      <c r="W15" s="30">
        <v>596.11368155298385</v>
      </c>
      <c r="X15" s="30">
        <v>746.16377923555456</v>
      </c>
      <c r="Y15" s="30">
        <v>164.16370543743471</v>
      </c>
      <c r="Z15" s="30">
        <v>1.2814280516538063E-3</v>
      </c>
      <c r="AA15" s="30">
        <v>3.7140281804216926E-3</v>
      </c>
      <c r="AB15" s="30">
        <v>2.5374759065769428E-3</v>
      </c>
      <c r="AC15" s="30">
        <v>3.3837507341060872E-3</v>
      </c>
      <c r="AD15" s="30">
        <v>1.0513465707080011E-3</v>
      </c>
      <c r="AE15" s="30">
        <v>6.8545298222221103</v>
      </c>
      <c r="AF15" s="30">
        <v>0</v>
      </c>
      <c r="AG15" s="30">
        <v>3.4358424739491336E-3</v>
      </c>
      <c r="AH15" s="30">
        <v>1.0326818121302061E-3</v>
      </c>
      <c r="AI15" s="30">
        <f t="shared" si="8"/>
        <v>0.38833464840123</v>
      </c>
      <c r="AJ15" s="34">
        <f t="shared" si="1"/>
        <v>1513.700467250326</v>
      </c>
      <c r="AM15" s="23"/>
      <c r="AO15" s="20" t="str">
        <f t="shared" si="2"/>
        <v>SUMATERA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9678.9933787948539</v>
      </c>
      <c r="AV15" s="30">
        <f t="shared" si="9"/>
        <v>14363.202618625994</v>
      </c>
      <c r="AW15" s="30">
        <f t="shared" si="9"/>
        <v>2774.7889193641963</v>
      </c>
      <c r="AX15" s="30">
        <f t="shared" si="9"/>
        <v>66634.460966172686</v>
      </c>
      <c r="AY15" s="30">
        <f t="shared" si="9"/>
        <v>4623.0642418910093</v>
      </c>
      <c r="AZ15" s="30">
        <f t="shared" si="9"/>
        <v>15589</v>
      </c>
      <c r="BA15" s="30">
        <f t="shared" si="9"/>
        <v>6019.2167835971686</v>
      </c>
      <c r="BB15" s="30">
        <v>999</v>
      </c>
      <c r="BC15" s="30">
        <v>999</v>
      </c>
      <c r="BD15" s="30">
        <f t="shared" si="3"/>
        <v>119682.72690844591</v>
      </c>
      <c r="BF15" s="23"/>
      <c r="BG15" s="19"/>
      <c r="BH15" s="20" t="str">
        <f t="shared" si="10"/>
        <v>SUMATERA</v>
      </c>
      <c r="BI15" s="20">
        <f t="shared" si="10"/>
        <v>2030</v>
      </c>
      <c r="BJ15" s="25">
        <f t="shared" si="4"/>
        <v>8.3909852145521241E-2</v>
      </c>
      <c r="BK15" s="43">
        <f t="shared" si="5"/>
        <v>2.9120769150797711E-4</v>
      </c>
      <c r="BL15" s="34">
        <f t="shared" si="11"/>
        <v>43196.642921463514</v>
      </c>
      <c r="BP15" s="23"/>
    </row>
    <row r="16" spans="1:68" x14ac:dyDescent="0.25">
      <c r="A16" s="19"/>
      <c r="B16" s="20" t="str">
        <f t="shared" si="12"/>
        <v>SUMATERA</v>
      </c>
      <c r="C16" s="20">
        <f t="shared" si="13"/>
        <v>2031</v>
      </c>
      <c r="D16" s="30">
        <f t="shared" si="14"/>
        <v>9712.0031889746988</v>
      </c>
      <c r="E16" s="30">
        <f t="shared" si="15"/>
        <v>3166.4498306440059</v>
      </c>
      <c r="F16" s="30">
        <f t="shared" si="15"/>
        <v>11209.748367068994</v>
      </c>
      <c r="G16" s="30">
        <f t="shared" si="15"/>
        <v>3614.6905238250906</v>
      </c>
      <c r="H16" s="30">
        <f t="shared" si="15"/>
        <v>1109.5664705175207</v>
      </c>
      <c r="I16" s="30">
        <f t="shared" si="15"/>
        <v>3186.5150942563791</v>
      </c>
      <c r="J16" s="30">
        <f t="shared" si="15"/>
        <v>3043.8135173817141</v>
      </c>
      <c r="K16" s="30">
        <f t="shared" si="15"/>
        <v>5329.8186627208615</v>
      </c>
      <c r="L16" s="30">
        <f t="shared" si="15"/>
        <v>2781.3900397848593</v>
      </c>
      <c r="M16" s="30">
        <f t="shared" si="15"/>
        <v>42.654013436727979</v>
      </c>
      <c r="N16" s="30">
        <f t="shared" si="15"/>
        <v>9.6302691787054826</v>
      </c>
      <c r="O16" s="30">
        <f t="shared" si="15"/>
        <v>6.9443546593945582</v>
      </c>
      <c r="P16" s="30">
        <f>BL16/((VLOOKUP(P$3,tech_data!$B$2:$G$15,6,FALSE)/100)*24*365)</f>
        <v>12.341294943305247</v>
      </c>
      <c r="Q16" s="30">
        <f t="shared" si="7"/>
        <v>43213.224332448968</v>
      </c>
      <c r="R16" s="30"/>
      <c r="S16" s="36"/>
      <c r="T16" s="19"/>
      <c r="U16" s="20" t="str">
        <f t="shared" si="0"/>
        <v>SUMATERA</v>
      </c>
      <c r="V16" s="20">
        <f t="shared" si="0"/>
        <v>2031</v>
      </c>
      <c r="W16" s="30">
        <v>520.57609314248816</v>
      </c>
      <c r="X16" s="30">
        <v>991.6719215842221</v>
      </c>
      <c r="Y16" s="30">
        <v>261.13360908852979</v>
      </c>
      <c r="Z16" s="30">
        <v>12.105718772972462</v>
      </c>
      <c r="AA16" s="30">
        <v>432.5598493123743</v>
      </c>
      <c r="AB16" s="30">
        <v>10.757712882374378</v>
      </c>
      <c r="AC16" s="30">
        <v>14.342436745910597</v>
      </c>
      <c r="AD16" s="30">
        <v>3214.1496288935496</v>
      </c>
      <c r="AE16" s="30">
        <v>7.4542816758691366</v>
      </c>
      <c r="AF16" s="30">
        <v>6.0540134367279883</v>
      </c>
      <c r="AG16" s="30">
        <v>1.8470527758744253</v>
      </c>
      <c r="AH16" s="30">
        <v>6.9424228665260159</v>
      </c>
      <c r="AI16" s="30">
        <f t="shared" si="8"/>
        <v>1.3832424518127286</v>
      </c>
      <c r="AJ16" s="34">
        <f t="shared" si="1"/>
        <v>5480.9779836292319</v>
      </c>
      <c r="AM16" s="23"/>
      <c r="AO16" s="20" t="str">
        <f t="shared" si="2"/>
        <v>SUMATERA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9246.4335294824796</v>
      </c>
      <c r="AV16" s="30">
        <f t="shared" si="9"/>
        <v>14352.44490574362</v>
      </c>
      <c r="AW16" s="30">
        <f t="shared" si="9"/>
        <v>2760.4464826182857</v>
      </c>
      <c r="AX16" s="30">
        <f t="shared" si="9"/>
        <v>63420.311337279134</v>
      </c>
      <c r="AY16" s="30">
        <f t="shared" si="9"/>
        <v>4615.6099602151398</v>
      </c>
      <c r="AZ16" s="30">
        <f t="shared" si="9"/>
        <v>15582.945986563273</v>
      </c>
      <c r="BA16" s="30">
        <f t="shared" si="9"/>
        <v>6017.3697308212941</v>
      </c>
      <c r="BB16" s="30">
        <v>999</v>
      </c>
      <c r="BC16" s="30">
        <v>999</v>
      </c>
      <c r="BD16" s="30">
        <f t="shared" si="3"/>
        <v>115995.56193272321</v>
      </c>
      <c r="BF16" s="23"/>
      <c r="BG16" s="19"/>
      <c r="BH16" s="20" t="str">
        <f t="shared" si="10"/>
        <v>SUMATERA</v>
      </c>
      <c r="BI16" s="20">
        <f t="shared" si="10"/>
        <v>2031</v>
      </c>
      <c r="BJ16" s="25">
        <f t="shared" si="4"/>
        <v>0.11244896213165881</v>
      </c>
      <c r="BK16" s="43">
        <f t="shared" si="5"/>
        <v>2.975059778497454E-4</v>
      </c>
      <c r="BL16" s="34">
        <f t="shared" si="11"/>
        <v>48649.384666509286</v>
      </c>
      <c r="BP16" s="23"/>
    </row>
    <row r="17" spans="1:84" x14ac:dyDescent="0.25">
      <c r="A17" s="19"/>
      <c r="B17" s="20" t="str">
        <f t="shared" si="12"/>
        <v>SUMATERA</v>
      </c>
      <c r="C17" s="20">
        <f t="shared" si="13"/>
        <v>2032</v>
      </c>
      <c r="D17" s="30">
        <f t="shared" si="14"/>
        <v>10305.72131315072</v>
      </c>
      <c r="E17" s="30">
        <f t="shared" si="15"/>
        <v>4126.4230854359712</v>
      </c>
      <c r="F17" s="30">
        <f t="shared" si="15"/>
        <v>11400.448214059164</v>
      </c>
      <c r="G17" s="30">
        <f t="shared" si="15"/>
        <v>3672.9990705811297</v>
      </c>
      <c r="H17" s="30">
        <f t="shared" si="15"/>
        <v>1137.9611616371035</v>
      </c>
      <c r="I17" s="30">
        <f t="shared" si="15"/>
        <v>3186.525596245041</v>
      </c>
      <c r="J17" s="30">
        <f t="shared" si="15"/>
        <v>3043.8275200489597</v>
      </c>
      <c r="K17" s="30">
        <f t="shared" si="15"/>
        <v>5329.8230146609694</v>
      </c>
      <c r="L17" s="30">
        <f t="shared" si="15"/>
        <v>2781.3973156348866</v>
      </c>
      <c r="M17" s="30">
        <f t="shared" si="15"/>
        <v>42.654013436727979</v>
      </c>
      <c r="N17" s="30">
        <f t="shared" si="15"/>
        <v>9.6444937416188345</v>
      </c>
      <c r="O17" s="30">
        <f t="shared" si="15"/>
        <v>6.9485855172487971</v>
      </c>
      <c r="P17" s="30">
        <f>BL17/((VLOOKUP(P$3,tech_data!$B$2:$G$15,6,FALSE)/100)*24*365)</f>
        <v>12.80839717711393</v>
      </c>
      <c r="Q17" s="30">
        <f t="shared" si="7"/>
        <v>45044.373384149541</v>
      </c>
      <c r="R17" s="30"/>
      <c r="S17" s="36"/>
      <c r="T17" s="19"/>
      <c r="U17" s="20" t="str">
        <f t="shared" si="0"/>
        <v>SUMATERA</v>
      </c>
      <c r="V17" s="20">
        <f t="shared" si="0"/>
        <v>2032</v>
      </c>
      <c r="W17" s="30">
        <v>593.71812417602007</v>
      </c>
      <c r="X17" s="30">
        <v>959.97325479196536</v>
      </c>
      <c r="Y17" s="30">
        <v>190.69984699016973</v>
      </c>
      <c r="Z17" s="30">
        <v>58.308546756039242</v>
      </c>
      <c r="AA17" s="30">
        <v>28.394691119582767</v>
      </c>
      <c r="AB17" s="30">
        <v>1.0501988661921972E-2</v>
      </c>
      <c r="AC17" s="30">
        <v>1.4002667245700753E-2</v>
      </c>
      <c r="AD17" s="30">
        <v>4.3519401075355416E-3</v>
      </c>
      <c r="AE17" s="30">
        <v>7.2758500273484078E-3</v>
      </c>
      <c r="AF17" s="30">
        <v>0</v>
      </c>
      <c r="AG17" s="30">
        <v>1.4224562913352345E-2</v>
      </c>
      <c r="AH17" s="30">
        <v>4.2308578542392117E-3</v>
      </c>
      <c r="AI17" s="30">
        <f t="shared" si="8"/>
        <v>0.46710223380868321</v>
      </c>
      <c r="AJ17" s="34">
        <f t="shared" si="1"/>
        <v>1831.6161539343959</v>
      </c>
      <c r="AM17" s="23"/>
      <c r="AO17" s="20" t="str">
        <f t="shared" si="2"/>
        <v>SUMATERA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9218.0388383628961</v>
      </c>
      <c r="AV17" s="30">
        <f t="shared" si="9"/>
        <v>14352.434403754958</v>
      </c>
      <c r="AW17" s="30">
        <f t="shared" si="9"/>
        <v>2760.43247995104</v>
      </c>
      <c r="AX17" s="30">
        <f t="shared" si="9"/>
        <v>63420.306985339026</v>
      </c>
      <c r="AY17" s="30">
        <f t="shared" si="9"/>
        <v>4615.6026843651125</v>
      </c>
      <c r="AZ17" s="30">
        <f t="shared" si="9"/>
        <v>15582.945986563273</v>
      </c>
      <c r="BA17" s="30">
        <f t="shared" si="9"/>
        <v>6017.355506258381</v>
      </c>
      <c r="BB17" s="30">
        <v>999</v>
      </c>
      <c r="BC17" s="30">
        <v>999</v>
      </c>
      <c r="BD17" s="30">
        <f t="shared" si="3"/>
        <v>115967.11688459468</v>
      </c>
      <c r="BF17" s="23"/>
      <c r="BG17" s="19"/>
      <c r="BH17" s="20" t="str">
        <f t="shared" si="10"/>
        <v>SUMATERA</v>
      </c>
      <c r="BI17" s="20">
        <f t="shared" si="10"/>
        <v>2032</v>
      </c>
      <c r="BJ17" s="25">
        <f t="shared" si="4"/>
        <v>0.10799019164403209</v>
      </c>
      <c r="BK17" s="43">
        <f t="shared" si="5"/>
        <v>2.9652197332833812E-4</v>
      </c>
      <c r="BL17" s="34">
        <f t="shared" si="11"/>
        <v>50490.701672183117</v>
      </c>
      <c r="BP17" s="23"/>
    </row>
    <row r="18" spans="1:84" x14ac:dyDescent="0.25">
      <c r="A18" s="19"/>
      <c r="B18" s="20" t="str">
        <f t="shared" si="12"/>
        <v>SUMATERA</v>
      </c>
      <c r="C18" s="20">
        <f t="shared" si="13"/>
        <v>2033</v>
      </c>
      <c r="D18" s="30">
        <f t="shared" si="14"/>
        <v>10921.277439803418</v>
      </c>
      <c r="E18" s="30">
        <f t="shared" si="15"/>
        <v>5245.0864876255491</v>
      </c>
      <c r="F18" s="30">
        <f t="shared" si="15"/>
        <v>11637.703513359635</v>
      </c>
      <c r="G18" s="30">
        <f t="shared" si="15"/>
        <v>3686.6260623260491</v>
      </c>
      <c r="H18" s="30">
        <f t="shared" si="15"/>
        <v>2490.5002763260945</v>
      </c>
      <c r="I18" s="30">
        <f t="shared" si="15"/>
        <v>3208.5885766201418</v>
      </c>
      <c r="J18" s="30">
        <f t="shared" si="15"/>
        <v>3073.2420600475334</v>
      </c>
      <c r="K18" s="30">
        <f t="shared" si="15"/>
        <v>5338.9699918475353</v>
      </c>
      <c r="L18" s="30">
        <f t="shared" si="15"/>
        <v>2796.6848255444179</v>
      </c>
      <c r="M18" s="30">
        <f t="shared" si="15"/>
        <v>42.654013436727979</v>
      </c>
      <c r="N18" s="30">
        <f t="shared" si="15"/>
        <v>10.364295340127866</v>
      </c>
      <c r="O18" s="30">
        <f t="shared" si="15"/>
        <v>17.380858777763336</v>
      </c>
      <c r="P18" s="30">
        <f>BL18/((VLOOKUP(P$3,tech_data!$B$2:$G$15,6,FALSE)/100)*24*365)</f>
        <v>13.93263112818318</v>
      </c>
      <c r="Q18" s="30">
        <f t="shared" si="7"/>
        <v>48469.078401054998</v>
      </c>
      <c r="R18" s="30"/>
      <c r="S18" s="36"/>
      <c r="T18" s="19"/>
      <c r="U18" s="20" t="str">
        <f t="shared" si="0"/>
        <v>SUMATERA</v>
      </c>
      <c r="V18" s="20">
        <f t="shared" si="0"/>
        <v>2033</v>
      </c>
      <c r="W18" s="30">
        <v>615.55612665269905</v>
      </c>
      <c r="X18" s="30">
        <v>1118.6634021895777</v>
      </c>
      <c r="Y18" s="30">
        <v>237.25529930047031</v>
      </c>
      <c r="Z18" s="30">
        <v>13.626991744919572</v>
      </c>
      <c r="AA18" s="30">
        <v>1352.539114688991</v>
      </c>
      <c r="AB18" s="30">
        <v>22.062980375100857</v>
      </c>
      <c r="AC18" s="30">
        <v>29.414539998573833</v>
      </c>
      <c r="AD18" s="30">
        <v>9.1469771865656533</v>
      </c>
      <c r="AE18" s="30">
        <v>15.287509909531265</v>
      </c>
      <c r="AF18" s="30">
        <v>0</v>
      </c>
      <c r="AG18" s="30">
        <v>0.71980159850903169</v>
      </c>
      <c r="AH18" s="30">
        <v>10.43227326051454</v>
      </c>
      <c r="AI18" s="30">
        <f t="shared" si="8"/>
        <v>1.1242339510692503</v>
      </c>
      <c r="AJ18" s="34">
        <f t="shared" si="1"/>
        <v>3425.8292508565219</v>
      </c>
      <c r="AM18" s="23"/>
      <c r="AO18" s="20" t="str">
        <f t="shared" si="2"/>
        <v>SUMATERA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7865.4997236739055</v>
      </c>
      <c r="AV18" s="30">
        <f t="shared" si="9"/>
        <v>14330.371423379856</v>
      </c>
      <c r="AW18" s="30">
        <f t="shared" si="9"/>
        <v>2731.0179399524663</v>
      </c>
      <c r="AX18" s="30">
        <f t="shared" si="9"/>
        <v>63411.160008152459</v>
      </c>
      <c r="AY18" s="30">
        <f t="shared" si="9"/>
        <v>4600.3151744555817</v>
      </c>
      <c r="AZ18" s="30">
        <f t="shared" si="9"/>
        <v>15582.945986563273</v>
      </c>
      <c r="BA18" s="30">
        <f t="shared" si="9"/>
        <v>6016.6357046598723</v>
      </c>
      <c r="BB18" s="30">
        <v>999</v>
      </c>
      <c r="BC18" s="30">
        <v>999</v>
      </c>
      <c r="BD18" s="30">
        <f t="shared" si="3"/>
        <v>114537.9459608374</v>
      </c>
      <c r="BF18" s="23"/>
      <c r="BG18" s="19"/>
      <c r="BH18" s="20" t="str">
        <f t="shared" si="10"/>
        <v>SUMATERA</v>
      </c>
      <c r="BI18" s="20">
        <f t="shared" si="10"/>
        <v>2033</v>
      </c>
      <c r="BJ18" s="25">
        <f t="shared" si="4"/>
        <v>9.8963429118853946E-2</v>
      </c>
      <c r="BK18" s="43">
        <f t="shared" si="5"/>
        <v>2.9452986021933329E-4</v>
      </c>
      <c r="BL18" s="34">
        <f t="shared" si="11"/>
        <v>54922.431907298102</v>
      </c>
      <c r="BP18" s="23"/>
    </row>
    <row r="19" spans="1:84" x14ac:dyDescent="0.25">
      <c r="A19" s="19"/>
      <c r="B19" s="20" t="str">
        <f t="shared" si="12"/>
        <v>SUMATERA</v>
      </c>
      <c r="C19" s="20">
        <f t="shared" si="13"/>
        <v>2034</v>
      </c>
      <c r="D19" s="30">
        <f t="shared" si="14"/>
        <v>11671.155339143806</v>
      </c>
      <c r="E19" s="30">
        <f t="shared" si="15"/>
        <v>6163.0057852653681</v>
      </c>
      <c r="F19" s="30">
        <f t="shared" si="15"/>
        <v>11858.250532315204</v>
      </c>
      <c r="G19" s="30">
        <f t="shared" si="15"/>
        <v>3750.0882915984539</v>
      </c>
      <c r="H19" s="30">
        <f t="shared" si="15"/>
        <v>2490.5005329457008</v>
      </c>
      <c r="I19" s="30">
        <f t="shared" si="15"/>
        <v>3208.5888138324908</v>
      </c>
      <c r="J19" s="30">
        <f t="shared" si="15"/>
        <v>3073.2422870964365</v>
      </c>
      <c r="K19" s="30">
        <f t="shared" si="15"/>
        <v>5338.9701553018222</v>
      </c>
      <c r="L19" s="30">
        <f t="shared" si="15"/>
        <v>2796.7669085862299</v>
      </c>
      <c r="M19" s="30">
        <f t="shared" si="15"/>
        <v>42.654013436727979</v>
      </c>
      <c r="N19" s="30">
        <f t="shared" si="15"/>
        <v>10.364337889155875</v>
      </c>
      <c r="O19" s="30">
        <f t="shared" si="15"/>
        <v>17.380946909101713</v>
      </c>
      <c r="P19" s="30">
        <f>BL19/((VLOOKUP(P$3,tech_data!$B$2:$G$15,6,FALSE)/100)*24*365)</f>
        <v>14.438181960005616</v>
      </c>
      <c r="Q19" s="30">
        <f t="shared" si="7"/>
        <v>50420.967944320495</v>
      </c>
      <c r="R19" s="30"/>
      <c r="S19" s="36"/>
      <c r="T19" s="19"/>
      <c r="U19" s="20" t="str">
        <f t="shared" si="0"/>
        <v>SUMATERA</v>
      </c>
      <c r="V19" s="20">
        <f t="shared" si="0"/>
        <v>2034</v>
      </c>
      <c r="W19" s="30">
        <v>749.87789934038756</v>
      </c>
      <c r="X19" s="30">
        <v>917.91929763981943</v>
      </c>
      <c r="Y19" s="30">
        <v>220.5470189555686</v>
      </c>
      <c r="Z19" s="30">
        <v>63.462229272404649</v>
      </c>
      <c r="AA19" s="30">
        <v>2.5661960604146092E-4</v>
      </c>
      <c r="AB19" s="30">
        <v>2.3721234914665708E-4</v>
      </c>
      <c r="AC19" s="30">
        <v>2.2704890287888278E-4</v>
      </c>
      <c r="AD19" s="30">
        <v>1.6345428689120626E-4</v>
      </c>
      <c r="AE19" s="30">
        <v>8.2083041811935306E-2</v>
      </c>
      <c r="AF19" s="30">
        <v>0</v>
      </c>
      <c r="AG19" s="30">
        <v>4.2549028008691153E-5</v>
      </c>
      <c r="AH19" s="30">
        <v>8.8131338378216547E-5</v>
      </c>
      <c r="AI19" s="30">
        <f t="shared" si="8"/>
        <v>0.50555083182243621</v>
      </c>
      <c r="AJ19" s="34">
        <f t="shared" si="1"/>
        <v>1952.3950940973257</v>
      </c>
      <c r="AM19" s="23"/>
      <c r="AO19" s="20" t="str">
        <f t="shared" si="2"/>
        <v>SUMATERA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7865.4994670542992</v>
      </c>
      <c r="AV19" s="30">
        <f t="shared" si="9"/>
        <v>14330.371186167507</v>
      </c>
      <c r="AW19" s="30">
        <f t="shared" si="9"/>
        <v>2731.0177129035633</v>
      </c>
      <c r="AX19" s="30">
        <f t="shared" si="9"/>
        <v>63411.159844698173</v>
      </c>
      <c r="AY19" s="30">
        <f t="shared" si="9"/>
        <v>4600.2330914137701</v>
      </c>
      <c r="AZ19" s="30">
        <f t="shared" si="9"/>
        <v>15582.945986563273</v>
      </c>
      <c r="BA19" s="30">
        <f t="shared" si="9"/>
        <v>6016.6356621108444</v>
      </c>
      <c r="BB19" s="30">
        <v>999</v>
      </c>
      <c r="BC19" s="30">
        <v>999</v>
      </c>
      <c r="BD19" s="30">
        <f t="shared" si="3"/>
        <v>114537.86295091143</v>
      </c>
      <c r="BF19" s="23"/>
      <c r="BG19" s="19"/>
      <c r="BH19" s="20" t="str">
        <f t="shared" si="10"/>
        <v>SUMATERA</v>
      </c>
      <c r="BI19" s="20">
        <f t="shared" si="10"/>
        <v>2034</v>
      </c>
      <c r="BJ19" s="25">
        <f t="shared" si="4"/>
        <v>9.5232578101394516E-2</v>
      </c>
      <c r="BK19" s="43">
        <f t="shared" si="5"/>
        <v>2.9370649999479055E-4</v>
      </c>
      <c r="BL19" s="34">
        <f t="shared" si="11"/>
        <v>56915.313286342149</v>
      </c>
      <c r="BP19" s="23"/>
    </row>
    <row r="20" spans="1:84" x14ac:dyDescent="0.25">
      <c r="A20" s="19"/>
      <c r="B20" s="20" t="str">
        <f t="shared" si="12"/>
        <v>SUMATERA</v>
      </c>
      <c r="C20" s="20">
        <f t="shared" si="13"/>
        <v>2035</v>
      </c>
      <c r="D20" s="30">
        <f t="shared" si="14"/>
        <v>12025.343765396745</v>
      </c>
      <c r="E20" s="30">
        <f t="shared" si="15"/>
        <v>7665.797133151621</v>
      </c>
      <c r="F20" s="30">
        <f t="shared" si="15"/>
        <v>13249.495698344675</v>
      </c>
      <c r="G20" s="30">
        <f t="shared" si="15"/>
        <v>3750.0924649010403</v>
      </c>
      <c r="H20" s="30">
        <f t="shared" si="15"/>
        <v>2490.5051887466529</v>
      </c>
      <c r="I20" s="30">
        <f t="shared" si="15"/>
        <v>3208.5919983411304</v>
      </c>
      <c r="J20" s="30">
        <f t="shared" si="15"/>
        <v>3073.2465340777308</v>
      </c>
      <c r="K20" s="30">
        <f t="shared" si="15"/>
        <v>5338.9714749166315</v>
      </c>
      <c r="L20" s="30">
        <f t="shared" si="15"/>
        <v>2805.3742633158063</v>
      </c>
      <c r="M20" s="30">
        <f t="shared" si="15"/>
        <v>42.654013436727979</v>
      </c>
      <c r="N20" s="30">
        <f t="shared" si="15"/>
        <v>10.368651068023238</v>
      </c>
      <c r="O20" s="30">
        <f t="shared" si="15"/>
        <v>17.382229828616236</v>
      </c>
      <c r="P20" s="30">
        <f>BL20/((VLOOKUP(P$3,tech_data!$B$2:$G$15,6,FALSE)/100)*24*365)</f>
        <v>15.137421471418202</v>
      </c>
      <c r="Q20" s="30">
        <f t="shared" si="7"/>
        <v>53677.823415525403</v>
      </c>
      <c r="R20" s="30"/>
      <c r="S20" s="36"/>
      <c r="T20" s="19"/>
      <c r="U20" s="20" t="str">
        <f t="shared" si="0"/>
        <v>SUMATERA</v>
      </c>
      <c r="V20" s="20">
        <f t="shared" si="0"/>
        <v>2035</v>
      </c>
      <c r="W20" s="30">
        <v>354.18842625293769</v>
      </c>
      <c r="X20" s="30">
        <v>1502.7913478862527</v>
      </c>
      <c r="Y20" s="30">
        <v>1391.2451660294719</v>
      </c>
      <c r="Z20" s="30">
        <v>4.1733025865301181E-3</v>
      </c>
      <c r="AA20" s="30">
        <v>4.655800952364739E-3</v>
      </c>
      <c r="AB20" s="30">
        <v>3.1845086393813399E-3</v>
      </c>
      <c r="AC20" s="30">
        <v>4.2469812943165333E-3</v>
      </c>
      <c r="AD20" s="30">
        <v>1.3196148089170119E-3</v>
      </c>
      <c r="AE20" s="30">
        <v>8.607354729576226</v>
      </c>
      <c r="AF20" s="30">
        <v>0</v>
      </c>
      <c r="AG20" s="30">
        <v>4.3131788673641718E-3</v>
      </c>
      <c r="AH20" s="30">
        <v>1.2829195145229592E-3</v>
      </c>
      <c r="AI20" s="30">
        <f t="shared" si="8"/>
        <v>0.69923951141258556</v>
      </c>
      <c r="AJ20" s="34">
        <f t="shared" si="1"/>
        <v>3257.5547107163143</v>
      </c>
      <c r="AM20" s="23"/>
      <c r="AO20" s="20" t="str">
        <f t="shared" si="2"/>
        <v>SUMATERA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7865.4948112533466</v>
      </c>
      <c r="AV20" s="30">
        <f t="shared" si="9"/>
        <v>14330.368001658868</v>
      </c>
      <c r="AW20" s="30">
        <f t="shared" si="9"/>
        <v>2731.013465922269</v>
      </c>
      <c r="AX20" s="30">
        <f t="shared" si="9"/>
        <v>63411.158525083367</v>
      </c>
      <c r="AY20" s="30">
        <f t="shared" si="9"/>
        <v>4591.6257366841937</v>
      </c>
      <c r="AZ20" s="30">
        <f t="shared" si="9"/>
        <v>15582.945986563273</v>
      </c>
      <c r="BA20" s="30">
        <f t="shared" si="9"/>
        <v>6016.6313489319773</v>
      </c>
      <c r="BB20" s="30">
        <v>999</v>
      </c>
      <c r="BC20" s="30">
        <v>999</v>
      </c>
      <c r="BD20" s="30">
        <f t="shared" si="3"/>
        <v>114529.23787609728</v>
      </c>
      <c r="BF20" s="23"/>
      <c r="BG20" s="19"/>
      <c r="BH20" s="20" t="str">
        <f t="shared" si="10"/>
        <v>SUMATERA</v>
      </c>
      <c r="BI20" s="20">
        <f t="shared" si="10"/>
        <v>2035</v>
      </c>
      <c r="BJ20" s="25">
        <f t="shared" si="4"/>
        <v>9.0650726872920057E-2</v>
      </c>
      <c r="BK20" s="43">
        <f t="shared" si="5"/>
        <v>2.9269533282712718E-4</v>
      </c>
      <c r="BL20" s="34">
        <f t="shared" si="11"/>
        <v>59671.715440330561</v>
      </c>
      <c r="BP20" s="23"/>
    </row>
    <row r="21" spans="1:84" x14ac:dyDescent="0.25">
      <c r="A21" s="19"/>
      <c r="B21" s="20" t="str">
        <f t="shared" si="12"/>
        <v>SUMATERA</v>
      </c>
      <c r="C21" s="20">
        <f t="shared" si="13"/>
        <v>2036</v>
      </c>
      <c r="D21" s="30">
        <f t="shared" si="14"/>
        <v>13051.761665529148</v>
      </c>
      <c r="E21" s="30">
        <f t="shared" si="14"/>
        <v>8029.9189827680593</v>
      </c>
      <c r="F21" s="30">
        <f t="shared" si="14"/>
        <v>13586.588887015298</v>
      </c>
      <c r="G21" s="30">
        <f t="shared" si="14"/>
        <v>3750.0924639010404</v>
      </c>
      <c r="H21" s="30">
        <f t="shared" si="14"/>
        <v>4366.6279485771711</v>
      </c>
      <c r="I21" s="30">
        <f t="shared" si="14"/>
        <v>3458.2969139072825</v>
      </c>
      <c r="J21" s="30">
        <f t="shared" si="14"/>
        <v>3406.1556407941566</v>
      </c>
      <c r="K21" s="30">
        <f t="shared" si="14"/>
        <v>5442.4963886043533</v>
      </c>
      <c r="L21" s="30">
        <f t="shared" si="14"/>
        <v>2978.3963334646469</v>
      </c>
      <c r="M21" s="30">
        <f t="shared" si="14"/>
        <v>183.17637434079458</v>
      </c>
      <c r="N21" s="30">
        <f t="shared" si="14"/>
        <v>11.887886649849442</v>
      </c>
      <c r="O21" s="30">
        <f t="shared" si="14"/>
        <v>178.52999589170494</v>
      </c>
      <c r="P21" s="30">
        <f>BL21/((VLOOKUP(P$3,tech_data!$B$2:$G$15,6,FALSE)/100)*24*365)</f>
        <v>16.823940836514968</v>
      </c>
      <c r="Q21" s="30">
        <f t="shared" si="7"/>
        <v>58443.929481443498</v>
      </c>
      <c r="R21" s="30"/>
      <c r="S21" s="36"/>
      <c r="T21" s="19"/>
      <c r="U21" s="20" t="str">
        <f t="shared" si="0"/>
        <v>SUMATERA</v>
      </c>
      <c r="V21" s="20">
        <f t="shared" si="0"/>
        <v>2036</v>
      </c>
      <c r="W21" s="30">
        <v>1026.4179001324035</v>
      </c>
      <c r="X21" s="30">
        <v>364.12184961643817</v>
      </c>
      <c r="Y21" s="30">
        <v>337.09318867062296</v>
      </c>
      <c r="Z21" s="30">
        <v>-9.9999999747524271E-7</v>
      </c>
      <c r="AA21" s="30">
        <v>1876.1227598305181</v>
      </c>
      <c r="AB21" s="30">
        <v>249.70491556615201</v>
      </c>
      <c r="AC21" s="30">
        <v>332.90910671642575</v>
      </c>
      <c r="AD21" s="30">
        <v>103.52491368772191</v>
      </c>
      <c r="AE21" s="30">
        <v>173.02207014884078</v>
      </c>
      <c r="AF21" s="30">
        <v>140.5223609040666</v>
      </c>
      <c r="AG21" s="30">
        <v>1.519235581826204</v>
      </c>
      <c r="AH21" s="30">
        <v>161.14776606308871</v>
      </c>
      <c r="AI21" s="30">
        <f t="shared" si="8"/>
        <v>1.6865193650967658</v>
      </c>
      <c r="AJ21" s="34">
        <f t="shared" si="1"/>
        <v>4767.7925852832013</v>
      </c>
      <c r="AM21" s="23"/>
      <c r="AO21" s="20" t="str">
        <f t="shared" si="2"/>
        <v>SUMATERA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6">AU20-AA21</f>
        <v>5989.372051422828</v>
      </c>
      <c r="AV21" s="30">
        <f t="shared" si="16"/>
        <v>14080.663086092716</v>
      </c>
      <c r="AW21" s="30">
        <f t="shared" si="16"/>
        <v>2398.1043592058431</v>
      </c>
      <c r="AX21" s="30">
        <f t="shared" si="16"/>
        <v>63307.633611395642</v>
      </c>
      <c r="AY21" s="30">
        <f t="shared" si="16"/>
        <v>4418.6036665353531</v>
      </c>
      <c r="AZ21" s="30">
        <f t="shared" si="16"/>
        <v>15442.423625659207</v>
      </c>
      <c r="BA21" s="30">
        <f t="shared" si="16"/>
        <v>6015.112113350151</v>
      </c>
      <c r="BB21" s="30">
        <v>999</v>
      </c>
      <c r="BC21" s="30">
        <v>999</v>
      </c>
      <c r="BD21" s="30">
        <f t="shared" si="3"/>
        <v>111651.91251366172</v>
      </c>
      <c r="BF21" s="23"/>
      <c r="BG21" s="19"/>
      <c r="BH21" s="20" t="str">
        <f t="shared" si="10"/>
        <v>SUMATERA</v>
      </c>
      <c r="BI21" s="20">
        <f t="shared" si="10"/>
        <v>2036</v>
      </c>
      <c r="BJ21" s="25">
        <f t="shared" si="4"/>
        <v>8.4371310746904155E-2</v>
      </c>
      <c r="BK21" s="43">
        <f t="shared" si="5"/>
        <v>2.9130953064759267E-4</v>
      </c>
      <c r="BL21" s="34">
        <f t="shared" si="11"/>
        <v>66319.974777542011</v>
      </c>
      <c r="BP21" s="23"/>
    </row>
    <row r="22" spans="1:84" x14ac:dyDescent="0.25">
      <c r="A22" s="19"/>
      <c r="B22" s="20" t="str">
        <f t="shared" si="12"/>
        <v>SUMATERA</v>
      </c>
      <c r="C22" s="20">
        <f t="shared" si="13"/>
        <v>2037</v>
      </c>
      <c r="D22" s="30">
        <f t="shared" ref="D22:O23" si="17">D21+W22</f>
        <v>13926.202118211104</v>
      </c>
      <c r="E22" s="30">
        <f t="shared" si="17"/>
        <v>9349.5240169099725</v>
      </c>
      <c r="F22" s="30">
        <f t="shared" si="17"/>
        <v>13861.70454083076</v>
      </c>
      <c r="G22" s="30">
        <f t="shared" si="17"/>
        <v>3750.0926826600917</v>
      </c>
      <c r="H22" s="30">
        <f t="shared" si="17"/>
        <v>4366.6287092507528</v>
      </c>
      <c r="I22" s="30">
        <f t="shared" si="17"/>
        <v>3458.2974342719417</v>
      </c>
      <c r="J22" s="30">
        <f t="shared" si="17"/>
        <v>3406.1570142045757</v>
      </c>
      <c r="K22" s="30">
        <f t="shared" si="17"/>
        <v>5443.8991522833476</v>
      </c>
      <c r="L22" s="30">
        <f t="shared" si="17"/>
        <v>2978.3966938055351</v>
      </c>
      <c r="M22" s="30">
        <f t="shared" si="17"/>
        <v>183.17637434079458</v>
      </c>
      <c r="N22" s="30">
        <f t="shared" si="17"/>
        <v>11.888590979083958</v>
      </c>
      <c r="O22" s="30">
        <f t="shared" si="17"/>
        <v>178.53020671672746</v>
      </c>
      <c r="P22" s="30">
        <f>BL22/((VLOOKUP(P$3,tech_data!$B$2:$G$15,6,FALSE)/100)*24*365)</f>
        <v>17.443141872414131</v>
      </c>
      <c r="Q22" s="30">
        <f t="shared" si="7"/>
        <v>60914.497534464688</v>
      </c>
      <c r="R22" s="30"/>
      <c r="S22" s="36"/>
      <c r="T22" s="19"/>
      <c r="U22" s="20" t="str">
        <f t="shared" si="0"/>
        <v>SUMATERA</v>
      </c>
      <c r="V22" s="20">
        <f t="shared" si="0"/>
        <v>2037</v>
      </c>
      <c r="W22" s="30">
        <v>874.4404526819568</v>
      </c>
      <c r="X22" s="30">
        <v>1319.6050341419125</v>
      </c>
      <c r="Y22" s="30">
        <v>275.11565381546245</v>
      </c>
      <c r="Z22" s="30">
        <v>2.187590510685931E-4</v>
      </c>
      <c r="AA22" s="30">
        <v>7.6067358171909001E-4</v>
      </c>
      <c r="AB22" s="30">
        <v>5.2036465905172448E-4</v>
      </c>
      <c r="AC22" s="30">
        <v>1.3734104192882426E-3</v>
      </c>
      <c r="AD22" s="30">
        <v>1.4027636789945548</v>
      </c>
      <c r="AE22" s="30">
        <v>3.6034088833476931E-4</v>
      </c>
      <c r="AF22" s="30">
        <v>0</v>
      </c>
      <c r="AG22" s="30">
        <v>7.043292345161274E-4</v>
      </c>
      <c r="AH22" s="30">
        <v>2.1082502251348786E-4</v>
      </c>
      <c r="AI22" s="30">
        <f t="shared" si="8"/>
        <v>0.61920103589916309</v>
      </c>
      <c r="AJ22" s="34">
        <f t="shared" si="1"/>
        <v>2471.1872540570816</v>
      </c>
      <c r="AM22" s="23"/>
      <c r="AO22" s="20" t="str">
        <f t="shared" si="2"/>
        <v>SUMATERA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6"/>
        <v>5989.3712907492463</v>
      </c>
      <c r="AV22" s="30">
        <f t="shared" si="16"/>
        <v>14080.662565728057</v>
      </c>
      <c r="AW22" s="30">
        <f t="shared" si="16"/>
        <v>2398.102985795424</v>
      </c>
      <c r="AX22" s="30">
        <f t="shared" si="16"/>
        <v>63306.230847716644</v>
      </c>
      <c r="AY22" s="30">
        <f t="shared" si="16"/>
        <v>4418.6033061944645</v>
      </c>
      <c r="AZ22" s="30">
        <f t="shared" si="16"/>
        <v>15442.423625659207</v>
      </c>
      <c r="BA22" s="30">
        <f t="shared" si="16"/>
        <v>6015.1114090209167</v>
      </c>
      <c r="BB22" s="30">
        <v>999</v>
      </c>
      <c r="BC22" s="30">
        <v>999</v>
      </c>
      <c r="BD22" s="30">
        <f t="shared" si="3"/>
        <v>111650.50603086397</v>
      </c>
      <c r="BF22" s="23"/>
      <c r="BG22" s="19"/>
      <c r="BH22" s="20" t="str">
        <f t="shared" si="10"/>
        <v>SUMATERA</v>
      </c>
      <c r="BI22" s="20">
        <f t="shared" si="10"/>
        <v>2037</v>
      </c>
      <c r="BJ22" s="25">
        <f t="shared" si="4"/>
        <v>8.1191142858175816E-2</v>
      </c>
      <c r="BK22" s="43">
        <f t="shared" si="5"/>
        <v>2.9060770049283883E-4</v>
      </c>
      <c r="BL22" s="34">
        <f t="shared" si="11"/>
        <v>68760.865261056519</v>
      </c>
      <c r="BP22" s="23"/>
    </row>
    <row r="23" spans="1:84" x14ac:dyDescent="0.25">
      <c r="A23" s="19"/>
      <c r="B23" s="20" t="str">
        <f t="shared" si="12"/>
        <v>SUMATERA</v>
      </c>
      <c r="C23" s="20">
        <f t="shared" si="13"/>
        <v>2038</v>
      </c>
      <c r="D23" s="30">
        <f t="shared" si="17"/>
        <v>14684.390180083286</v>
      </c>
      <c r="E23" s="30">
        <f t="shared" si="17"/>
        <v>11070.075104657411</v>
      </c>
      <c r="F23" s="30">
        <f t="shared" si="17"/>
        <v>14316.731170839317</v>
      </c>
      <c r="G23" s="30">
        <f t="shared" si="17"/>
        <v>3758.218169530282</v>
      </c>
      <c r="H23" s="30">
        <f t="shared" si="17"/>
        <v>4791.1670065695607</v>
      </c>
      <c r="I23" s="30">
        <f t="shared" si="17"/>
        <v>3471.4528688371943</v>
      </c>
      <c r="J23" s="30">
        <f t="shared" si="17"/>
        <v>3423.6961484850622</v>
      </c>
      <c r="K23" s="30">
        <f t="shared" si="17"/>
        <v>10975.675192413353</v>
      </c>
      <c r="L23" s="30">
        <f t="shared" si="17"/>
        <v>2987.5121842632516</v>
      </c>
      <c r="M23" s="30">
        <f t="shared" si="17"/>
        <v>183.17637434079458</v>
      </c>
      <c r="N23" s="30">
        <f t="shared" si="17"/>
        <v>14.891263726076833</v>
      </c>
      <c r="O23" s="30">
        <f t="shared" si="17"/>
        <v>184.75062809533057</v>
      </c>
      <c r="P23" s="30">
        <f>BL23/((VLOOKUP(P$3,tech_data!$B$2:$G$15,6,FALSE)/100)*24*365)</f>
        <v>19.624508637357142</v>
      </c>
      <c r="Q23" s="30">
        <f t="shared" si="7"/>
        <v>69861.736291840905</v>
      </c>
      <c r="R23" s="30"/>
      <c r="S23" s="36"/>
      <c r="T23" s="19"/>
      <c r="U23" s="20" t="str">
        <f t="shared" si="0"/>
        <v>SUMATERA</v>
      </c>
      <c r="V23" s="20">
        <f t="shared" si="0"/>
        <v>2038</v>
      </c>
      <c r="W23" s="30">
        <v>758.18806187218252</v>
      </c>
      <c r="X23" s="30">
        <v>1720.551087747438</v>
      </c>
      <c r="Y23" s="30">
        <v>455.02663000855642</v>
      </c>
      <c r="Z23" s="30">
        <v>8.1254868701902616</v>
      </c>
      <c r="AA23" s="30">
        <v>424.53829731880802</v>
      </c>
      <c r="AB23" s="30">
        <v>13.15543456525255</v>
      </c>
      <c r="AC23" s="30">
        <v>17.539134280486614</v>
      </c>
      <c r="AD23" s="30">
        <v>5531.7760401300065</v>
      </c>
      <c r="AE23" s="30">
        <v>9.1154904577163585</v>
      </c>
      <c r="AF23" s="30">
        <v>0</v>
      </c>
      <c r="AG23" s="30">
        <v>3.0026727469928751</v>
      </c>
      <c r="AH23" s="30">
        <v>6.220421378603092</v>
      </c>
      <c r="AI23" s="30">
        <f t="shared" si="8"/>
        <v>2.1813667649430108</v>
      </c>
      <c r="AJ23" s="34">
        <f t="shared" si="1"/>
        <v>8949.4201241411738</v>
      </c>
      <c r="AM23" s="23"/>
      <c r="AO23" s="20" t="str">
        <f t="shared" si="2"/>
        <v>SUMATERA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6"/>
        <v>5564.8329934304384</v>
      </c>
      <c r="AV23" s="30">
        <f t="shared" si="16"/>
        <v>14067.507131162803</v>
      </c>
      <c r="AW23" s="30">
        <f t="shared" si="16"/>
        <v>2380.5638515149376</v>
      </c>
      <c r="AX23" s="30">
        <f t="shared" si="16"/>
        <v>57774.454807586641</v>
      </c>
      <c r="AY23" s="30">
        <f t="shared" si="16"/>
        <v>4409.4878157367484</v>
      </c>
      <c r="AZ23" s="30">
        <f t="shared" si="16"/>
        <v>15442.423625659207</v>
      </c>
      <c r="BA23" s="30">
        <f t="shared" si="16"/>
        <v>6012.1087362739236</v>
      </c>
      <c r="BB23" s="30">
        <v>999</v>
      </c>
      <c r="BC23" s="30">
        <v>999</v>
      </c>
      <c r="BD23" s="30">
        <f t="shared" si="3"/>
        <v>105651.37896136469</v>
      </c>
      <c r="BF23" s="23"/>
      <c r="BG23" s="19"/>
      <c r="BH23" s="20" t="str">
        <f t="shared" si="10"/>
        <v>SUMATERA</v>
      </c>
      <c r="BI23" s="20">
        <f t="shared" si="10"/>
        <v>2038</v>
      </c>
      <c r="BJ23" s="25">
        <f>SUM(K47:L47,N47)/Q47</f>
        <v>0.11322214501862561</v>
      </c>
      <c r="BK23" s="43">
        <f t="shared" si="5"/>
        <v>2.976766113144553E-4</v>
      </c>
      <c r="BL23" s="34">
        <f t="shared" si="11"/>
        <v>77359.81304846186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SUMATERA</v>
      </c>
      <c r="C28" s="20">
        <f>C4</f>
        <v>2019</v>
      </c>
      <c r="D28" s="30">
        <f>(D4*(VLOOKUP(D$27,tech_data!$B$2:$O$15,6, FALSE)/100)*(1-(VLOOKUP(D$27,tech_data!$B$2:$O$15,7, FALSE)/100))*8760)/1000</f>
        <v>25836.883829066668</v>
      </c>
      <c r="E28" s="30">
        <f>(E4*(VLOOKUP(E$27,tech_data!$B$2:$O$15,6, FALSE)/100)*(1-(VLOOKUP(E$27,tech_data!$B$2:$O$15,7, FALSE)/100))*8760)/1000</f>
        <v>3747.7903350461529</v>
      </c>
      <c r="F28" s="30">
        <f>(F4*(VLOOKUP(F$27,tech_data!$B$2:$O$15,6, FALSE)/100)*(1-(VLOOKUP(F$27,tech_data!$B$2:$O$15,7, FALSE)/100))*8760)/1000</f>
        <v>3568.4796713538462</v>
      </c>
      <c r="G28" s="30">
        <f>(G4*(VLOOKUP(G$27,tech_data!$B$2:$O$15,6, FALSE)/100)*(1-(VLOOKUP(G$27,tech_data!$B$2:$O$15,7, FALSE)/100))*8760)/1000</f>
        <v>12465.922689969231</v>
      </c>
      <c r="H28" s="30">
        <f>(H4*(VLOOKUP(H$27,tech_data!$B$2:$O$15,6, FALSE)/100)*(1-(VLOOKUP(H$27,tech_data!$B$2:$O$15,7, FALSE)/100))*8760)/1000</f>
        <v>4393.1467384615389</v>
      </c>
      <c r="I28" s="30">
        <f>(I4*(VLOOKUP(I$27,tech_data!$B$2:$O$15,6, FALSE)/100)*(1-(VLOOKUP(I$27,tech_data!$B$2:$O$15,7, FALSE)/100))*8760)/1000</f>
        <v>8700.8474126769233</v>
      </c>
      <c r="J28" s="30">
        <f>(J4*(VLOOKUP(J$27,tech_data!$B$2:$O$15,6, FALSE)/100)*(1-(VLOOKUP(J$27,tech_data!$B$2:$O$15,7, FALSE)/100))*8760)/1000</f>
        <v>415.87347987692317</v>
      </c>
      <c r="K28" s="30">
        <f>(K4*(VLOOKUP(K$27,tech_data!$B$2:$O$15,6, FALSE)/100)*(1-(VLOOKUP(K$27,tech_data!$B$2:$O$15,7, FALSE)/100))*8760)/1000</f>
        <v>2.078748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91.412554153846145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8">SUM(D28:O28)</f>
        <v>59222.435458605127</v>
      </c>
      <c r="R28" s="34">
        <f>proj_rukn!D22</f>
        <v>59549</v>
      </c>
      <c r="S28" s="35"/>
      <c r="T28" s="19"/>
      <c r="U28" s="20" t="str">
        <f t="shared" ref="U28:V47" si="19">B28</f>
        <v>SUMATERA</v>
      </c>
      <c r="V28" s="20">
        <f t="shared" si="19"/>
        <v>2019</v>
      </c>
      <c r="W28" s="29">
        <f t="shared" ref="W28:AI47" si="20">D28/$Q28</f>
        <v>0.43626851258297117</v>
      </c>
      <c r="X28" s="29">
        <f t="shared" si="20"/>
        <v>6.3283286241508196E-2</v>
      </c>
      <c r="Y28" s="29">
        <f t="shared" si="20"/>
        <v>6.0255537343581834E-2</v>
      </c>
      <c r="Z28" s="29">
        <f t="shared" si="20"/>
        <v>0.21049324624081989</v>
      </c>
      <c r="AA28" s="29">
        <f t="shared" si="20"/>
        <v>7.4180447062705296E-2</v>
      </c>
      <c r="AB28" s="29">
        <f t="shared" si="20"/>
        <v>0.14691809523366495</v>
      </c>
      <c r="AC28" s="29">
        <f t="shared" si="20"/>
        <v>7.0222285972620533E-3</v>
      </c>
      <c r="AD28" s="29">
        <f t="shared" si="20"/>
        <v>3.510068412253982E-5</v>
      </c>
      <c r="AE28" s="29">
        <f t="shared" si="20"/>
        <v>0</v>
      </c>
      <c r="AF28" s="29">
        <f t="shared" si="20"/>
        <v>1.5435460133641588E-3</v>
      </c>
      <c r="AG28" s="29">
        <f t="shared" si="20"/>
        <v>0</v>
      </c>
      <c r="AH28" s="29">
        <f t="shared" si="20"/>
        <v>0</v>
      </c>
      <c r="AI28" s="29">
        <f t="shared" si="20"/>
        <v>0</v>
      </c>
      <c r="AJ28" s="29">
        <f t="shared" ref="AJ28:AJ47" si="21">SUM(W28:AH28)</f>
        <v>1.0000000000000002</v>
      </c>
      <c r="AM28" s="23"/>
      <c r="AO28" s="20" t="str">
        <f>B28</f>
        <v>SUMATERA</v>
      </c>
      <c r="AP28" s="20">
        <f>C28</f>
        <v>2019</v>
      </c>
      <c r="AQ28" s="25">
        <f t="shared" ref="AQ28:AQ47" si="22">D28/Q28</f>
        <v>0.43626851258297117</v>
      </c>
      <c r="AR28" s="25">
        <f t="shared" ref="AR28:AR47" si="23">SUM(E28:F28)/Q28</f>
        <v>0.12353882358509002</v>
      </c>
      <c r="AS28" s="25">
        <f t="shared" ref="AS28:AS47" si="24">G28/Q28</f>
        <v>0.21049324624081989</v>
      </c>
      <c r="AT28" s="37">
        <f t="shared" ref="AT28:AT47" si="25">SUM(H28:N28)/Q28</f>
        <v>0.229699417591119</v>
      </c>
      <c r="AU28" s="24">
        <f>SUM(AQ28:AT28)</f>
        <v>1</v>
      </c>
      <c r="AW28" s="24">
        <f>$BD$29+((AP28-$BC$29)*($BD$30-$BD$29)/($BC$30-$BC$29))</f>
        <v>0.43626851258297117</v>
      </c>
      <c r="AX28" s="24">
        <f t="shared" ref="AX28:AX47" si="26">$BE$29+((AP28-$BC$29)*($BE$30-$BE$29)/($BC$30-$BC$29))</f>
        <v>0.19239999999999999</v>
      </c>
      <c r="AY28" s="24">
        <f>BF29</f>
        <v>0.21049324624081989</v>
      </c>
      <c r="AZ28" s="25">
        <f>$BG$29+((AP28-$BC$29)*($BG$30-$BG$29)/($BC$30-$BC$29))</f>
        <v>0.1166</v>
      </c>
      <c r="BA28" s="24">
        <f>SUM(AW28:AZ28)</f>
        <v>0.95576175882379111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SUMATERA</v>
      </c>
      <c r="BL28" s="20">
        <f>C4</f>
        <v>2019</v>
      </c>
      <c r="BM28" s="34">
        <f>VLOOKUP(BL28,proj_rukn!$B$22:$E$41,4,FALSE)</f>
        <v>7006</v>
      </c>
      <c r="BN28" s="30">
        <f t="shared" ref="BN28:BN47" si="27">(1+$CD$28)*BM28*$CD$29</f>
        <v>8056.9</v>
      </c>
      <c r="BO28" s="30">
        <f>SUM(D4:I4,M4,O4:P4)</f>
        <v>13039.38</v>
      </c>
      <c r="BQ28" s="30">
        <f t="shared" ref="BQ28:BQ47" si="28">BN28*$CD$30</f>
        <v>3222.76</v>
      </c>
      <c r="BR28" s="30">
        <f>SUM(D4,F4,H4,M4)</f>
        <v>7331.1600000000008</v>
      </c>
      <c r="BS28" s="30"/>
      <c r="BT28" s="30">
        <f t="shared" ref="BT28:BT47" si="29">BN28*$CD$31</f>
        <v>1611.38</v>
      </c>
      <c r="BU28" s="30">
        <f>SUM(E4,G4,P4,I4)</f>
        <v>5708.2199999999993</v>
      </c>
      <c r="BW28" s="30">
        <f t="shared" ref="BW28:BW47" si="30">$CD$32*SUM(H4:O4)</f>
        <v>1.3724750000000001</v>
      </c>
      <c r="BX28" s="30">
        <f>N4</f>
        <v>0</v>
      </c>
      <c r="BY28" s="30"/>
      <c r="BZ28" s="24">
        <v>8.0000000000000004E-4</v>
      </c>
      <c r="CA28" s="24">
        <f t="shared" ref="CA28:CA47" si="31">K28/SUM(H28:O28)</f>
        <v>1.5281137623527407E-4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29" si="32">B5</f>
        <v>SUMATERA</v>
      </c>
      <c r="C29" s="20">
        <f t="shared" si="32"/>
        <v>2020</v>
      </c>
      <c r="D29" s="30">
        <f>(D5*(VLOOKUP(D$27,tech_data!$B$2:$O$15,6, FALSE)/100)*(1-(VLOOKUP(D$27,tech_data!$B$2:$O$15,7, FALSE)/100))*8760)/1000</f>
        <v>27256.720230726343</v>
      </c>
      <c r="E29" s="30">
        <f>(E5*(VLOOKUP(E$27,tech_data!$B$2:$O$15,6, FALSE)/100)*(1-(VLOOKUP(E$27,tech_data!$B$2:$O$15,7, FALSE)/100))*8760)/1000</f>
        <v>3747.7903350461529</v>
      </c>
      <c r="F29" s="30">
        <f>(F5*(VLOOKUP(F$27,tech_data!$B$2:$O$15,6, FALSE)/100)*(1-(VLOOKUP(F$27,tech_data!$B$2:$O$15,7, FALSE)/100))*8760)/1000</f>
        <v>6275.1958408192959</v>
      </c>
      <c r="G29" s="30">
        <f>(G5*(VLOOKUP(G$27,tech_data!$B$2:$O$15,6, FALSE)/100)*(1-(VLOOKUP(G$27,tech_data!$B$2:$O$15,7, FALSE)/100))*8760)/1000</f>
        <v>12465.922689969231</v>
      </c>
      <c r="H29" s="30">
        <f>(H5*(VLOOKUP(H$27,tech_data!$B$2:$O$15,6, FALSE)/100)*(1-(VLOOKUP(H$27,tech_data!$B$2:$O$15,7, FALSE)/100))*8760)/1000</f>
        <v>4393.1467384615389</v>
      </c>
      <c r="I29" s="30">
        <f>(I5*(VLOOKUP(I$27,tech_data!$B$2:$O$15,6, FALSE)/100)*(1-(VLOOKUP(I$27,tech_data!$B$2:$O$15,7, FALSE)/100))*8760)/1000</f>
        <v>9340.6585474013882</v>
      </c>
      <c r="J29" s="30">
        <f>(J5*(VLOOKUP(J$27,tech_data!$B$2:$O$15,6, FALSE)/100)*(1-(VLOOKUP(J$27,tech_data!$B$2:$O$15,7, FALSE)/100))*8760)/1000</f>
        <v>1208.5093300781984</v>
      </c>
      <c r="K29" s="30">
        <f>(K5*(VLOOKUP(K$27,tech_data!$B$2:$O$15,6, FALSE)/100)*(1-(VLOOKUP(K$27,tech_data!$B$2:$O$15,7, FALSE)/100))*8760)/1000</f>
        <v>821.04704371924993</v>
      </c>
      <c r="L29" s="30">
        <f>(L5*(VLOOKUP(L$27,tech_data!$B$2:$O$15,6, FALSE)/100)*(1-(VLOOKUP(L$27,tech_data!$B$2:$O$15,7, FALSE)/100))*8760)/1000</f>
        <v>302.2211154123936</v>
      </c>
      <c r="M29" s="30">
        <f>(M5*(VLOOKUP(M$27,tech_data!$B$2:$O$15,6, FALSE)/100)*(1-(VLOOKUP(M$27,tech_data!$B$2:$O$15,7, FALSE)/100))*8760)/1000</f>
        <v>91.412554153846145</v>
      </c>
      <c r="N29" s="30">
        <f>(N5*(VLOOKUP(N$27,tech_data!$B$2:$O$15,6, FALSE)/100)*(1-(VLOOKUP(N$27,tech_data!$B$2:$O$15,7, FALSE)/100))*8760)/1000</f>
        <v>5.3763204272267373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16.441408780660371</v>
      </c>
      <c r="Q29" s="34">
        <f t="shared" si="18"/>
        <v>65908.000746214864</v>
      </c>
      <c r="R29" s="34">
        <f>proj_rukn!D23</f>
        <v>65908</v>
      </c>
      <c r="S29" s="35"/>
      <c r="T29" s="19"/>
      <c r="U29" s="20" t="str">
        <f t="shared" si="19"/>
        <v>SUMATERA</v>
      </c>
      <c r="V29" s="20">
        <f t="shared" si="19"/>
        <v>2020</v>
      </c>
      <c r="W29" s="29">
        <f t="shared" si="20"/>
        <v>0.41355707838386696</v>
      </c>
      <c r="X29" s="29">
        <f t="shared" si="20"/>
        <v>5.6863966325991021E-2</v>
      </c>
      <c r="Y29" s="29">
        <f t="shared" si="20"/>
        <v>9.521144276523491E-2</v>
      </c>
      <c r="Z29" s="29">
        <f t="shared" si="20"/>
        <v>0.1891412658376708</v>
      </c>
      <c r="AA29" s="29">
        <f t="shared" si="20"/>
        <v>6.6655742682558E-2</v>
      </c>
      <c r="AB29" s="29">
        <f t="shared" si="20"/>
        <v>0.1417226807314107</v>
      </c>
      <c r="AC29" s="29">
        <f t="shared" si="20"/>
        <v>1.8336306918665012E-2</v>
      </c>
      <c r="AD29" s="29">
        <f t="shared" si="20"/>
        <v>1.2457471542503179E-2</v>
      </c>
      <c r="AE29" s="29">
        <f t="shared" si="20"/>
        <v>4.5854996660591365E-3</v>
      </c>
      <c r="AF29" s="29">
        <f t="shared" si="20"/>
        <v>1.386972038582069E-3</v>
      </c>
      <c r="AG29" s="29">
        <f t="shared" si="20"/>
        <v>8.1573107458209499E-5</v>
      </c>
      <c r="AH29" s="29">
        <f t="shared" si="20"/>
        <v>0</v>
      </c>
      <c r="AI29" s="29">
        <f t="shared" si="20"/>
        <v>2.4945998353021826E-4</v>
      </c>
      <c r="AJ29" s="29">
        <f t="shared" si="21"/>
        <v>1</v>
      </c>
      <c r="AM29" s="23"/>
      <c r="AO29" s="20" t="str">
        <f>AO28</f>
        <v>SUMATERA</v>
      </c>
      <c r="AP29" s="20">
        <f>AP28+1</f>
        <v>2020</v>
      </c>
      <c r="AQ29" s="25">
        <f t="shared" si="22"/>
        <v>0.41355707838386696</v>
      </c>
      <c r="AR29" s="25">
        <f t="shared" si="23"/>
        <v>0.15207540909122591</v>
      </c>
      <c r="AS29" s="25">
        <f t="shared" si="24"/>
        <v>0.1891412658376708</v>
      </c>
      <c r="AT29" s="37">
        <f t="shared" si="25"/>
        <v>0.24522624668723639</v>
      </c>
      <c r="AU29" s="24">
        <f t="shared" ref="AU29:AU47" si="33">SUM(AQ29:AT29)</f>
        <v>1</v>
      </c>
      <c r="AW29" s="24">
        <f>$BD$29+((AP29-$BC$29)*($BD$30-$BD$29)/($BC$30-$BC$29))</f>
        <v>0.41355709381914263</v>
      </c>
      <c r="AX29" s="24">
        <f t="shared" si="26"/>
        <v>0.19699999999999998</v>
      </c>
      <c r="AY29" s="24">
        <f>AY28*0.98</f>
        <v>0.20628338131600349</v>
      </c>
      <c r="AZ29" s="25">
        <f t="shared" ref="AZ29:AZ34" si="34">$BG$29+((AP29-$BC$29)*($BG$30-$BG$29)/($BC$30-$BC$29))</f>
        <v>0.13550000000000001</v>
      </c>
      <c r="BA29" s="24">
        <f t="shared" ref="BA29:BA47" si="35">SUM(AW29:AZ29)</f>
        <v>0.95234047513514608</v>
      </c>
      <c r="BC29" s="20">
        <v>2019</v>
      </c>
      <c r="BD29" s="25">
        <f>AQ28</f>
        <v>0.43626851258297117</v>
      </c>
      <c r="BE29" s="25">
        <v>0.19239999999999999</v>
      </c>
      <c r="BF29" s="25">
        <f>AS28</f>
        <v>0.21049324624081989</v>
      </c>
      <c r="BG29" s="25">
        <v>0.1166</v>
      </c>
      <c r="BH29" s="24">
        <f>SUM(BD29:BG29)</f>
        <v>0.95576175882379111</v>
      </c>
      <c r="BJ29" s="19"/>
      <c r="BK29" s="20" t="str">
        <f>BK28</f>
        <v>SUMATERA</v>
      </c>
      <c r="BL29" s="20">
        <f>BL28+1</f>
        <v>2020</v>
      </c>
      <c r="BM29" s="34">
        <f>VLOOKUP(BL29,proj_rukn!$B$22:$E$41,4,FALSE)</f>
        <v>7563</v>
      </c>
      <c r="BN29" s="30">
        <f t="shared" si="27"/>
        <v>8697.4499999999989</v>
      </c>
      <c r="BO29" s="30">
        <f t="shared" ref="BO29:BO47" si="36">SUM(D5:I5,M5,O5:P5)</f>
        <v>14458.969521542367</v>
      </c>
      <c r="BQ29" s="30">
        <f t="shared" si="28"/>
        <v>3478.9799999999996</v>
      </c>
      <c r="BR29" s="30">
        <f t="shared" ref="BR29:BR47" si="37">SUM(D5,F5,H5,M5)</f>
        <v>8602.0027399974442</v>
      </c>
      <c r="BS29" s="30"/>
      <c r="BT29" s="30">
        <f t="shared" si="29"/>
        <v>1739.4899999999998</v>
      </c>
      <c r="BU29" s="30">
        <f t="shared" ref="BU29:BU47" si="38">SUM(E5,G5,P5,I5)</f>
        <v>5856.9667815449229</v>
      </c>
      <c r="BW29" s="30">
        <f t="shared" si="30"/>
        <v>1.7841121033512042</v>
      </c>
      <c r="BX29" s="30">
        <f t="shared" ref="BX29:BX47" si="39">N5</f>
        <v>1.7841139784521141</v>
      </c>
      <c r="BZ29" s="24">
        <f>BZ28+$CD$34</f>
        <v>5.0800000000000005E-2</v>
      </c>
      <c r="CA29" s="24">
        <f t="shared" si="31"/>
        <v>5.079991114650767E-2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ref="B30:C30" si="40">B6</f>
        <v>SUMATERA</v>
      </c>
      <c r="C30" s="20">
        <f t="shared" si="40"/>
        <v>2021</v>
      </c>
      <c r="D30" s="30">
        <f>(D6*(VLOOKUP(D$27,tech_data!$B$2:$O$15,6, FALSE)/100)*(1-(VLOOKUP(D$27,tech_data!$B$2:$O$15,7, FALSE)/100))*8760)/1000</f>
        <v>28051.762939805281</v>
      </c>
      <c r="E30" s="30">
        <f>(E6*(VLOOKUP(E$27,tech_data!$B$2:$O$15,6, FALSE)/100)*(1-(VLOOKUP(E$27,tech_data!$B$2:$O$15,7, FALSE)/100))*8760)/1000</f>
        <v>3747.7903350461529</v>
      </c>
      <c r="F30" s="30">
        <f>(F6*(VLOOKUP(F$27,tech_data!$B$2:$O$15,6, FALSE)/100)*(1-(VLOOKUP(F$27,tech_data!$B$2:$O$15,7, FALSE)/100))*8760)/1000</f>
        <v>10907.324073421563</v>
      </c>
      <c r="G30" s="30">
        <f>(G6*(VLOOKUP(G$27,tech_data!$B$2:$O$15,6, FALSE)/100)*(1-(VLOOKUP(G$27,tech_data!$B$2:$O$15,7, FALSE)/100))*8760)/1000</f>
        <v>12465.922693121298</v>
      </c>
      <c r="H30" s="30">
        <f>(H6*(VLOOKUP(H$27,tech_data!$B$2:$O$15,6, FALSE)/100)*(1-(VLOOKUP(H$27,tech_data!$B$2:$O$15,7, FALSE)/100))*8760)/1000</f>
        <v>4393.1467384615389</v>
      </c>
      <c r="I30" s="30">
        <f>(I6*(VLOOKUP(I$27,tech_data!$B$2:$O$15,6, FALSE)/100)*(1-(VLOOKUP(I$27,tech_data!$B$2:$O$15,7, FALSE)/100))*8760)/1000</f>
        <v>9340.6585474013882</v>
      </c>
      <c r="J30" s="30">
        <f>(J6*(VLOOKUP(J$27,tech_data!$B$2:$O$15,6, FALSE)/100)*(1-(VLOOKUP(J$27,tech_data!$B$2:$O$15,7, FALSE)/100))*8760)/1000</f>
        <v>1208.5093300781984</v>
      </c>
      <c r="K30" s="30">
        <f>(K6*(VLOOKUP(K$27,tech_data!$B$2:$O$15,6, FALSE)/100)*(1-(VLOOKUP(K$27,tech_data!$B$2:$O$15,7, FALSE)/100))*8760)/1000</f>
        <v>821.04704371924993</v>
      </c>
      <c r="L30" s="30">
        <f>(L6*(VLOOKUP(L$27,tech_data!$B$2:$O$15,6, FALSE)/100)*(1-(VLOOKUP(L$27,tech_data!$B$2:$O$15,7, FALSE)/100))*8760)/1000</f>
        <v>739.02956693266981</v>
      </c>
      <c r="M30" s="30">
        <f>(M6*(VLOOKUP(M$27,tech_data!$B$2:$O$15,6, FALSE)/100)*(1-(VLOOKUP(M$27,tech_data!$B$2:$O$15,7, FALSE)/100))*8760)/1000</f>
        <v>91.412554153846145</v>
      </c>
      <c r="N30" s="30">
        <f>(N6*(VLOOKUP(N$27,tech_data!$B$2:$O$15,6, FALSE)/100)*(1-(VLOOKUP(N$27,tech_data!$B$2:$O$15,7, FALSE)/100))*8760)/1000</f>
        <v>5.3763204272267373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17.971222410954748</v>
      </c>
      <c r="Q30" s="34">
        <f t="shared" si="18"/>
        <v>71771.980142568427</v>
      </c>
      <c r="R30" s="34">
        <f>proj_rukn!D24</f>
        <v>71772</v>
      </c>
      <c r="S30" s="35"/>
      <c r="T30" s="19"/>
      <c r="U30" s="20" t="str">
        <f t="shared" si="19"/>
        <v>SUMATERA</v>
      </c>
      <c r="V30" s="20">
        <f t="shared" si="19"/>
        <v>2021</v>
      </c>
      <c r="W30" s="29">
        <f t="shared" si="20"/>
        <v>0.3908456041491824</v>
      </c>
      <c r="X30" s="29">
        <f t="shared" si="20"/>
        <v>5.2218014991386785E-2</v>
      </c>
      <c r="Y30" s="29">
        <f t="shared" si="20"/>
        <v>0.15197189838924841</v>
      </c>
      <c r="Z30" s="29">
        <f t="shared" si="20"/>
        <v>0.17368787468812885</v>
      </c>
      <c r="AA30" s="29">
        <f t="shared" si="20"/>
        <v>6.1209774757989922E-2</v>
      </c>
      <c r="AB30" s="29">
        <f t="shared" si="20"/>
        <v>0.13014352577213323</v>
      </c>
      <c r="AC30" s="29">
        <f t="shared" si="20"/>
        <v>1.6838177345498983E-2</v>
      </c>
      <c r="AD30" s="29">
        <f t="shared" si="20"/>
        <v>1.1439659907505903E-2</v>
      </c>
      <c r="AE30" s="29">
        <f t="shared" si="20"/>
        <v>1.0296909259918085E-2</v>
      </c>
      <c r="AF30" s="29">
        <f t="shared" si="20"/>
        <v>1.2736523915358546E-3</v>
      </c>
      <c r="AG30" s="29">
        <f t="shared" si="20"/>
        <v>7.4908347471355422E-5</v>
      </c>
      <c r="AH30" s="29">
        <f t="shared" si="20"/>
        <v>0</v>
      </c>
      <c r="AI30" s="29">
        <f t="shared" si="20"/>
        <v>2.5039329241378835E-4</v>
      </c>
      <c r="AJ30" s="29">
        <f t="shared" si="21"/>
        <v>1</v>
      </c>
      <c r="AM30" s="23"/>
      <c r="AO30" s="20" t="str">
        <f t="shared" ref="AO30:AO47" si="41">AO29</f>
        <v>SUMATERA</v>
      </c>
      <c r="AP30" s="20">
        <f t="shared" ref="AP30:AP47" si="42">AP29+1</f>
        <v>2021</v>
      </c>
      <c r="AQ30" s="25">
        <f t="shared" si="22"/>
        <v>0.3908456041491824</v>
      </c>
      <c r="AR30" s="25">
        <f t="shared" si="23"/>
        <v>0.20418991338063519</v>
      </c>
      <c r="AS30" s="25">
        <f t="shared" si="24"/>
        <v>0.17368787468812885</v>
      </c>
      <c r="AT30" s="37">
        <f t="shared" si="25"/>
        <v>0.23127660778205333</v>
      </c>
      <c r="AU30" s="24">
        <f t="shared" si="33"/>
        <v>0.99999999999999978</v>
      </c>
      <c r="AW30" s="24">
        <f t="shared" ref="AW30:AW34" si="43">$BD$29+((AP30-$BC$29)*($BD$30-$BD$29)/($BC$30-$BC$29))</f>
        <v>0.39084567505531409</v>
      </c>
      <c r="AX30" s="24">
        <f t="shared" si="26"/>
        <v>0.2016</v>
      </c>
      <c r="AY30" s="24">
        <f t="shared" ref="AY30:AY47" si="44">AY29*0.98</f>
        <v>0.20215771368968341</v>
      </c>
      <c r="AZ30" s="25">
        <f t="shared" si="34"/>
        <v>0.15440000000000001</v>
      </c>
      <c r="BA30" s="24">
        <f t="shared" si="35"/>
        <v>0.94900338874499746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5">SUM(BD30:BG30)</f>
        <v>1</v>
      </c>
      <c r="BJ30" s="19"/>
      <c r="BK30" s="20" t="str">
        <f t="shared" ref="BK30:BK47" si="46">BK29</f>
        <v>SUMATERA</v>
      </c>
      <c r="BL30" s="20">
        <f t="shared" ref="BL30:BL47" si="47">BL29+1</f>
        <v>2021</v>
      </c>
      <c r="BM30" s="34">
        <f>VLOOKUP(BL30,proj_rukn!$B$22:$E$41,4,FALSE)</f>
        <v>8196</v>
      </c>
      <c r="BN30" s="30">
        <f t="shared" si="27"/>
        <v>9425.4</v>
      </c>
      <c r="BO30" s="30">
        <f t="shared" si="36"/>
        <v>16297.122245239092</v>
      </c>
      <c r="BQ30" s="30">
        <f t="shared" si="28"/>
        <v>3770.16</v>
      </c>
      <c r="BR30" s="30">
        <f t="shared" si="37"/>
        <v>10439.72536523843</v>
      </c>
      <c r="BS30" s="30"/>
      <c r="BT30" s="30">
        <f t="shared" si="29"/>
        <v>1885.08</v>
      </c>
      <c r="BU30" s="30">
        <f t="shared" si="38"/>
        <v>5857.3968800006642</v>
      </c>
      <c r="BW30" s="30">
        <f t="shared" si="30"/>
        <v>1.8551247364843542</v>
      </c>
      <c r="BX30" s="30">
        <f t="shared" si="39"/>
        <v>1.7841139784521141</v>
      </c>
      <c r="BZ30" s="24">
        <f t="shared" ref="BZ30:BZ47" si="48">BZ29*1.05</f>
        <v>5.3340000000000005E-2</v>
      </c>
      <c r="CA30" s="24">
        <f t="shared" si="31"/>
        <v>4.9463108341186945E-2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ref="B31:C31" si="49">B7</f>
        <v>SUMATERA</v>
      </c>
      <c r="C31" s="20">
        <f t="shared" si="49"/>
        <v>2022</v>
      </c>
      <c r="D31" s="30">
        <f>(D7*(VLOOKUP(D$27,tech_data!$B$2:$O$15,6, FALSE)/100)*(1-(VLOOKUP(D$27,tech_data!$B$2:$O$15,7, FALSE)/100))*8760)/1000</f>
        <v>28651.150837568686</v>
      </c>
      <c r="E31" s="30">
        <f>(E7*(VLOOKUP(E$27,tech_data!$B$2:$O$15,6, FALSE)/100)*(1-(VLOOKUP(E$27,tech_data!$B$2:$O$15,7, FALSE)/100))*8760)/1000</f>
        <v>3747.7903350461529</v>
      </c>
      <c r="F31" s="30">
        <f>(F7*(VLOOKUP(F$27,tech_data!$B$2:$O$15,6, FALSE)/100)*(1-(VLOOKUP(F$27,tech_data!$B$2:$O$15,7, FALSE)/100))*8760)/1000</f>
        <v>16197.879375899363</v>
      </c>
      <c r="G31" s="30">
        <f>(G7*(VLOOKUP(G$27,tech_data!$B$2:$O$15,6, FALSE)/100)*(1-(VLOOKUP(G$27,tech_data!$B$2:$O$15,7, FALSE)/100))*8760)/1000</f>
        <v>12631.999740359131</v>
      </c>
      <c r="H31" s="30">
        <f>(H7*(VLOOKUP(H$27,tech_data!$B$2:$O$15,6, FALSE)/100)*(1-(VLOOKUP(H$27,tech_data!$B$2:$O$15,7, FALSE)/100))*8760)/1000</f>
        <v>4393.1467384615389</v>
      </c>
      <c r="I31" s="30">
        <f>(I7*(VLOOKUP(I$27,tech_data!$B$2:$O$15,6, FALSE)/100)*(1-(VLOOKUP(I$27,tech_data!$B$2:$O$15,7, FALSE)/100))*8760)/1000</f>
        <v>9340.6585474013882</v>
      </c>
      <c r="J31" s="30">
        <f>(J7*(VLOOKUP(J$27,tech_data!$B$2:$O$15,6, FALSE)/100)*(1-(VLOOKUP(J$27,tech_data!$B$2:$O$15,7, FALSE)/100))*8760)/1000</f>
        <v>1208.5093300781984</v>
      </c>
      <c r="K31" s="30">
        <f>(K7*(VLOOKUP(K$27,tech_data!$B$2:$O$15,6, FALSE)/100)*(1-(VLOOKUP(K$27,tech_data!$B$2:$O$15,7, FALSE)/100))*8760)/1000</f>
        <v>821.04704371924993</v>
      </c>
      <c r="L31" s="30">
        <f>(L7*(VLOOKUP(L$27,tech_data!$B$2:$O$15,6, FALSE)/100)*(1-(VLOOKUP(L$27,tech_data!$B$2:$O$15,7, FALSE)/100))*8760)/1000</f>
        <v>739.02956693266981</v>
      </c>
      <c r="M31" s="30">
        <f>(M7*(VLOOKUP(M$27,tech_data!$B$2:$O$15,6, FALSE)/100)*(1-(VLOOKUP(M$27,tech_data!$B$2:$O$15,7, FALSE)/100))*8760)/1000</f>
        <v>91.412554153846145</v>
      </c>
      <c r="N31" s="30">
        <f>(N7*(VLOOKUP(N$27,tech_data!$B$2:$O$15,6, FALSE)/100)*(1-(VLOOKUP(N$27,tech_data!$B$2:$O$15,7, FALSE)/100))*8760)/1000</f>
        <v>5.3763204272267373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19.461306032209823</v>
      </c>
      <c r="Q31" s="34">
        <f t="shared" si="18"/>
        <v>77828.000390047469</v>
      </c>
      <c r="R31" s="34">
        <f>proj_rukn!D25</f>
        <v>77828</v>
      </c>
      <c r="S31" s="35"/>
      <c r="T31" s="19"/>
      <c r="U31" s="20" t="str">
        <f t="shared" si="19"/>
        <v>SUMATERA</v>
      </c>
      <c r="V31" s="20">
        <f t="shared" si="19"/>
        <v>2022</v>
      </c>
      <c r="W31" s="29">
        <f t="shared" si="20"/>
        <v>0.36813422796395723</v>
      </c>
      <c r="X31" s="29">
        <f t="shared" si="20"/>
        <v>4.8154781264628438E-2</v>
      </c>
      <c r="Y31" s="29">
        <f t="shared" si="20"/>
        <v>0.20812405939663234</v>
      </c>
      <c r="Z31" s="29">
        <f t="shared" si="20"/>
        <v>0.16230662071557594</v>
      </c>
      <c r="AA31" s="29">
        <f t="shared" si="20"/>
        <v>5.6446866377712152E-2</v>
      </c>
      <c r="AB31" s="29">
        <f t="shared" si="20"/>
        <v>0.12001668423432678</v>
      </c>
      <c r="AC31" s="29">
        <f t="shared" si="20"/>
        <v>1.5527950403730799E-2</v>
      </c>
      <c r="AD31" s="29">
        <f t="shared" si="20"/>
        <v>1.0549507113178308E-2</v>
      </c>
      <c r="AE31" s="29">
        <f t="shared" si="20"/>
        <v>9.4956771756810523E-3</v>
      </c>
      <c r="AF31" s="29">
        <f t="shared" si="20"/>
        <v>1.1745458407734686E-3</v>
      </c>
      <c r="AG31" s="29">
        <f t="shared" si="20"/>
        <v>6.907951380328992E-5</v>
      </c>
      <c r="AH31" s="29">
        <f t="shared" si="20"/>
        <v>0</v>
      </c>
      <c r="AI31" s="29">
        <f t="shared" si="20"/>
        <v>2.5005532629229039E-4</v>
      </c>
      <c r="AJ31" s="29">
        <f t="shared" si="21"/>
        <v>0.99999999999999967</v>
      </c>
      <c r="AM31" s="23"/>
      <c r="AO31" s="20" t="str">
        <f t="shared" si="41"/>
        <v>SUMATERA</v>
      </c>
      <c r="AP31" s="20">
        <f t="shared" si="42"/>
        <v>2022</v>
      </c>
      <c r="AQ31" s="25">
        <f t="shared" si="22"/>
        <v>0.36813422796395723</v>
      </c>
      <c r="AR31" s="25">
        <f t="shared" si="23"/>
        <v>0.25627884066126078</v>
      </c>
      <c r="AS31" s="25">
        <f t="shared" si="24"/>
        <v>0.16230662071557594</v>
      </c>
      <c r="AT31" s="37">
        <f t="shared" si="25"/>
        <v>0.21328031065920586</v>
      </c>
      <c r="AU31" s="24">
        <f t="shared" si="33"/>
        <v>0.99999999999999978</v>
      </c>
      <c r="AW31" s="24">
        <f t="shared" si="43"/>
        <v>0.36813425629148555</v>
      </c>
      <c r="AX31" s="24">
        <f t="shared" si="26"/>
        <v>0.20619999999999999</v>
      </c>
      <c r="AY31" s="24">
        <f t="shared" si="44"/>
        <v>0.19811455941588973</v>
      </c>
      <c r="AZ31" s="25">
        <f t="shared" si="34"/>
        <v>0.17330000000000001</v>
      </c>
      <c r="BA31" s="24">
        <f t="shared" si="35"/>
        <v>0.94574881570737523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5"/>
        <v>1</v>
      </c>
      <c r="BJ31" s="19"/>
      <c r="BK31" s="20" t="str">
        <f t="shared" si="46"/>
        <v>SUMATERA</v>
      </c>
      <c r="BL31" s="20">
        <f t="shared" si="47"/>
        <v>2022</v>
      </c>
      <c r="BM31" s="34">
        <f>VLOOKUP(BL31,proj_rukn!$B$22:$E$41,4,FALSE)</f>
        <v>9078</v>
      </c>
      <c r="BN31" s="30">
        <f t="shared" si="27"/>
        <v>10439.699999999999</v>
      </c>
      <c r="BO31" s="30">
        <f t="shared" si="36"/>
        <v>18366.064452555249</v>
      </c>
      <c r="BQ31" s="30">
        <f t="shared" si="28"/>
        <v>4175.88</v>
      </c>
      <c r="BR31" s="30">
        <f t="shared" si="37"/>
        <v>12475.014910563497</v>
      </c>
      <c r="BS31" s="30"/>
      <c r="BT31" s="30">
        <f t="shared" si="29"/>
        <v>2087.94</v>
      </c>
      <c r="BU31" s="30">
        <f t="shared" si="38"/>
        <v>5891.0495419917515</v>
      </c>
      <c r="BW31" s="30">
        <f t="shared" si="30"/>
        <v>1.8551247364843542</v>
      </c>
      <c r="BX31" s="30">
        <f t="shared" si="39"/>
        <v>1.7841139784521141</v>
      </c>
      <c r="BZ31" s="24">
        <f t="shared" si="48"/>
        <v>5.6007000000000008E-2</v>
      </c>
      <c r="CA31" s="24">
        <f t="shared" si="31"/>
        <v>4.9463108341186945E-2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ref="B32:C32" si="50">B8</f>
        <v>SUMATERA</v>
      </c>
      <c r="C32" s="20">
        <f t="shared" si="50"/>
        <v>2023</v>
      </c>
      <c r="D32" s="30">
        <f>(D8*(VLOOKUP(D$27,tech_data!$B$2:$O$15,6, FALSE)/100)*(1-(VLOOKUP(D$27,tech_data!$B$2:$O$15,7, FALSE)/100))*8760)/1000</f>
        <v>29216.207170674184</v>
      </c>
      <c r="E32" s="30">
        <f>(E8*(VLOOKUP(E$27,tech_data!$B$2:$O$15,6, FALSE)/100)*(1-(VLOOKUP(E$27,tech_data!$B$2:$O$15,7, FALSE)/100))*8760)/1000</f>
        <v>3747.7903350461529</v>
      </c>
      <c r="F32" s="30">
        <f>(F8*(VLOOKUP(F$27,tech_data!$B$2:$O$15,6, FALSE)/100)*(1-(VLOOKUP(F$27,tech_data!$B$2:$O$15,7, FALSE)/100))*8760)/1000</f>
        <v>22295.431199086979</v>
      </c>
      <c r="G32" s="30">
        <f>(G8*(VLOOKUP(G$27,tech_data!$B$2:$O$15,6, FALSE)/100)*(1-(VLOOKUP(G$27,tech_data!$B$2:$O$15,7, FALSE)/100))*8760)/1000</f>
        <v>12631.999740359131</v>
      </c>
      <c r="H32" s="30">
        <f>(H8*(VLOOKUP(H$27,tech_data!$B$2:$O$15,6, FALSE)/100)*(1-(VLOOKUP(H$27,tech_data!$B$2:$O$15,7, FALSE)/100))*8760)/1000</f>
        <v>4393.1467384615389</v>
      </c>
      <c r="I32" s="30">
        <f>(I8*(VLOOKUP(I$27,tech_data!$B$2:$O$15,6, FALSE)/100)*(1-(VLOOKUP(I$27,tech_data!$B$2:$O$15,7, FALSE)/100))*8760)/1000</f>
        <v>9340.6585474013882</v>
      </c>
      <c r="J32" s="30">
        <f>(J8*(VLOOKUP(J$27,tech_data!$B$2:$O$15,6, FALSE)/100)*(1-(VLOOKUP(J$27,tech_data!$B$2:$O$15,7, FALSE)/100))*8760)/1000</f>
        <v>1208.5093300781984</v>
      </c>
      <c r="K32" s="30">
        <f>(K8*(VLOOKUP(K$27,tech_data!$B$2:$O$15,6, FALSE)/100)*(1-(VLOOKUP(K$27,tech_data!$B$2:$O$15,7, FALSE)/100))*8760)/1000</f>
        <v>821.04704371924993</v>
      </c>
      <c r="L32" s="30">
        <f>(L8*(VLOOKUP(L$27,tech_data!$B$2:$O$15,6, FALSE)/100)*(1-(VLOOKUP(L$27,tech_data!$B$2:$O$15,7, FALSE)/100))*8760)/1000</f>
        <v>829.41553078602476</v>
      </c>
      <c r="M32" s="30">
        <f>(M8*(VLOOKUP(M$27,tech_data!$B$2:$O$15,6, FALSE)/100)*(1-(VLOOKUP(M$27,tech_data!$B$2:$O$15,7, FALSE)/100))*8760)/1000</f>
        <v>91.412554153846145</v>
      </c>
      <c r="N32" s="30">
        <f>(N8*(VLOOKUP(N$27,tech_data!$B$2:$O$15,6, FALSE)/100)*(1-(VLOOKUP(N$27,tech_data!$B$2:$O$15,7, FALSE)/100))*8760)/1000</f>
        <v>5.3763204272267373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21.140878610931964</v>
      </c>
      <c r="Q32" s="34">
        <f t="shared" si="18"/>
        <v>84580.994510193923</v>
      </c>
      <c r="R32" s="34">
        <f>proj_rukn!D26</f>
        <v>84581</v>
      </c>
      <c r="S32" s="35"/>
      <c r="T32" s="19"/>
      <c r="U32" s="20" t="str">
        <f t="shared" si="19"/>
        <v>SUMATERA</v>
      </c>
      <c r="V32" s="20">
        <f t="shared" si="19"/>
        <v>2023</v>
      </c>
      <c r="W32" s="29">
        <f t="shared" si="20"/>
        <v>0.34542283807212709</v>
      </c>
      <c r="X32" s="29">
        <f t="shared" si="20"/>
        <v>4.4310076474620541E-2</v>
      </c>
      <c r="Y32" s="29">
        <f t="shared" si="20"/>
        <v>0.26359859361076532</v>
      </c>
      <c r="Z32" s="29">
        <f t="shared" si="20"/>
        <v>0.14934796893215402</v>
      </c>
      <c r="AA32" s="29">
        <f t="shared" si="20"/>
        <v>5.1940116853698919E-2</v>
      </c>
      <c r="AB32" s="29">
        <f t="shared" si="20"/>
        <v>0.11043448473847901</v>
      </c>
      <c r="AC32" s="29">
        <f t="shared" si="20"/>
        <v>1.4288190119738373E-2</v>
      </c>
      <c r="AD32" s="29">
        <f t="shared" si="20"/>
        <v>9.7072285384430558E-3</v>
      </c>
      <c r="AE32" s="29">
        <f t="shared" si="20"/>
        <v>9.8061690523875474E-3</v>
      </c>
      <c r="AF32" s="29">
        <f t="shared" si="20"/>
        <v>1.0807694409744599E-3</v>
      </c>
      <c r="AG32" s="29">
        <f t="shared" si="20"/>
        <v>6.3564166611670292E-5</v>
      </c>
      <c r="AH32" s="29">
        <f t="shared" si="20"/>
        <v>0</v>
      </c>
      <c r="AI32" s="29">
        <f t="shared" si="20"/>
        <v>2.4994833335027777E-4</v>
      </c>
      <c r="AJ32" s="29">
        <f t="shared" si="21"/>
        <v>1</v>
      </c>
      <c r="AM32" s="23"/>
      <c r="AO32" s="20" t="str">
        <f t="shared" si="41"/>
        <v>SUMATERA</v>
      </c>
      <c r="AP32" s="20">
        <f t="shared" si="42"/>
        <v>2023</v>
      </c>
      <c r="AQ32" s="25">
        <f t="shared" si="22"/>
        <v>0.34542283807212709</v>
      </c>
      <c r="AR32" s="25">
        <f t="shared" si="23"/>
        <v>0.30790867008538586</v>
      </c>
      <c r="AS32" s="25">
        <f t="shared" si="24"/>
        <v>0.14934796893215402</v>
      </c>
      <c r="AT32" s="37">
        <f t="shared" si="25"/>
        <v>0.19732052291033303</v>
      </c>
      <c r="AU32" s="24">
        <f t="shared" si="33"/>
        <v>1</v>
      </c>
      <c r="AW32" s="24">
        <f t="shared" si="43"/>
        <v>0.34542283752765707</v>
      </c>
      <c r="AX32" s="24">
        <f t="shared" si="26"/>
        <v>0.21079999999999999</v>
      </c>
      <c r="AY32" s="24">
        <f t="shared" si="44"/>
        <v>0.19415226822757195</v>
      </c>
      <c r="AZ32" s="25">
        <f t="shared" si="34"/>
        <v>0.19220000000000001</v>
      </c>
      <c r="BA32" s="24">
        <f t="shared" si="35"/>
        <v>0.94257510575522896</v>
      </c>
      <c r="BJ32" s="19"/>
      <c r="BK32" s="20" t="str">
        <f t="shared" si="46"/>
        <v>SUMATERA</v>
      </c>
      <c r="BL32" s="20">
        <f t="shared" si="47"/>
        <v>2023</v>
      </c>
      <c r="BM32" s="34">
        <f>VLOOKUP(BL32,proj_rukn!$B$22:$E$41,4,FALSE)</f>
        <v>9947</v>
      </c>
      <c r="BN32" s="30">
        <f t="shared" si="27"/>
        <v>11439.05</v>
      </c>
      <c r="BO32" s="30">
        <f t="shared" si="36"/>
        <v>20686.345398424171</v>
      </c>
      <c r="BQ32" s="30">
        <f t="shared" si="28"/>
        <v>4575.62</v>
      </c>
      <c r="BR32" s="30">
        <f t="shared" si="37"/>
        <v>14794.823654787264</v>
      </c>
      <c r="BS32" s="30"/>
      <c r="BT32" s="30">
        <f t="shared" si="29"/>
        <v>2287.81</v>
      </c>
      <c r="BU32" s="30">
        <f t="shared" si="38"/>
        <v>5891.5217436369057</v>
      </c>
      <c r="BW32" s="30">
        <f t="shared" si="30"/>
        <v>1.8698189239918652</v>
      </c>
      <c r="BX32" s="30">
        <f t="shared" si="39"/>
        <v>1.7841139784521141</v>
      </c>
      <c r="BZ32" s="24">
        <f t="shared" si="48"/>
        <v>5.8807350000000008E-2</v>
      </c>
      <c r="CA32" s="24">
        <f t="shared" si="31"/>
        <v>4.9195230152791779E-2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ref="B33:C33" si="51">B9</f>
        <v>SUMATERA</v>
      </c>
      <c r="C33" s="20">
        <f t="shared" si="51"/>
        <v>2024</v>
      </c>
      <c r="D33" s="30">
        <f>(D9*(VLOOKUP(D$27,tech_data!$B$2:$O$15,6, FALSE)/100)*(1-(VLOOKUP(D$27,tech_data!$B$2:$O$15,7, FALSE)/100))*8760)/1000</f>
        <v>30192.545063501704</v>
      </c>
      <c r="E33" s="30">
        <f>(E9*(VLOOKUP(E$27,tech_data!$B$2:$O$15,6, FALSE)/100)*(1-(VLOOKUP(E$27,tech_data!$B$2:$O$15,7, FALSE)/100))*8760)/1000</f>
        <v>3747.7903350461529</v>
      </c>
      <c r="F33" s="30">
        <f>(F9*(VLOOKUP(F$27,tech_data!$B$2:$O$15,6, FALSE)/100)*(1-(VLOOKUP(F$27,tech_data!$B$2:$O$15,7, FALSE)/100))*8760)/1000</f>
        <v>26001.680601859418</v>
      </c>
      <c r="G33" s="30">
        <f>(G9*(VLOOKUP(G$27,tech_data!$B$2:$O$15,6, FALSE)/100)*(1-(VLOOKUP(G$27,tech_data!$B$2:$O$15,7, FALSE)/100))*8760)/1000</f>
        <v>13866.652108211352</v>
      </c>
      <c r="H33" s="30">
        <f>(H9*(VLOOKUP(H$27,tech_data!$B$2:$O$15,6, FALSE)/100)*(1-(VLOOKUP(H$27,tech_data!$B$2:$O$15,7, FALSE)/100))*8760)/1000</f>
        <v>4393.1467384615389</v>
      </c>
      <c r="I33" s="30">
        <f>(I9*(VLOOKUP(I$27,tech_data!$B$2:$O$15,6, FALSE)/100)*(1-(VLOOKUP(I$27,tech_data!$B$2:$O$15,7, FALSE)/100))*8760)/1000</f>
        <v>9340.6585474013882</v>
      </c>
      <c r="J33" s="30">
        <f>(J9*(VLOOKUP(J$27,tech_data!$B$2:$O$15,6, FALSE)/100)*(1-(VLOOKUP(J$27,tech_data!$B$2:$O$15,7, FALSE)/100))*8760)/1000</f>
        <v>1208.5093300781984</v>
      </c>
      <c r="K33" s="30">
        <f>(K9*(VLOOKUP(K$27,tech_data!$B$2:$O$15,6, FALSE)/100)*(1-(VLOOKUP(K$27,tech_data!$B$2:$O$15,7, FALSE)/100))*8760)/1000</f>
        <v>821.04704371924993</v>
      </c>
      <c r="L33" s="30">
        <f>(L9*(VLOOKUP(L$27,tech_data!$B$2:$O$15,6, FALSE)/100)*(1-(VLOOKUP(L$27,tech_data!$B$2:$O$15,7, FALSE)/100))*8760)/1000</f>
        <v>3890.1469640514947</v>
      </c>
      <c r="M33" s="30">
        <f>(M9*(VLOOKUP(M$27,tech_data!$B$2:$O$15,6, FALSE)/100)*(1-(VLOOKUP(M$27,tech_data!$B$2:$O$15,7, FALSE)/100))*8760)/1000</f>
        <v>91.412554153846145</v>
      </c>
      <c r="N33" s="30">
        <f>(N9*(VLOOKUP(N$27,tech_data!$B$2:$O$15,6, FALSE)/100)*(1-(VLOOKUP(N$27,tech_data!$B$2:$O$15,7, FALSE)/100))*8760)/1000</f>
        <v>5.3763204272267373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23.959391530256511</v>
      </c>
      <c r="Q33" s="34">
        <f t="shared" si="18"/>
        <v>93558.965606911588</v>
      </c>
      <c r="R33" s="34">
        <f>proj_rukn!D27</f>
        <v>93559</v>
      </c>
      <c r="S33" s="35"/>
      <c r="T33" s="19"/>
      <c r="U33" s="20" t="str">
        <f t="shared" si="19"/>
        <v>SUMATERA</v>
      </c>
      <c r="V33" s="20">
        <f t="shared" si="19"/>
        <v>2024</v>
      </c>
      <c r="W33" s="29">
        <f t="shared" si="20"/>
        <v>0.32271140309904467</v>
      </c>
      <c r="X33" s="29">
        <f t="shared" si="20"/>
        <v>4.0058056550053268E-2</v>
      </c>
      <c r="Y33" s="29">
        <f t="shared" si="20"/>
        <v>0.27791757244415888</v>
      </c>
      <c r="Z33" s="29">
        <f t="shared" si="20"/>
        <v>0.14821296941729939</v>
      </c>
      <c r="AA33" s="29">
        <f t="shared" si="20"/>
        <v>4.6955913951842572E-2</v>
      </c>
      <c r="AB33" s="29">
        <f t="shared" si="20"/>
        <v>9.9837129309939224E-2</v>
      </c>
      <c r="AC33" s="29">
        <f t="shared" si="20"/>
        <v>1.2917087338863448E-2</v>
      </c>
      <c r="AD33" s="29">
        <f t="shared" si="20"/>
        <v>8.7757174140732034E-3</v>
      </c>
      <c r="AE33" s="29">
        <f t="shared" si="20"/>
        <v>4.1579627765402673E-2</v>
      </c>
      <c r="AF33" s="29">
        <f t="shared" si="20"/>
        <v>9.7705819598216176E-4</v>
      </c>
      <c r="AG33" s="29">
        <f t="shared" si="20"/>
        <v>5.7464513340339519E-5</v>
      </c>
      <c r="AH33" s="29">
        <f t="shared" si="20"/>
        <v>0</v>
      </c>
      <c r="AI33" s="29">
        <f t="shared" si="20"/>
        <v>2.560886749317217E-4</v>
      </c>
      <c r="AJ33" s="29">
        <f t="shared" si="21"/>
        <v>1</v>
      </c>
      <c r="AM33" s="23"/>
      <c r="AO33" s="20" t="str">
        <f t="shared" si="41"/>
        <v>SUMATERA</v>
      </c>
      <c r="AP33" s="20">
        <f t="shared" si="42"/>
        <v>2024</v>
      </c>
      <c r="AQ33" s="25">
        <f t="shared" si="22"/>
        <v>0.32271140309904467</v>
      </c>
      <c r="AR33" s="25">
        <f t="shared" si="23"/>
        <v>0.31797562899421211</v>
      </c>
      <c r="AS33" s="25">
        <f t="shared" si="24"/>
        <v>0.14821296941729939</v>
      </c>
      <c r="AT33" s="37">
        <f t="shared" si="25"/>
        <v>0.21109999848944358</v>
      </c>
      <c r="AU33" s="24">
        <f t="shared" si="33"/>
        <v>0.99999999999999967</v>
      </c>
      <c r="AW33" s="24">
        <f t="shared" si="43"/>
        <v>0.32271141876382853</v>
      </c>
      <c r="AX33" s="24">
        <f t="shared" si="26"/>
        <v>0.21540000000000001</v>
      </c>
      <c r="AY33" s="24">
        <f t="shared" si="44"/>
        <v>0.1902692228630205</v>
      </c>
      <c r="AZ33" s="25">
        <f t="shared" si="34"/>
        <v>0.21110000000000001</v>
      </c>
      <c r="BA33" s="24">
        <f t="shared" si="35"/>
        <v>0.93948064162684908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6"/>
        <v>SUMATERA</v>
      </c>
      <c r="BL33" s="20">
        <f t="shared" si="47"/>
        <v>2024</v>
      </c>
      <c r="BM33" s="34">
        <f>VLOOKUP(BL33,proj_rukn!$B$22:$E$41,4,FALSE)</f>
        <v>10587</v>
      </c>
      <c r="BN33" s="30">
        <f t="shared" si="27"/>
        <v>12175.05</v>
      </c>
      <c r="BO33" s="30">
        <f t="shared" si="36"/>
        <v>22474.758258934991</v>
      </c>
      <c r="BQ33" s="30">
        <f t="shared" si="28"/>
        <v>4870.0199999999995</v>
      </c>
      <c r="BR33" s="30">
        <f t="shared" si="37"/>
        <v>16335.377405133899</v>
      </c>
      <c r="BS33" s="30"/>
      <c r="BT33" s="30">
        <f t="shared" si="29"/>
        <v>2435.0099999999998</v>
      </c>
      <c r="BU33" s="30">
        <f t="shared" si="38"/>
        <v>6139.3808538010908</v>
      </c>
      <c r="BW33" s="30">
        <f t="shared" si="30"/>
        <v>2.3674068200893661</v>
      </c>
      <c r="BX33" s="30">
        <f t="shared" si="39"/>
        <v>1.7841139784521141</v>
      </c>
      <c r="BZ33" s="24">
        <f t="shared" si="48"/>
        <v>6.1747717500000014E-2</v>
      </c>
      <c r="CA33" s="24">
        <f t="shared" si="31"/>
        <v>4.1571376015486085E-2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ref="B34:C34" si="52">B10</f>
        <v>SUMATERA</v>
      </c>
      <c r="C34" s="20">
        <f t="shared" si="52"/>
        <v>2025</v>
      </c>
      <c r="D34" s="30">
        <f>(D10*(VLOOKUP(D$27,tech_data!$B$2:$O$15,6, FALSE)/100)*(1-(VLOOKUP(D$27,tech_data!$B$2:$O$15,7, FALSE)/100))*8760)/1000</f>
        <v>30844.782021134</v>
      </c>
      <c r="E34" s="30">
        <f>(E10*(VLOOKUP(E$27,tech_data!$B$2:$O$15,6, FALSE)/100)*(1-(VLOOKUP(E$27,tech_data!$B$2:$O$15,7, FALSE)/100))*8760)/1000</f>
        <v>3747.7903350461529</v>
      </c>
      <c r="F34" s="30">
        <f>(F10*(VLOOKUP(F$27,tech_data!$B$2:$O$15,6, FALSE)/100)*(1-(VLOOKUP(F$27,tech_data!$B$2:$O$15,7, FALSE)/100))*8760)/1000</f>
        <v>26572.76389944656</v>
      </c>
      <c r="G34" s="30">
        <f>(G10*(VLOOKUP(G$27,tech_data!$B$2:$O$15,6, FALSE)/100)*(1-(VLOOKUP(G$27,tech_data!$B$2:$O$15,7, FALSE)/100))*8760)/1000</f>
        <v>18002.979801157588</v>
      </c>
      <c r="H34" s="30">
        <f>(H10*(VLOOKUP(H$27,tech_data!$B$2:$O$15,6, FALSE)/100)*(1-(VLOOKUP(H$27,tech_data!$B$2:$O$15,7, FALSE)/100))*8760)/1000</f>
        <v>4393.1467384615389</v>
      </c>
      <c r="I34" s="30">
        <f>(I10*(VLOOKUP(I$27,tech_data!$B$2:$O$15,6, FALSE)/100)*(1-(VLOOKUP(I$27,tech_data!$B$2:$O$15,7, FALSE)/100))*8760)/1000</f>
        <v>9340.6585474013882</v>
      </c>
      <c r="J34" s="30">
        <f>(J10*(VLOOKUP(J$27,tech_data!$B$2:$O$15,6, FALSE)/100)*(1-(VLOOKUP(J$27,tech_data!$B$2:$O$15,7, FALSE)/100))*8760)/1000</f>
        <v>1208.5093300781984</v>
      </c>
      <c r="K34" s="30">
        <f>(K10*(VLOOKUP(K$27,tech_data!$B$2:$O$15,6, FALSE)/100)*(1-(VLOOKUP(K$27,tech_data!$B$2:$O$15,7, FALSE)/100))*8760)/1000</f>
        <v>918.16384678635279</v>
      </c>
      <c r="L34" s="30">
        <f>(L10*(VLOOKUP(L$27,tech_data!$B$2:$O$15,6, FALSE)/100)*(1-(VLOOKUP(L$27,tech_data!$B$2:$O$15,7, FALSE)/100))*8760)/1000</f>
        <v>7690.4113879731422</v>
      </c>
      <c r="M34" s="30">
        <f>(M10*(VLOOKUP(M$27,tech_data!$B$2:$O$15,6, FALSE)/100)*(1-(VLOOKUP(M$27,tech_data!$B$2:$O$15,7, FALSE)/100))*8760)/1000</f>
        <v>91.412554153846145</v>
      </c>
      <c r="N34" s="30">
        <f>(N10*(VLOOKUP(N$27,tech_data!$B$2:$O$15,6, FALSE)/100)*(1-(VLOOKUP(N$27,tech_data!$B$2:$O$15,7, FALSE)/100))*8760)/1000</f>
        <v>5.3763204272267373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27.013168733610176</v>
      </c>
      <c r="Q34" s="34">
        <f t="shared" si="18"/>
        <v>102815.994782066</v>
      </c>
      <c r="R34" s="34">
        <f>proj_rukn!D28</f>
        <v>102816</v>
      </c>
      <c r="S34" s="35"/>
      <c r="T34" s="19"/>
      <c r="U34" s="20" t="str">
        <f t="shared" si="19"/>
        <v>SUMATERA</v>
      </c>
      <c r="V34" s="20">
        <f t="shared" si="19"/>
        <v>2025</v>
      </c>
      <c r="W34" s="29">
        <f t="shared" si="20"/>
        <v>0.29999984036057975</v>
      </c>
      <c r="X34" s="29">
        <f t="shared" si="20"/>
        <v>3.6451432901954212E-2</v>
      </c>
      <c r="Y34" s="29">
        <f t="shared" si="20"/>
        <v>0.25844970868366868</v>
      </c>
      <c r="Z34" s="29">
        <f t="shared" si="20"/>
        <v>0.17509901877930195</v>
      </c>
      <c r="AA34" s="29">
        <f t="shared" si="20"/>
        <v>4.2728242310678177E-2</v>
      </c>
      <c r="AB34" s="29">
        <f t="shared" si="20"/>
        <v>9.0848302029273964E-2</v>
      </c>
      <c r="AC34" s="29">
        <f t="shared" si="20"/>
        <v>1.175409850033369E-2</v>
      </c>
      <c r="AD34" s="29">
        <f t="shared" si="20"/>
        <v>8.9301654740834777E-3</v>
      </c>
      <c r="AE34" s="29">
        <f t="shared" si="20"/>
        <v>7.4797811413235146E-2</v>
      </c>
      <c r="AF34" s="29">
        <f t="shared" si="20"/>
        <v>8.8908884602642644E-4</v>
      </c>
      <c r="AG34" s="29">
        <f t="shared" si="20"/>
        <v>5.2290700864419576E-5</v>
      </c>
      <c r="AH34" s="29">
        <f t="shared" si="20"/>
        <v>0</v>
      </c>
      <c r="AI34" s="29">
        <f t="shared" si="20"/>
        <v>2.6273313593734766E-4</v>
      </c>
      <c r="AJ34" s="29">
        <f t="shared" si="21"/>
        <v>0.99999999999999989</v>
      </c>
      <c r="AM34" s="23"/>
      <c r="AO34" s="20" t="str">
        <f t="shared" si="41"/>
        <v>SUMATERA</v>
      </c>
      <c r="AP34" s="20">
        <f t="shared" si="42"/>
        <v>2025</v>
      </c>
      <c r="AQ34" s="25">
        <f t="shared" si="22"/>
        <v>0.29999984036057975</v>
      </c>
      <c r="AR34" s="25">
        <f t="shared" si="23"/>
        <v>0.29490114158562292</v>
      </c>
      <c r="AS34" s="25">
        <f t="shared" si="24"/>
        <v>0.17509901877930195</v>
      </c>
      <c r="AT34" s="37">
        <f t="shared" si="25"/>
        <v>0.22999999927449527</v>
      </c>
      <c r="AU34" s="24">
        <f t="shared" si="33"/>
        <v>0.99999999999999978</v>
      </c>
      <c r="AW34" s="24">
        <f t="shared" si="43"/>
        <v>0.3</v>
      </c>
      <c r="AX34" s="24">
        <f t="shared" si="26"/>
        <v>0.22</v>
      </c>
      <c r="AY34" s="24">
        <f t="shared" si="44"/>
        <v>0.18646383840576009</v>
      </c>
      <c r="AZ34" s="25">
        <f t="shared" si="34"/>
        <v>0.23</v>
      </c>
      <c r="BA34" s="24">
        <f t="shared" si="35"/>
        <v>0.93646383840576009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6"/>
        <v>SUMATERA</v>
      </c>
      <c r="BL34" s="20">
        <f t="shared" si="47"/>
        <v>2025</v>
      </c>
      <c r="BM34" s="34">
        <f>VLOOKUP(BL34,proj_rukn!$B$22:$E$41,4,FALSE)</f>
        <v>11278</v>
      </c>
      <c r="BN34" s="30">
        <f t="shared" si="27"/>
        <v>12969.699999999999</v>
      </c>
      <c r="BO34" s="30">
        <f t="shared" si="36"/>
        <v>23644.19878159526</v>
      </c>
      <c r="BQ34" s="30">
        <f t="shared" si="28"/>
        <v>5187.88</v>
      </c>
      <c r="BR34" s="30">
        <f t="shared" si="37"/>
        <v>16676.237445124105</v>
      </c>
      <c r="BS34" s="30"/>
      <c r="BT34" s="30">
        <f t="shared" si="29"/>
        <v>2593.94</v>
      </c>
      <c r="BU34" s="30">
        <f t="shared" si="38"/>
        <v>6967.9613364711549</v>
      </c>
      <c r="BW34" s="30">
        <f t="shared" si="30"/>
        <v>3.0116179250240065</v>
      </c>
      <c r="BX34" s="30">
        <f t="shared" si="39"/>
        <v>1.7841139784521141</v>
      </c>
      <c r="BZ34" s="24">
        <f t="shared" si="48"/>
        <v>6.4835103375000022E-2</v>
      </c>
      <c r="CA34" s="24">
        <f t="shared" si="31"/>
        <v>3.882680653153265E-2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ref="B35:C35" si="53">B11</f>
        <v>SUMATERA</v>
      </c>
      <c r="C35" s="20">
        <f t="shared" si="53"/>
        <v>2026</v>
      </c>
      <c r="D35" s="30">
        <f>(D11*(VLOOKUP(D$27,tech_data!$B$2:$O$15,6, FALSE)/100)*(1-(VLOOKUP(D$27,tech_data!$B$2:$O$15,7, FALSE)/100))*8760)/1000</f>
        <v>34588.750400840363</v>
      </c>
      <c r="E35" s="30">
        <f>(E11*(VLOOKUP(E$27,tech_data!$B$2:$O$15,6, FALSE)/100)*(1-(VLOOKUP(E$27,tech_data!$B$2:$O$15,7, FALSE)/100))*8760)/1000</f>
        <v>3747.7922910143275</v>
      </c>
      <c r="F35" s="30">
        <f>(F11*(VLOOKUP(F$27,tech_data!$B$2:$O$15,6, FALSE)/100)*(1-(VLOOKUP(F$27,tech_data!$B$2:$O$15,7, FALSE)/100))*8760)/1000</f>
        <v>26572.766354081657</v>
      </c>
      <c r="G35" s="30">
        <f>(G11*(VLOOKUP(G$27,tech_data!$B$2:$O$15,6, FALSE)/100)*(1-(VLOOKUP(G$27,tech_data!$B$2:$O$15,7, FALSE)/100))*8760)/1000</f>
        <v>18002.985577464755</v>
      </c>
      <c r="H35" s="30">
        <f>(H11*(VLOOKUP(H$27,tech_data!$B$2:$O$15,6, FALSE)/100)*(1-(VLOOKUP(H$27,tech_data!$B$2:$O$15,7, FALSE)/100))*8760)/1000</f>
        <v>4393.1656100245418</v>
      </c>
      <c r="I35" s="30">
        <f>(I11*(VLOOKUP(I$27,tech_data!$B$2:$O$15,6, FALSE)/100)*(1-(VLOOKUP(I$27,tech_data!$B$2:$O$15,7, FALSE)/100))*8760)/1000</f>
        <v>9340.666848442268</v>
      </c>
      <c r="J35" s="30">
        <f>(J11*(VLOOKUP(J$27,tech_data!$B$2:$O$15,6, FALSE)/100)*(1-(VLOOKUP(J$27,tech_data!$B$2:$O$15,7, FALSE)/100))*8760)/1000</f>
        <v>5887.446004877379</v>
      </c>
      <c r="K35" s="30">
        <f>(K11*(VLOOKUP(K$27,tech_data!$B$2:$O$15,6, FALSE)/100)*(1-(VLOOKUP(K$27,tech_data!$B$2:$O$15,7, FALSE)/100))*8760)/1000</f>
        <v>1608.1539615913941</v>
      </c>
      <c r="L35" s="30">
        <f>(L11*(VLOOKUP(L$27,tech_data!$B$2:$O$15,6, FALSE)/100)*(1-(VLOOKUP(L$27,tech_data!$B$2:$O$15,7, FALSE)/100))*8760)/1000</f>
        <v>7690.4153722836554</v>
      </c>
      <c r="M35" s="30">
        <f>(M11*(VLOOKUP(M$27,tech_data!$B$2:$O$15,6, FALSE)/100)*(1-(VLOOKUP(M$27,tech_data!$B$2:$O$15,7, FALSE)/100))*8760)/1000</f>
        <v>91.412554153846145</v>
      </c>
      <c r="N35" s="30">
        <f>(N11*(VLOOKUP(N$27,tech_data!$B$2:$O$15,6, FALSE)/100)*(1-(VLOOKUP(N$27,tech_data!$B$2:$O$15,7, FALSE)/100))*8760)/1000</f>
        <v>5.3763204272267373</v>
      </c>
      <c r="O35" s="30">
        <f>(O11*(VLOOKUP(O$27,tech_data!$B$2:$O$15,6, FALSE)/100)*(1-(VLOOKUP(O$27,tech_data!$B$2:$O$15,7, FALSE)/100))*8760)/1000</f>
        <v>2.5753701376805666E-3</v>
      </c>
      <c r="P35" s="30">
        <f>(P11*(VLOOKUP(P$27,tech_data!$B$2:$O$15,6, FALSE)/100)*(1-(VLOOKUP(P$27,tech_data!$B$2:$O$15,7, FALSE)/100))*8760)/1000</f>
        <v>29.39280566126909</v>
      </c>
      <c r="Q35" s="34">
        <f t="shared" si="18"/>
        <v>111928.93387057155</v>
      </c>
      <c r="R35" s="34">
        <f>proj_rukn!D29</f>
        <v>128296</v>
      </c>
      <c r="S35" s="35"/>
      <c r="T35" s="19"/>
      <c r="U35" s="20" t="str">
        <f t="shared" si="19"/>
        <v>SUMATERA</v>
      </c>
      <c r="V35" s="20">
        <f t="shared" si="19"/>
        <v>2026</v>
      </c>
      <c r="W35" s="29">
        <f t="shared" si="20"/>
        <v>0.30902421031577848</v>
      </c>
      <c r="X35" s="29">
        <f t="shared" si="20"/>
        <v>3.3483677199570828E-2</v>
      </c>
      <c r="Y35" s="29">
        <f t="shared" si="20"/>
        <v>0.23740748200826195</v>
      </c>
      <c r="Z35" s="29">
        <f t="shared" si="20"/>
        <v>0.16084300059788306</v>
      </c>
      <c r="AA35" s="29">
        <f t="shared" si="20"/>
        <v>3.9249597562544071E-2</v>
      </c>
      <c r="AB35" s="29">
        <f t="shared" si="20"/>
        <v>8.3451762876999264E-2</v>
      </c>
      <c r="AC35" s="29">
        <f t="shared" si="20"/>
        <v>5.2599857796245042E-2</v>
      </c>
      <c r="AD35" s="29">
        <f t="shared" si="20"/>
        <v>1.4367634051182644E-2</v>
      </c>
      <c r="AE35" s="29">
        <f t="shared" si="20"/>
        <v>6.8708019511527094E-2</v>
      </c>
      <c r="AF35" s="29">
        <f t="shared" si="20"/>
        <v>8.1670173200747707E-4</v>
      </c>
      <c r="AG35" s="29">
        <f t="shared" si="20"/>
        <v>4.8033339024238525E-5</v>
      </c>
      <c r="AH35" s="29">
        <f t="shared" si="20"/>
        <v>2.3008975861939172E-8</v>
      </c>
      <c r="AI35" s="29">
        <f t="shared" si="20"/>
        <v>2.6260239104267097E-4</v>
      </c>
      <c r="AJ35" s="29">
        <f t="shared" si="21"/>
        <v>0.99999999999999989</v>
      </c>
      <c r="AM35" s="23"/>
      <c r="AO35" s="20" t="str">
        <f t="shared" si="41"/>
        <v>SUMATERA</v>
      </c>
      <c r="AP35" s="20">
        <f t="shared" si="42"/>
        <v>2026</v>
      </c>
      <c r="AQ35" s="25">
        <f t="shared" si="22"/>
        <v>0.30902421031577848</v>
      </c>
      <c r="AR35" s="25">
        <f t="shared" si="23"/>
        <v>0.2708911592078328</v>
      </c>
      <c r="AS35" s="25">
        <f t="shared" si="24"/>
        <v>0.16084300059788306</v>
      </c>
      <c r="AT35" s="37">
        <f t="shared" si="25"/>
        <v>0.25924160686952979</v>
      </c>
      <c r="AU35" s="24">
        <f t="shared" si="33"/>
        <v>0.99999997699102405</v>
      </c>
      <c r="AW35" s="24">
        <f>$BD$30+((AP35-$BC$30)*($BD$31-$BD$30)/($BC$31-$BC$30))</f>
        <v>0.29799999999999999</v>
      </c>
      <c r="AX35" s="24">
        <f t="shared" si="26"/>
        <v>0.22459999999999999</v>
      </c>
      <c r="AY35" s="24">
        <f t="shared" si="44"/>
        <v>0.18273456163764487</v>
      </c>
      <c r="AZ35" s="25">
        <f t="shared" ref="AZ35:AZ47" si="54">$BG$30+((AP35-$BC$30)*($BG$31-$BG$30)/($BC$31-$BC$30))</f>
        <v>0.23320000000000002</v>
      </c>
      <c r="BA35" s="24">
        <f t="shared" si="35"/>
        <v>0.93853456163764482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55">SUM(BD35:BG35)</f>
        <v>1</v>
      </c>
      <c r="BJ35" s="19"/>
      <c r="BK35" s="20" t="str">
        <f t="shared" si="46"/>
        <v>SUMATERA</v>
      </c>
      <c r="BL35" s="20">
        <f t="shared" si="47"/>
        <v>2026</v>
      </c>
      <c r="BM35" s="34">
        <f>VLOOKUP(BL35,proj_rukn!$B$22:$E$41,4,FALSE)</f>
        <v>11988</v>
      </c>
      <c r="BN35" s="30">
        <f t="shared" si="27"/>
        <v>13786.199999999999</v>
      </c>
      <c r="BO35" s="30">
        <f t="shared" si="36"/>
        <v>24416.964264722803</v>
      </c>
      <c r="BQ35" s="30">
        <f t="shared" si="28"/>
        <v>5514.48</v>
      </c>
      <c r="BR35" s="30">
        <f t="shared" si="37"/>
        <v>17448.329328546246</v>
      </c>
      <c r="BS35" s="30"/>
      <c r="BT35" s="30">
        <f t="shared" si="29"/>
        <v>2757.24</v>
      </c>
      <c r="BU35" s="30">
        <f t="shared" si="38"/>
        <v>6968.6340370655016</v>
      </c>
      <c r="BW35" s="30">
        <f t="shared" si="30"/>
        <v>3.5944024067295861</v>
      </c>
      <c r="BX35" s="30">
        <f t="shared" si="39"/>
        <v>1.7841139784521141</v>
      </c>
      <c r="BZ35" s="24">
        <f t="shared" si="48"/>
        <v>6.8076858543750021E-2</v>
      </c>
      <c r="CA35" s="24">
        <f t="shared" si="31"/>
        <v>5.5421785682785892E-2</v>
      </c>
      <c r="CF35" s="23"/>
    </row>
    <row r="36" spans="1:84" x14ac:dyDescent="0.25">
      <c r="A36" s="19"/>
      <c r="B36" s="20" t="str">
        <f t="shared" ref="B36:C36" si="56">B12</f>
        <v>SUMATERA</v>
      </c>
      <c r="C36" s="20">
        <f t="shared" si="56"/>
        <v>2027</v>
      </c>
      <c r="D36" s="30">
        <f>(D12*(VLOOKUP(D$27,tech_data!$B$2:$O$15,6, FALSE)/100)*(1-(VLOOKUP(D$27,tech_data!$B$2:$O$15,7, FALSE)/100))*8760)/1000</f>
        <v>38583.564880131948</v>
      </c>
      <c r="E36" s="30">
        <f>(E12*(VLOOKUP(E$27,tech_data!$B$2:$O$15,6, FALSE)/100)*(1-(VLOOKUP(E$27,tech_data!$B$2:$O$15,7, FALSE)/100))*8760)/1000</f>
        <v>3747.7922880249444</v>
      </c>
      <c r="F36" s="30">
        <f>(F12*(VLOOKUP(F$27,tech_data!$B$2:$O$15,6, FALSE)/100)*(1-(VLOOKUP(F$27,tech_data!$B$2:$O$15,7, FALSE)/100))*8760)/1000</f>
        <v>26572.766354081657</v>
      </c>
      <c r="G36" s="30">
        <f>(G12*(VLOOKUP(G$27,tech_data!$B$2:$O$15,6, FALSE)/100)*(1-(VLOOKUP(G$27,tech_data!$B$2:$O$15,7, FALSE)/100))*8760)/1000</f>
        <v>18002.985572467511</v>
      </c>
      <c r="H36" s="30">
        <f>(H12*(VLOOKUP(H$27,tech_data!$B$2:$O$15,6, FALSE)/100)*(1-(VLOOKUP(H$27,tech_data!$B$2:$O$15,7, FALSE)/100))*8760)/1000</f>
        <v>4393.1656035354026</v>
      </c>
      <c r="I36" s="30">
        <f>(I12*(VLOOKUP(I$27,tech_data!$B$2:$O$15,6, FALSE)/100)*(1-(VLOOKUP(I$27,tech_data!$B$2:$O$15,7, FALSE)/100))*8760)/1000</f>
        <v>12500.473353281326</v>
      </c>
      <c r="J36" s="30">
        <f>(J12*(VLOOKUP(J$27,tech_data!$B$2:$O$15,6, FALSE)/100)*(1-(VLOOKUP(J$27,tech_data!$B$2:$O$15,7, FALSE)/100))*8760)/1000</f>
        <v>15091.721062511402</v>
      </c>
      <c r="K36" s="30">
        <f>(K12*(VLOOKUP(K$27,tech_data!$B$2:$O$15,6, FALSE)/100)*(1-(VLOOKUP(K$27,tech_data!$B$2:$O$15,7, FALSE)/100))*8760)/1000</f>
        <v>3617.4650850957701</v>
      </c>
      <c r="L36" s="30">
        <f>(L12*(VLOOKUP(L$27,tech_data!$B$2:$O$15,6, FALSE)/100)*(1-(VLOOKUP(L$27,tech_data!$B$2:$O$15,7, FALSE)/100))*8760)/1000</f>
        <v>7743.2205875058989</v>
      </c>
      <c r="M36" s="30">
        <f>(M12*(VLOOKUP(M$27,tech_data!$B$2:$O$15,6, FALSE)/100)*(1-(VLOOKUP(M$27,tech_data!$B$2:$O$15,7, FALSE)/100))*8760)/1000</f>
        <v>91.412554153846145</v>
      </c>
      <c r="N36" s="30">
        <f>(N12*(VLOOKUP(N$27,tech_data!$B$2:$O$15,6, FALSE)/100)*(1-(VLOOKUP(N$27,tech_data!$B$2:$O$15,7, FALSE)/100))*8760)/1000</f>
        <v>5.3763194272267381</v>
      </c>
      <c r="O36" s="30">
        <f>(O12*(VLOOKUP(O$27,tech_data!$B$2:$O$15,6, FALSE)/100)*(1-(VLOOKUP(O$27,tech_data!$B$2:$O$15,7, FALSE)/100))*8760)/1000</f>
        <v>2.5753701376805666E-3</v>
      </c>
      <c r="P36" s="30">
        <f>(P12*(VLOOKUP(P$27,tech_data!$B$2:$O$15,6, FALSE)/100)*(1-(VLOOKUP(P$27,tech_data!$B$2:$O$15,7, FALSE)/100))*8760)/1000</f>
        <v>34.335924436693603</v>
      </c>
      <c r="Q36" s="34">
        <f t="shared" si="18"/>
        <v>130349.94623558709</v>
      </c>
      <c r="R36" s="34">
        <f>proj_rukn!D30</f>
        <v>139472</v>
      </c>
      <c r="S36" s="35"/>
      <c r="T36" s="19"/>
      <c r="U36" s="20" t="str">
        <f t="shared" si="19"/>
        <v>SUMATERA</v>
      </c>
      <c r="V36" s="20">
        <f t="shared" si="19"/>
        <v>2027</v>
      </c>
      <c r="W36" s="29">
        <f t="shared" si="20"/>
        <v>0.2959998526612217</v>
      </c>
      <c r="X36" s="29">
        <f t="shared" si="20"/>
        <v>2.8751774713058932E-2</v>
      </c>
      <c r="Y36" s="29">
        <f t="shared" si="20"/>
        <v>0.20385713321320093</v>
      </c>
      <c r="Z36" s="29">
        <f t="shared" si="20"/>
        <v>0.13811271958585958</v>
      </c>
      <c r="AA36" s="29">
        <f t="shared" si="20"/>
        <v>3.3702857042959146E-2</v>
      </c>
      <c r="AB36" s="29">
        <f t="shared" si="20"/>
        <v>9.5899336472979282E-2</v>
      </c>
      <c r="AC36" s="29">
        <f t="shared" si="20"/>
        <v>0.11577849855983433</v>
      </c>
      <c r="AD36" s="29">
        <f t="shared" si="20"/>
        <v>2.7751949191891258E-2</v>
      </c>
      <c r="AE36" s="29">
        <f t="shared" si="20"/>
        <v>5.9403327819646676E-2</v>
      </c>
      <c r="AF36" s="29">
        <f t="shared" si="20"/>
        <v>7.0128570662110045E-4</v>
      </c>
      <c r="AG36" s="29">
        <f t="shared" si="20"/>
        <v>4.1245275372111651E-5</v>
      </c>
      <c r="AH36" s="29">
        <f t="shared" si="20"/>
        <v>1.9757354813372834E-8</v>
      </c>
      <c r="AI36" s="29">
        <f t="shared" si="20"/>
        <v>2.634134146448883E-4</v>
      </c>
      <c r="AJ36" s="29">
        <f t="shared" si="21"/>
        <v>1</v>
      </c>
      <c r="AM36" s="23"/>
      <c r="AO36" s="20" t="str">
        <f t="shared" si="41"/>
        <v>SUMATERA</v>
      </c>
      <c r="AP36" s="20">
        <f t="shared" si="42"/>
        <v>2027</v>
      </c>
      <c r="AQ36" s="25">
        <f t="shared" si="22"/>
        <v>0.2959998526612217</v>
      </c>
      <c r="AR36" s="25">
        <f t="shared" si="23"/>
        <v>0.23260890792625988</v>
      </c>
      <c r="AS36" s="25">
        <f t="shared" si="24"/>
        <v>0.13811271958585958</v>
      </c>
      <c r="AT36" s="37">
        <f t="shared" si="25"/>
        <v>0.33327850006930387</v>
      </c>
      <c r="AU36" s="24">
        <f t="shared" si="33"/>
        <v>0.99999998024264514</v>
      </c>
      <c r="AW36" s="24">
        <f t="shared" ref="AW36:AW47" si="57">$BD$30+((AP36-$BC$30)*($BD$31-$BD$30)/($BC$31-$BC$30))</f>
        <v>0.29599999999999999</v>
      </c>
      <c r="AX36" s="24">
        <f t="shared" si="26"/>
        <v>0.22920000000000001</v>
      </c>
      <c r="AY36" s="24">
        <f t="shared" si="44"/>
        <v>0.17907987040489198</v>
      </c>
      <c r="AZ36" s="25">
        <f t="shared" si="54"/>
        <v>0.2364</v>
      </c>
      <c r="BA36" s="24">
        <f t="shared" si="35"/>
        <v>0.94067987040489198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55"/>
        <v>1</v>
      </c>
      <c r="BJ36" s="19"/>
      <c r="BK36" s="20" t="str">
        <f t="shared" si="46"/>
        <v>SUMATERA</v>
      </c>
      <c r="BL36" s="20">
        <f t="shared" si="47"/>
        <v>2027</v>
      </c>
      <c r="BM36" s="34">
        <f>VLOOKUP(BL36,proj_rukn!$B$22:$E$41,4,FALSE)</f>
        <v>13836</v>
      </c>
      <c r="BN36" s="30">
        <f t="shared" si="27"/>
        <v>15911.4</v>
      </c>
      <c r="BO36" s="30">
        <f t="shared" si="36"/>
        <v>25953.952620796546</v>
      </c>
      <c r="BQ36" s="30">
        <f t="shared" si="28"/>
        <v>6364.56</v>
      </c>
      <c r="BR36" s="30">
        <f t="shared" si="37"/>
        <v>18272.147362738331</v>
      </c>
      <c r="BS36" s="30"/>
      <c r="BT36" s="30">
        <f t="shared" si="29"/>
        <v>3182.28</v>
      </c>
      <c r="BU36" s="30">
        <f t="shared" si="38"/>
        <v>7681.8043589471554</v>
      </c>
      <c r="BW36" s="30">
        <f t="shared" si="30"/>
        <v>5.2825154573174693</v>
      </c>
      <c r="BX36" s="30">
        <f t="shared" si="39"/>
        <v>1.7841136466054539</v>
      </c>
      <c r="BZ36" s="24">
        <f t="shared" si="48"/>
        <v>7.1480701470937519E-2</v>
      </c>
      <c r="CA36" s="24">
        <f t="shared" si="31"/>
        <v>8.3269540462209524E-2</v>
      </c>
      <c r="CF36" s="23"/>
    </row>
    <row r="37" spans="1:84" x14ac:dyDescent="0.25">
      <c r="A37" s="19"/>
      <c r="B37" s="20" t="str">
        <f t="shared" ref="B37:C37" si="58">B13</f>
        <v>SUMATERA</v>
      </c>
      <c r="C37" s="20">
        <f t="shared" si="58"/>
        <v>2028</v>
      </c>
      <c r="D37" s="30">
        <f>(D13*(VLOOKUP(D$27,tech_data!$B$2:$O$15,6, FALSE)/100)*(1-(VLOOKUP(D$27,tech_data!$B$2:$O$15,7, FALSE)/100))*8760)/1000</f>
        <v>41679.93539180739</v>
      </c>
      <c r="E37" s="30">
        <f>(E13*(VLOOKUP(E$27,tech_data!$B$2:$O$15,6, FALSE)/100)*(1-(VLOOKUP(E$27,tech_data!$B$2:$O$15,7, FALSE)/100))*8760)/1000</f>
        <v>3747.7922850355608</v>
      </c>
      <c r="F37" s="30">
        <f>(F13*(VLOOKUP(F$27,tech_data!$B$2:$O$15,6, FALSE)/100)*(1-(VLOOKUP(F$27,tech_data!$B$2:$O$15,7, FALSE)/100))*8760)/1000</f>
        <v>29397.68024146129</v>
      </c>
      <c r="G37" s="30">
        <f>(G13*(VLOOKUP(G$27,tech_data!$B$2:$O$15,6, FALSE)/100)*(1-(VLOOKUP(G$27,tech_data!$B$2:$O$15,7, FALSE)/100))*8760)/1000</f>
        <v>18002.985572467511</v>
      </c>
      <c r="H37" s="30">
        <f>(H13*(VLOOKUP(H$27,tech_data!$B$2:$O$15,6, FALSE)/100)*(1-(VLOOKUP(H$27,tech_data!$B$2:$O$15,7, FALSE)/100))*8760)/1000</f>
        <v>4393.1656035354026</v>
      </c>
      <c r="I37" s="30">
        <f>(I13*(VLOOKUP(I$27,tech_data!$B$2:$O$15,6, FALSE)/100)*(1-(VLOOKUP(I$27,tech_data!$B$2:$O$15,7, FALSE)/100))*8760)/1000</f>
        <v>14098.123592740143</v>
      </c>
      <c r="J37" s="30">
        <f>(J13*(VLOOKUP(J$27,tech_data!$B$2:$O$15,6, FALSE)/100)*(1-(VLOOKUP(J$27,tech_data!$B$2:$O$15,7, FALSE)/100))*8760)/1000</f>
        <v>17931.615048083142</v>
      </c>
      <c r="K37" s="30">
        <f>(K13*(VLOOKUP(K$27,tech_data!$B$2:$O$15,6, FALSE)/100)*(1-(VLOOKUP(K$27,tech_data!$B$2:$O$15,7, FALSE)/100))*8760)/1000</f>
        <v>3891.9828205715712</v>
      </c>
      <c r="L37" s="30">
        <f>(L13*(VLOOKUP(L$27,tech_data!$B$2:$O$15,6, FALSE)/100)*(1-(VLOOKUP(L$27,tech_data!$B$2:$O$15,7, FALSE)/100))*8760)/1000</f>
        <v>8510.3481819386961</v>
      </c>
      <c r="M37" s="30">
        <f>(M13*(VLOOKUP(M$27,tech_data!$B$2:$O$15,6, FALSE)/100)*(1-(VLOOKUP(M$27,tech_data!$B$2:$O$15,7, FALSE)/100))*8760)/1000</f>
        <v>91.412554153846145</v>
      </c>
      <c r="N37" s="30">
        <f>(N13*(VLOOKUP(N$27,tech_data!$B$2:$O$15,6, FALSE)/100)*(1-(VLOOKUP(N$27,tech_data!$B$2:$O$15,7, FALSE)/100))*8760)/1000</f>
        <v>23.44385747351604</v>
      </c>
      <c r="O37" s="30">
        <f>(O13*(VLOOKUP(O$27,tech_data!$B$2:$O$15,6, FALSE)/100)*(1-(VLOOKUP(O$27,tech_data!$B$2:$O$15,7, FALSE)/100))*8760)/1000</f>
        <v>2.5753701376805666E-3</v>
      </c>
      <c r="P37" s="30">
        <f>(P13*(VLOOKUP(P$27,tech_data!$B$2:$O$15,6, FALSE)/100)*(1-(VLOOKUP(P$27,tech_data!$B$2:$O$15,7, FALSE)/100))*8760)/1000</f>
        <v>37.35647686248231</v>
      </c>
      <c r="Q37" s="34">
        <f t="shared" si="18"/>
        <v>141768.48772463822</v>
      </c>
      <c r="R37" s="34">
        <f>proj_rukn!D31</f>
        <v>151305</v>
      </c>
      <c r="S37" s="35"/>
      <c r="T37" s="19"/>
      <c r="U37" s="20" t="str">
        <f t="shared" si="19"/>
        <v>SUMATERA</v>
      </c>
      <c r="V37" s="20">
        <f t="shared" si="19"/>
        <v>2028</v>
      </c>
      <c r="W37" s="29">
        <f t="shared" si="20"/>
        <v>0.29400000000538734</v>
      </c>
      <c r="X37" s="29">
        <f t="shared" si="20"/>
        <v>2.6436003834046855E-2</v>
      </c>
      <c r="Y37" s="29">
        <f t="shared" si="20"/>
        <v>0.20736399684647416</v>
      </c>
      <c r="Z37" s="29">
        <f t="shared" si="20"/>
        <v>0.12698862674923447</v>
      </c>
      <c r="AA37" s="29">
        <f t="shared" si="20"/>
        <v>3.0988308290826931E-2</v>
      </c>
      <c r="AB37" s="29">
        <f t="shared" si="20"/>
        <v>9.9444691969370586E-2</v>
      </c>
      <c r="AC37" s="29">
        <f t="shared" si="20"/>
        <v>0.12648519664618507</v>
      </c>
      <c r="AD37" s="29">
        <f t="shared" si="20"/>
        <v>2.7453088362846208E-2</v>
      </c>
      <c r="AE37" s="29">
        <f t="shared" si="20"/>
        <v>6.0029900286928617E-2</v>
      </c>
      <c r="AF37" s="29">
        <f t="shared" si="20"/>
        <v>6.4480164542207621E-4</v>
      </c>
      <c r="AG37" s="29">
        <f t="shared" si="20"/>
        <v>1.6536719725085763E-4</v>
      </c>
      <c r="AH37" s="29">
        <f t="shared" si="20"/>
        <v>1.81660267314327E-8</v>
      </c>
      <c r="AI37" s="29">
        <f t="shared" si="20"/>
        <v>2.6350338824972919E-4</v>
      </c>
      <c r="AJ37" s="29">
        <f t="shared" si="21"/>
        <v>0.99999999999999978</v>
      </c>
      <c r="AM37" s="23"/>
      <c r="AO37" s="20" t="str">
        <f t="shared" si="41"/>
        <v>SUMATERA</v>
      </c>
      <c r="AP37" s="20">
        <f t="shared" si="42"/>
        <v>2028</v>
      </c>
      <c r="AQ37" s="25">
        <f t="shared" si="22"/>
        <v>0.29400000000538734</v>
      </c>
      <c r="AR37" s="25">
        <f t="shared" si="23"/>
        <v>0.23380000068052101</v>
      </c>
      <c r="AS37" s="25">
        <f t="shared" si="24"/>
        <v>0.12698862674923447</v>
      </c>
      <c r="AT37" s="37">
        <f t="shared" si="25"/>
        <v>0.34521135439883033</v>
      </c>
      <c r="AU37" s="24">
        <f t="shared" si="33"/>
        <v>0.99999998183397321</v>
      </c>
      <c r="AW37" s="24">
        <f t="shared" si="57"/>
        <v>0.29399999999999998</v>
      </c>
      <c r="AX37" s="24">
        <f t="shared" si="26"/>
        <v>0.23380000000000001</v>
      </c>
      <c r="AY37" s="24">
        <f t="shared" si="44"/>
        <v>0.17549827299679413</v>
      </c>
      <c r="AZ37" s="25">
        <f t="shared" si="54"/>
        <v>0.23960000000000001</v>
      </c>
      <c r="BA37" s="24">
        <f t="shared" si="35"/>
        <v>0.94289827299679418</v>
      </c>
      <c r="BJ37" s="19"/>
      <c r="BK37" s="20" t="str">
        <f t="shared" si="46"/>
        <v>SUMATERA</v>
      </c>
      <c r="BL37" s="20">
        <f t="shared" si="47"/>
        <v>2028</v>
      </c>
      <c r="BM37" s="34">
        <f>VLOOKUP(BL37,proj_rukn!$B$22:$E$41,4,FALSE)</f>
        <v>14711</v>
      </c>
      <c r="BN37" s="30">
        <f t="shared" si="27"/>
        <v>16917.649999999998</v>
      </c>
      <c r="BO37" s="30">
        <f t="shared" si="36"/>
        <v>27973.979951741825</v>
      </c>
      <c r="BQ37" s="30">
        <f t="shared" si="28"/>
        <v>6767.0599999999995</v>
      </c>
      <c r="BR37" s="30">
        <f t="shared" si="37"/>
        <v>19931.437485873019</v>
      </c>
      <c r="BS37" s="30"/>
      <c r="BT37" s="30">
        <f t="shared" si="29"/>
        <v>3383.5299999999997</v>
      </c>
      <c r="BU37" s="30">
        <f t="shared" si="38"/>
        <v>8042.5415667577472</v>
      </c>
      <c r="BW37" s="30">
        <f t="shared" si="30"/>
        <v>5.9046776618228618</v>
      </c>
      <c r="BX37" s="30">
        <f t="shared" si="39"/>
        <v>7.7797658070232183</v>
      </c>
      <c r="BZ37" s="24">
        <f t="shared" si="48"/>
        <v>7.5054736544484399E-2</v>
      </c>
      <c r="CA37" s="24">
        <f t="shared" si="31"/>
        <v>7.952544598654096E-2</v>
      </c>
      <c r="CF37" s="23"/>
    </row>
    <row r="38" spans="1:84" x14ac:dyDescent="0.25">
      <c r="A38" s="19"/>
      <c r="B38" s="20" t="str">
        <f t="shared" ref="B38:C38" si="59">B14</f>
        <v>SUMATERA</v>
      </c>
      <c r="C38" s="20">
        <f t="shared" si="59"/>
        <v>2029</v>
      </c>
      <c r="D38" s="30">
        <f>(D14*(VLOOKUP(D$27,tech_data!$B$2:$O$15,6, FALSE)/100)*(1-(VLOOKUP(D$27,tech_data!$B$2:$O$15,7, FALSE)/100))*8760)/1000</f>
        <v>41679.93539180739</v>
      </c>
      <c r="E38" s="30">
        <f>(E14*(VLOOKUP(E$27,tech_data!$B$2:$O$15,6, FALSE)/100)*(1-(VLOOKUP(E$27,tech_data!$B$2:$O$15,7, FALSE)/100))*8760)/1000</f>
        <v>4270.6757822968948</v>
      </c>
      <c r="F38" s="30">
        <f>(F14*(VLOOKUP(F$27,tech_data!$B$2:$O$15,6, FALSE)/100)*(1-(VLOOKUP(F$27,tech_data!$B$2:$O$15,7, FALSE)/100))*8760)/1000</f>
        <v>29845.818964744412</v>
      </c>
      <c r="G38" s="30">
        <f>(G14*(VLOOKUP(G$27,tech_data!$B$2:$O$15,6, FALSE)/100)*(1-(VLOOKUP(G$27,tech_data!$B$2:$O$15,7, FALSE)/100))*8760)/1000</f>
        <v>18002.985572467511</v>
      </c>
      <c r="H38" s="30">
        <f>(H14*(VLOOKUP(H$27,tech_data!$B$2:$O$15,6, FALSE)/100)*(1-(VLOOKUP(H$27,tech_data!$B$2:$O$15,7, FALSE)/100))*8760)/1000</f>
        <v>4393.1656035354026</v>
      </c>
      <c r="I38" s="30">
        <f>(I14*(VLOOKUP(I$27,tech_data!$B$2:$O$15,6, FALSE)/100)*(1-(VLOOKUP(I$27,tech_data!$B$2:$O$15,7, FALSE)/100))*8760)/1000</f>
        <v>14098.123592740143</v>
      </c>
      <c r="J38" s="30">
        <f>(J14*(VLOOKUP(J$27,tech_data!$B$2:$O$15,6, FALSE)/100)*(1-(VLOOKUP(J$27,tech_data!$B$2:$O$15,7, FALSE)/100))*8760)/1000</f>
        <v>17931.615048083142</v>
      </c>
      <c r="K38" s="30">
        <f>(K14*(VLOOKUP(K$27,tech_data!$B$2:$O$15,6, FALSE)/100)*(1-(VLOOKUP(K$27,tech_data!$B$2:$O$15,7, FALSE)/100))*8760)/1000</f>
        <v>3891.9828205715712</v>
      </c>
      <c r="L38" s="30">
        <f>(L14*(VLOOKUP(L$27,tech_data!$B$2:$O$15,6, FALSE)/100)*(1-(VLOOKUP(L$27,tech_data!$B$2:$O$15,7, FALSE)/100))*8760)/1000</f>
        <v>8510.3481819386961</v>
      </c>
      <c r="M38" s="30">
        <f>(M14*(VLOOKUP(M$27,tech_data!$B$2:$O$15,6, FALSE)/100)*(1-(VLOOKUP(M$27,tech_data!$B$2:$O$15,7, FALSE)/100))*8760)/1000</f>
        <v>91.412554153846145</v>
      </c>
      <c r="N38" s="30">
        <f>(N14*(VLOOKUP(N$27,tech_data!$B$2:$O$15,6, FALSE)/100)*(1-(VLOOKUP(N$27,tech_data!$B$2:$O$15,7, FALSE)/100))*8760)/1000</f>
        <v>23.443901931802522</v>
      </c>
      <c r="O38" s="30">
        <f>(O14*(VLOOKUP(O$27,tech_data!$B$2:$O$15,6, FALSE)/100)*(1-(VLOOKUP(O$27,tech_data!$B$2:$O$15,7, FALSE)/100))*8760)/1000</f>
        <v>2.5753701376805666E-3</v>
      </c>
      <c r="P38" s="30">
        <f>(P14*(VLOOKUP(P$27,tech_data!$B$2:$O$15,6, FALSE)/100)*(1-(VLOOKUP(P$27,tech_data!$B$2:$O$15,7, FALSE)/100))*8760)/1000</f>
        <v>37.595396873882649</v>
      </c>
      <c r="Q38" s="34">
        <f t="shared" si="18"/>
        <v>142739.50998964097</v>
      </c>
      <c r="R38" s="34">
        <f>proj_rukn!D32</f>
        <v>164294</v>
      </c>
      <c r="S38" s="35"/>
      <c r="T38" s="19"/>
      <c r="U38" s="20" t="str">
        <f t="shared" si="19"/>
        <v>SUMATERA</v>
      </c>
      <c r="V38" s="20">
        <f t="shared" si="19"/>
        <v>2029</v>
      </c>
      <c r="W38" s="29">
        <f t="shared" si="20"/>
        <v>0.29199998931502724</v>
      </c>
      <c r="X38" s="29">
        <f t="shared" si="20"/>
        <v>2.9919366982602297E-2</v>
      </c>
      <c r="Y38" s="29">
        <f t="shared" si="20"/>
        <v>0.20909290614007581</v>
      </c>
      <c r="Z38" s="29">
        <f t="shared" si="20"/>
        <v>0.12612475392254072</v>
      </c>
      <c r="AA38" s="29">
        <f t="shared" si="20"/>
        <v>3.0777502345736143E-2</v>
      </c>
      <c r="AB38" s="29">
        <f t="shared" si="20"/>
        <v>9.8768193850205077E-2</v>
      </c>
      <c r="AC38" s="29">
        <f t="shared" si="20"/>
        <v>0.12562474853237546</v>
      </c>
      <c r="AD38" s="29">
        <f t="shared" si="20"/>
        <v>2.7266331661458164E-2</v>
      </c>
      <c r="AE38" s="29">
        <f t="shared" si="20"/>
        <v>5.9621531435524178E-2</v>
      </c>
      <c r="AF38" s="29">
        <f t="shared" si="20"/>
        <v>6.4041521622485765E-4</v>
      </c>
      <c r="AG38" s="29">
        <f t="shared" si="20"/>
        <v>1.6424255578223517E-4</v>
      </c>
      <c r="AH38" s="29">
        <f t="shared" si="20"/>
        <v>1.8042447657747101E-8</v>
      </c>
      <c r="AI38" s="29">
        <f t="shared" si="20"/>
        <v>2.6338465696436157E-4</v>
      </c>
      <c r="AJ38" s="29">
        <f t="shared" si="21"/>
        <v>1</v>
      </c>
      <c r="AM38" s="23"/>
      <c r="AO38" s="20" t="str">
        <f t="shared" si="41"/>
        <v>SUMATERA</v>
      </c>
      <c r="AP38" s="20">
        <f t="shared" si="42"/>
        <v>2029</v>
      </c>
      <c r="AQ38" s="25">
        <f t="shared" si="22"/>
        <v>0.29199998931502724</v>
      </c>
      <c r="AR38" s="25">
        <f t="shared" si="23"/>
        <v>0.23901227312267814</v>
      </c>
      <c r="AS38" s="25">
        <f t="shared" si="24"/>
        <v>0.12612475392254072</v>
      </c>
      <c r="AT38" s="37">
        <f t="shared" si="25"/>
        <v>0.34286296559730606</v>
      </c>
      <c r="AU38" s="24">
        <f t="shared" si="33"/>
        <v>0.99999998195755224</v>
      </c>
      <c r="AW38" s="24">
        <f t="shared" si="57"/>
        <v>0.29199999999999998</v>
      </c>
      <c r="AX38" s="24">
        <f t="shared" si="26"/>
        <v>0.2384</v>
      </c>
      <c r="AY38" s="24">
        <f t="shared" si="44"/>
        <v>0.17198830753685823</v>
      </c>
      <c r="AZ38" s="25">
        <f t="shared" si="54"/>
        <v>0.24280000000000002</v>
      </c>
      <c r="BA38" s="24">
        <f t="shared" si="35"/>
        <v>0.94518830753685823</v>
      </c>
      <c r="BJ38" s="19"/>
      <c r="BK38" s="20" t="str">
        <f t="shared" si="46"/>
        <v>SUMATERA</v>
      </c>
      <c r="BL38" s="20">
        <f t="shared" si="47"/>
        <v>2029</v>
      </c>
      <c r="BM38" s="34">
        <f>VLOOKUP(BL38,proj_rukn!$B$22:$E$41,4,FALSE)</f>
        <v>15980.230365705858</v>
      </c>
      <c r="BN38" s="30">
        <f t="shared" si="27"/>
        <v>18377.264920561734</v>
      </c>
      <c r="BO38" s="30">
        <f t="shared" si="36"/>
        <v>28310.890488299767</v>
      </c>
      <c r="BQ38" s="30">
        <f t="shared" si="28"/>
        <v>7350.9059682246943</v>
      </c>
      <c r="BR38" s="30">
        <f t="shared" si="37"/>
        <v>20093.367373999223</v>
      </c>
      <c r="BS38" s="30"/>
      <c r="BT38" s="30">
        <f t="shared" si="29"/>
        <v>3675.4529841123472</v>
      </c>
      <c r="BU38" s="30">
        <f t="shared" si="38"/>
        <v>8217.522215189485</v>
      </c>
      <c r="BW38" s="30">
        <f t="shared" si="30"/>
        <v>5.9046776691995282</v>
      </c>
      <c r="BX38" s="30">
        <f t="shared" si="39"/>
        <v>7.779780560357108</v>
      </c>
      <c r="BZ38" s="24">
        <f t="shared" si="48"/>
        <v>7.8807473371708625E-2</v>
      </c>
      <c r="CA38" s="24">
        <f t="shared" si="31"/>
        <v>7.9525445914298248E-2</v>
      </c>
      <c r="CF38" s="23"/>
    </row>
    <row r="39" spans="1:84" x14ac:dyDescent="0.25">
      <c r="A39" s="19"/>
      <c r="B39" s="20" t="str">
        <f t="shared" ref="B39:C39" si="60">B15</f>
        <v>SUMATERA</v>
      </c>
      <c r="C39" s="20">
        <f t="shared" si="60"/>
        <v>2030</v>
      </c>
      <c r="D39" s="30">
        <f>(D15*(VLOOKUP(D$27,tech_data!$B$2:$O$15,6, FALSE)/100)*(1-(VLOOKUP(D$27,tech_data!$B$2:$O$15,7, FALSE)/100))*8760)/1000</f>
        <v>44570.578063664434</v>
      </c>
      <c r="E39" s="30">
        <f>(E15*(VLOOKUP(E$27,tech_data!$B$2:$O$15,6, FALSE)/100)*(1-(VLOOKUP(E$27,tech_data!$B$2:$O$15,7, FALSE)/100))*8760)/1000</f>
        <v>6501.2456157343377</v>
      </c>
      <c r="F39" s="30">
        <f>(F15*(VLOOKUP(F$27,tech_data!$B$2:$O$15,6, FALSE)/100)*(1-(VLOOKUP(F$27,tech_data!$B$2:$O$15,7, FALSE)/100))*8760)/1000</f>
        <v>30300.139746506589</v>
      </c>
      <c r="G39" s="30">
        <f>(G15*(VLOOKUP(G$27,tech_data!$B$2:$O$15,6, FALSE)/100)*(1-(VLOOKUP(G$27,tech_data!$B$2:$O$15,7, FALSE)/100))*8760)/1000</f>
        <v>18002.991976074969</v>
      </c>
      <c r="H39" s="30">
        <f>(H15*(VLOOKUP(H$27,tech_data!$B$2:$O$15,6, FALSE)/100)*(1-(VLOOKUP(H$27,tech_data!$B$2:$O$15,7, FALSE)/100))*8760)/1000</f>
        <v>4393.1897043785157</v>
      </c>
      <c r="I39" s="30">
        <f>(I15*(VLOOKUP(I$27,tech_data!$B$2:$O$15,6, FALSE)/100)*(1-(VLOOKUP(I$27,tech_data!$B$2:$O$15,7, FALSE)/100))*8760)/1000</f>
        <v>14098.134857353032</v>
      </c>
      <c r="J39" s="30">
        <f>(J15*(VLOOKUP(J$27,tech_data!$B$2:$O$15,6, FALSE)/100)*(1-(VLOOKUP(J$27,tech_data!$B$2:$O$15,7, FALSE)/100))*8760)/1000</f>
        <v>17931.635076722378</v>
      </c>
      <c r="K39" s="30">
        <f>(K15*(VLOOKUP(K$27,tech_data!$B$2:$O$15,6, FALSE)/100)*(1-(VLOOKUP(K$27,tech_data!$B$2:$O$15,7, FALSE)/100))*8760)/1000</f>
        <v>3891.9847546287228</v>
      </c>
      <c r="L39" s="30">
        <f>(L15*(VLOOKUP(L$27,tech_data!$B$2:$O$15,6, FALSE)/100)*(1-(VLOOKUP(L$27,tech_data!$B$2:$O$15,7, FALSE)/100))*8760)/1000</f>
        <v>8531.4297587331403</v>
      </c>
      <c r="M39" s="30">
        <f>(M15*(VLOOKUP(M$27,tech_data!$B$2:$O$15,6, FALSE)/100)*(1-(VLOOKUP(M$27,tech_data!$B$2:$O$15,7, FALSE)/100))*8760)/1000</f>
        <v>91.412554153846145</v>
      </c>
      <c r="N39" s="30">
        <f>(N15*(VLOOKUP(N$27,tech_data!$B$2:$O$15,6, FALSE)/100)*(1-(VLOOKUP(N$27,tech_data!$B$2:$O$15,7, FALSE)/100))*8760)/1000</f>
        <v>23.45425563694722</v>
      </c>
      <c r="O39" s="30">
        <f>(O15*(VLOOKUP(O$27,tech_data!$B$2:$O$15,6, FALSE)/100)*(1-(VLOOKUP(O$27,tech_data!$B$2:$O$15,7, FALSE)/100))*8760)/1000</f>
        <v>5.5333338749969712E-3</v>
      </c>
      <c r="P39" s="30">
        <f>(P15*(VLOOKUP(P$27,tech_data!$B$2:$O$15,6, FALSE)/100)*(1-(VLOOKUP(P$27,tech_data!$B$2:$O$15,7, FALSE)/100))*8760)/1000</f>
        <v>38.976663189905153</v>
      </c>
      <c r="Q39" s="34">
        <f t="shared" si="18"/>
        <v>148336.20189692077</v>
      </c>
      <c r="R39" s="34">
        <f>proj_rukn!D33</f>
        <v>172978</v>
      </c>
      <c r="S39" s="35"/>
      <c r="T39" s="19"/>
      <c r="U39" s="20" t="str">
        <f t="shared" si="19"/>
        <v>SUMATERA</v>
      </c>
      <c r="V39" s="20">
        <f t="shared" si="19"/>
        <v>2030</v>
      </c>
      <c r="W39" s="29">
        <f t="shared" si="20"/>
        <v>0.3004699964924048</v>
      </c>
      <c r="X39" s="29">
        <f t="shared" si="20"/>
        <v>4.3827774559389562E-2</v>
      </c>
      <c r="Y39" s="29">
        <f t="shared" si="20"/>
        <v>0.204266654795181</v>
      </c>
      <c r="Z39" s="29">
        <f t="shared" si="20"/>
        <v>0.1213661381770129</v>
      </c>
      <c r="AA39" s="29">
        <f t="shared" si="20"/>
        <v>2.9616436501666364E-2</v>
      </c>
      <c r="AB39" s="29">
        <f t="shared" si="20"/>
        <v>9.5041767802237942E-2</v>
      </c>
      <c r="AC39" s="29">
        <f t="shared" si="20"/>
        <v>0.12088508973138681</v>
      </c>
      <c r="AD39" s="29">
        <f t="shared" si="20"/>
        <v>2.6237592070297671E-2</v>
      </c>
      <c r="AE39" s="29">
        <f t="shared" si="20"/>
        <v>5.7514144555633522E-2</v>
      </c>
      <c r="AF39" s="29">
        <f t="shared" si="20"/>
        <v>6.1625249254641812E-4</v>
      </c>
      <c r="AG39" s="29">
        <f t="shared" si="20"/>
        <v>1.5811551959005695E-4</v>
      </c>
      <c r="AH39" s="29">
        <f t="shared" si="20"/>
        <v>3.73026530559418E-8</v>
      </c>
      <c r="AI39" s="29">
        <f t="shared" si="20"/>
        <v>2.6275894010681318E-4</v>
      </c>
      <c r="AJ39" s="29">
        <f t="shared" si="21"/>
        <v>1</v>
      </c>
      <c r="AM39" s="23"/>
      <c r="AO39" s="20" t="str">
        <f t="shared" si="41"/>
        <v>SUMATERA</v>
      </c>
      <c r="AP39" s="20">
        <f t="shared" si="42"/>
        <v>2030</v>
      </c>
      <c r="AQ39" s="25">
        <f t="shared" si="22"/>
        <v>0.3004699964924048</v>
      </c>
      <c r="AR39" s="25">
        <f t="shared" si="23"/>
        <v>0.2480944293545706</v>
      </c>
      <c r="AS39" s="25">
        <f t="shared" si="24"/>
        <v>0.1213661381770129</v>
      </c>
      <c r="AT39" s="37">
        <f t="shared" si="25"/>
        <v>0.33006939867335877</v>
      </c>
      <c r="AU39" s="24">
        <f t="shared" si="33"/>
        <v>0.99999996269734703</v>
      </c>
      <c r="AW39" s="24">
        <f t="shared" si="57"/>
        <v>0.28999999999999998</v>
      </c>
      <c r="AX39" s="24">
        <f t="shared" si="26"/>
        <v>0.24300000000000002</v>
      </c>
      <c r="AY39" s="24">
        <f t="shared" si="44"/>
        <v>0.16854854138612108</v>
      </c>
      <c r="AZ39" s="25">
        <f t="shared" si="54"/>
        <v>0.246</v>
      </c>
      <c r="BA39" s="24">
        <f t="shared" si="35"/>
        <v>0.9475485413861211</v>
      </c>
      <c r="BJ39" s="19"/>
      <c r="BK39" s="20" t="str">
        <f t="shared" si="46"/>
        <v>SUMATERA</v>
      </c>
      <c r="BL39" s="20">
        <f t="shared" si="47"/>
        <v>2030</v>
      </c>
      <c r="BM39" s="34">
        <f>VLOOKUP(BL39,proj_rukn!$B$22:$E$41,4,FALSE)</f>
        <v>17358.966932297437</v>
      </c>
      <c r="BN39" s="30">
        <f t="shared" si="27"/>
        <v>19962.811972142052</v>
      </c>
      <c r="BO39" s="30">
        <f t="shared" si="36"/>
        <v>29817.728554788086</v>
      </c>
      <c r="BQ39" s="30">
        <f t="shared" si="28"/>
        <v>7985.1247888568214</v>
      </c>
      <c r="BR39" s="30">
        <f t="shared" si="37"/>
        <v>20853.648475017821</v>
      </c>
      <c r="BS39" s="30"/>
      <c r="BT39" s="30">
        <f t="shared" si="29"/>
        <v>3992.5623944284107</v>
      </c>
      <c r="BU39" s="30">
        <f t="shared" si="38"/>
        <v>8964.0781479773977</v>
      </c>
      <c r="BW39" s="30">
        <f t="shared" si="30"/>
        <v>5.9081125116734796</v>
      </c>
      <c r="BX39" s="30">
        <f t="shared" si="39"/>
        <v>7.7832164028310569</v>
      </c>
      <c r="BZ39" s="24">
        <f t="shared" si="48"/>
        <v>8.2747847040294059E-2</v>
      </c>
      <c r="CA39" s="24">
        <f t="shared" si="31"/>
        <v>7.9491128867213628E-2</v>
      </c>
      <c r="CF39" s="23"/>
    </row>
    <row r="40" spans="1:84" x14ac:dyDescent="0.25">
      <c r="A40" s="19"/>
      <c r="B40" s="20" t="str">
        <f t="shared" ref="B40:C40" si="61">B16</f>
        <v>SUMATERA</v>
      </c>
      <c r="C40" s="20">
        <f t="shared" si="61"/>
        <v>2031</v>
      </c>
      <c r="D40" s="30">
        <f>(D16*(VLOOKUP(D$27,tech_data!$B$2:$O$15,6, FALSE)/100)*(1-(VLOOKUP(D$27,tech_data!$B$2:$O$15,7, FALSE)/100))*8760)/1000</f>
        <v>47094.927890472689</v>
      </c>
      <c r="E40" s="30">
        <f>(E16*(VLOOKUP(E$27,tech_data!$B$2:$O$15,6, FALSE)/100)*(1-(VLOOKUP(E$27,tech_data!$B$2:$O$15,7, FALSE)/100))*8760)/1000</f>
        <v>9465.7334862376447</v>
      </c>
      <c r="F40" s="30">
        <f>(F16*(VLOOKUP(F$27,tech_data!$B$2:$O$15,6, FALSE)/100)*(1-(VLOOKUP(F$27,tech_data!$B$2:$O$15,7, FALSE)/100))*8760)/1000</f>
        <v>31022.823393962975</v>
      </c>
      <c r="G40" s="30">
        <f>(G16*(VLOOKUP(G$27,tech_data!$B$2:$O$15,6, FALSE)/100)*(1-(VLOOKUP(G$27,tech_data!$B$2:$O$15,7, FALSE)/100))*8760)/1000</f>
        <v>18063.487195404385</v>
      </c>
      <c r="H40" s="30">
        <f>(H16*(VLOOKUP(H$27,tech_data!$B$2:$O$15,6, FALSE)/100)*(1-(VLOOKUP(H$27,tech_data!$B$2:$O$15,7, FALSE)/100))*8760)/1000</f>
        <v>7200.1304594687253</v>
      </c>
      <c r="I40" s="30">
        <f>(I16*(VLOOKUP(I$27,tech_data!$B$2:$O$15,6, FALSE)/100)*(1-(VLOOKUP(I$27,tech_data!$B$2:$O$15,7, FALSE)/100))*8760)/1000</f>
        <v>14145.891555601431</v>
      </c>
      <c r="J40" s="30">
        <f>(J16*(VLOOKUP(J$27,tech_data!$B$2:$O$15,6, FALSE)/100)*(1-(VLOOKUP(J$27,tech_data!$B$2:$O$15,7, FALSE)/100))*8760)/1000</f>
        <v>18016.52888656349</v>
      </c>
      <c r="K40" s="30">
        <f>(K16*(VLOOKUP(K$27,tech_data!$B$2:$O$15,6, FALSE)/100)*(1-(VLOOKUP(K$27,tech_data!$B$2:$O$15,7, FALSE)/100))*8760)/1000</f>
        <v>9804.7344119412974</v>
      </c>
      <c r="L40" s="30">
        <f>(L16*(VLOOKUP(L$27,tech_data!$B$2:$O$15,6, FALSE)/100)*(1-(VLOOKUP(L$27,tech_data!$B$2:$O$15,7, FALSE)/100))*8760)/1000</f>
        <v>8554.3559135056785</v>
      </c>
      <c r="M40" s="30">
        <f>(M16*(VLOOKUP(M$27,tech_data!$B$2:$O$15,6, FALSE)/100)*(1-(VLOOKUP(M$27,tech_data!$B$2:$O$15,7, FALSE)/100))*8760)/1000</f>
        <v>106.53312331048573</v>
      </c>
      <c r="N40" s="30">
        <f>(N16*(VLOOKUP(N$27,tech_data!$B$2:$O$15,6, FALSE)/100)*(1-(VLOOKUP(N$27,tech_data!$B$2:$O$15,7, FALSE)/100))*8760)/1000</f>
        <v>29.020238353878245</v>
      </c>
      <c r="O40" s="30">
        <f>(O16*(VLOOKUP(O$27,tech_data!$B$2:$O$15,6, FALSE)/100)*(1-(VLOOKUP(O$27,tech_data!$B$2:$O$15,7, FALSE)/100))*8760)/1000</f>
        <v>19.891072952259353</v>
      </c>
      <c r="P40" s="30">
        <f>(P16*(VLOOKUP(P$27,tech_data!$B$2:$O$15,6, FALSE)/100)*(1-(VLOOKUP(P$27,tech_data!$B$2:$O$15,7, FALSE)/100))*8760)/1000</f>
        <v>43.896714010627221</v>
      </c>
      <c r="Q40" s="34">
        <f t="shared" si="18"/>
        <v>163524.05762777489</v>
      </c>
      <c r="R40" s="34">
        <f>proj_rukn!D34</f>
        <v>183458</v>
      </c>
      <c r="S40" s="35"/>
      <c r="T40" s="19"/>
      <c r="U40" s="20" t="str">
        <f t="shared" si="19"/>
        <v>SUMATERA</v>
      </c>
      <c r="V40" s="20">
        <f t="shared" si="19"/>
        <v>2031</v>
      </c>
      <c r="W40" s="29">
        <f t="shared" si="20"/>
        <v>0.28799999568059592</v>
      </c>
      <c r="X40" s="29">
        <f t="shared" si="20"/>
        <v>5.7885876999115453E-2</v>
      </c>
      <c r="Y40" s="29">
        <f t="shared" si="20"/>
        <v>0.18971412429466089</v>
      </c>
      <c r="Z40" s="29">
        <f t="shared" si="20"/>
        <v>0.11046379020585326</v>
      </c>
      <c r="AA40" s="29">
        <f t="shared" si="20"/>
        <v>4.403101637716314E-2</v>
      </c>
      <c r="AB40" s="29">
        <f t="shared" si="20"/>
        <v>8.6506485717235057E-2</v>
      </c>
      <c r="AC40" s="29">
        <f t="shared" si="20"/>
        <v>0.11017662567775804</v>
      </c>
      <c r="AD40" s="29">
        <f t="shared" si="20"/>
        <v>5.9958972118093673E-2</v>
      </c>
      <c r="AE40" s="29">
        <f t="shared" si="20"/>
        <v>5.2312522313858627E-2</v>
      </c>
      <c r="AF40" s="29">
        <f t="shared" si="20"/>
        <v>6.5148287570617911E-4</v>
      </c>
      <c r="AG40" s="29">
        <f t="shared" si="20"/>
        <v>1.7746769970652379E-4</v>
      </c>
      <c r="AH40" s="29">
        <f t="shared" si="20"/>
        <v>1.2164004025350711E-4</v>
      </c>
      <c r="AI40" s="29">
        <f t="shared" si="20"/>
        <v>2.6844193232134715E-4</v>
      </c>
      <c r="AJ40" s="29">
        <f t="shared" si="21"/>
        <v>1.0000000000000002</v>
      </c>
      <c r="AM40" s="23"/>
      <c r="AO40" s="20" t="str">
        <f t="shared" si="41"/>
        <v>SUMATERA</v>
      </c>
      <c r="AP40" s="20">
        <f t="shared" si="42"/>
        <v>2031</v>
      </c>
      <c r="AQ40" s="25">
        <f t="shared" si="22"/>
        <v>0.28799999568059592</v>
      </c>
      <c r="AR40" s="25">
        <f t="shared" si="23"/>
        <v>0.24760000129377632</v>
      </c>
      <c r="AS40" s="25">
        <f t="shared" si="24"/>
        <v>0.11046379020585326</v>
      </c>
      <c r="AT40" s="37">
        <f t="shared" si="25"/>
        <v>0.35381457277952122</v>
      </c>
      <c r="AU40" s="24">
        <f t="shared" si="33"/>
        <v>0.99987835995974672</v>
      </c>
      <c r="AW40" s="24">
        <f t="shared" si="57"/>
        <v>0.28799999999999998</v>
      </c>
      <c r="AX40" s="24">
        <f t="shared" si="26"/>
        <v>0.24760000000000001</v>
      </c>
      <c r="AY40" s="24">
        <f t="shared" si="44"/>
        <v>0.16517757055839866</v>
      </c>
      <c r="AZ40" s="25">
        <f t="shared" si="54"/>
        <v>0.2492</v>
      </c>
      <c r="BA40" s="24">
        <f t="shared" si="35"/>
        <v>0.9499775705583986</v>
      </c>
      <c r="BJ40" s="19"/>
      <c r="BK40" s="20" t="str">
        <f t="shared" si="46"/>
        <v>SUMATERA</v>
      </c>
      <c r="BL40" s="20">
        <f t="shared" si="47"/>
        <v>2031</v>
      </c>
      <c r="BM40" s="34">
        <f>VLOOKUP(BL40,proj_rukn!$B$22:$E$41,4,FALSE)</f>
        <v>18856.657636379809</v>
      </c>
      <c r="BN40" s="30">
        <f t="shared" si="27"/>
        <v>21685.156281836778</v>
      </c>
      <c r="BO40" s="30">
        <f t="shared" si="36"/>
        <v>32060.913138326116</v>
      </c>
      <c r="BQ40" s="30">
        <f t="shared" si="28"/>
        <v>8674.0625127347121</v>
      </c>
      <c r="BR40" s="30">
        <f t="shared" si="37"/>
        <v>22073.972039997945</v>
      </c>
      <c r="BS40" s="30"/>
      <c r="BT40" s="30">
        <f t="shared" si="29"/>
        <v>4337.031256367356</v>
      </c>
      <c r="BU40" s="30">
        <f t="shared" si="38"/>
        <v>9979.9967436687803</v>
      </c>
      <c r="BW40" s="30">
        <f t="shared" si="30"/>
        <v>7.7551662109680812</v>
      </c>
      <c r="BX40" s="30">
        <f t="shared" si="39"/>
        <v>9.6302691787054826</v>
      </c>
      <c r="BZ40" s="24">
        <f t="shared" si="48"/>
        <v>8.6885239392308772E-2</v>
      </c>
      <c r="CA40" s="24">
        <f t="shared" si="31"/>
        <v>0.1694061527087225</v>
      </c>
      <c r="CF40" s="23"/>
    </row>
    <row r="41" spans="1:84" x14ac:dyDescent="0.25">
      <c r="A41" s="19"/>
      <c r="B41" s="20" t="str">
        <f t="shared" ref="B41:C41" si="62">B17</f>
        <v>SUMATERA</v>
      </c>
      <c r="C41" s="20">
        <f t="shared" si="62"/>
        <v>2032</v>
      </c>
      <c r="D41" s="30">
        <f>(D17*(VLOOKUP(D$27,tech_data!$B$2:$O$15,6, FALSE)/100)*(1-(VLOOKUP(D$27,tech_data!$B$2:$O$15,7, FALSE)/100))*8760)/1000</f>
        <v>49973.954153260434</v>
      </c>
      <c r="E41" s="30">
        <f>(E17*(VLOOKUP(E$27,tech_data!$B$2:$O$15,6, FALSE)/100)*(1-(VLOOKUP(E$27,tech_data!$B$2:$O$15,7, FALSE)/100))*8760)/1000</f>
        <v>12335.461879164282</v>
      </c>
      <c r="F41" s="30">
        <f>(F17*(VLOOKUP(F$27,tech_data!$B$2:$O$15,6, FALSE)/100)*(1-(VLOOKUP(F$27,tech_data!$B$2:$O$15,7, FALSE)/100))*8760)/1000</f>
        <v>31550.582580048849</v>
      </c>
      <c r="G41" s="30">
        <f>(G17*(VLOOKUP(G$27,tech_data!$B$2:$O$15,6, FALSE)/100)*(1-(VLOOKUP(G$27,tech_data!$B$2:$O$15,7, FALSE)/100))*8760)/1000</f>
        <v>18354.869177006447</v>
      </c>
      <c r="H41" s="30">
        <f>(H17*(VLOOKUP(H$27,tech_data!$B$2:$O$15,6, FALSE)/100)*(1-(VLOOKUP(H$27,tech_data!$B$2:$O$15,7, FALSE)/100))*8760)/1000</f>
        <v>7384.3875417163126</v>
      </c>
      <c r="I41" s="30">
        <f>(I17*(VLOOKUP(I$27,tech_data!$B$2:$O$15,6, FALSE)/100)*(1-(VLOOKUP(I$27,tech_data!$B$2:$O$15,7, FALSE)/100))*8760)/1000</f>
        <v>14145.938177063539</v>
      </c>
      <c r="J41" s="30">
        <f>(J17*(VLOOKUP(J$27,tech_data!$B$2:$O$15,6, FALSE)/100)*(1-(VLOOKUP(J$27,tech_data!$B$2:$O$15,7, FALSE)/100))*8760)/1000</f>
        <v>18016.611769255702</v>
      </c>
      <c r="K41" s="30">
        <f>(K17*(VLOOKUP(K$27,tech_data!$B$2:$O$15,6, FALSE)/100)*(1-(VLOOKUP(K$27,tech_data!$B$2:$O$15,7, FALSE)/100))*8760)/1000</f>
        <v>9804.7424177703197</v>
      </c>
      <c r="L41" s="30">
        <f>(L17*(VLOOKUP(L$27,tech_data!$B$2:$O$15,6, FALSE)/100)*(1-(VLOOKUP(L$27,tech_data!$B$2:$O$15,7, FALSE)/100))*8760)/1000</f>
        <v>8554.378290881672</v>
      </c>
      <c r="M41" s="30">
        <f>(M17*(VLOOKUP(M$27,tech_data!$B$2:$O$15,6, FALSE)/100)*(1-(VLOOKUP(M$27,tech_data!$B$2:$O$15,7, FALSE)/100))*8760)/1000</f>
        <v>106.53312331048573</v>
      </c>
      <c r="N41" s="30">
        <f>(N17*(VLOOKUP(N$27,tech_data!$B$2:$O$15,6, FALSE)/100)*(1-(VLOOKUP(N$27,tech_data!$B$2:$O$15,7, FALSE)/100))*8760)/1000</f>
        <v>29.063103220743855</v>
      </c>
      <c r="O41" s="30">
        <f>(O17*(VLOOKUP(O$27,tech_data!$B$2:$O$15,6, FALSE)/100)*(1-(VLOOKUP(O$27,tech_data!$B$2:$O$15,7, FALSE)/100))*8760)/1000</f>
        <v>19.903191616463157</v>
      </c>
      <c r="P41" s="30">
        <f>(P17*(VLOOKUP(P$27,tech_data!$B$2:$O$15,6, FALSE)/100)*(1-(VLOOKUP(P$27,tech_data!$B$2:$O$15,7, FALSE)/100))*8760)/1000</f>
        <v>45.558148508823678</v>
      </c>
      <c r="Q41" s="34">
        <f t="shared" si="18"/>
        <v>170276.42540431523</v>
      </c>
      <c r="R41" s="34">
        <f>proj_rukn!D35</f>
        <v>193824</v>
      </c>
      <c r="S41" s="35"/>
      <c r="T41" s="19"/>
      <c r="U41" s="20" t="str">
        <f t="shared" si="19"/>
        <v>SUMATERA</v>
      </c>
      <c r="V41" s="20">
        <f t="shared" si="19"/>
        <v>2032</v>
      </c>
      <c r="W41" s="29">
        <f t="shared" si="20"/>
        <v>0.29348721665138955</v>
      </c>
      <c r="X41" s="29">
        <f t="shared" si="20"/>
        <v>7.2443744633904392E-2</v>
      </c>
      <c r="Y41" s="29">
        <f t="shared" si="20"/>
        <v>0.18529037419673997</v>
      </c>
      <c r="Z41" s="29">
        <f t="shared" si="20"/>
        <v>0.1077945413372607</v>
      </c>
      <c r="AA41" s="29">
        <f t="shared" si="20"/>
        <v>4.3367057560565712E-2</v>
      </c>
      <c r="AB41" s="29">
        <f t="shared" si="20"/>
        <v>8.3076316310226259E-2</v>
      </c>
      <c r="AC41" s="29">
        <f t="shared" si="20"/>
        <v>0.10580802202345925</v>
      </c>
      <c r="AD41" s="29">
        <f t="shared" si="20"/>
        <v>5.7581326331518363E-2</v>
      </c>
      <c r="AE41" s="29">
        <f t="shared" si="20"/>
        <v>5.0238183415993197E-2</v>
      </c>
      <c r="AF41" s="29">
        <f t="shared" si="20"/>
        <v>6.2564810752590487E-4</v>
      </c>
      <c r="AG41" s="29">
        <f t="shared" si="20"/>
        <v>1.7068189652052281E-4</v>
      </c>
      <c r="AH41" s="29">
        <f t="shared" si="20"/>
        <v>1.1688753489629434E-4</v>
      </c>
      <c r="AI41" s="29">
        <f t="shared" si="20"/>
        <v>2.675540574724158E-4</v>
      </c>
      <c r="AJ41" s="29">
        <f t="shared" si="21"/>
        <v>1</v>
      </c>
      <c r="AM41" s="23"/>
      <c r="AO41" s="20" t="str">
        <f t="shared" si="41"/>
        <v>SUMATERA</v>
      </c>
      <c r="AP41" s="20">
        <f t="shared" si="42"/>
        <v>2032</v>
      </c>
      <c r="AQ41" s="25">
        <f t="shared" si="22"/>
        <v>0.29348721665138955</v>
      </c>
      <c r="AR41" s="25">
        <f t="shared" si="23"/>
        <v>0.25773411883064434</v>
      </c>
      <c r="AS41" s="25">
        <f t="shared" si="24"/>
        <v>0.1077945413372607</v>
      </c>
      <c r="AT41" s="37">
        <f t="shared" si="25"/>
        <v>0.34086723564580923</v>
      </c>
      <c r="AU41" s="24">
        <f t="shared" si="33"/>
        <v>0.99988311246510386</v>
      </c>
      <c r="AW41" s="24">
        <f t="shared" si="57"/>
        <v>0.28599999999999998</v>
      </c>
      <c r="AX41" s="24">
        <f t="shared" si="26"/>
        <v>0.25220000000000004</v>
      </c>
      <c r="AY41" s="24">
        <f t="shared" si="44"/>
        <v>0.16187401914723068</v>
      </c>
      <c r="AZ41" s="25">
        <f t="shared" si="54"/>
        <v>0.25240000000000001</v>
      </c>
      <c r="BA41" s="24">
        <f t="shared" si="35"/>
        <v>0.95247401914723073</v>
      </c>
      <c r="BJ41" s="19"/>
      <c r="BK41" s="20" t="str">
        <f t="shared" si="46"/>
        <v>SUMATERA</v>
      </c>
      <c r="BL41" s="20">
        <f t="shared" si="47"/>
        <v>2032</v>
      </c>
      <c r="BM41" s="34">
        <f>VLOOKUP(BL41,proj_rukn!$B$22:$E$41,4,FALSE)</f>
        <v>20483.565560233557</v>
      </c>
      <c r="BN41" s="30">
        <f t="shared" si="27"/>
        <v>23556.100394268589</v>
      </c>
      <c r="BO41" s="30">
        <f t="shared" si="36"/>
        <v>33892.48943724022</v>
      </c>
      <c r="BQ41" s="30">
        <f t="shared" si="28"/>
        <v>9422.4401577074368</v>
      </c>
      <c r="BR41" s="30">
        <f t="shared" si="37"/>
        <v>22886.784702283716</v>
      </c>
      <c r="BS41" s="30"/>
      <c r="BT41" s="30">
        <f t="shared" si="29"/>
        <v>4711.2200788537184</v>
      </c>
      <c r="BU41" s="30">
        <f t="shared" si="38"/>
        <v>10998.756149439256</v>
      </c>
      <c r="BW41" s="30">
        <f t="shared" si="30"/>
        <v>7.7693908504612779</v>
      </c>
      <c r="BX41" s="30">
        <f t="shared" si="39"/>
        <v>9.6444937416188345</v>
      </c>
      <c r="BZ41" s="24">
        <f t="shared" si="48"/>
        <v>9.1229501361924217E-2</v>
      </c>
      <c r="CA41" s="24">
        <f t="shared" si="31"/>
        <v>0.16886805694763382</v>
      </c>
      <c r="CF41" s="23"/>
    </row>
    <row r="42" spans="1:84" x14ac:dyDescent="0.25">
      <c r="A42" s="19"/>
      <c r="B42" s="20" t="str">
        <f t="shared" ref="B42:C42" si="63">B18</f>
        <v>SUMATERA</v>
      </c>
      <c r="C42" s="20">
        <f t="shared" si="63"/>
        <v>2033</v>
      </c>
      <c r="D42" s="30">
        <f>(D18*(VLOOKUP(D$27,tech_data!$B$2:$O$15,6, FALSE)/100)*(1-(VLOOKUP(D$27,tech_data!$B$2:$O$15,7, FALSE)/100))*8760)/1000</f>
        <v>52958.876092964609</v>
      </c>
      <c r="E42" s="30">
        <f>(E18*(VLOOKUP(E$27,tech_data!$B$2:$O$15,6, FALSE)/100)*(1-(VLOOKUP(E$27,tech_data!$B$2:$O$15,7, FALSE)/100))*8760)/1000</f>
        <v>15679.576010851248</v>
      </c>
      <c r="F42" s="30">
        <f>(F18*(VLOOKUP(F$27,tech_data!$B$2:$O$15,6, FALSE)/100)*(1-(VLOOKUP(F$27,tech_data!$B$2:$O$15,7, FALSE)/100))*8760)/1000</f>
        <v>32207.18333578953</v>
      </c>
      <c r="G42" s="30">
        <f>(G18*(VLOOKUP(G$27,tech_data!$B$2:$O$15,6, FALSE)/100)*(1-(VLOOKUP(G$27,tech_data!$B$2:$O$15,7, FALSE)/100))*8760)/1000</f>
        <v>18422.966567163032</v>
      </c>
      <c r="H42" s="30">
        <f>(H18*(VLOOKUP(H$27,tech_data!$B$2:$O$15,6, FALSE)/100)*(1-(VLOOKUP(H$27,tech_data!$B$2:$O$15,7, FALSE)/100))*8760)/1000</f>
        <v>16161.201131579826</v>
      </c>
      <c r="I42" s="30">
        <f>(I18*(VLOOKUP(I$27,tech_data!$B$2:$O$15,6, FALSE)/100)*(1-(VLOOKUP(I$27,tech_data!$B$2:$O$15,7, FALSE)/100))*8760)/1000</f>
        <v>14243.882331899678</v>
      </c>
      <c r="J42" s="30">
        <f>(J18*(VLOOKUP(J$27,tech_data!$B$2:$O$15,6, FALSE)/100)*(1-(VLOOKUP(J$27,tech_data!$B$2:$O$15,7, FALSE)/100))*8760)/1000</f>
        <v>18190.71833213908</v>
      </c>
      <c r="K42" s="30">
        <f>(K18*(VLOOKUP(K$27,tech_data!$B$2:$O$15,6, FALSE)/100)*(1-(VLOOKUP(K$27,tech_data!$B$2:$O$15,7, FALSE)/100))*8760)/1000</f>
        <v>9821.5691970027256</v>
      </c>
      <c r="L42" s="30">
        <f>(L18*(VLOOKUP(L$27,tech_data!$B$2:$O$15,6, FALSE)/100)*(1-(VLOOKUP(L$27,tech_data!$B$2:$O$15,7, FALSE)/100))*8760)/1000</f>
        <v>8601.3960765668089</v>
      </c>
      <c r="M42" s="30">
        <f>(M18*(VLOOKUP(M$27,tech_data!$B$2:$O$15,6, FALSE)/100)*(1-(VLOOKUP(M$27,tech_data!$B$2:$O$15,7, FALSE)/100))*8760)/1000</f>
        <v>106.53312331048573</v>
      </c>
      <c r="N42" s="30">
        <f>(N18*(VLOOKUP(N$27,tech_data!$B$2:$O$15,6, FALSE)/100)*(1-(VLOOKUP(N$27,tech_data!$B$2:$O$15,7, FALSE)/100))*8760)/1000</f>
        <v>31.232182149754909</v>
      </c>
      <c r="O42" s="30">
        <f>(O18*(VLOOKUP(O$27,tech_data!$B$2:$O$15,6, FALSE)/100)*(1-(VLOOKUP(O$27,tech_data!$B$2:$O$15,7, FALSE)/100))*8760)/1000</f>
        <v>49.784889579869144</v>
      </c>
      <c r="P42" s="30">
        <f>(P18*(VLOOKUP(P$27,tech_data!$B$2:$O$15,6, FALSE)/100)*(1-(VLOOKUP(P$27,tech_data!$B$2:$O$15,7, FALSE)/100))*8760)/1000</f>
        <v>49.55693279020052</v>
      </c>
      <c r="Q42" s="34">
        <f t="shared" si="18"/>
        <v>186474.91927099664</v>
      </c>
      <c r="R42" s="34">
        <f>proj_rukn!D36</f>
        <v>203086</v>
      </c>
      <c r="S42" s="35"/>
      <c r="T42" s="19"/>
      <c r="U42" s="20" t="str">
        <f t="shared" si="19"/>
        <v>SUMATERA</v>
      </c>
      <c r="V42" s="20">
        <f t="shared" si="19"/>
        <v>2033</v>
      </c>
      <c r="W42" s="29">
        <f t="shared" si="20"/>
        <v>0.28399999474460991</v>
      </c>
      <c r="X42" s="29">
        <f t="shared" si="20"/>
        <v>8.4084101348046378E-2</v>
      </c>
      <c r="Y42" s="29">
        <f t="shared" si="20"/>
        <v>0.17271589906942983</v>
      </c>
      <c r="Z42" s="29">
        <f t="shared" si="20"/>
        <v>9.8795948748419418E-2</v>
      </c>
      <c r="AA42" s="29">
        <f t="shared" si="20"/>
        <v>8.6666889009847967E-2</v>
      </c>
      <c r="AB42" s="29">
        <f t="shared" si="20"/>
        <v>7.6384976529736984E-2</v>
      </c>
      <c r="AC42" s="29">
        <f t="shared" si="20"/>
        <v>9.7550482409396982E-2</v>
      </c>
      <c r="AD42" s="29">
        <f t="shared" si="20"/>
        <v>5.2669652494818496E-2</v>
      </c>
      <c r="AE42" s="29">
        <f t="shared" si="20"/>
        <v>4.6126289316509847E-2</v>
      </c>
      <c r="AF42" s="29">
        <f t="shared" si="20"/>
        <v>5.7130001035509423E-4</v>
      </c>
      <c r="AG42" s="29">
        <f t="shared" si="20"/>
        <v>1.6748730752561106E-4</v>
      </c>
      <c r="AH42" s="29">
        <f t="shared" si="20"/>
        <v>2.6697901130349187E-4</v>
      </c>
      <c r="AI42" s="29">
        <f t="shared" si="20"/>
        <v>2.6575655849021384E-4</v>
      </c>
      <c r="AJ42" s="29">
        <f t="shared" si="21"/>
        <v>1</v>
      </c>
      <c r="AM42" s="23"/>
      <c r="AO42" s="20" t="str">
        <f t="shared" si="41"/>
        <v>SUMATERA</v>
      </c>
      <c r="AP42" s="20">
        <f t="shared" si="42"/>
        <v>2033</v>
      </c>
      <c r="AQ42" s="25">
        <f t="shared" si="22"/>
        <v>0.28399999474460991</v>
      </c>
      <c r="AR42" s="25">
        <f t="shared" si="23"/>
        <v>0.25680000041747619</v>
      </c>
      <c r="AS42" s="25">
        <f t="shared" si="24"/>
        <v>9.8795948748419418E-2</v>
      </c>
      <c r="AT42" s="37">
        <f t="shared" si="25"/>
        <v>0.36013707707819098</v>
      </c>
      <c r="AU42" s="24">
        <f t="shared" si="33"/>
        <v>0.99973302098869654</v>
      </c>
      <c r="AW42" s="24">
        <f t="shared" si="57"/>
        <v>0.28399999999999997</v>
      </c>
      <c r="AX42" s="24">
        <f t="shared" si="26"/>
        <v>0.25680000000000003</v>
      </c>
      <c r="AY42" s="24">
        <f t="shared" si="44"/>
        <v>0.15863653876428607</v>
      </c>
      <c r="AZ42" s="25">
        <f t="shared" si="54"/>
        <v>0.25559999999999999</v>
      </c>
      <c r="BA42" s="24">
        <f t="shared" si="35"/>
        <v>0.95503653876428607</v>
      </c>
      <c r="BJ42" s="19"/>
      <c r="BK42" s="20" t="str">
        <f t="shared" si="46"/>
        <v>SUMATERA</v>
      </c>
      <c r="BL42" s="20">
        <f t="shared" si="47"/>
        <v>2033</v>
      </c>
      <c r="BM42" s="34">
        <f>VLOOKUP(BL42,proj_rukn!$B$22:$E$41,4,FALSE)</f>
        <v>22250.839260660119</v>
      </c>
      <c r="BN42" s="30">
        <f t="shared" si="27"/>
        <v>25588.465149759137</v>
      </c>
      <c r="BO42" s="30">
        <f t="shared" si="36"/>
        <v>37263.749859403564</v>
      </c>
      <c r="BQ42" s="30">
        <f t="shared" si="28"/>
        <v>10235.386059903656</v>
      </c>
      <c r="BR42" s="30">
        <f t="shared" si="37"/>
        <v>25092.135242925873</v>
      </c>
      <c r="BS42" s="30"/>
      <c r="BT42" s="30">
        <f t="shared" si="29"/>
        <v>5117.6930299518281</v>
      </c>
      <c r="BU42" s="30">
        <f t="shared" si="38"/>
        <v>12154.233757699923</v>
      </c>
      <c r="BW42" s="30">
        <f t="shared" si="30"/>
        <v>8.4891924489701704</v>
      </c>
      <c r="BX42" s="30">
        <f t="shared" si="39"/>
        <v>10.364295340127866</v>
      </c>
      <c r="BZ42" s="24">
        <f t="shared" si="48"/>
        <v>9.5790976430020436E-2</v>
      </c>
      <c r="CA42" s="24">
        <f t="shared" si="31"/>
        <v>0.14614056530412553</v>
      </c>
      <c r="CF42" s="23"/>
    </row>
    <row r="43" spans="1:84" x14ac:dyDescent="0.25">
      <c r="A43" s="19"/>
      <c r="B43" s="20" t="str">
        <f t="shared" ref="B43:C43" si="64">B19</f>
        <v>SUMATERA</v>
      </c>
      <c r="C43" s="20">
        <f t="shared" si="64"/>
        <v>2034</v>
      </c>
      <c r="D43" s="30">
        <f>(D19*(VLOOKUP(D$27,tech_data!$B$2:$O$15,6, FALSE)/100)*(1-(VLOOKUP(D$27,tech_data!$B$2:$O$15,7, FALSE)/100))*8760)/1000</f>
        <v>56595.144008958057</v>
      </c>
      <c r="E43" s="30">
        <f>(E19*(VLOOKUP(E$27,tech_data!$B$2:$O$15,6, FALSE)/100)*(1-(VLOOKUP(E$27,tech_data!$B$2:$O$15,7, FALSE)/100))*8760)/1000</f>
        <v>18423.588990070253</v>
      </c>
      <c r="F43" s="30">
        <f>(F19*(VLOOKUP(F$27,tech_data!$B$2:$O$15,6, FALSE)/100)*(1-(VLOOKUP(F$27,tech_data!$B$2:$O$15,7, FALSE)/100))*8760)/1000</f>
        <v>32817.544157021104</v>
      </c>
      <c r="G43" s="30">
        <f>(G19*(VLOOKUP(G$27,tech_data!$B$2:$O$15,6, FALSE)/100)*(1-(VLOOKUP(G$27,tech_data!$B$2:$O$15,7, FALSE)/100))*8760)/1000</f>
        <v>18740.102753040665</v>
      </c>
      <c r="H43" s="30">
        <f>(H19*(VLOOKUP(H$27,tech_data!$B$2:$O$15,6, FALSE)/100)*(1-(VLOOKUP(H$27,tech_data!$B$2:$O$15,7, FALSE)/100))*8760)/1000</f>
        <v>16161.202796819985</v>
      </c>
      <c r="I43" s="30">
        <f>(I19*(VLOOKUP(I$27,tech_data!$B$2:$O$15,6, FALSE)/100)*(1-(VLOOKUP(I$27,tech_data!$B$2:$O$15,7, FALSE)/100))*8760)/1000</f>
        <v>14243.883384956094</v>
      </c>
      <c r="J43" s="30">
        <f>(J19*(VLOOKUP(J$27,tech_data!$B$2:$O$15,6, FALSE)/100)*(1-(VLOOKUP(J$27,tech_data!$B$2:$O$15,7, FALSE)/100))*8760)/1000</f>
        <v>18190.719676056207</v>
      </c>
      <c r="K43" s="30">
        <f>(K19*(VLOOKUP(K$27,tech_data!$B$2:$O$15,6, FALSE)/100)*(1-(VLOOKUP(K$27,tech_data!$B$2:$O$15,7, FALSE)/100))*8760)/1000</f>
        <v>9821.5694976932318</v>
      </c>
      <c r="L43" s="30">
        <f>(L19*(VLOOKUP(L$27,tech_data!$B$2:$O$15,6, FALSE)/100)*(1-(VLOOKUP(L$27,tech_data!$B$2:$O$15,7, FALSE)/100))*8760)/1000</f>
        <v>8601.6485285940616</v>
      </c>
      <c r="M43" s="30">
        <f>(M19*(VLOOKUP(M$27,tech_data!$B$2:$O$15,6, FALSE)/100)*(1-(VLOOKUP(M$27,tech_data!$B$2:$O$15,7, FALSE)/100))*8760)/1000</f>
        <v>106.53312331048573</v>
      </c>
      <c r="N43" s="30">
        <f>(N19*(VLOOKUP(N$27,tech_data!$B$2:$O$15,6, FALSE)/100)*(1-(VLOOKUP(N$27,tech_data!$B$2:$O$15,7, FALSE)/100))*8760)/1000</f>
        <v>31.232310368697878</v>
      </c>
      <c r="O43" s="30">
        <f>(O19*(VLOOKUP(O$27,tech_data!$B$2:$O$15,6, FALSE)/100)*(1-(VLOOKUP(O$27,tech_data!$B$2:$O$15,7, FALSE)/100))*8760)/1000</f>
        <v>49.785142019003814</v>
      </c>
      <c r="P43" s="30">
        <f>(P19*(VLOOKUP(P$27,tech_data!$B$2:$O$15,6, FALSE)/100)*(1-(VLOOKUP(P$27,tech_data!$B$2:$O$15,7, FALSE)/100))*8760)/1000</f>
        <v>51.355124988368708</v>
      </c>
      <c r="Q43" s="34">
        <f t="shared" si="18"/>
        <v>193782.9543689079</v>
      </c>
      <c r="R43" s="34">
        <f>proj_rukn!D37</f>
        <v>216115</v>
      </c>
      <c r="S43" s="35"/>
      <c r="T43" s="19"/>
      <c r="U43" s="20" t="str">
        <f t="shared" si="19"/>
        <v>SUMATERA</v>
      </c>
      <c r="V43" s="20">
        <f t="shared" si="19"/>
        <v>2034</v>
      </c>
      <c r="W43" s="29">
        <f t="shared" si="20"/>
        <v>0.29205429442063785</v>
      </c>
      <c r="X43" s="29">
        <f t="shared" si="20"/>
        <v>9.5073320819523452E-2</v>
      </c>
      <c r="Y43" s="29">
        <f t="shared" si="20"/>
        <v>0.16935206847216183</v>
      </c>
      <c r="Z43" s="29">
        <f t="shared" si="20"/>
        <v>9.6706662431024826E-2</v>
      </c>
      <c r="AA43" s="29">
        <f t="shared" si="20"/>
        <v>8.339847459469335E-2</v>
      </c>
      <c r="AB43" s="29">
        <f t="shared" si="20"/>
        <v>7.3504315337456216E-2</v>
      </c>
      <c r="AC43" s="29">
        <f t="shared" si="20"/>
        <v>9.3871619076599619E-2</v>
      </c>
      <c r="AD43" s="29">
        <f t="shared" si="20"/>
        <v>5.0683351018561432E-2</v>
      </c>
      <c r="AE43" s="29">
        <f t="shared" si="20"/>
        <v>4.438805547478112E-2</v>
      </c>
      <c r="AF43" s="29">
        <f t="shared" si="20"/>
        <v>5.4975487218383932E-4</v>
      </c>
      <c r="AG43" s="29">
        <f t="shared" si="20"/>
        <v>1.6117160805196725E-4</v>
      </c>
      <c r="AH43" s="29">
        <f t="shared" si="20"/>
        <v>2.5691187432423489E-4</v>
      </c>
      <c r="AI43" s="29">
        <f t="shared" si="20"/>
        <v>2.6501363422606861E-4</v>
      </c>
      <c r="AJ43" s="29">
        <f t="shared" si="21"/>
        <v>0.99999999999999978</v>
      </c>
      <c r="AM43" s="23"/>
      <c r="AO43" s="20" t="str">
        <f t="shared" si="41"/>
        <v>SUMATERA</v>
      </c>
      <c r="AP43" s="20">
        <f t="shared" si="42"/>
        <v>2034</v>
      </c>
      <c r="AQ43" s="25">
        <f t="shared" si="22"/>
        <v>0.29205429442063785</v>
      </c>
      <c r="AR43" s="25">
        <f t="shared" si="23"/>
        <v>0.2644253892916853</v>
      </c>
      <c r="AS43" s="25">
        <f t="shared" si="24"/>
        <v>9.6706662431024826E-2</v>
      </c>
      <c r="AT43" s="37">
        <f t="shared" si="25"/>
        <v>0.3465567419823275</v>
      </c>
      <c r="AU43" s="24">
        <f t="shared" si="33"/>
        <v>0.99974308812567547</v>
      </c>
      <c r="AW43" s="24">
        <f t="shared" si="57"/>
        <v>0.28199999999999997</v>
      </c>
      <c r="AX43" s="24">
        <f t="shared" si="26"/>
        <v>0.26140000000000002</v>
      </c>
      <c r="AY43" s="24">
        <f t="shared" si="44"/>
        <v>0.15546380798900034</v>
      </c>
      <c r="AZ43" s="25">
        <f t="shared" si="54"/>
        <v>0.25880000000000003</v>
      </c>
      <c r="BA43" s="24">
        <f t="shared" si="35"/>
        <v>0.95766380798900042</v>
      </c>
      <c r="BJ43" s="19"/>
      <c r="BK43" s="20" t="str">
        <f t="shared" si="46"/>
        <v>SUMATERA</v>
      </c>
      <c r="BL43" s="20">
        <f t="shared" si="47"/>
        <v>2034</v>
      </c>
      <c r="BM43" s="34">
        <f>VLOOKUP(BL43,proj_rukn!$B$22:$E$41,4,FALSE)</f>
        <v>24170.589165633941</v>
      </c>
      <c r="BN43" s="30">
        <f t="shared" si="27"/>
        <v>27796.177540479031</v>
      </c>
      <c r="BO43" s="30">
        <f t="shared" si="36"/>
        <v>39216.06243740685</v>
      </c>
      <c r="BQ43" s="30">
        <f t="shared" si="28"/>
        <v>11118.471016191614</v>
      </c>
      <c r="BR43" s="30">
        <f t="shared" si="37"/>
        <v>26062.56041784144</v>
      </c>
      <c r="BS43" s="30"/>
      <c r="BT43" s="30">
        <f t="shared" si="29"/>
        <v>5559.2355080958068</v>
      </c>
      <c r="BU43" s="30">
        <f t="shared" si="38"/>
        <v>13136.121072656319</v>
      </c>
      <c r="BW43" s="30">
        <f t="shared" si="30"/>
        <v>8.4892339979988343</v>
      </c>
      <c r="BX43" s="30">
        <f t="shared" si="39"/>
        <v>10.364337889155875</v>
      </c>
      <c r="BZ43" s="24">
        <f t="shared" si="48"/>
        <v>0.10058052525152146</v>
      </c>
      <c r="CA43" s="24">
        <f t="shared" si="31"/>
        <v>0.14614001050694028</v>
      </c>
      <c r="CF43" s="23"/>
    </row>
    <row r="44" spans="1:84" x14ac:dyDescent="0.25">
      <c r="A44" s="19"/>
      <c r="B44" s="20" t="str">
        <f t="shared" ref="B44:C44" si="65">B20</f>
        <v>SUMATERA</v>
      </c>
      <c r="C44" s="20">
        <f t="shared" si="65"/>
        <v>2035</v>
      </c>
      <c r="D44" s="30">
        <f>(D20*(VLOOKUP(D$27,tech_data!$B$2:$O$15,6, FALSE)/100)*(1-(VLOOKUP(D$27,tech_data!$B$2:$O$15,7, FALSE)/100))*8760)/1000</f>
        <v>58312.655635494404</v>
      </c>
      <c r="E44" s="30">
        <f>(E20*(VLOOKUP(E$27,tech_data!$B$2:$O$15,6, FALSE)/100)*(1-(VLOOKUP(E$27,tech_data!$B$2:$O$15,7, FALSE)/100))*8760)/1000</f>
        <v>22916.008938382511</v>
      </c>
      <c r="F44" s="30">
        <f>(F20*(VLOOKUP(F$27,tech_data!$B$2:$O$15,6, FALSE)/100)*(1-(VLOOKUP(F$27,tech_data!$B$2:$O$15,7, FALSE)/100))*8760)/1000</f>
        <v>36667.795890613066</v>
      </c>
      <c r="G44" s="30">
        <f>(G20*(VLOOKUP(G$27,tech_data!$B$2:$O$15,6, FALSE)/100)*(1-(VLOOKUP(G$27,tech_data!$B$2:$O$15,7, FALSE)/100))*8760)/1000</f>
        <v>18740.123608048121</v>
      </c>
      <c r="H44" s="30">
        <f>(H20*(VLOOKUP(H$27,tech_data!$B$2:$O$15,6, FALSE)/100)*(1-(VLOOKUP(H$27,tech_data!$B$2:$O$15,7, FALSE)/100))*8760)/1000</f>
        <v>16161.233008957011</v>
      </c>
      <c r="I44" s="30">
        <f>(I20*(VLOOKUP(I$27,tech_data!$B$2:$O$15,6, FALSE)/100)*(1-(VLOOKUP(I$27,tech_data!$B$2:$O$15,7, FALSE)/100))*8760)/1000</f>
        <v>14243.897521940398</v>
      </c>
      <c r="J44" s="30">
        <f>(J20*(VLOOKUP(J$27,tech_data!$B$2:$O$15,6, FALSE)/100)*(1-(VLOOKUP(J$27,tech_data!$B$2:$O$15,7, FALSE)/100))*8760)/1000</f>
        <v>18190.744814212907</v>
      </c>
      <c r="K44" s="30">
        <f>(K20*(VLOOKUP(K$27,tech_data!$B$2:$O$15,6, FALSE)/100)*(1-(VLOOKUP(K$27,tech_data!$B$2:$O$15,7, FALSE)/100))*8760)/1000</f>
        <v>9821.5719252566341</v>
      </c>
      <c r="L44" s="30">
        <f>(L20*(VLOOKUP(L$27,tech_data!$B$2:$O$15,6, FALSE)/100)*(1-(VLOOKUP(L$27,tech_data!$B$2:$O$15,7, FALSE)/100))*8760)/1000</f>
        <v>8628.1210386618295</v>
      </c>
      <c r="M44" s="30">
        <f>(M20*(VLOOKUP(M$27,tech_data!$B$2:$O$15,6, FALSE)/100)*(1-(VLOOKUP(M$27,tech_data!$B$2:$O$15,7, FALSE)/100))*8760)/1000</f>
        <v>106.53312331048573</v>
      </c>
      <c r="N44" s="30">
        <f>(N20*(VLOOKUP(N$27,tech_data!$B$2:$O$15,6, FALSE)/100)*(1-(VLOOKUP(N$27,tech_data!$B$2:$O$15,7, FALSE)/100))*8760)/1000</f>
        <v>31.245307874423943</v>
      </c>
      <c r="O44" s="30">
        <f>(O20*(VLOOKUP(O$27,tech_data!$B$2:$O$15,6, FALSE)/100)*(1-(VLOOKUP(O$27,tech_data!$B$2:$O$15,7, FALSE)/100))*8760)/1000</f>
        <v>49.788816751488959</v>
      </c>
      <c r="P44" s="30">
        <f>(P20*(VLOOKUP(P$27,tech_data!$B$2:$O$15,6, FALSE)/100)*(1-(VLOOKUP(P$27,tech_data!$B$2:$O$15,7, FALSE)/100))*8760)/1000</f>
        <v>53.842247855005951</v>
      </c>
      <c r="Q44" s="34">
        <f t="shared" si="18"/>
        <v>203869.71962950326</v>
      </c>
      <c r="R44" s="34">
        <f>proj_rukn!D38</f>
        <v>228779</v>
      </c>
      <c r="S44" s="35"/>
      <c r="T44" s="19"/>
      <c r="U44" s="20" t="str">
        <f t="shared" si="19"/>
        <v>SUMATERA</v>
      </c>
      <c r="V44" s="20">
        <f t="shared" si="19"/>
        <v>2035</v>
      </c>
      <c r="W44" s="29">
        <f t="shared" si="20"/>
        <v>0.28602901765631122</v>
      </c>
      <c r="X44" s="29">
        <f t="shared" si="20"/>
        <v>0.11240516237540453</v>
      </c>
      <c r="Y44" s="29">
        <f t="shared" si="20"/>
        <v>0.17985896069926532</v>
      </c>
      <c r="Z44" s="29">
        <f t="shared" si="20"/>
        <v>9.1922055134548389E-2</v>
      </c>
      <c r="AA44" s="29">
        <f t="shared" si="20"/>
        <v>7.9272356082733433E-2</v>
      </c>
      <c r="AB44" s="29">
        <f t="shared" si="20"/>
        <v>6.9867646592275373E-2</v>
      </c>
      <c r="AC44" s="29">
        <f t="shared" si="20"/>
        <v>8.9227300882501484E-2</v>
      </c>
      <c r="AD44" s="29">
        <f t="shared" si="20"/>
        <v>4.8175726847054991E-2</v>
      </c>
      <c r="AE44" s="29">
        <f t="shared" si="20"/>
        <v>4.2321738874914312E-2</v>
      </c>
      <c r="AF44" s="29">
        <f t="shared" si="20"/>
        <v>5.2255491155866909E-4</v>
      </c>
      <c r="AG44" s="29">
        <f t="shared" si="20"/>
        <v>1.5326115095074785E-4</v>
      </c>
      <c r="AH44" s="29">
        <f t="shared" si="20"/>
        <v>2.4421879248164577E-4</v>
      </c>
      <c r="AI44" s="29">
        <f t="shared" si="20"/>
        <v>2.64101250312477E-4</v>
      </c>
      <c r="AJ44" s="29">
        <f t="shared" si="21"/>
        <v>1</v>
      </c>
      <c r="AM44" s="23"/>
      <c r="AO44" s="20" t="str">
        <f t="shared" si="41"/>
        <v>SUMATERA</v>
      </c>
      <c r="AP44" s="20">
        <f t="shared" si="42"/>
        <v>2035</v>
      </c>
      <c r="AQ44" s="25">
        <f t="shared" si="22"/>
        <v>0.28602901765631122</v>
      </c>
      <c r="AR44" s="25">
        <f t="shared" si="23"/>
        <v>0.29226412307466987</v>
      </c>
      <c r="AS44" s="25">
        <f t="shared" si="24"/>
        <v>9.1922055134548389E-2</v>
      </c>
      <c r="AT44" s="37">
        <f t="shared" si="25"/>
        <v>0.32954058534198899</v>
      </c>
      <c r="AU44" s="24">
        <f t="shared" si="33"/>
        <v>0.9997557812075184</v>
      </c>
      <c r="AW44" s="24">
        <f t="shared" si="57"/>
        <v>0.27999999999999997</v>
      </c>
      <c r="AX44" s="24">
        <f t="shared" si="26"/>
        <v>0.26600000000000001</v>
      </c>
      <c r="AY44" s="24">
        <f t="shared" si="44"/>
        <v>0.15235453182922032</v>
      </c>
      <c r="AZ44" s="25">
        <f t="shared" si="54"/>
        <v>0.26200000000000001</v>
      </c>
      <c r="BA44" s="24">
        <f t="shared" si="35"/>
        <v>0.96035453182922037</v>
      </c>
      <c r="BJ44" s="19"/>
      <c r="BK44" s="20" t="str">
        <f t="shared" si="46"/>
        <v>SUMATERA</v>
      </c>
      <c r="BL44" s="20">
        <f t="shared" si="47"/>
        <v>2035</v>
      </c>
      <c r="BM44" s="34">
        <f>VLOOKUP(BL44,proj_rukn!$B$22:$E$41,4,FALSE)</f>
        <v>26255.970562277515</v>
      </c>
      <c r="BN44" s="30">
        <f t="shared" si="27"/>
        <v>30194.366146619141</v>
      </c>
      <c r="BO44" s="30">
        <f t="shared" si="36"/>
        <v>42464.999913618631</v>
      </c>
      <c r="BQ44" s="30">
        <f t="shared" si="28"/>
        <v>12077.746458647656</v>
      </c>
      <c r="BR44" s="30">
        <f t="shared" si="37"/>
        <v>27807.998665924802</v>
      </c>
      <c r="BS44" s="30"/>
      <c r="BT44" s="30">
        <f t="shared" si="29"/>
        <v>6038.8732293238281</v>
      </c>
      <c r="BU44" s="30">
        <f t="shared" si="38"/>
        <v>14639.61901786521</v>
      </c>
      <c r="BW44" s="30">
        <f t="shared" si="30"/>
        <v>8.4935471768656612</v>
      </c>
      <c r="BX44" s="30">
        <f t="shared" si="39"/>
        <v>10.368651068023238</v>
      </c>
      <c r="BZ44" s="24">
        <f t="shared" si="48"/>
        <v>0.10560955151409754</v>
      </c>
      <c r="CA44" s="24">
        <f t="shared" si="31"/>
        <v>0.1460823125962202</v>
      </c>
      <c r="CF44" s="23"/>
    </row>
    <row r="45" spans="1:84" x14ac:dyDescent="0.25">
      <c r="A45" s="19"/>
      <c r="B45" s="20" t="str">
        <f t="shared" ref="B45:C45" si="66">B21</f>
        <v>SUMATERA</v>
      </c>
      <c r="C45" s="20">
        <f t="shared" si="66"/>
        <v>2036</v>
      </c>
      <c r="D45" s="30">
        <f>(D21*(VLOOKUP(D$27,tech_data!$B$2:$O$15,6, FALSE)/100)*(1-(VLOOKUP(D$27,tech_data!$B$2:$O$15,7, FALSE)/100))*8760)/1000</f>
        <v>63289.906574528446</v>
      </c>
      <c r="E45" s="30">
        <f>(E21*(VLOOKUP(E$27,tech_data!$B$2:$O$15,6, FALSE)/100)*(1-(VLOOKUP(E$27,tech_data!$B$2:$O$15,7, FALSE)/100))*8760)/1000</f>
        <v>24004.508857638804</v>
      </c>
      <c r="F45" s="30">
        <f>(F21*(VLOOKUP(F$27,tech_data!$B$2:$O$15,6, FALSE)/100)*(1-(VLOOKUP(F$27,tech_data!$B$2:$O$15,7, FALSE)/100))*8760)/1000</f>
        <v>37600.696622814867</v>
      </c>
      <c r="G45" s="30">
        <f>(G21*(VLOOKUP(G$27,tech_data!$B$2:$O$15,6, FALSE)/100)*(1-(VLOOKUP(G$27,tech_data!$B$2:$O$15,7, FALSE)/100))*8760)/1000</f>
        <v>18740.123603050877</v>
      </c>
      <c r="H45" s="30">
        <f>(H21*(VLOOKUP(H$27,tech_data!$B$2:$O$15,6, FALSE)/100)*(1-(VLOOKUP(H$27,tech_data!$B$2:$O$15,7, FALSE)/100))*8760)/1000</f>
        <v>28335.653368340911</v>
      </c>
      <c r="I45" s="30">
        <f>(I21*(VLOOKUP(I$27,tech_data!$B$2:$O$15,6, FALSE)/100)*(1-(VLOOKUP(I$27,tech_data!$B$2:$O$15,7, FALSE)/100))*8760)/1000</f>
        <v>15352.412169451809</v>
      </c>
      <c r="J45" s="30">
        <f>(J21*(VLOOKUP(J$27,tech_data!$B$2:$O$15,6, FALSE)/100)*(1-(VLOOKUP(J$27,tech_data!$B$2:$O$15,7, FALSE)/100))*8760)/1000</f>
        <v>20161.255327917399</v>
      </c>
      <c r="K45" s="30">
        <f>(K21*(VLOOKUP(K$27,tech_data!$B$2:$O$15,6, FALSE)/100)*(1-(VLOOKUP(K$27,tech_data!$B$2:$O$15,7, FALSE)/100))*8760)/1000</f>
        <v>10012.016356476568</v>
      </c>
      <c r="L45" s="30">
        <f>(L21*(VLOOKUP(L$27,tech_data!$B$2:$O$15,6, FALSE)/100)*(1-(VLOOKUP(L$27,tech_data!$B$2:$O$15,7, FALSE)/100))*8760)/1000</f>
        <v>9160.2622873804794</v>
      </c>
      <c r="M45" s="30">
        <f>(M21*(VLOOKUP(M$27,tech_data!$B$2:$O$15,6, FALSE)/100)*(1-(VLOOKUP(M$27,tech_data!$B$2:$O$15,7, FALSE)/100))*8760)/1000</f>
        <v>457.50328522221525</v>
      </c>
      <c r="N45" s="30">
        <f>(N21*(VLOOKUP(N$27,tech_data!$B$2:$O$15,6, FALSE)/100)*(1-(VLOOKUP(N$27,tech_data!$B$2:$O$15,7, FALSE)/100))*8760)/1000</f>
        <v>35.823433146122298</v>
      </c>
      <c r="O45" s="30">
        <f>(O21*(VLOOKUP(O$27,tech_data!$B$2:$O$15,6, FALSE)/100)*(1-(VLOOKUP(O$27,tech_data!$B$2:$O$15,7, FALSE)/100))*8760)/1000</f>
        <v>511.37266839393709</v>
      </c>
      <c r="P45" s="30">
        <f>(P21*(VLOOKUP(P$27,tech_data!$B$2:$O$15,6, FALSE)/100)*(1-(VLOOKUP(P$27,tech_data!$B$2:$O$15,7, FALSE)/100))*8760)/1000</f>
        <v>59.84102339542828</v>
      </c>
      <c r="Q45" s="34">
        <f t="shared" si="18"/>
        <v>227661.53455436241</v>
      </c>
      <c r="R45" s="34">
        <f>proj_rukn!D39</f>
        <v>250009</v>
      </c>
      <c r="S45" s="35"/>
      <c r="T45" s="19"/>
      <c r="U45" s="20" t="str">
        <f t="shared" si="19"/>
        <v>SUMATERA</v>
      </c>
      <c r="V45" s="20">
        <f t="shared" si="19"/>
        <v>2036</v>
      </c>
      <c r="W45" s="29">
        <f t="shared" si="20"/>
        <v>0.27799999986126639</v>
      </c>
      <c r="X45" s="29">
        <f t="shared" si="20"/>
        <v>0.10543945820547415</v>
      </c>
      <c r="Y45" s="29">
        <f t="shared" si="20"/>
        <v>0.16516051645007401</v>
      </c>
      <c r="Z45" s="29">
        <f t="shared" si="20"/>
        <v>8.2315722064045013E-2</v>
      </c>
      <c r="AA45" s="29">
        <f t="shared" si="20"/>
        <v>0.12446394786807848</v>
      </c>
      <c r="AB45" s="29">
        <f t="shared" si="20"/>
        <v>6.7435248556606153E-2</v>
      </c>
      <c r="AC45" s="29">
        <f t="shared" si="20"/>
        <v>8.8558022625043725E-2</v>
      </c>
      <c r="AD45" s="29">
        <f t="shared" si="20"/>
        <v>4.3977637136087377E-2</v>
      </c>
      <c r="AE45" s="29">
        <f t="shared" si="20"/>
        <v>4.0236319698500216E-2</v>
      </c>
      <c r="AF45" s="29">
        <f t="shared" si="20"/>
        <v>2.0095765677665229E-3</v>
      </c>
      <c r="AG45" s="29">
        <f t="shared" si="20"/>
        <v>1.5735391231656729E-4</v>
      </c>
      <c r="AH45" s="29">
        <f t="shared" si="20"/>
        <v>2.2461970547414914E-3</v>
      </c>
      <c r="AI45" s="29">
        <f t="shared" si="20"/>
        <v>2.6285083034586625E-4</v>
      </c>
      <c r="AJ45" s="29">
        <f t="shared" si="21"/>
        <v>1</v>
      </c>
      <c r="AM45" s="23"/>
      <c r="AO45" s="20" t="str">
        <f t="shared" si="41"/>
        <v>SUMATERA</v>
      </c>
      <c r="AP45" s="20">
        <f t="shared" si="42"/>
        <v>2036</v>
      </c>
      <c r="AQ45" s="25">
        <f t="shared" si="22"/>
        <v>0.27799999986126639</v>
      </c>
      <c r="AR45" s="25">
        <f t="shared" si="23"/>
        <v>0.27059997465554819</v>
      </c>
      <c r="AS45" s="25">
        <f t="shared" si="24"/>
        <v>8.2315722064045013E-2</v>
      </c>
      <c r="AT45" s="37">
        <f t="shared" si="25"/>
        <v>0.36683810636439906</v>
      </c>
      <c r="AU45" s="24">
        <f t="shared" si="33"/>
        <v>0.99775380294525873</v>
      </c>
      <c r="AW45" s="24">
        <f t="shared" si="57"/>
        <v>0.27800000000000002</v>
      </c>
      <c r="AX45" s="24">
        <f t="shared" si="26"/>
        <v>0.27060000000000001</v>
      </c>
      <c r="AY45" s="24">
        <f t="shared" si="44"/>
        <v>0.14930744119263592</v>
      </c>
      <c r="AZ45" s="25">
        <f t="shared" si="54"/>
        <v>0.26519999999999999</v>
      </c>
      <c r="BA45" s="24">
        <f t="shared" si="35"/>
        <v>0.96310744119263592</v>
      </c>
      <c r="BJ45" s="19"/>
      <c r="BK45" s="20" t="str">
        <f t="shared" si="46"/>
        <v>SUMATERA</v>
      </c>
      <c r="BL45" s="20">
        <f t="shared" si="47"/>
        <v>2036</v>
      </c>
      <c r="BM45" s="34">
        <f>VLOOKUP(BL45,proj_rukn!$B$22:$E$41,4,FALSE)</f>
        <v>28521.27374484306</v>
      </c>
      <c r="BN45" s="30">
        <f t="shared" si="27"/>
        <v>32799.464806569515</v>
      </c>
      <c r="BO45" s="30">
        <f t="shared" si="36"/>
        <v>46621.817172767005</v>
      </c>
      <c r="BQ45" s="30">
        <f t="shared" si="28"/>
        <v>13119.785922627807</v>
      </c>
      <c r="BR45" s="30">
        <f t="shared" si="37"/>
        <v>31188.154875462409</v>
      </c>
      <c r="BS45" s="30"/>
      <c r="BT45" s="30">
        <f t="shared" si="29"/>
        <v>6559.8929613139035</v>
      </c>
      <c r="BU45" s="30">
        <f t="shared" si="38"/>
        <v>15255.132301412898</v>
      </c>
      <c r="BW45" s="30">
        <f t="shared" si="30"/>
        <v>10.01278374111498</v>
      </c>
      <c r="BX45" s="30">
        <f t="shared" si="39"/>
        <v>11.887886649849442</v>
      </c>
      <c r="BZ45" s="24">
        <f t="shared" si="48"/>
        <v>0.11089002908980242</v>
      </c>
      <c r="CA45" s="24">
        <f t="shared" si="31"/>
        <v>0.1191533661244471</v>
      </c>
      <c r="CF45" s="23"/>
    </row>
    <row r="46" spans="1:84" x14ac:dyDescent="0.25">
      <c r="A46" s="19"/>
      <c r="B46" s="20" t="str">
        <f t="shared" ref="B46:C46" si="67">B22</f>
        <v>SUMATERA</v>
      </c>
      <c r="C46" s="20">
        <f t="shared" si="67"/>
        <v>2037</v>
      </c>
      <c r="D46" s="30">
        <f>(D22*(VLOOKUP(D$27,tech_data!$B$2:$O$15,6, FALSE)/100)*(1-(VLOOKUP(D$27,tech_data!$B$2:$O$15,7, FALSE)/100))*8760)/1000</f>
        <v>67530.196580849646</v>
      </c>
      <c r="E46" s="30">
        <f>(E22*(VLOOKUP(E$27,tech_data!$B$2:$O$15,6, FALSE)/100)*(1-(VLOOKUP(E$27,tech_data!$B$2:$O$15,7, FALSE)/100))*8760)/1000</f>
        <v>27949.314626989777</v>
      </c>
      <c r="F46" s="30">
        <f>(F22*(VLOOKUP(F$27,tech_data!$B$2:$O$15,6, FALSE)/100)*(1-(VLOOKUP(F$27,tech_data!$B$2:$O$15,7, FALSE)/100))*8760)/1000</f>
        <v>38362.075385455486</v>
      </c>
      <c r="G46" s="30">
        <f>(G22*(VLOOKUP(G$27,tech_data!$B$2:$O$15,6, FALSE)/100)*(1-(VLOOKUP(G$27,tech_data!$B$2:$O$15,7, FALSE)/100))*8760)/1000</f>
        <v>18740.124696243034</v>
      </c>
      <c r="H46" s="30">
        <f>(H22*(VLOOKUP(H$27,tech_data!$B$2:$O$15,6, FALSE)/100)*(1-(VLOOKUP(H$27,tech_data!$B$2:$O$15,7, FALSE)/100))*8760)/1000</f>
        <v>28335.658304457105</v>
      </c>
      <c r="I46" s="30">
        <f>(I22*(VLOOKUP(I$27,tech_data!$B$2:$O$15,6, FALSE)/100)*(1-(VLOOKUP(I$27,tech_data!$B$2:$O$15,7, FALSE)/100))*8760)/1000</f>
        <v>15352.414479505838</v>
      </c>
      <c r="J46" s="30">
        <f>(J22*(VLOOKUP(J$27,tech_data!$B$2:$O$15,6, FALSE)/100)*(1-(VLOOKUP(J$27,tech_data!$B$2:$O$15,7, FALSE)/100))*8760)/1000</f>
        <v>20161.263457222416</v>
      </c>
      <c r="K46" s="30">
        <f>(K22*(VLOOKUP(K$27,tech_data!$B$2:$O$15,6, FALSE)/100)*(1-(VLOOKUP(K$27,tech_data!$B$2:$O$15,7, FALSE)/100))*8760)/1000</f>
        <v>10014.596880540445</v>
      </c>
      <c r="L46" s="30">
        <f>(L22*(VLOOKUP(L$27,tech_data!$B$2:$O$15,6, FALSE)/100)*(1-(VLOOKUP(L$27,tech_data!$B$2:$O$15,7, FALSE)/100))*8760)/1000</f>
        <v>9160.2633956336067</v>
      </c>
      <c r="M46" s="30">
        <f>(M22*(VLOOKUP(M$27,tech_data!$B$2:$O$15,6, FALSE)/100)*(1-(VLOOKUP(M$27,tech_data!$B$2:$O$15,7, FALSE)/100))*8760)/1000</f>
        <v>457.50328522221525</v>
      </c>
      <c r="N46" s="30">
        <f>(N22*(VLOOKUP(N$27,tech_data!$B$2:$O$15,6, FALSE)/100)*(1-(VLOOKUP(N$27,tech_data!$B$2:$O$15,7, FALSE)/100))*8760)/1000</f>
        <v>35.825555600010752</v>
      </c>
      <c r="O46" s="30">
        <f>(O22*(VLOOKUP(O$27,tech_data!$B$2:$O$15,6, FALSE)/100)*(1-(VLOOKUP(O$27,tech_data!$B$2:$O$15,7, FALSE)/100))*8760)/1000</f>
        <v>511.37327227091475</v>
      </c>
      <c r="P46" s="30">
        <f>(P22*(VLOOKUP(P$27,tech_data!$B$2:$O$15,6, FALSE)/100)*(1-(VLOOKUP(P$27,tech_data!$B$2:$O$15,7, FALSE)/100))*8760)/1000</f>
        <v>62.043457654784056</v>
      </c>
      <c r="Q46" s="34">
        <f t="shared" si="18"/>
        <v>236610.60991999053</v>
      </c>
      <c r="R46" s="34">
        <f>proj_rukn!D40</f>
        <v>280090</v>
      </c>
      <c r="S46" s="35"/>
      <c r="T46" s="19"/>
      <c r="U46" s="20" t="str">
        <f t="shared" si="19"/>
        <v>SUMATERA</v>
      </c>
      <c r="V46" s="20">
        <f t="shared" si="19"/>
        <v>2037</v>
      </c>
      <c r="W46" s="29">
        <f t="shared" si="20"/>
        <v>0.28540646002174147</v>
      </c>
      <c r="X46" s="29">
        <f t="shared" si="20"/>
        <v>0.11812367432060968</v>
      </c>
      <c r="Y46" s="29">
        <f t="shared" si="20"/>
        <v>0.16213167870378914</v>
      </c>
      <c r="Z46" s="29">
        <f t="shared" si="20"/>
        <v>7.920238531391291E-2</v>
      </c>
      <c r="AA46" s="29">
        <f t="shared" si="20"/>
        <v>0.11975649914447521</v>
      </c>
      <c r="AB46" s="29">
        <f t="shared" si="20"/>
        <v>6.4884725518848163E-2</v>
      </c>
      <c r="AC46" s="29">
        <f t="shared" si="20"/>
        <v>8.5208619613634032E-2</v>
      </c>
      <c r="AD46" s="29">
        <f t="shared" si="20"/>
        <v>4.2325223217702976E-2</v>
      </c>
      <c r="AE46" s="29">
        <f t="shared" si="20"/>
        <v>3.8714508190191191E-2</v>
      </c>
      <c r="AF46" s="29">
        <f t="shared" si="20"/>
        <v>1.9335704572881122E-3</v>
      </c>
      <c r="AG46" s="29">
        <f t="shared" si="20"/>
        <v>1.5141145028164672E-4</v>
      </c>
      <c r="AH46" s="29">
        <f t="shared" si="20"/>
        <v>2.1612440475253193E-3</v>
      </c>
      <c r="AI46" s="29">
        <f t="shared" si="20"/>
        <v>2.6221756359853831E-4</v>
      </c>
      <c r="AJ46" s="29">
        <f t="shared" si="21"/>
        <v>0.99999999999999967</v>
      </c>
      <c r="AM46" s="23"/>
      <c r="AO46" s="20" t="str">
        <f t="shared" si="41"/>
        <v>SUMATERA</v>
      </c>
      <c r="AP46" s="20">
        <f t="shared" si="42"/>
        <v>2037</v>
      </c>
      <c r="AQ46" s="25">
        <f t="shared" si="22"/>
        <v>0.28540646002174147</v>
      </c>
      <c r="AR46" s="25">
        <f t="shared" si="23"/>
        <v>0.2802553530243988</v>
      </c>
      <c r="AS46" s="25">
        <f t="shared" si="24"/>
        <v>7.920238531391291E-2</v>
      </c>
      <c r="AT46" s="37">
        <f t="shared" si="25"/>
        <v>0.35297455759242136</v>
      </c>
      <c r="AU46" s="24">
        <f t="shared" si="33"/>
        <v>0.99783875595247451</v>
      </c>
      <c r="AW46" s="24">
        <f t="shared" si="57"/>
        <v>0.27600000000000002</v>
      </c>
      <c r="AX46" s="24">
        <f t="shared" si="26"/>
        <v>0.2752</v>
      </c>
      <c r="AY46" s="24">
        <f t="shared" si="44"/>
        <v>0.14632129236878319</v>
      </c>
      <c r="AZ46" s="25">
        <f t="shared" si="54"/>
        <v>0.26840000000000003</v>
      </c>
      <c r="BA46" s="24">
        <f t="shared" si="35"/>
        <v>0.96592129236878321</v>
      </c>
      <c r="BJ46" s="19"/>
      <c r="BK46" s="20" t="str">
        <f t="shared" si="46"/>
        <v>SUMATERA</v>
      </c>
      <c r="BL46" s="20">
        <f t="shared" si="47"/>
        <v>2037</v>
      </c>
      <c r="BM46" s="34">
        <f>VLOOKUP(BL46,proj_rukn!$B$22:$E$41,4,FALSE)</f>
        <v>30982.021940449344</v>
      </c>
      <c r="BN46" s="30">
        <f t="shared" si="27"/>
        <v>35629.325231516741</v>
      </c>
      <c r="BO46" s="30">
        <f t="shared" si="36"/>
        <v>49091.599225064558</v>
      </c>
      <c r="BQ46" s="30">
        <f t="shared" si="28"/>
        <v>14251.730092606696</v>
      </c>
      <c r="BR46" s="30">
        <f t="shared" si="37"/>
        <v>32337.711742633412</v>
      </c>
      <c r="BS46" s="30"/>
      <c r="BT46" s="30">
        <f t="shared" si="29"/>
        <v>7125.8650463033482</v>
      </c>
      <c r="BU46" s="30">
        <f t="shared" si="38"/>
        <v>16575.357275714421</v>
      </c>
      <c r="BW46" s="30">
        <f t="shared" si="30"/>
        <v>10.013487087926379</v>
      </c>
      <c r="BX46" s="30">
        <f t="shared" si="39"/>
        <v>11.888590979083958</v>
      </c>
      <c r="BZ46" s="24">
        <f t="shared" si="48"/>
        <v>0.11643453054429254</v>
      </c>
      <c r="CA46" s="24">
        <f t="shared" si="31"/>
        <v>0.11918038964884277</v>
      </c>
      <c r="CF46" s="23"/>
    </row>
    <row r="47" spans="1:84" x14ac:dyDescent="0.25">
      <c r="A47" s="19"/>
      <c r="B47" s="20" t="str">
        <f t="shared" ref="B47:C47" si="68">B23</f>
        <v>SUMATERA</v>
      </c>
      <c r="C47" s="20">
        <f t="shared" si="68"/>
        <v>2038</v>
      </c>
      <c r="D47" s="30">
        <f>(D23*(VLOOKUP(D$27,tech_data!$B$2:$O$15,6, FALSE)/100)*(1-(VLOOKUP(D$27,tech_data!$B$2:$O$15,7, FALSE)/100))*8760)/1000</f>
        <v>71206.761693783599</v>
      </c>
      <c r="E47" s="30">
        <f>(E23*(VLOOKUP(E$27,tech_data!$B$2:$O$15,6, FALSE)/100)*(1-(VLOOKUP(E$27,tech_data!$B$2:$O$15,7, FALSE)/100))*8760)/1000</f>
        <v>33092.701990484231</v>
      </c>
      <c r="F47" s="30">
        <f>(F23*(VLOOKUP(F$27,tech_data!$B$2:$O$15,6, FALSE)/100)*(1-(VLOOKUP(F$27,tech_data!$B$2:$O$15,7, FALSE)/100))*8760)/1000</f>
        <v>39621.355283635443</v>
      </c>
      <c r="G47" s="30">
        <f>(G23*(VLOOKUP(G$27,tech_data!$B$2:$O$15,6, FALSE)/100)*(1-(VLOOKUP(G$27,tech_data!$B$2:$O$15,7, FALSE)/100))*8760)/1000</f>
        <v>18780.729729251721</v>
      </c>
      <c r="H47" s="30">
        <f>(H23*(VLOOKUP(H$27,tech_data!$B$2:$O$15,6, FALSE)/100)*(1-(VLOOKUP(H$27,tech_data!$B$2:$O$15,7, FALSE)/100))*8760)/1000</f>
        <v>31090.546097984636</v>
      </c>
      <c r="I47" s="30">
        <f>(I23*(VLOOKUP(I$27,tech_data!$B$2:$O$15,6, FALSE)/100)*(1-(VLOOKUP(I$27,tech_data!$B$2:$O$15,7, FALSE)/100))*8760)/1000</f>
        <v>15410.815379932235</v>
      </c>
      <c r="J47" s="30">
        <f>(J23*(VLOOKUP(J$27,tech_data!$B$2:$O$15,6, FALSE)/100)*(1-(VLOOKUP(J$27,tech_data!$B$2:$O$15,7, FALSE)/100))*8760)/1000</f>
        <v>20265.078726326527</v>
      </c>
      <c r="K47" s="30">
        <f>(K23*(VLOOKUP(K$27,tech_data!$B$2:$O$15,6, FALSE)/100)*(1-(VLOOKUP(K$27,tech_data!$B$2:$O$15,7, FALSE)/100))*8760)/1000</f>
        <v>20190.852083963604</v>
      </c>
      <c r="L47" s="30">
        <f>(L23*(VLOOKUP(L$27,tech_data!$B$2:$O$15,6, FALSE)/100)*(1-(VLOOKUP(L$27,tech_data!$B$2:$O$15,7, FALSE)/100))*8760)/1000</f>
        <v>9188.2987119991958</v>
      </c>
      <c r="M47" s="30">
        <f>(M23*(VLOOKUP(M$27,tech_data!$B$2:$O$15,6, FALSE)/100)*(1-(VLOOKUP(M$27,tech_data!$B$2:$O$15,7, FALSE)/100))*8760)/1000</f>
        <v>457.50328522221525</v>
      </c>
      <c r="N47" s="30">
        <f>(N23*(VLOOKUP(N$27,tech_data!$B$2:$O$15,6, FALSE)/100)*(1-(VLOOKUP(N$27,tech_data!$B$2:$O$15,7, FALSE)/100))*8760)/1000</f>
        <v>44.873929762708961</v>
      </c>
      <c r="O47" s="30">
        <f>(O23*(VLOOKUP(O$27,tech_data!$B$2:$O$15,6, FALSE)/100)*(1-(VLOOKUP(O$27,tech_data!$B$2:$O$15,7, FALSE)/100))*8760)/1000</f>
        <v>529.19074581659561</v>
      </c>
      <c r="P47" s="30">
        <f>(P23*(VLOOKUP(P$27,tech_data!$B$2:$O$15,6, FALSE)/100)*(1-(VLOOKUP(P$27,tech_data!$B$2:$O$15,7, FALSE)/100))*8760)/1000</f>
        <v>69.802354389112125</v>
      </c>
      <c r="Q47" s="34">
        <f t="shared" si="18"/>
        <v>259878.70765816272</v>
      </c>
      <c r="R47" s="34">
        <f>proj_rukn!D41</f>
        <v>305476</v>
      </c>
      <c r="S47" s="35"/>
      <c r="T47" s="19"/>
      <c r="U47" s="20" t="str">
        <f t="shared" si="19"/>
        <v>SUMATERA</v>
      </c>
      <c r="V47" s="20">
        <f t="shared" si="19"/>
        <v>2038</v>
      </c>
      <c r="W47" s="29">
        <f t="shared" si="20"/>
        <v>0.27399998382109475</v>
      </c>
      <c r="X47" s="29">
        <f t="shared" si="20"/>
        <v>0.12733902784376416</v>
      </c>
      <c r="Y47" s="29">
        <f t="shared" si="20"/>
        <v>0.15246095242151303</v>
      </c>
      <c r="Z47" s="29">
        <f t="shared" si="20"/>
        <v>7.2267289223076236E-2</v>
      </c>
      <c r="AA47" s="29">
        <f t="shared" si="20"/>
        <v>0.11963483418149162</v>
      </c>
      <c r="AB47" s="29">
        <f t="shared" si="20"/>
        <v>5.9300030844401448E-2</v>
      </c>
      <c r="AC47" s="29">
        <f t="shared" si="20"/>
        <v>7.7978988386315409E-2</v>
      </c>
      <c r="AD47" s="29">
        <f t="shared" si="20"/>
        <v>7.7693368055847395E-2</v>
      </c>
      <c r="AE47" s="29">
        <f t="shared" ref="AE47:AI47" si="69">L47/$Q47</f>
        <v>3.5356104371910418E-2</v>
      </c>
      <c r="AF47" s="29">
        <f t="shared" si="69"/>
        <v>1.7604492855336285E-3</v>
      </c>
      <c r="AG47" s="29">
        <f t="shared" si="69"/>
        <v>1.7267259086779395E-4</v>
      </c>
      <c r="AH47" s="29">
        <f t="shared" si="69"/>
        <v>2.0362989741840587E-3</v>
      </c>
      <c r="AI47" s="29">
        <f t="shared" si="69"/>
        <v>2.6859589620912004E-4</v>
      </c>
      <c r="AJ47" s="29">
        <f t="shared" si="21"/>
        <v>1.0000000000000002</v>
      </c>
      <c r="AM47" s="23"/>
      <c r="AO47" s="20" t="str">
        <f t="shared" si="41"/>
        <v>SUMATERA</v>
      </c>
      <c r="AP47" s="20">
        <f t="shared" si="42"/>
        <v>2038</v>
      </c>
      <c r="AQ47" s="25">
        <f t="shared" si="22"/>
        <v>0.27399998382109475</v>
      </c>
      <c r="AR47" s="25">
        <f t="shared" si="23"/>
        <v>0.27979998026527719</v>
      </c>
      <c r="AS47" s="25">
        <f t="shared" si="24"/>
        <v>7.2267289223076236E-2</v>
      </c>
      <c r="AT47" s="37">
        <f t="shared" si="25"/>
        <v>0.37189644771636765</v>
      </c>
      <c r="AU47" s="24">
        <f t="shared" si="33"/>
        <v>0.99796370102581589</v>
      </c>
      <c r="AW47" s="24">
        <f t="shared" si="57"/>
        <v>0.27400000000000002</v>
      </c>
      <c r="AX47" s="24">
        <f t="shared" si="26"/>
        <v>0.27980000000000005</v>
      </c>
      <c r="AY47" s="24">
        <f t="shared" si="44"/>
        <v>0.14339486652140751</v>
      </c>
      <c r="AZ47" s="25">
        <f t="shared" si="54"/>
        <v>0.27160000000000001</v>
      </c>
      <c r="BA47" s="24">
        <f t="shared" si="35"/>
        <v>0.96879486652140767</v>
      </c>
      <c r="BJ47" s="19"/>
      <c r="BK47" s="20" t="str">
        <f t="shared" si="46"/>
        <v>SUMATERA</v>
      </c>
      <c r="BL47" s="20">
        <f t="shared" si="47"/>
        <v>2038</v>
      </c>
      <c r="BM47" s="34">
        <f>VLOOKUP(BL47,proj_rukn!$B$22:$E$41,4,FALSE)</f>
        <v>33655.077683619995</v>
      </c>
      <c r="BN47" s="30">
        <f t="shared" si="27"/>
        <v>38703.339336162993</v>
      </c>
      <c r="BO47" s="30">
        <f t="shared" si="36"/>
        <v>52479.586011590531</v>
      </c>
      <c r="BQ47" s="30">
        <f t="shared" si="28"/>
        <v>15481.335734465198</v>
      </c>
      <c r="BR47" s="30">
        <f t="shared" si="37"/>
        <v>33975.464731832959</v>
      </c>
      <c r="BS47" s="30"/>
      <c r="BT47" s="30">
        <f t="shared" si="29"/>
        <v>7740.6678672325988</v>
      </c>
      <c r="BU47" s="30">
        <f t="shared" si="38"/>
        <v>18319.370651662244</v>
      </c>
      <c r="BW47" s="30">
        <f t="shared" si="30"/>
        <v>13.016160833365312</v>
      </c>
      <c r="BX47" s="30">
        <f t="shared" si="39"/>
        <v>14.891263726076833</v>
      </c>
      <c r="BZ47" s="24">
        <f t="shared" si="48"/>
        <v>0.12225625707150717</v>
      </c>
      <c r="CA47" s="24">
        <f t="shared" si="31"/>
        <v>0.20777364042989951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70">B4</f>
        <v>SUMATERA</v>
      </c>
      <c r="C52" s="20">
        <f t="shared" si="70"/>
        <v>2019</v>
      </c>
      <c r="D52" s="30">
        <f>(sumatera!D28*3.6/(VLOOKUP(D$51,tech_data!$B$2:$J$15,4,FALSE)/100))/1000</f>
        <v>240.55029771889659</v>
      </c>
      <c r="E52" s="30">
        <f>(sumatera!E28*3.6/(VLOOKUP(E$51,tech_data!$B$2:$J$15,4,FALSE)/100))/1000</f>
        <v>37.828164129437816</v>
      </c>
      <c r="F52" s="30">
        <f>(sumatera!F28*3.6/(VLOOKUP(F$51,tech_data!$B$2:$J$15,4,FALSE)/100))/1000</f>
        <v>22.022617400355163</v>
      </c>
      <c r="G52" s="30">
        <f>(sumatera!G28*3.6/(VLOOKUP(G$51,tech_data!$B$2:$J$15,4,FALSE)/100))/1000</f>
        <v>97.55939496497659</v>
      </c>
      <c r="H52" s="30">
        <f>(sumatera!H28*3.6/(VLOOKUP(H$51,tech_data!$B$2:$J$15,4,FALSE)/100))/1000</f>
        <v>117.1505796923077</v>
      </c>
      <c r="I52" s="30">
        <f>(sumatera!I28*3.6/(VLOOKUP(I$51,tech_data!$B$2:$J$15,4,FALSE)/100))/1000</f>
        <v>32.97163230067045</v>
      </c>
      <c r="J52" s="30">
        <f>(sumatera!J28*3.6/(VLOOKUP(J$51,tech_data!$B$2:$J$15,4,FALSE)/100))/1000</f>
        <v>1.8714306594461543</v>
      </c>
      <c r="K52" s="30">
        <f>K28*3.6/1000</f>
        <v>7.4834928000000007E-3</v>
      </c>
      <c r="L52" s="30">
        <f>L28*3.6/1000</f>
        <v>0</v>
      </c>
      <c r="M52" s="30">
        <f>(sumatera!M28*3.6/(VLOOKUP(M$51,tech_data!$B$2:$J$15,4,FALSE)/100))/1000</f>
        <v>1.0615651450124068</v>
      </c>
      <c r="N52" s="30">
        <f>N28*3.6/1000</f>
        <v>0</v>
      </c>
      <c r="O52" s="30">
        <f>(sumatera!O28*3.6/(VLOOKUP(O$51,tech_data!$B$2:$J$15,4,FALSE)/100))/1000</f>
        <v>0</v>
      </c>
      <c r="P52" s="30">
        <v>0</v>
      </c>
      <c r="Q52" s="30">
        <f t="shared" ref="Q52:Q71" si="71">SUM(D52:O52)</f>
        <v>551.02316550390287</v>
      </c>
      <c r="R52" s="30"/>
      <c r="T52" s="19"/>
      <c r="U52" s="20" t="str">
        <f t="shared" ref="U52:V71" si="72">B52</f>
        <v>SUMATERA</v>
      </c>
      <c r="V52" s="20">
        <f t="shared" si="72"/>
        <v>2019</v>
      </c>
      <c r="W52" s="30">
        <f>D52*VLOOKUP(W$51,tech_data!$B$2:$K$15,10,FALSE)*1000</f>
        <v>23987675.68852837</v>
      </c>
      <c r="X52" s="30">
        <f>E52*VLOOKUP(X$51,tech_data!$B$2:$K$15,10,FALSE)*1000</f>
        <v>2349128.9924380886</v>
      </c>
      <c r="Y52" s="30">
        <f>F52*VLOOKUP(Y$51,tech_data!$B$2:$K$15,10,FALSE)*1000</f>
        <v>1367604.5405620558</v>
      </c>
      <c r="Z52" s="30">
        <f>G52*VLOOKUP(Z$51,tech_data!$B$2:$K$15,10,FALSE)*1000</f>
        <v>7333539.7195172906</v>
      </c>
      <c r="AA52" s="30">
        <f>H28*VLOOKUP(AA$51,tech_data!$B$2:$K$15,10,FALSE)/1000</f>
        <v>276.3289298492308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119277.45969359402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73">SUM(W52:AI52)</f>
        <v>35157502.729669251</v>
      </c>
      <c r="AK52" s="25"/>
      <c r="AM52" s="23"/>
      <c r="AO52" s="20" t="str">
        <f t="shared" ref="AO52:AP71" si="74">U52</f>
        <v>SUMATERA</v>
      </c>
      <c r="AP52" s="20">
        <f t="shared" si="74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246.51796275762939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28.209582834706659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29.399497516788461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19.770698948398937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33.353564573487915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74.119172024492329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3.5387628920486147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1.2204000000000001E-2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1.5799204277094998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436.50136597526188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70"/>
        <v>SUMATERA</v>
      </c>
      <c r="C53" s="20">
        <f t="shared" si="70"/>
        <v>2020</v>
      </c>
      <c r="D53" s="30">
        <f>(sumatera!D29*3.6/(VLOOKUP(D$51,tech_data!$B$2:$J$15,4,FALSE)/100))/1000</f>
        <v>253.76946421710733</v>
      </c>
      <c r="E53" s="30">
        <f>(sumatera!E29*3.6/(VLOOKUP(E$51,tech_data!$B$2:$J$15,4,FALSE)/100))/1000</f>
        <v>37.828164129437816</v>
      </c>
      <c r="F53" s="30">
        <f>(sumatera!F29*3.6/(VLOOKUP(F$51,tech_data!$B$2:$J$15,4,FALSE)/100))/1000</f>
        <v>38.726922903341936</v>
      </c>
      <c r="G53" s="30">
        <f>(sumatera!G29*3.6/(VLOOKUP(G$51,tech_data!$B$2:$J$15,4,FALSE)/100))/1000</f>
        <v>97.55939496497659</v>
      </c>
      <c r="H53" s="30">
        <f>(sumatera!H29*3.6/(VLOOKUP(H$51,tech_data!$B$2:$J$15,4,FALSE)/100))/1000</f>
        <v>117.1505796923077</v>
      </c>
      <c r="I53" s="30">
        <f>(sumatera!I29*3.6/(VLOOKUP(I$51,tech_data!$B$2:$J$15,4,FALSE)/100))/1000</f>
        <v>35.396179758573687</v>
      </c>
      <c r="J53" s="30">
        <f>(sumatera!J29*3.6/(VLOOKUP(J$51,tech_data!$B$2:$J$15,4,FALSE)/100))/1000</f>
        <v>5.438291985351893</v>
      </c>
      <c r="K53" s="30">
        <f t="shared" ref="K53:L53" si="75">K29*3.6/1000</f>
        <v>2.9557693573892996</v>
      </c>
      <c r="L53" s="30">
        <f t="shared" si="75"/>
        <v>1.0879960154846169</v>
      </c>
      <c r="M53" s="30">
        <f>(sumatera!M29*3.6/(VLOOKUP(M$51,tech_data!$B$2:$J$15,4,FALSE)/100))/1000</f>
        <v>1.0615651450124068</v>
      </c>
      <c r="N53" s="30">
        <f t="shared" ref="N53" si="76">N29*3.6/1000</f>
        <v>1.9354753538016255E-2</v>
      </c>
      <c r="O53" s="30">
        <f>(sumatera!O29*3.6/(VLOOKUP(O$51,tech_data!$B$2:$J$15,4,FALSE)/100))/1000</f>
        <v>0</v>
      </c>
      <c r="P53" s="30">
        <v>0</v>
      </c>
      <c r="Q53" s="30">
        <f t="shared" si="71"/>
        <v>590.9936829225212</v>
      </c>
      <c r="R53" s="30"/>
      <c r="T53" s="19"/>
      <c r="U53" s="20" t="str">
        <f t="shared" si="72"/>
        <v>SUMATERA</v>
      </c>
      <c r="V53" s="20">
        <f t="shared" si="72"/>
        <v>2020</v>
      </c>
      <c r="W53" s="30">
        <f>D53*VLOOKUP(W$51,tech_data!$B$2:$K$15,10,FALSE)*1000</f>
        <v>25305890.971729942</v>
      </c>
      <c r="X53" s="30">
        <f>E53*VLOOKUP(X$51,tech_data!$B$2:$K$15,10,FALSE)*1000</f>
        <v>2349128.9924380886</v>
      </c>
      <c r="Y53" s="30">
        <f>F53*VLOOKUP(Y$51,tech_data!$B$2:$K$15,10,FALSE)*1000</f>
        <v>2404941.9122975343</v>
      </c>
      <c r="Z53" s="30">
        <f>G53*VLOOKUP(Z$51,tech_data!$B$2:$K$15,10,FALSE)*1000</f>
        <v>7333539.7195172906</v>
      </c>
      <c r="AA53" s="30">
        <f>H29*VLOOKUP(AA$51,tech_data!$B$2:$K$15,10,FALSE)/1000</f>
        <v>276.3289298492308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119277.45969359402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73"/>
        <v>37513055.384606302</v>
      </c>
      <c r="AK53" s="25">
        <f>(AJ53-AJ52)/AJ52</f>
        <v>6.6999999204983673E-2</v>
      </c>
      <c r="AL53" s="24">
        <v>6.7000000000000004E-2</v>
      </c>
      <c r="AM53" s="26"/>
      <c r="AN53" s="24"/>
      <c r="AO53" s="20" t="str">
        <f t="shared" si="74"/>
        <v>SUMATERA</v>
      </c>
      <c r="AP53" s="20">
        <f t="shared" si="74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693.08565058566808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28.209582834706659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690.68629726239067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19.770698948398937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33.353564573487915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378.86777103422412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353.54547279515901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502.98588333442513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131.4852799814945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1.5799204277094998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8.861396868964091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4.0122452604749181</v>
      </c>
      <c r="BD53" s="30">
        <f>SUM(AQ53:BC53)</f>
        <v>2846.4437639071039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70"/>
        <v>SUMATERA</v>
      </c>
      <c r="C54" s="20">
        <f t="shared" si="70"/>
        <v>2021</v>
      </c>
      <c r="D54" s="30">
        <f>(sumatera!D30*3.6/(VLOOKUP(D$51,tech_data!$B$2:$J$15,4,FALSE)/100))/1000</f>
        <v>261.17158599129056</v>
      </c>
      <c r="E54" s="30">
        <f>(sumatera!E30*3.6/(VLOOKUP(E$51,tech_data!$B$2:$J$15,4,FALSE)/100))/1000</f>
        <v>37.828164129437816</v>
      </c>
      <c r="F54" s="30">
        <f>(sumatera!F30*3.6/(VLOOKUP(F$51,tech_data!$B$2:$J$15,4,FALSE)/100))/1000</f>
        <v>67.313771424544498</v>
      </c>
      <c r="G54" s="30">
        <f>(sumatera!G30*3.6/(VLOOKUP(G$51,tech_data!$B$2:$J$15,4,FALSE)/100))/1000</f>
        <v>97.559394989644929</v>
      </c>
      <c r="H54" s="30">
        <f>(sumatera!H30*3.6/(VLOOKUP(H$51,tech_data!$B$2:$J$15,4,FALSE)/100))/1000</f>
        <v>117.1505796923077</v>
      </c>
      <c r="I54" s="30">
        <f>(sumatera!I30*3.6/(VLOOKUP(I$51,tech_data!$B$2:$J$15,4,FALSE)/100))/1000</f>
        <v>35.396179758573687</v>
      </c>
      <c r="J54" s="30">
        <f>(sumatera!J30*3.6/(VLOOKUP(J$51,tech_data!$B$2:$J$15,4,FALSE)/100))/1000</f>
        <v>5.438291985351893</v>
      </c>
      <c r="K54" s="30">
        <f t="shared" ref="K54:L54" si="77">K30*3.6/1000</f>
        <v>2.9557693573892996</v>
      </c>
      <c r="L54" s="30">
        <f t="shared" si="77"/>
        <v>2.6605064409576111</v>
      </c>
      <c r="M54" s="30">
        <f>(sumatera!M30*3.6/(VLOOKUP(M$51,tech_data!$B$2:$J$15,4,FALSE)/100))/1000</f>
        <v>1.0615651450124068</v>
      </c>
      <c r="N54" s="30">
        <f t="shared" ref="N54" si="78">N30*3.6/1000</f>
        <v>1.9354753538016255E-2</v>
      </c>
      <c r="O54" s="30">
        <f>(sumatera!O30*3.6/(VLOOKUP(O$51,tech_data!$B$2:$J$15,4,FALSE)/100))/1000</f>
        <v>0</v>
      </c>
      <c r="P54" s="30">
        <v>0</v>
      </c>
      <c r="Q54" s="30">
        <f t="shared" si="71"/>
        <v>628.55516366804829</v>
      </c>
      <c r="R54" s="30"/>
      <c r="T54" s="19"/>
      <c r="U54" s="20" t="str">
        <f t="shared" si="72"/>
        <v>SUMATERA</v>
      </c>
      <c r="V54" s="20">
        <f t="shared" si="72"/>
        <v>2021</v>
      </c>
      <c r="W54" s="30">
        <f>D54*VLOOKUP(W$51,tech_data!$B$2:$K$15,10,FALSE)*1000</f>
        <v>26044030.555051494</v>
      </c>
      <c r="X54" s="30">
        <f>E54*VLOOKUP(X$51,tech_data!$B$2:$K$15,10,FALSE)*1000</f>
        <v>2349128.9924380886</v>
      </c>
      <c r="Y54" s="30">
        <f>F54*VLOOKUP(Y$51,tech_data!$B$2:$K$15,10,FALSE)*1000</f>
        <v>4180185.2054642132</v>
      </c>
      <c r="Z54" s="30">
        <f>G54*VLOOKUP(Z$51,tech_data!$B$2:$K$15,10,FALSE)*1000</f>
        <v>7333539.7213716097</v>
      </c>
      <c r="AA54" s="30">
        <f>H30*VLOOKUP(AA$51,tech_data!$B$2:$K$15,10,FALSE)/1000</f>
        <v>276.3289298492308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119277.45969359402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73"/>
        <v>40026438.262948848</v>
      </c>
      <c r="AK54" s="25">
        <f t="shared" ref="AK54:AK71" si="79">(AJ54-AJ53)/AJ53</f>
        <v>6.7000217726171346E-2</v>
      </c>
      <c r="AL54" s="24">
        <f>AL53</f>
        <v>6.7000000000000004E-2</v>
      </c>
      <c r="AM54" s="26"/>
      <c r="AN54" s="24"/>
      <c r="AO54" s="20" t="str">
        <f t="shared" si="74"/>
        <v>SUMATERA</v>
      </c>
      <c r="AP54" s="20">
        <f t="shared" si="74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510.12232424378425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28.209582834706659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1183.3898202627586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19.770699453801825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33.353564573487915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79.569476955565491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10.283483268134621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4.8202370472754401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195.09010172245067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1.5799204277094998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0.23817930644554042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0.41030413107342106</v>
      </c>
      <c r="BD54" s="30">
        <f t="shared" ref="BD54:BD71" si="80">SUM(AQ54:BC54)</f>
        <v>2066.8376942271943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70"/>
        <v>SUMATERA</v>
      </c>
      <c r="C55" s="20">
        <f t="shared" si="70"/>
        <v>2022</v>
      </c>
      <c r="D55" s="30">
        <f>(sumatera!D31*3.6/(VLOOKUP(D$51,tech_data!$B$2:$J$15,4,FALSE)/100))/1000</f>
        <v>266.75209400494987</v>
      </c>
      <c r="E55" s="30">
        <f>(sumatera!E31*3.6/(VLOOKUP(E$51,tech_data!$B$2:$J$15,4,FALSE)/100))/1000</f>
        <v>37.828164129437816</v>
      </c>
      <c r="F55" s="30">
        <f>(sumatera!F31*3.6/(VLOOKUP(F$51,tech_data!$B$2:$J$15,4,FALSE)/100))/1000</f>
        <v>99.964055576978922</v>
      </c>
      <c r="G55" s="30">
        <f>(sumatera!G31*3.6/(VLOOKUP(G$51,tech_data!$B$2:$J$15,4,FALSE)/100))/1000</f>
        <v>98.859128402810583</v>
      </c>
      <c r="H55" s="30">
        <f>(sumatera!H31*3.6/(VLOOKUP(H$51,tech_data!$B$2:$J$15,4,FALSE)/100))/1000</f>
        <v>117.1505796923077</v>
      </c>
      <c r="I55" s="30">
        <f>(sumatera!I31*3.6/(VLOOKUP(I$51,tech_data!$B$2:$J$15,4,FALSE)/100))/1000</f>
        <v>35.396179758573687</v>
      </c>
      <c r="J55" s="30">
        <f>(sumatera!J31*3.6/(VLOOKUP(J$51,tech_data!$B$2:$J$15,4,FALSE)/100))/1000</f>
        <v>5.438291985351893</v>
      </c>
      <c r="K55" s="30">
        <f t="shared" ref="K55:L55" si="81">K31*3.6/1000</f>
        <v>2.9557693573892996</v>
      </c>
      <c r="L55" s="30">
        <f t="shared" si="81"/>
        <v>2.6605064409576111</v>
      </c>
      <c r="M55" s="30">
        <f>(sumatera!M31*3.6/(VLOOKUP(M$51,tech_data!$B$2:$J$15,4,FALSE)/100))/1000</f>
        <v>1.0615651450124068</v>
      </c>
      <c r="N55" s="30">
        <f t="shared" ref="N55" si="82">N31*3.6/1000</f>
        <v>1.9354753538016255E-2</v>
      </c>
      <c r="O55" s="30">
        <f>(sumatera!O31*3.6/(VLOOKUP(O$51,tech_data!$B$2:$J$15,4,FALSE)/100))/1000</f>
        <v>0</v>
      </c>
      <c r="P55" s="30">
        <v>0</v>
      </c>
      <c r="Q55" s="30">
        <f t="shared" si="71"/>
        <v>668.08568924730776</v>
      </c>
      <c r="R55" s="30"/>
      <c r="T55" s="19"/>
      <c r="U55" s="20" t="str">
        <f t="shared" si="72"/>
        <v>SUMATERA</v>
      </c>
      <c r="V55" s="20">
        <f t="shared" si="72"/>
        <v>2022</v>
      </c>
      <c r="W55" s="30">
        <f>D55*VLOOKUP(W$51,tech_data!$B$2:$K$15,10,FALSE)*1000</f>
        <v>26600518.814173602</v>
      </c>
      <c r="X55" s="30">
        <f>E55*VLOOKUP(X$51,tech_data!$B$2:$K$15,10,FALSE)*1000</f>
        <v>2349128.9924380886</v>
      </c>
      <c r="Y55" s="30">
        <f>F55*VLOOKUP(Y$51,tech_data!$B$2:$K$15,10,FALSE)*1000</f>
        <v>6207767.8513303911</v>
      </c>
      <c r="Z55" s="30">
        <f>G55*VLOOKUP(Z$51,tech_data!$B$2:$K$15,10,FALSE)*1000</f>
        <v>7431240.682039272</v>
      </c>
      <c r="AA55" s="30">
        <f>H31*VLOOKUP(AA$51,tech_data!$B$2:$K$15,10,FALSE)/1000</f>
        <v>276.3289298492308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119277.45969359402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73"/>
        <v>42708210.128604792</v>
      </c>
      <c r="AK55" s="25">
        <f t="shared" si="79"/>
        <v>6.7000012542669116E-2</v>
      </c>
      <c r="AL55" s="24">
        <f>AL54</f>
        <v>6.7000000000000004E-2</v>
      </c>
      <c r="AM55" s="26"/>
      <c r="AN55" s="24"/>
      <c r="AO55" s="20" t="str">
        <f t="shared" si="74"/>
        <v>SUMATERA</v>
      </c>
      <c r="AP55" s="20">
        <f t="shared" si="74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456.17062711400206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28.209582834706659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1382.4148586927674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46.399522747563708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33.353564573487915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79.569476955565491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10.283483268134621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4.8202370472754401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12.350925793144391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1.5799204277094998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0.23817930644554042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0.40404948291102438</v>
      </c>
      <c r="BD55" s="30">
        <f t="shared" si="80"/>
        <v>2055.7944282437138</v>
      </c>
      <c r="BE55" s="20">
        <v>2022</v>
      </c>
      <c r="BF55" s="23"/>
      <c r="BG55" s="19"/>
      <c r="BH55" s="30"/>
      <c r="BI55" s="30">
        <f>MIN($BD$53)</f>
        <v>2846.4437639071039</v>
      </c>
      <c r="BJ55" s="30">
        <f>MIN($BD$54)</f>
        <v>2066.8376942271943</v>
      </c>
      <c r="BK55" s="30">
        <f t="shared" ref="BK55" si="83">MIN($BD$55)</f>
        <v>2055.7944282437138</v>
      </c>
      <c r="BL55" s="30">
        <f>MIN($BD$56)</f>
        <v>2304.4702584316451</v>
      </c>
      <c r="BM55" s="30">
        <f>MIN($BD$57)</f>
        <v>3397.2713925316452</v>
      </c>
      <c r="BN55" s="30">
        <f>MIN($BD$58)</f>
        <v>3469.0396980052478</v>
      </c>
      <c r="BO55" s="30">
        <f>MIN($BD$59)</f>
        <v>4497.0008791440296</v>
      </c>
      <c r="BP55" s="30">
        <f>MIN($BD$60)</f>
        <v>8992.648747170917</v>
      </c>
      <c r="BQ55" s="30">
        <f>MIN($BD$61)</f>
        <v>5276.5202885636836</v>
      </c>
      <c r="BR55" s="30">
        <f>MIN($BD$62)</f>
        <v>1411.0396151693474</v>
      </c>
      <c r="BS55" s="30">
        <f>MIN($BD$63)</f>
        <v>2766.8122229670203</v>
      </c>
      <c r="BT55" s="30">
        <f>MIN($BD$64)</f>
        <v>8406.4662870482662</v>
      </c>
      <c r="BU55" s="30">
        <f>MIN($BD$65)</f>
        <v>3250.3794786003732</v>
      </c>
      <c r="BV55" s="30">
        <f>MIN($BD$66)</f>
        <v>8848.9744454769771</v>
      </c>
      <c r="BW55" s="30">
        <f>MIN($BD$67)</f>
        <v>3557.1653165704665</v>
      </c>
      <c r="BX55" s="30">
        <f>MIN($BD$68)</f>
        <v>4205.0749621287832</v>
      </c>
      <c r="BY55" s="30">
        <f>MIN($BD$69)</f>
        <v>14115.188274964239</v>
      </c>
      <c r="BZ55" s="30">
        <f>MIN($BD$70)</f>
        <v>4412.8265953176242</v>
      </c>
      <c r="CA55" s="30">
        <f>MIN($BD$71)</f>
        <v>12788.483248078361</v>
      </c>
      <c r="CD55" s="23"/>
    </row>
    <row r="56" spans="1:82" x14ac:dyDescent="0.25">
      <c r="A56" s="19"/>
      <c r="B56" s="20" t="str">
        <f t="shared" si="70"/>
        <v>SUMATERA</v>
      </c>
      <c r="C56" s="20">
        <f t="shared" si="70"/>
        <v>2023</v>
      </c>
      <c r="D56" s="30">
        <f>(sumatera!D32*3.6/(VLOOKUP(D$51,tech_data!$B$2:$J$15,4,FALSE)/100))/1000</f>
        <v>272.01296331317343</v>
      </c>
      <c r="E56" s="30">
        <f>(sumatera!E32*3.6/(VLOOKUP(E$51,tech_data!$B$2:$J$15,4,FALSE)/100))/1000</f>
        <v>37.828164129437816</v>
      </c>
      <c r="F56" s="30">
        <f>(sumatera!F32*3.6/(VLOOKUP(F$51,tech_data!$B$2:$J$15,4,FALSE)/100))/1000</f>
        <v>137.59466111436535</v>
      </c>
      <c r="G56" s="30">
        <f>(sumatera!G32*3.6/(VLOOKUP(G$51,tech_data!$B$2:$J$15,4,FALSE)/100))/1000</f>
        <v>98.859128402810583</v>
      </c>
      <c r="H56" s="30">
        <f>(sumatera!H32*3.6/(VLOOKUP(H$51,tech_data!$B$2:$J$15,4,FALSE)/100))/1000</f>
        <v>117.1505796923077</v>
      </c>
      <c r="I56" s="30">
        <f>(sumatera!I32*3.6/(VLOOKUP(I$51,tech_data!$B$2:$J$15,4,FALSE)/100))/1000</f>
        <v>35.396179758573687</v>
      </c>
      <c r="J56" s="30">
        <f>(sumatera!J32*3.6/(VLOOKUP(J$51,tech_data!$B$2:$J$15,4,FALSE)/100))/1000</f>
        <v>5.438291985351893</v>
      </c>
      <c r="K56" s="30">
        <f t="shared" ref="K56:L56" si="84">K32*3.6/1000</f>
        <v>2.9557693573892996</v>
      </c>
      <c r="L56" s="30">
        <f t="shared" si="84"/>
        <v>2.9858959108296892</v>
      </c>
      <c r="M56" s="30">
        <f>(sumatera!M32*3.6/(VLOOKUP(M$51,tech_data!$B$2:$J$15,4,FALSE)/100))/1000</f>
        <v>1.0615651450124068</v>
      </c>
      <c r="N56" s="30">
        <f t="shared" ref="N56" si="85">N32*3.6/1000</f>
        <v>1.9354753538016255E-2</v>
      </c>
      <c r="O56" s="30">
        <f>(sumatera!O32*3.6/(VLOOKUP(O$51,tech_data!$B$2:$J$15,4,FALSE)/100))/1000</f>
        <v>0</v>
      </c>
      <c r="P56" s="30">
        <v>0</v>
      </c>
      <c r="Q56" s="30">
        <f t="shared" si="71"/>
        <v>711.30255356278974</v>
      </c>
      <c r="R56" s="30"/>
      <c r="T56" s="19"/>
      <c r="U56" s="20" t="str">
        <f t="shared" si="72"/>
        <v>SUMATERA</v>
      </c>
      <c r="V56" s="20">
        <f t="shared" si="72"/>
        <v>2023</v>
      </c>
      <c r="W56" s="30">
        <f>D56*VLOOKUP(W$51,tech_data!$B$2:$K$15,10,FALSE)*1000</f>
        <v>27125132.701589651</v>
      </c>
      <c r="X56" s="30">
        <f>E56*VLOOKUP(X$51,tech_data!$B$2:$K$15,10,FALSE)*1000</f>
        <v>2349128.9924380886</v>
      </c>
      <c r="Y56" s="30">
        <f>F56*VLOOKUP(Y$51,tech_data!$B$2:$K$15,10,FALSE)*1000</f>
        <v>8544628.4552020878</v>
      </c>
      <c r="Z56" s="30">
        <f>G56*VLOOKUP(Z$51,tech_data!$B$2:$K$15,10,FALSE)*1000</f>
        <v>7431240.682039272</v>
      </c>
      <c r="AA56" s="30">
        <f>H32*VLOOKUP(AA$51,tech_data!$B$2:$K$15,10,FALSE)/1000</f>
        <v>276.3289298492308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119277.45969359402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73"/>
        <v>45569684.619892545</v>
      </c>
      <c r="AK56" s="25">
        <f t="shared" si="79"/>
        <v>6.7000571615414423E-2</v>
      </c>
      <c r="AL56" s="24">
        <f t="shared" ref="AL56:AL70" si="86">AL55</f>
        <v>6.7000000000000004E-2</v>
      </c>
      <c r="AM56" s="26"/>
      <c r="AN56" s="24"/>
      <c r="AO56" s="20" t="str">
        <f t="shared" si="74"/>
        <v>SUMATERA</v>
      </c>
      <c r="AP56" s="20">
        <f t="shared" si="74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451.09159685729685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28.209582834706659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1623.1619501588305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20.034093760572677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33.353564573487915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79.569476955565491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10.283483268134621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4.8202370472754401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51.674530788244802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1.5799204277094998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0.23817930644554042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0.45364245337553066</v>
      </c>
      <c r="BD56" s="30">
        <f t="shared" si="80"/>
        <v>2304.4702584316451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70"/>
        <v>SUMATERA</v>
      </c>
      <c r="C57" s="20">
        <f t="shared" si="70"/>
        <v>2024</v>
      </c>
      <c r="D57" s="30">
        <f>(sumatera!D33*3.6/(VLOOKUP(D$51,tech_data!$B$2:$J$15,4,FALSE)/100))/1000</f>
        <v>281.10300576363653</v>
      </c>
      <c r="E57" s="30">
        <f>(sumatera!E33*3.6/(VLOOKUP(E$51,tech_data!$B$2:$J$15,4,FALSE)/100))/1000</f>
        <v>37.828164129437816</v>
      </c>
      <c r="F57" s="30">
        <f>(sumatera!F33*3.6/(VLOOKUP(F$51,tech_data!$B$2:$J$15,4,FALSE)/100))/1000</f>
        <v>160.46751457147528</v>
      </c>
      <c r="G57" s="30">
        <f>(sumatera!G33*3.6/(VLOOKUP(G$51,tech_data!$B$2:$J$15,4,FALSE)/100))/1000</f>
        <v>108.52162519469753</v>
      </c>
      <c r="H57" s="30">
        <f>(sumatera!H33*3.6/(VLOOKUP(H$51,tech_data!$B$2:$J$15,4,FALSE)/100))/1000</f>
        <v>117.1505796923077</v>
      </c>
      <c r="I57" s="30">
        <f>(sumatera!I33*3.6/(VLOOKUP(I$51,tech_data!$B$2:$J$15,4,FALSE)/100))/1000</f>
        <v>35.396179758573687</v>
      </c>
      <c r="J57" s="30">
        <f>(sumatera!J33*3.6/(VLOOKUP(J$51,tech_data!$B$2:$J$15,4,FALSE)/100))/1000</f>
        <v>5.438291985351893</v>
      </c>
      <c r="K57" s="30">
        <f t="shared" ref="K57:L57" si="87">K33*3.6/1000</f>
        <v>2.9557693573892996</v>
      </c>
      <c r="L57" s="30">
        <f t="shared" si="87"/>
        <v>14.004529070585381</v>
      </c>
      <c r="M57" s="30">
        <f>(sumatera!M33*3.6/(VLOOKUP(M$51,tech_data!$B$2:$J$15,4,FALSE)/100))/1000</f>
        <v>1.0615651450124068</v>
      </c>
      <c r="N57" s="30">
        <f t="shared" ref="N57" si="88">N33*3.6/1000</f>
        <v>1.9354753538016255E-2</v>
      </c>
      <c r="O57" s="30">
        <f>(sumatera!O33*3.6/(VLOOKUP(O$51,tech_data!$B$2:$J$15,4,FALSE)/100))/1000</f>
        <v>0</v>
      </c>
      <c r="P57" s="30">
        <v>0</v>
      </c>
      <c r="Q57" s="30">
        <f t="shared" si="71"/>
        <v>763.94657942200547</v>
      </c>
      <c r="R57" s="30"/>
      <c r="T57" s="19"/>
      <c r="U57" s="20" t="str">
        <f t="shared" si="72"/>
        <v>SUMATERA</v>
      </c>
      <c r="V57" s="20">
        <f t="shared" si="72"/>
        <v>2024</v>
      </c>
      <c r="W57" s="30">
        <f>D57*VLOOKUP(W$51,tech_data!$B$2:$K$15,10,FALSE)*1000</f>
        <v>28031591.734749835</v>
      </c>
      <c r="X57" s="30">
        <f>E57*VLOOKUP(X$51,tech_data!$B$2:$K$15,10,FALSE)*1000</f>
        <v>2349128.9924380886</v>
      </c>
      <c r="Y57" s="30">
        <f>F57*VLOOKUP(Y$51,tech_data!$B$2:$K$15,10,FALSE)*1000</f>
        <v>9965032.654888615</v>
      </c>
      <c r="Z57" s="30">
        <f>G57*VLOOKUP(Z$51,tech_data!$B$2:$K$15,10,FALSE)*1000</f>
        <v>8157570.5658854144</v>
      </c>
      <c r="AA57" s="30">
        <f>H33*VLOOKUP(AA$51,tech_data!$B$2:$K$15,10,FALSE)/1000</f>
        <v>276.3289298492308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119277.45969359402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73"/>
        <v>48622877.736585401</v>
      </c>
      <c r="AK57" s="25">
        <f t="shared" si="79"/>
        <v>6.7000532089705203E-2</v>
      </c>
      <c r="AL57" s="24">
        <f t="shared" si="86"/>
        <v>6.7000000000000004E-2</v>
      </c>
      <c r="AM57" s="26"/>
      <c r="AN57" s="24"/>
      <c r="AO57" s="20" t="str">
        <f t="shared" si="74"/>
        <v>SUMATERA</v>
      </c>
      <c r="AP57" s="20">
        <f t="shared" si="74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585.83947117377397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28.209582834706659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1089.1705968976814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217.99847774617905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33.353564573487915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79.569476955565491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10.283483268134621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4.8202370472754401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1345.4730432786428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1.5799204277094998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0.23817930644554042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0.7353590220428774</v>
      </c>
      <c r="BD57" s="30">
        <f t="shared" si="80"/>
        <v>3397.2713925316452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70"/>
        <v>SUMATERA</v>
      </c>
      <c r="C58" s="20">
        <f t="shared" si="70"/>
        <v>2025</v>
      </c>
      <c r="D58" s="30">
        <f>(sumatera!D34*3.6/(VLOOKUP(D$51,tech_data!$B$2:$J$15,4,FALSE)/100))/1000</f>
        <v>287.17555674848899</v>
      </c>
      <c r="E58" s="30">
        <f>(sumatera!E34*3.6/(VLOOKUP(E$51,tech_data!$B$2:$J$15,4,FALSE)/100))/1000</f>
        <v>37.828164129437816</v>
      </c>
      <c r="F58" s="30">
        <f>(sumatera!F34*3.6/(VLOOKUP(F$51,tech_data!$B$2:$J$15,4,FALSE)/100))/1000</f>
        <v>163.99191435087019</v>
      </c>
      <c r="G58" s="30">
        <f>(sumatera!G34*3.6/(VLOOKUP(G$51,tech_data!$B$2:$J$15,4,FALSE)/100))/1000</f>
        <v>140.89288540036375</v>
      </c>
      <c r="H58" s="30">
        <f>(sumatera!H34*3.6/(VLOOKUP(H$51,tech_data!$B$2:$J$15,4,FALSE)/100))/1000</f>
        <v>117.1505796923077</v>
      </c>
      <c r="I58" s="30">
        <f>(sumatera!I34*3.6/(VLOOKUP(I$51,tech_data!$B$2:$J$15,4,FALSE)/100))/1000</f>
        <v>35.396179758573687</v>
      </c>
      <c r="J58" s="30">
        <f>(sumatera!J34*3.6/(VLOOKUP(J$51,tech_data!$B$2:$J$15,4,FALSE)/100))/1000</f>
        <v>5.438291985351893</v>
      </c>
      <c r="K58" s="30">
        <f t="shared" ref="K58:L58" si="89">K34*3.6/1000</f>
        <v>3.3053898484308704</v>
      </c>
      <c r="L58" s="30">
        <f t="shared" si="89"/>
        <v>27.685480996703312</v>
      </c>
      <c r="M58" s="30">
        <f>(sumatera!M34*3.6/(VLOOKUP(M$51,tech_data!$B$2:$J$15,4,FALSE)/100))/1000</f>
        <v>1.0615651450124068</v>
      </c>
      <c r="N58" s="30">
        <f t="shared" ref="N58" si="90">N34*3.6/1000</f>
        <v>1.9354753538016255E-2</v>
      </c>
      <c r="O58" s="30">
        <f>(sumatera!O34*3.6/(VLOOKUP(O$51,tech_data!$B$2:$J$15,4,FALSE)/100))/1000</f>
        <v>0</v>
      </c>
      <c r="P58" s="30">
        <v>0</v>
      </c>
      <c r="Q58" s="30">
        <f t="shared" si="71"/>
        <v>819.94536280907857</v>
      </c>
      <c r="R58" s="30"/>
      <c r="T58" s="19"/>
      <c r="U58" s="20" t="str">
        <f t="shared" si="72"/>
        <v>SUMATERA</v>
      </c>
      <c r="V58" s="20">
        <f t="shared" si="72"/>
        <v>2025</v>
      </c>
      <c r="W58" s="30">
        <f>D58*VLOOKUP(W$51,tech_data!$B$2:$K$15,10,FALSE)*1000</f>
        <v>28637146.518959321</v>
      </c>
      <c r="X58" s="30">
        <f>E58*VLOOKUP(X$51,tech_data!$B$2:$K$15,10,FALSE)*1000</f>
        <v>2349128.9924380886</v>
      </c>
      <c r="Y58" s="30">
        <f>F58*VLOOKUP(Y$51,tech_data!$B$2:$K$15,10,FALSE)*1000</f>
        <v>10183897.881189039</v>
      </c>
      <c r="Z58" s="30">
        <f>G58*VLOOKUP(Z$51,tech_data!$B$2:$K$15,10,FALSE)*1000</f>
        <v>10590918.195545344</v>
      </c>
      <c r="AA58" s="30">
        <f>H34*VLOOKUP(AA$51,tech_data!$B$2:$K$15,10,FALSE)/1000</f>
        <v>276.3289298492308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119277.45969359402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73"/>
        <v>51880645.376755238</v>
      </c>
      <c r="AK58" s="25">
        <f t="shared" si="79"/>
        <v>6.7000716366867538E-2</v>
      </c>
      <c r="AL58" s="24">
        <f t="shared" si="86"/>
        <v>6.7000000000000004E-2</v>
      </c>
      <c r="AM58" s="26"/>
      <c r="AN58" s="24"/>
      <c r="AO58" s="20" t="str">
        <f t="shared" si="74"/>
        <v>SUMATERA</v>
      </c>
      <c r="AP58" s="20">
        <f t="shared" si="74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493.21862723237331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28.209582834706659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353.74230885936277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685.21175768272565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33.353564573487915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79.569476955565491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10.283483268134621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64.465031625016692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1718.3686547211348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1.5799204277094998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0.23817930644554042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0.79911051858489934</v>
      </c>
      <c r="BD58" s="30">
        <f t="shared" si="80"/>
        <v>3469.0396980052478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0</v>
      </c>
      <c r="BN58" s="20" t="b">
        <f>$AK$58&lt;=$AL$58</f>
        <v>0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1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70"/>
        <v>SUMATERA</v>
      </c>
      <c r="C59" s="20">
        <f t="shared" si="70"/>
        <v>2026</v>
      </c>
      <c r="D59" s="30">
        <f>(sumatera!D35*3.6/(VLOOKUP(D$51,tech_data!$B$2:$J$15,4,FALSE)/100))/1000</f>
        <v>322.03319338713442</v>
      </c>
      <c r="E59" s="30">
        <f>(sumatera!E35*3.6/(VLOOKUP(E$51,tech_data!$B$2:$J$15,4,FALSE)/100))/1000</f>
        <v>37.828183871920324</v>
      </c>
      <c r="F59" s="30">
        <f>(sumatera!F35*3.6/(VLOOKUP(F$51,tech_data!$B$2:$J$15,4,FALSE)/100))/1000</f>
        <v>163.99192949947536</v>
      </c>
      <c r="G59" s="30">
        <f>(sumatera!G35*3.6/(VLOOKUP(G$51,tech_data!$B$2:$J$15,4,FALSE)/100))/1000</f>
        <v>140.8929306062459</v>
      </c>
      <c r="H59" s="30">
        <f>(sumatera!H35*3.6/(VLOOKUP(H$51,tech_data!$B$2:$J$15,4,FALSE)/100))/1000</f>
        <v>117.15108293398778</v>
      </c>
      <c r="I59" s="30">
        <f>(sumatera!I35*3.6/(VLOOKUP(I$51,tech_data!$B$2:$J$15,4,FALSE)/100))/1000</f>
        <v>35.396211215149648</v>
      </c>
      <c r="J59" s="30">
        <f>(sumatera!J35*3.6/(VLOOKUP(J$51,tech_data!$B$2:$J$15,4,FALSE)/100))/1000</f>
        <v>26.493507021948208</v>
      </c>
      <c r="K59" s="30">
        <f t="shared" ref="K59:L59" si="91">K35*3.6/1000</f>
        <v>5.7893542617290183</v>
      </c>
      <c r="L59" s="30">
        <f t="shared" si="91"/>
        <v>27.685495340221163</v>
      </c>
      <c r="M59" s="30">
        <f>(sumatera!M35*3.6/(VLOOKUP(M$51,tech_data!$B$2:$J$15,4,FALSE)/100))/1000</f>
        <v>1.0615651450124068</v>
      </c>
      <c r="N59" s="30">
        <f t="shared" ref="N59" si="92">N35*3.6/1000</f>
        <v>1.9354753538016255E-2</v>
      </c>
      <c r="O59" s="30">
        <f>(sumatera!O35*3.6/(VLOOKUP(O$51,tech_data!$B$2:$J$15,4,FALSE)/100))/1000</f>
        <v>3.2341857542965255E-5</v>
      </c>
      <c r="P59" s="30">
        <v>0</v>
      </c>
      <c r="Q59" s="30">
        <f t="shared" si="71"/>
        <v>878.34284037821976</v>
      </c>
      <c r="R59" s="30"/>
      <c r="T59" s="19"/>
      <c r="U59" s="20" t="str">
        <f t="shared" si="72"/>
        <v>SUMATERA</v>
      </c>
      <c r="V59" s="20">
        <f t="shared" si="72"/>
        <v>2026</v>
      </c>
      <c r="W59" s="30">
        <f>D59*VLOOKUP(W$51,tech_data!$B$2:$K$15,10,FALSE)*1000</f>
        <v>32113150.044565044</v>
      </c>
      <c r="X59" s="30">
        <f>E59*VLOOKUP(X$51,tech_data!$B$2:$K$15,10,FALSE)*1000</f>
        <v>2349130.2184462519</v>
      </c>
      <c r="Y59" s="30">
        <f>F59*VLOOKUP(Y$51,tech_data!$B$2:$K$15,10,FALSE)*1000</f>
        <v>10183898.82191742</v>
      </c>
      <c r="Z59" s="30">
        <f>G59*VLOOKUP(Z$51,tech_data!$B$2:$K$15,10,FALSE)*1000</f>
        <v>10590921.593671504</v>
      </c>
      <c r="AA59" s="30">
        <f>H35*VLOOKUP(AA$51,tech_data!$B$2:$K$15,10,FALSE)/1000</f>
        <v>276.33011687054369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119277.45969359402</v>
      </c>
      <c r="AG59" s="30">
        <f>N59*VLOOKUP(AG$51,tech_data!$B$2:$K$15,10,FALSE)*1000</f>
        <v>0</v>
      </c>
      <c r="AH59" s="30">
        <f>O59*VLOOKUP(AH$51,tech_data!$B$2:$K$15,10,FALSE)*1000</f>
        <v>0.89813338396814513</v>
      </c>
      <c r="AI59" s="30"/>
      <c r="AJ59" s="30">
        <f t="shared" si="73"/>
        <v>55356655.366544068</v>
      </c>
      <c r="AK59" s="25">
        <f t="shared" si="79"/>
        <v>6.700013009757648E-2</v>
      </c>
      <c r="AL59" s="24">
        <f t="shared" si="86"/>
        <v>6.7000000000000004E-2</v>
      </c>
      <c r="AM59" s="26"/>
      <c r="AN59" s="24"/>
      <c r="AO59" s="20" t="str">
        <f t="shared" si="74"/>
        <v>SUMATERA</v>
      </c>
      <c r="AP59" s="20">
        <f t="shared" si="74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1471.854812705785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28.21007301876725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218.92461727181114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28.553284685808165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33.364918872011039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79.573430826388318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2076.3762937000724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429.15144664711255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128.52663232339398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1.5799204277094998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0.23817930644554042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5.8028635138023697E-3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0.64146649521208932</v>
      </c>
      <c r="BD59" s="30">
        <f t="shared" si="80"/>
        <v>4497.0008791440296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0</v>
      </c>
      <c r="BN59" s="20" t="b">
        <f>$AQ$34&gt;=$AW$34</f>
        <v>0</v>
      </c>
      <c r="BO59" s="20" t="b">
        <f>$AQ$35&gt;=$AW$35</f>
        <v>1</v>
      </c>
      <c r="BP59" s="20" t="b">
        <f>$AQ$36&gt;=$AW$36</f>
        <v>0</v>
      </c>
      <c r="BQ59" s="20" t="b">
        <f>$AQ$37&gt;=$AW$37</f>
        <v>1</v>
      </c>
      <c r="BR59" s="20" t="b">
        <f>$AQ$38&gt;=$AW$38</f>
        <v>0</v>
      </c>
      <c r="BS59" s="20" t="b">
        <f>$AQ$39&gt;=$AW$39</f>
        <v>1</v>
      </c>
      <c r="BT59" s="20" t="b">
        <f>$AQ$40&gt;=$AW$40</f>
        <v>0</v>
      </c>
      <c r="BU59" s="20" t="b">
        <f>$AQ$41&gt;=$AW$41</f>
        <v>1</v>
      </c>
      <c r="BV59" s="20" t="b">
        <f>$AQ$42&gt;=$AW$42</f>
        <v>0</v>
      </c>
      <c r="BW59" s="20" t="b">
        <f>$AQ$43&gt;=$AW$43</f>
        <v>1</v>
      </c>
      <c r="BX59" s="20" t="b">
        <f>$AQ$44&gt;=$AW$44</f>
        <v>1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70"/>
        <v>SUMATERA</v>
      </c>
      <c r="C60" s="20">
        <f t="shared" si="70"/>
        <v>2027</v>
      </c>
      <c r="D60" s="30">
        <f>(sumatera!D36*3.6/(VLOOKUP(D$51,tech_data!$B$2:$J$15,4,FALSE)/100))/1000</f>
        <v>359.22629371157331</v>
      </c>
      <c r="E60" s="30">
        <f>(sumatera!E36*3.6/(VLOOKUP(E$51,tech_data!$B$2:$J$15,4,FALSE)/100))/1000</f>
        <v>37.828183841747105</v>
      </c>
      <c r="F60" s="30">
        <f>(sumatera!F36*3.6/(VLOOKUP(F$51,tech_data!$B$2:$J$15,4,FALSE)/100))/1000</f>
        <v>163.99192949947536</v>
      </c>
      <c r="G60" s="30">
        <f>(sumatera!G36*3.6/(VLOOKUP(G$51,tech_data!$B$2:$J$15,4,FALSE)/100))/1000</f>
        <v>140.89293056713703</v>
      </c>
      <c r="H60" s="30">
        <f>(sumatera!H36*3.6/(VLOOKUP(H$51,tech_data!$B$2:$J$15,4,FALSE)/100))/1000</f>
        <v>117.15108276094406</v>
      </c>
      <c r="I60" s="30">
        <f>(sumatera!I36*3.6/(VLOOKUP(I$51,tech_data!$B$2:$J$15,4,FALSE)/100))/1000</f>
        <v>47.370214812434504</v>
      </c>
      <c r="J60" s="30">
        <f>(sumatera!J36*3.6/(VLOOKUP(J$51,tech_data!$B$2:$J$15,4,FALSE)/100))/1000</f>
        <v>67.912744781301299</v>
      </c>
      <c r="K60" s="30">
        <f t="shared" ref="K60:L60" si="93">K36*3.6/1000</f>
        <v>13.022874306344773</v>
      </c>
      <c r="L60" s="30">
        <f t="shared" si="93"/>
        <v>27.87559411502124</v>
      </c>
      <c r="M60" s="30">
        <f>(sumatera!M36*3.6/(VLOOKUP(M$51,tech_data!$B$2:$J$15,4,FALSE)/100))/1000</f>
        <v>1.0615651450124068</v>
      </c>
      <c r="N60" s="30">
        <f t="shared" ref="N60" si="94">N36*3.6/1000</f>
        <v>1.9354749938016259E-2</v>
      </c>
      <c r="O60" s="30">
        <f>(sumatera!O36*3.6/(VLOOKUP(O$51,tech_data!$B$2:$J$15,4,FALSE)/100))/1000</f>
        <v>3.2341857542965255E-5</v>
      </c>
      <c r="P60" s="30">
        <v>0</v>
      </c>
      <c r="Q60" s="30">
        <f t="shared" si="71"/>
        <v>976.35280063278651</v>
      </c>
      <c r="R60" s="30"/>
      <c r="T60" s="19"/>
      <c r="U60" s="20" t="str">
        <f t="shared" si="72"/>
        <v>SUMATERA</v>
      </c>
      <c r="V60" s="20">
        <f t="shared" si="72"/>
        <v>2027</v>
      </c>
      <c r="W60" s="30">
        <f>D60*VLOOKUP(W$51,tech_data!$B$2:$K$15,10,FALSE)*1000</f>
        <v>35822046.008918092</v>
      </c>
      <c r="X60" s="30">
        <f>E60*VLOOKUP(X$51,tech_data!$B$2:$K$15,10,FALSE)*1000</f>
        <v>2349130.2165724952</v>
      </c>
      <c r="Y60" s="30">
        <f>F60*VLOOKUP(Y$51,tech_data!$B$2:$K$15,10,FALSE)*1000</f>
        <v>10183898.82191742</v>
      </c>
      <c r="Z60" s="30">
        <f>G60*VLOOKUP(Z$51,tech_data!$B$2:$K$15,10,FALSE)*1000</f>
        <v>10590921.59073169</v>
      </c>
      <c r="AA60" s="30">
        <f>H36*VLOOKUP(AA$51,tech_data!$B$2:$K$15,10,FALSE)/1000</f>
        <v>276.33011646237685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119277.45969359402</v>
      </c>
      <c r="AG60" s="30">
        <f>N60*VLOOKUP(AG$51,tech_data!$B$2:$K$15,10,FALSE)*1000</f>
        <v>0</v>
      </c>
      <c r="AH60" s="30">
        <f>O60*VLOOKUP(AH$51,tech_data!$B$2:$K$15,10,FALSE)*1000</f>
        <v>0.89813338396814513</v>
      </c>
      <c r="AI60" s="30"/>
      <c r="AJ60" s="30">
        <f t="shared" si="73"/>
        <v>59065551.326083139</v>
      </c>
      <c r="AK60" s="25">
        <f t="shared" si="79"/>
        <v>6.7000000902883633E-2</v>
      </c>
      <c r="AL60" s="24">
        <f t="shared" si="86"/>
        <v>6.7000000000000004E-2</v>
      </c>
      <c r="AM60" s="26"/>
      <c r="AN60" s="24"/>
      <c r="AO60" s="20" t="str">
        <f t="shared" si="74"/>
        <v>SUMATERA</v>
      </c>
      <c r="AP60" s="20">
        <f t="shared" si="74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1586.4734575772668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28.209596808093103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218.92403779468196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28.552366871518849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33.353703945540602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1584.6177614769599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4114.4583684548343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1243.4701946729897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151.4985704170854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1.5799204277095065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0.23817765821847039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1.9840459550291467E-4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1.2723926614222989</v>
      </c>
      <c r="BD60" s="30">
        <f t="shared" si="80"/>
        <v>8992.648747170917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0</v>
      </c>
      <c r="BZ60" s="20" t="b">
        <f>$AR$46&gt;=$AX$46</f>
        <v>1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70"/>
        <v>SUMATERA</v>
      </c>
      <c r="C61" s="20">
        <f t="shared" si="70"/>
        <v>2028</v>
      </c>
      <c r="D61" s="30">
        <f>(sumatera!D37*3.6/(VLOOKUP(D$51,tech_data!$B$2:$J$15,4,FALSE)/100))/1000</f>
        <v>388.05457088924123</v>
      </c>
      <c r="E61" s="30">
        <f>(sumatera!E37*3.6/(VLOOKUP(E$51,tech_data!$B$2:$J$15,4,FALSE)/100))/1000</f>
        <v>37.828183811573886</v>
      </c>
      <c r="F61" s="30">
        <f>(sumatera!F37*3.6/(VLOOKUP(F$51,tech_data!$B$2:$J$15,4,FALSE)/100))/1000</f>
        <v>181.4256837758754</v>
      </c>
      <c r="G61" s="30">
        <f>(sumatera!G37*3.6/(VLOOKUP(G$51,tech_data!$B$2:$J$15,4,FALSE)/100))/1000</f>
        <v>140.89293056713703</v>
      </c>
      <c r="H61" s="30">
        <f>(sumatera!H37*3.6/(VLOOKUP(H$51,tech_data!$B$2:$J$15,4,FALSE)/100))/1000</f>
        <v>117.15108276094406</v>
      </c>
      <c r="I61" s="30">
        <f>(sumatera!I37*3.6/(VLOOKUP(I$51,tech_data!$B$2:$J$15,4,FALSE)/100))/1000</f>
        <v>53.424468351436332</v>
      </c>
      <c r="J61" s="30">
        <f>(sumatera!J37*3.6/(VLOOKUP(J$51,tech_data!$B$2:$J$15,4,FALSE)/100))/1000</f>
        <v>80.692267716374147</v>
      </c>
      <c r="K61" s="30">
        <f t="shared" ref="K61:L61" si="95">K37*3.6/1000</f>
        <v>14.011138154057656</v>
      </c>
      <c r="L61" s="30">
        <f t="shared" si="95"/>
        <v>30.637253454979305</v>
      </c>
      <c r="M61" s="30">
        <f>(sumatera!M37*3.6/(VLOOKUP(M$51,tech_data!$B$2:$J$15,4,FALSE)/100))/1000</f>
        <v>1.0615651450124068</v>
      </c>
      <c r="N61" s="30">
        <f t="shared" ref="N61" si="96">N37*3.6/1000</f>
        <v>8.4397886904657757E-2</v>
      </c>
      <c r="O61" s="30">
        <f>(sumatera!O37*3.6/(VLOOKUP(O$51,tech_data!$B$2:$J$15,4,FALSE)/100))/1000</f>
        <v>3.2341857542965255E-5</v>
      </c>
      <c r="P61" s="30">
        <v>0</v>
      </c>
      <c r="Q61" s="30">
        <f t="shared" si="71"/>
        <v>1045.2635748553937</v>
      </c>
      <c r="R61" s="30"/>
      <c r="T61" s="19"/>
      <c r="U61" s="20" t="str">
        <f t="shared" si="72"/>
        <v>SUMATERA</v>
      </c>
      <c r="V61" s="20">
        <f t="shared" si="72"/>
        <v>2028</v>
      </c>
      <c r="W61" s="30">
        <f>D61*VLOOKUP(W$51,tech_data!$B$2:$K$15,10,FALSE)*1000</f>
        <v>38696801.809075132</v>
      </c>
      <c r="X61" s="30">
        <f>E61*VLOOKUP(X$51,tech_data!$B$2:$K$15,10,FALSE)*1000</f>
        <v>2349130.2146987384</v>
      </c>
      <c r="Y61" s="30">
        <f>F61*VLOOKUP(Y$51,tech_data!$B$2:$K$15,10,FALSE)*1000</f>
        <v>11266534.962481862</v>
      </c>
      <c r="Z61" s="30">
        <f>G61*VLOOKUP(Z$51,tech_data!$B$2:$K$15,10,FALSE)*1000</f>
        <v>10590921.59073169</v>
      </c>
      <c r="AA61" s="30">
        <f>H37*VLOOKUP(AA$51,tech_data!$B$2:$K$15,10,FALSE)/1000</f>
        <v>276.33011646237685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119277.45969359402</v>
      </c>
      <c r="AG61" s="30">
        <f>N61*VLOOKUP(AG$51,tech_data!$B$2:$K$15,10,FALSE)*1000</f>
        <v>0</v>
      </c>
      <c r="AH61" s="30">
        <f>O61*VLOOKUP(AH$51,tech_data!$B$2:$K$15,10,FALSE)*1000</f>
        <v>0.89813338396814513</v>
      </c>
      <c r="AI61" s="30"/>
      <c r="AJ61" s="30">
        <f t="shared" si="73"/>
        <v>63022943.264930867</v>
      </c>
      <c r="AK61" s="25">
        <f t="shared" si="79"/>
        <v>6.7000000000002669E-2</v>
      </c>
      <c r="AL61" s="24">
        <f t="shared" si="86"/>
        <v>6.7000000000000004E-2</v>
      </c>
      <c r="AM61" s="26"/>
      <c r="AN61" s="24"/>
      <c r="AO61" s="20" t="str">
        <f t="shared" si="74"/>
        <v>SUMATERA</v>
      </c>
      <c r="AP61" s="20">
        <f t="shared" si="74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1342.0101920433647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28.209596785592044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909.08811381271232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28.552367664852184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33.35370780054059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867.46390242143934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1382.439853869683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189.83407287431726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463.15643691479693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1.5799204277094998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30.017584571113595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1.9840459550291467E-4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0.81434097296597474</v>
      </c>
      <c r="BD61" s="30">
        <f t="shared" si="80"/>
        <v>5276.5202885636836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70"/>
        <v>SUMATERA</v>
      </c>
      <c r="C62" s="20">
        <f t="shared" si="70"/>
        <v>2029</v>
      </c>
      <c r="D62" s="30">
        <f>(sumatera!D38*3.6/(VLOOKUP(D$51,tech_data!$B$2:$J$15,4,FALSE)/100))/1000</f>
        <v>388.05457088924123</v>
      </c>
      <c r="E62" s="30">
        <f>(sumatera!E38*3.6/(VLOOKUP(E$51,tech_data!$B$2:$J$15,4,FALSE)/100))/1000</f>
        <v>43.105886400753711</v>
      </c>
      <c r="F62" s="30">
        <f>(sumatera!F38*3.6/(VLOOKUP(F$51,tech_data!$B$2:$J$15,4,FALSE)/100))/1000</f>
        <v>184.19133989670837</v>
      </c>
      <c r="G62" s="30">
        <f>(sumatera!G38*3.6/(VLOOKUP(G$51,tech_data!$B$2:$J$15,4,FALSE)/100))/1000</f>
        <v>140.89293056713703</v>
      </c>
      <c r="H62" s="30">
        <f>(sumatera!H38*3.6/(VLOOKUP(H$51,tech_data!$B$2:$J$15,4,FALSE)/100))/1000</f>
        <v>117.15108276094406</v>
      </c>
      <c r="I62" s="30">
        <f>(sumatera!I38*3.6/(VLOOKUP(I$51,tech_data!$B$2:$J$15,4,FALSE)/100))/1000</f>
        <v>53.424468351436332</v>
      </c>
      <c r="J62" s="30">
        <f>(sumatera!J38*3.6/(VLOOKUP(J$51,tech_data!$B$2:$J$15,4,FALSE)/100))/1000</f>
        <v>80.692267716374147</v>
      </c>
      <c r="K62" s="30">
        <f t="shared" ref="K62:L62" si="97">K38*3.6/1000</f>
        <v>14.011138154057656</v>
      </c>
      <c r="L62" s="30">
        <f t="shared" si="97"/>
        <v>30.637253454979305</v>
      </c>
      <c r="M62" s="30">
        <f>(sumatera!M38*3.6/(VLOOKUP(M$51,tech_data!$B$2:$J$15,4,FALSE)/100))/1000</f>
        <v>1.0615651450124068</v>
      </c>
      <c r="N62" s="30">
        <f t="shared" ref="N62" si="98">N38*3.6/1000</f>
        <v>8.4398046954489075E-2</v>
      </c>
      <c r="O62" s="30">
        <f>(sumatera!O38*3.6/(VLOOKUP(O$51,tech_data!$B$2:$J$15,4,FALSE)/100))/1000</f>
        <v>3.2341857542965255E-5</v>
      </c>
      <c r="P62" s="30">
        <v>0</v>
      </c>
      <c r="Q62" s="30">
        <f t="shared" si="71"/>
        <v>1053.3069337254562</v>
      </c>
      <c r="R62" s="30"/>
      <c r="T62" s="19"/>
      <c r="U62" s="20" t="str">
        <f t="shared" si="72"/>
        <v>SUMATERA</v>
      </c>
      <c r="V62" s="20">
        <f t="shared" si="72"/>
        <v>2029</v>
      </c>
      <c r="W62" s="30">
        <f>D62*VLOOKUP(W$51,tech_data!$B$2:$K$15,10,FALSE)*1000</f>
        <v>38696801.809075132</v>
      </c>
      <c r="X62" s="30">
        <f>E62*VLOOKUP(X$51,tech_data!$B$2:$K$15,10,FALSE)*1000</f>
        <v>2676875.5454868055</v>
      </c>
      <c r="Y62" s="30">
        <f>F62*VLOOKUP(Y$51,tech_data!$B$2:$K$15,10,FALSE)*1000</f>
        <v>11438282.20758559</v>
      </c>
      <c r="Z62" s="30">
        <f>G62*VLOOKUP(Z$51,tech_data!$B$2:$K$15,10,FALSE)*1000</f>
        <v>10590921.59073169</v>
      </c>
      <c r="AA62" s="30">
        <f>H38*VLOOKUP(AA$51,tech_data!$B$2:$K$15,10,FALSE)/1000</f>
        <v>276.33011646237685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119277.45969359402</v>
      </c>
      <c r="AG62" s="30">
        <f>N62*VLOOKUP(AG$51,tech_data!$B$2:$K$15,10,FALSE)*1000</f>
        <v>0</v>
      </c>
      <c r="AH62" s="30">
        <f>O62*VLOOKUP(AH$51,tech_data!$B$2:$K$15,10,FALSE)*1000</f>
        <v>0.89813338396814513</v>
      </c>
      <c r="AI62" s="30"/>
      <c r="AJ62" s="30">
        <f t="shared" si="73"/>
        <v>63522435.840822659</v>
      </c>
      <c r="AK62" s="25">
        <f t="shared" si="79"/>
        <v>7.9255672619424535E-3</v>
      </c>
      <c r="AL62" s="24">
        <f t="shared" si="86"/>
        <v>6.7000000000000004E-2</v>
      </c>
      <c r="AM62" s="26"/>
      <c r="AN62" s="24"/>
      <c r="AO62" s="20" t="str">
        <f t="shared" si="74"/>
        <v>SUMATERA</v>
      </c>
      <c r="AP62" s="20">
        <f t="shared" si="74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397.68157911902273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159.24913037472382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351.68380521749214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28.552367664852184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33.35370780054059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120.09649155212243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152.58422812975891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22.849214210792006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142.22797513393988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1.5799204277094998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1.038672406445694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1.9840459550291467E-4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0.14232472735179411</v>
      </c>
      <c r="BD62" s="30">
        <f t="shared" si="80"/>
        <v>1411.0396151693474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70"/>
        <v>SUMATERA</v>
      </c>
      <c r="C63" s="20">
        <f t="shared" si="70"/>
        <v>2030</v>
      </c>
      <c r="D63" s="30">
        <f>(sumatera!D39*3.6/(VLOOKUP(D$51,tech_data!$B$2:$J$15,4,FALSE)/100))/1000</f>
        <v>414.96745093756539</v>
      </c>
      <c r="E63" s="30">
        <f>(sumatera!E39*3.6/(VLOOKUP(E$51,tech_data!$B$2:$J$15,4,FALSE)/100))/1000</f>
        <v>65.620049205542855</v>
      </c>
      <c r="F63" s="30">
        <f>(sumatera!F39*3.6/(VLOOKUP(F$51,tech_data!$B$2:$J$15,4,FALSE)/100))/1000</f>
        <v>186.99514814986924</v>
      </c>
      <c r="G63" s="30">
        <f>(sumatera!G39*3.6/(VLOOKUP(G$51,tech_data!$B$2:$J$15,4,FALSE)/100))/1000</f>
        <v>140.89298068232583</v>
      </c>
      <c r="H63" s="30">
        <f>(sumatera!H39*3.6/(VLOOKUP(H$51,tech_data!$B$2:$J$15,4,FALSE)/100))/1000</f>
        <v>117.15172545009374</v>
      </c>
      <c r="I63" s="30">
        <f>(sumatera!I39*3.6/(VLOOKUP(I$51,tech_data!$B$2:$J$15,4,FALSE)/100))/1000</f>
        <v>53.424511038390442</v>
      </c>
      <c r="J63" s="30">
        <f>(sumatera!J39*3.6/(VLOOKUP(J$51,tech_data!$B$2:$J$15,4,FALSE)/100))/1000</f>
        <v>80.692357845250697</v>
      </c>
      <c r="K63" s="30">
        <f t="shared" ref="K63:L63" si="99">K39*3.6/1000</f>
        <v>14.011145116663403</v>
      </c>
      <c r="L63" s="30">
        <f t="shared" si="99"/>
        <v>30.713147131439307</v>
      </c>
      <c r="M63" s="30">
        <f>(sumatera!M39*3.6/(VLOOKUP(M$51,tech_data!$B$2:$J$15,4,FALSE)/100))/1000</f>
        <v>1.0615651450124068</v>
      </c>
      <c r="N63" s="30">
        <f t="shared" ref="N63" si="100">N39*3.6/1000</f>
        <v>8.4435320293009999E-2</v>
      </c>
      <c r="O63" s="30">
        <f>(sumatera!O39*3.6/(VLOOKUP(O$51,tech_data!$B$2:$J$15,4,FALSE)/100))/1000</f>
        <v>6.9488378895310807E-5</v>
      </c>
      <c r="P63" s="30">
        <v>0</v>
      </c>
      <c r="Q63" s="30">
        <f t="shared" si="71"/>
        <v>1105.6145855108248</v>
      </c>
      <c r="R63" s="30"/>
      <c r="T63" s="19"/>
      <c r="U63" s="20" t="str">
        <f t="shared" si="72"/>
        <v>SUMATERA</v>
      </c>
      <c r="V63" s="20">
        <f t="shared" si="72"/>
        <v>2030</v>
      </c>
      <c r="W63" s="30">
        <f>D63*VLOOKUP(W$51,tech_data!$B$2:$K$15,10,FALSE)*1000</f>
        <v>41380554.20749402</v>
      </c>
      <c r="X63" s="30">
        <f>E63*VLOOKUP(X$51,tech_data!$B$2:$K$15,10,FALSE)*1000</f>
        <v>4075005.0556642115</v>
      </c>
      <c r="Y63" s="30">
        <f>F63*VLOOKUP(Y$51,tech_data!$B$2:$K$15,10,FALSE)*1000</f>
        <v>11612398.70010688</v>
      </c>
      <c r="Z63" s="30">
        <f>G63*VLOOKUP(Z$51,tech_data!$B$2:$K$15,10,FALSE)*1000</f>
        <v>10590925.357890433</v>
      </c>
      <c r="AA63" s="30">
        <f>H39*VLOOKUP(AA$51,tech_data!$B$2:$K$15,10,FALSE)/1000</f>
        <v>276.33163240540864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119277.45969359402</v>
      </c>
      <c r="AG63" s="30">
        <f>N63*VLOOKUP(AG$51,tech_data!$B$2:$K$15,10,FALSE)*1000</f>
        <v>0</v>
      </c>
      <c r="AH63" s="30">
        <f>O63*VLOOKUP(AH$51,tech_data!$B$2:$K$15,10,FALSE)*1000</f>
        <v>1.9296922819227811</v>
      </c>
      <c r="AI63" s="30"/>
      <c r="AJ63" s="30">
        <f t="shared" si="73"/>
        <v>67778439.042173833</v>
      </c>
      <c r="AK63" s="25">
        <f t="shared" si="79"/>
        <v>6.7000000000252746E-2</v>
      </c>
      <c r="AL63" s="24">
        <f t="shared" si="86"/>
        <v>6.7000000000000004E-2</v>
      </c>
      <c r="AM63" s="26"/>
      <c r="AN63" s="24"/>
      <c r="AO63" s="20" t="str">
        <f t="shared" si="74"/>
        <v>SUMATERA</v>
      </c>
      <c r="AP63" s="20">
        <f t="shared" si="74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1306.8480244921236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591.14716125025564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356.88622784353186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28.553394420430557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33.368208357135856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120.10185700265895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152.59307223909562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22.850402022147591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151.39979300472788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1.5799204277094998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1.0556663557668615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6.8633338789816471E-3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0.42163221755699798</v>
      </c>
      <c r="BD63" s="30">
        <f t="shared" si="80"/>
        <v>2766.8122229670203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70"/>
        <v>SUMATERA</v>
      </c>
      <c r="C64" s="20">
        <f t="shared" si="70"/>
        <v>2031</v>
      </c>
      <c r="D64" s="30">
        <f>(sumatera!D40*3.6/(VLOOKUP(D$51,tech_data!$B$2:$J$15,4,FALSE)/100))/1000</f>
        <v>438.47001829060775</v>
      </c>
      <c r="E64" s="30">
        <f>(sumatera!E40*3.6/(VLOOKUP(E$51,tech_data!$B$2:$J$15,4,FALSE)/100))/1000</f>
        <v>95.541982851744464</v>
      </c>
      <c r="F64" s="30">
        <f>(sumatera!F40*3.6/(VLOOKUP(F$51,tech_data!$B$2:$J$15,4,FALSE)/100))/1000</f>
        <v>191.45513865988579</v>
      </c>
      <c r="G64" s="30">
        <f>(sumatera!G40*3.6/(VLOOKUP(G$51,tech_data!$B$2:$J$15,4,FALSE)/100))/1000</f>
        <v>141.36642152925171</v>
      </c>
      <c r="H64" s="30">
        <f>(sumatera!H40*3.6/(VLOOKUP(H$51,tech_data!$B$2:$J$15,4,FALSE)/100))/1000</f>
        <v>192.00347891916599</v>
      </c>
      <c r="I64" s="30">
        <f>(sumatera!I40*3.6/(VLOOKUP(I$51,tech_data!$B$2:$J$15,4,FALSE)/100))/1000</f>
        <v>53.605483789647529</v>
      </c>
      <c r="J64" s="30">
        <f>(sumatera!J40*3.6/(VLOOKUP(J$51,tech_data!$B$2:$J$15,4,FALSE)/100))/1000</f>
        <v>81.074379989535714</v>
      </c>
      <c r="K64" s="30">
        <f t="shared" ref="K64:L64" si="101">K40*3.6/1000</f>
        <v>35.297043882988667</v>
      </c>
      <c r="L64" s="30">
        <f t="shared" si="101"/>
        <v>30.795681288620443</v>
      </c>
      <c r="M64" s="30">
        <f>(sumatera!M40*3.6/(VLOOKUP(M$51,tech_data!$B$2:$J$15,4,FALSE)/100))/1000</f>
        <v>1.2371588513475762</v>
      </c>
      <c r="N64" s="30">
        <f t="shared" ref="N64" si="102">N40*3.6/1000</f>
        <v>0.10447285807396169</v>
      </c>
      <c r="O64" s="30">
        <f>(sumatera!O40*3.6/(VLOOKUP(O$51,tech_data!$B$2:$J$15,4,FALSE)/100))/1000</f>
        <v>0.24979486963302444</v>
      </c>
      <c r="P64" s="30">
        <v>0</v>
      </c>
      <c r="Q64" s="30">
        <f t="shared" si="71"/>
        <v>1261.2010557805024</v>
      </c>
      <c r="R64" s="30"/>
      <c r="T64" s="19"/>
      <c r="U64" s="20" t="str">
        <f t="shared" si="72"/>
        <v>SUMATERA</v>
      </c>
      <c r="V64" s="20">
        <f t="shared" si="72"/>
        <v>2031</v>
      </c>
      <c r="W64" s="30">
        <f>D64*VLOOKUP(W$51,tech_data!$B$2:$K$15,10,FALSE)*1000</f>
        <v>43724230.223939404</v>
      </c>
      <c r="X64" s="30">
        <f>E64*VLOOKUP(X$51,tech_data!$B$2:$K$15,10,FALSE)*1000</f>
        <v>5933157.1350933323</v>
      </c>
      <c r="Y64" s="30">
        <f>F64*VLOOKUP(Y$51,tech_data!$B$2:$K$15,10,FALSE)*1000</f>
        <v>11889364.110778907</v>
      </c>
      <c r="Z64" s="30">
        <f>G64*VLOOKUP(Z$51,tech_data!$B$2:$K$15,10,FALSE)*1000</f>
        <v>10626513.906353852</v>
      </c>
      <c r="AA64" s="30">
        <f>H40*VLOOKUP(AA$51,tech_data!$B$2:$K$15,10,FALSE)/1000</f>
        <v>452.88820590058282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139007.16853741367</v>
      </c>
      <c r="AG64" s="30">
        <f>N64*VLOOKUP(AG$51,tech_data!$B$2:$K$15,10,FALSE)*1000</f>
        <v>0</v>
      </c>
      <c r="AH64" s="30">
        <f>O64*VLOOKUP(AH$51,tech_data!$B$2:$K$15,10,FALSE)*1000</f>
        <v>6936.8035297090883</v>
      </c>
      <c r="AI64" s="30"/>
      <c r="AJ64" s="30">
        <f t="shared" si="73"/>
        <v>72319662.236438513</v>
      </c>
      <c r="AK64" s="25">
        <f t="shared" si="79"/>
        <v>6.7000999999999866E-2</v>
      </c>
      <c r="AL64" s="24">
        <f t="shared" si="86"/>
        <v>6.7000000000000004E-2</v>
      </c>
      <c r="AM64" s="26"/>
      <c r="AN64" s="24"/>
      <c r="AO64" s="20" t="str">
        <f t="shared" si="74"/>
        <v>SUMATERA</v>
      </c>
      <c r="AP64" s="20">
        <f t="shared" si="74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1219.2219524534378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791.86341719310531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426.19384446248091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38.252192230509273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1722.182911747627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142.84359220452399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190.07122566293097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3654.1954762892674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152.55462380122671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12.778839662368402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10.213063172956907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44.806829299725344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1.2883188681053888</v>
      </c>
      <c r="BD64" s="30">
        <f t="shared" si="80"/>
        <v>8406.4662870482662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70"/>
        <v>SUMATERA</v>
      </c>
      <c r="C65" s="20">
        <f t="shared" si="70"/>
        <v>2032</v>
      </c>
      <c r="D65" s="30">
        <f>(sumatera!D41*3.6/(VLOOKUP(D$51,tech_data!$B$2:$J$15,4,FALSE)/100))/1000</f>
        <v>465.27474556483855</v>
      </c>
      <c r="E65" s="30">
        <f>(sumatera!E41*3.6/(VLOOKUP(E$51,tech_data!$B$2:$J$15,4,FALSE)/100))/1000</f>
        <v>124.50746569623763</v>
      </c>
      <c r="F65" s="30">
        <f>(sumatera!F41*3.6/(VLOOKUP(F$51,tech_data!$B$2:$J$15,4,FALSE)/100))/1000</f>
        <v>194.71216677973004</v>
      </c>
      <c r="G65" s="30">
        <f>(sumatera!G41*3.6/(VLOOKUP(G$51,tech_data!$B$2:$J$15,4,FALSE)/100))/1000</f>
        <v>143.64680225483309</v>
      </c>
      <c r="H65" s="30">
        <f>(sumatera!H41*3.6/(VLOOKUP(H$51,tech_data!$B$2:$J$15,4,FALSE)/100))/1000</f>
        <v>196.91700111243497</v>
      </c>
      <c r="I65" s="30">
        <f>(sumatera!I41*3.6/(VLOOKUP(I$51,tech_data!$B$2:$J$15,4,FALSE)/100))/1000</f>
        <v>53.605660460451304</v>
      </c>
      <c r="J65" s="30">
        <f>(sumatera!J41*3.6/(VLOOKUP(J$51,tech_data!$B$2:$J$15,4,FALSE)/100))/1000</f>
        <v>81.074752961650645</v>
      </c>
      <c r="K65" s="30">
        <f t="shared" ref="K65:L65" si="103">K41*3.6/1000</f>
        <v>35.29707270397315</v>
      </c>
      <c r="L65" s="30">
        <f t="shared" si="103"/>
        <v>30.79576184717402</v>
      </c>
      <c r="M65" s="30">
        <f>(sumatera!M41*3.6/(VLOOKUP(M$51,tech_data!$B$2:$J$15,4,FALSE)/100))/1000</f>
        <v>1.2371588513475762</v>
      </c>
      <c r="N65" s="30">
        <f t="shared" ref="N65" si="104">N41*3.6/1000</f>
        <v>0.10462717159467788</v>
      </c>
      <c r="O65" s="30">
        <f>(sumatera!O41*3.6/(VLOOKUP(O$51,tech_data!$B$2:$J$15,4,FALSE)/100))/1000</f>
        <v>0.2499470575090722</v>
      </c>
      <c r="P65" s="30">
        <v>0</v>
      </c>
      <c r="Q65" s="30">
        <f t="shared" si="71"/>
        <v>1327.4231624617746</v>
      </c>
      <c r="R65" s="30"/>
      <c r="T65" s="19"/>
      <c r="U65" s="20" t="str">
        <f t="shared" si="72"/>
        <v>SUMATERA</v>
      </c>
      <c r="V65" s="20">
        <f t="shared" si="72"/>
        <v>2032</v>
      </c>
      <c r="W65" s="30">
        <f>D65*VLOOKUP(W$51,tech_data!$B$2:$K$15,10,FALSE)*1000</f>
        <v>46397197.627725698</v>
      </c>
      <c r="X65" s="30">
        <f>E65*VLOOKUP(X$51,tech_data!$B$2:$K$15,10,FALSE)*1000</f>
        <v>7731913.6197363567</v>
      </c>
      <c r="Y65" s="30">
        <f>F65*VLOOKUP(Y$51,tech_data!$B$2:$K$15,10,FALSE)*1000</f>
        <v>12091625.557021236</v>
      </c>
      <c r="Z65" s="30">
        <f>G65*VLOOKUP(Z$51,tech_data!$B$2:$K$15,10,FALSE)*1000</f>
        <v>10797930.125495804</v>
      </c>
      <c r="AA65" s="30">
        <f>H41*VLOOKUP(AA$51,tech_data!$B$2:$K$15,10,FALSE)/1000</f>
        <v>464.4779763739561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139007.16853741367</v>
      </c>
      <c r="AG65" s="30">
        <f>N65*VLOOKUP(AG$51,tech_data!$B$2:$K$15,10,FALSE)*1000</f>
        <v>0</v>
      </c>
      <c r="AH65" s="30">
        <f>O65*VLOOKUP(AH$51,tech_data!$B$2:$K$15,10,FALSE)*1000</f>
        <v>6941.0297870269351</v>
      </c>
      <c r="AI65" s="30"/>
      <c r="AJ65" s="30">
        <f t="shared" si="73"/>
        <v>77165079.60627991</v>
      </c>
      <c r="AK65" s="25">
        <f t="shared" si="79"/>
        <v>6.7000000000000226E-2</v>
      </c>
      <c r="AL65" s="24">
        <f t="shared" si="86"/>
        <v>6.7000000000000004E-2</v>
      </c>
      <c r="AM65" s="26"/>
      <c r="AN65" s="24"/>
      <c r="AO65" s="20" t="str">
        <f t="shared" si="74"/>
        <v>SUMATERA</v>
      </c>
      <c r="AP65" s="20">
        <f t="shared" si="74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1354.8605987993981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790.42947145787491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384.52514939143941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75.368561639260307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165.52514000717986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120.5256147322156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153.34337824247132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57.566958379318805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142.97318361733505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1.8412553866798367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1.3562924568474515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1.5596993918605693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0.50417509849237896</v>
      </c>
      <c r="BD65" s="30">
        <f t="shared" si="80"/>
        <v>3250.3794786003732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70"/>
        <v>SUMATERA</v>
      </c>
      <c r="C66" s="20">
        <f t="shared" si="70"/>
        <v>2033</v>
      </c>
      <c r="D66" s="30">
        <f>(sumatera!D42*3.6/(VLOOKUP(D$51,tech_data!$B$2:$J$15,4,FALSE)/100))/1000</f>
        <v>493.06539810691191</v>
      </c>
      <c r="E66" s="30">
        <f>(sumatera!E42*3.6/(VLOOKUP(E$51,tech_data!$B$2:$J$15,4,FALSE)/100))/1000</f>
        <v>158.26114104410607</v>
      </c>
      <c r="F66" s="30">
        <f>(sumatera!F42*3.6/(VLOOKUP(F$51,tech_data!$B$2:$J$15,4,FALSE)/100))/1000</f>
        <v>198.76433144372967</v>
      </c>
      <c r="G66" s="30">
        <f>(sumatera!G42*3.6/(VLOOKUP(G$51,tech_data!$B$2:$J$15,4,FALSE)/100))/1000</f>
        <v>144.17973835171068</v>
      </c>
      <c r="H66" s="30">
        <f>(sumatera!H42*3.6/(VLOOKUP(H$51,tech_data!$B$2:$J$15,4,FALSE)/100))/1000</f>
        <v>430.96536350879541</v>
      </c>
      <c r="I66" s="30">
        <f>(sumatera!I42*3.6/(VLOOKUP(I$51,tech_data!$B$2:$J$15,4,FALSE)/100))/1000</f>
        <v>53.976817257725102</v>
      </c>
      <c r="J66" s="30">
        <f>(sumatera!J42*3.6/(VLOOKUP(J$51,tech_data!$B$2:$J$15,4,FALSE)/100))/1000</f>
        <v>81.858232494625867</v>
      </c>
      <c r="K66" s="30">
        <f t="shared" ref="K66:L66" si="105">K42*3.6/1000</f>
        <v>35.357649109209817</v>
      </c>
      <c r="L66" s="30">
        <f t="shared" si="105"/>
        <v>30.965025875640514</v>
      </c>
      <c r="M66" s="30">
        <f>(sumatera!M42*3.6/(VLOOKUP(M$51,tech_data!$B$2:$J$15,4,FALSE)/100))/1000</f>
        <v>1.2371588513475762</v>
      </c>
      <c r="N66" s="30">
        <f t="shared" ref="N66" si="106">N42*3.6/1000</f>
        <v>0.11243585573911767</v>
      </c>
      <c r="O66" s="30">
        <f>(sumatera!O42*3.6/(VLOOKUP(O$51,tech_data!$B$2:$J$15,4,FALSE)/100))/1000</f>
        <v>0.62520559007277532</v>
      </c>
      <c r="P66" s="30">
        <v>0</v>
      </c>
      <c r="Q66" s="30">
        <f t="shared" si="71"/>
        <v>1629.3684974896146</v>
      </c>
      <c r="R66" s="30"/>
      <c r="T66" s="19"/>
      <c r="U66" s="20" t="str">
        <f t="shared" si="72"/>
        <v>SUMATERA</v>
      </c>
      <c r="V66" s="20">
        <f t="shared" si="72"/>
        <v>2033</v>
      </c>
      <c r="W66" s="30">
        <f>D66*VLOOKUP(W$51,tech_data!$B$2:$K$15,10,FALSE)*1000</f>
        <v>49168481.499221258</v>
      </c>
      <c r="X66" s="30">
        <f>E66*VLOOKUP(X$51,tech_data!$B$2:$K$15,10,FALSE)*1000</f>
        <v>9828016.8588389885</v>
      </c>
      <c r="Y66" s="30">
        <f>F66*VLOOKUP(Y$51,tech_data!$B$2:$K$15,10,FALSE)*1000</f>
        <v>12343264.982655613</v>
      </c>
      <c r="Z66" s="30">
        <f>G66*VLOOKUP(Z$51,tech_data!$B$2:$K$15,10,FALSE)*1000</f>
        <v>10837990.931898091</v>
      </c>
      <c r="AA66" s="30">
        <f>H42*VLOOKUP(AA$51,tech_data!$B$2:$K$15,10,FALSE)/1000</f>
        <v>1016.5395511763711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139007.16853741367</v>
      </c>
      <c r="AG66" s="30">
        <f>N66*VLOOKUP(AG$51,tech_data!$B$2:$K$15,10,FALSE)*1000</f>
        <v>0</v>
      </c>
      <c r="AH66" s="30">
        <f>O66*VLOOKUP(AH$51,tech_data!$B$2:$K$15,10,FALSE)*1000</f>
        <v>17361.95923632097</v>
      </c>
      <c r="AI66" s="30"/>
      <c r="AJ66" s="30">
        <f t="shared" si="73"/>
        <v>82335139.939938858</v>
      </c>
      <c r="AK66" s="25">
        <f t="shared" si="79"/>
        <v>6.7000000000494969E-2</v>
      </c>
      <c r="AL66" s="24">
        <f t="shared" si="86"/>
        <v>6.7000000000000004E-2</v>
      </c>
      <c r="AM66" s="26"/>
      <c r="AN66" s="24"/>
      <c r="AO66" s="20" t="str">
        <f t="shared" si="74"/>
        <v>SUMATERA</v>
      </c>
      <c r="AP66" s="20">
        <f t="shared" si="74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1415.6366718414861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930.91542772387891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420.35088986537755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40.029195734646692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5336.7370489971563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167.15561009213789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230.18826830649584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67.89634338372035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163.41952944991331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1.8412553866798367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4.86267501206805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68.863227436471036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1.0783022469450207</v>
      </c>
      <c r="BD66" s="30">
        <f t="shared" si="80"/>
        <v>8848.9744454769771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70"/>
        <v>SUMATERA</v>
      </c>
      <c r="C67" s="20">
        <f t="shared" si="70"/>
        <v>2034</v>
      </c>
      <c r="D67" s="30">
        <f>(sumatera!D43*3.6/(VLOOKUP(D$51,tech_data!$B$2:$J$15,4,FALSE)/100))/1000</f>
        <v>526.92030629029921</v>
      </c>
      <c r="E67" s="30">
        <f>(sumatera!E43*3.6/(VLOOKUP(E$51,tech_data!$B$2:$J$15,4,FALSE)/100))/1000</f>
        <v>185.95772064743812</v>
      </c>
      <c r="F67" s="30">
        <f>(sumatera!F43*3.6/(VLOOKUP(F$51,tech_data!$B$2:$J$15,4,FALSE)/100))/1000</f>
        <v>202.53112965475879</v>
      </c>
      <c r="G67" s="30">
        <f>(sumatera!G43*3.6/(VLOOKUP(G$51,tech_data!$B$2:$J$15,4,FALSE)/100))/1000</f>
        <v>146.66167371944869</v>
      </c>
      <c r="H67" s="30">
        <f>(sumatera!H43*3.6/(VLOOKUP(H$51,tech_data!$B$2:$J$15,4,FALSE)/100))/1000</f>
        <v>430.96540791519959</v>
      </c>
      <c r="I67" s="30">
        <f>(sumatera!I43*3.6/(VLOOKUP(I$51,tech_data!$B$2:$J$15,4,FALSE)/100))/1000</f>
        <v>53.976821248254673</v>
      </c>
      <c r="J67" s="30">
        <f>(sumatera!J43*3.6/(VLOOKUP(J$51,tech_data!$B$2:$J$15,4,FALSE)/100))/1000</f>
        <v>81.858238542252934</v>
      </c>
      <c r="K67" s="30">
        <f t="shared" ref="K67:L67" si="107">K43*3.6/1000</f>
        <v>35.357650191695633</v>
      </c>
      <c r="L67" s="30">
        <f t="shared" si="107"/>
        <v>30.965934702938622</v>
      </c>
      <c r="M67" s="30">
        <f>(sumatera!M43*3.6/(VLOOKUP(M$51,tech_data!$B$2:$J$15,4,FALSE)/100))/1000</f>
        <v>1.2371588513475762</v>
      </c>
      <c r="N67" s="30">
        <f t="shared" ref="N67" si="108">N43*3.6/1000</f>
        <v>0.11243631732731237</v>
      </c>
      <c r="O67" s="30">
        <f>(sumatera!O43*3.6/(VLOOKUP(O$51,tech_data!$B$2:$J$15,4,FALSE)/100))/1000</f>
        <v>0.62520876023865257</v>
      </c>
      <c r="P67" s="30">
        <v>0</v>
      </c>
      <c r="Q67" s="30">
        <f t="shared" si="71"/>
        <v>1697.1696868412002</v>
      </c>
      <c r="R67" s="30"/>
      <c r="T67" s="19"/>
      <c r="U67" s="20" t="str">
        <f t="shared" si="72"/>
        <v>SUMATERA</v>
      </c>
      <c r="V67" s="20">
        <f t="shared" si="72"/>
        <v>2034</v>
      </c>
      <c r="W67" s="30">
        <f>D67*VLOOKUP(W$51,tech_data!$B$2:$K$15,10,FALSE)*1000</f>
        <v>52544492.943268634</v>
      </c>
      <c r="X67" s="30">
        <f>E67*VLOOKUP(X$51,tech_data!$B$2:$K$15,10,FALSE)*1000</f>
        <v>11547974.452205908</v>
      </c>
      <c r="Y67" s="30">
        <f>F67*VLOOKUP(Y$51,tech_data!$B$2:$K$15,10,FALSE)*1000</f>
        <v>12577183.151560521</v>
      </c>
      <c r="Z67" s="30">
        <f>G67*VLOOKUP(Z$51,tech_data!$B$2:$K$15,10,FALSE)*1000</f>
        <v>11024558.013490958</v>
      </c>
      <c r="AA67" s="30">
        <f>H43*VLOOKUP(AA$51,tech_data!$B$2:$K$15,10,FALSE)/1000</f>
        <v>1016.5396559199771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139007.16853741367</v>
      </c>
      <c r="AG67" s="30">
        <f>N67*VLOOKUP(AG$51,tech_data!$B$2:$K$15,10,FALSE)*1000</f>
        <v>0</v>
      </c>
      <c r="AH67" s="30">
        <f>O67*VLOOKUP(AH$51,tech_data!$B$2:$K$15,10,FALSE)*1000</f>
        <v>17362.047271827381</v>
      </c>
      <c r="AI67" s="30"/>
      <c r="AJ67" s="30">
        <f t="shared" si="73"/>
        <v>87851594.315991178</v>
      </c>
      <c r="AK67" s="25">
        <f t="shared" si="79"/>
        <v>6.7000000000928109E-2</v>
      </c>
      <c r="AL67" s="24">
        <f t="shared" si="86"/>
        <v>6.7000000000000004E-2</v>
      </c>
      <c r="AM67" s="26"/>
      <c r="AN67" s="24"/>
      <c r="AO67" s="20" t="str">
        <f t="shared" si="74"/>
        <v>SUMATERA</v>
      </c>
      <c r="AP67" s="20">
        <f t="shared" si="74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1648.9784428751302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805.69553847383213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414.46336981778808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80.068122357623267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122.69976378248158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121.33865576140602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154.78959088120527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57.661060582606709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143.85943261513026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1.8412553866798367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1.3838452865404989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3.8359595789956997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0.55027917104734003</v>
      </c>
      <c r="BD67" s="30">
        <f t="shared" si="80"/>
        <v>3557.1653165704665</v>
      </c>
      <c r="BE67" s="20">
        <v>2034</v>
      </c>
      <c r="BF67" s="23"/>
      <c r="BG67" s="19"/>
      <c r="BH67" s="30"/>
      <c r="BI67" s="20" t="b">
        <f>$BX$29&lt;=$BW$29</f>
        <v>0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0</v>
      </c>
      <c r="BR67" s="20" t="b">
        <f>$BX$38&lt;=$BW$38</f>
        <v>0</v>
      </c>
      <c r="BS67" s="20" t="b">
        <f>$BX$39&lt;=$BW$39</f>
        <v>0</v>
      </c>
      <c r="BT67" s="20" t="b">
        <f>$BX$40&lt;=$BW$40</f>
        <v>0</v>
      </c>
      <c r="BU67" s="20" t="b">
        <f>$BX$41&lt;=$BW$41</f>
        <v>0</v>
      </c>
      <c r="BV67" s="20" t="b">
        <f>$BX$42&lt;=$BW$42</f>
        <v>0</v>
      </c>
      <c r="BW67" s="20" t="b">
        <f>$BX$43&lt;=$BW$43</f>
        <v>0</v>
      </c>
      <c r="BX67" s="20" t="b">
        <f>$BX$44&lt;=$BW$44</f>
        <v>0</v>
      </c>
      <c r="BY67" s="20" t="b">
        <f>$BX$45&lt;=$BW$45</f>
        <v>0</v>
      </c>
      <c r="BZ67" s="20" t="b">
        <f>$BX$46&lt;=$BW$46</f>
        <v>0</v>
      </c>
      <c r="CA67" s="20" t="b">
        <f>$BX$47&lt;=$BW$47</f>
        <v>0</v>
      </c>
      <c r="CD67" s="23"/>
    </row>
    <row r="68" spans="1:82" x14ac:dyDescent="0.25">
      <c r="A68" s="19"/>
      <c r="B68" s="20" t="str">
        <f t="shared" ref="B68:C71" si="109">B20</f>
        <v>SUMATERA</v>
      </c>
      <c r="C68" s="20">
        <f t="shared" si="109"/>
        <v>2035</v>
      </c>
      <c r="D68" s="30">
        <f>(sumatera!D44*3.6/(VLOOKUP(D$51,tech_data!$B$2:$J$15,4,FALSE)/100))/1000</f>
        <v>542.91093177874109</v>
      </c>
      <c r="E68" s="30">
        <f>(sumatera!E44*3.6/(VLOOKUP(E$51,tech_data!$B$2:$J$15,4,FALSE)/100))/1000</f>
        <v>231.30177246217863</v>
      </c>
      <c r="F68" s="30">
        <f>(sumatera!F44*3.6/(VLOOKUP(F$51,tech_data!$B$2:$J$15,4,FALSE)/100))/1000</f>
        <v>226.29268321064063</v>
      </c>
      <c r="G68" s="30">
        <f>(sumatera!G44*3.6/(VLOOKUP(G$51,tech_data!$B$2:$J$15,4,FALSE)/100))/1000</f>
        <v>146.6618369325505</v>
      </c>
      <c r="H68" s="30">
        <f>(sumatera!H44*3.6/(VLOOKUP(H$51,tech_data!$B$2:$J$15,4,FALSE)/100))/1000</f>
        <v>430.96621357218692</v>
      </c>
      <c r="I68" s="30">
        <f>(sumatera!I44*3.6/(VLOOKUP(I$51,tech_data!$B$2:$J$15,4,FALSE)/100))/1000</f>
        <v>53.976874819984666</v>
      </c>
      <c r="J68" s="30">
        <f>(sumatera!J44*3.6/(VLOOKUP(J$51,tech_data!$B$2:$J$15,4,FALSE)/100))/1000</f>
        <v>81.858351663958075</v>
      </c>
      <c r="K68" s="30">
        <f t="shared" ref="K68:L68" si="110">K44*3.6/1000</f>
        <v>35.357658930923883</v>
      </c>
      <c r="L68" s="30">
        <f t="shared" si="110"/>
        <v>31.061235739182585</v>
      </c>
      <c r="M68" s="30">
        <f>(sumatera!M44*3.6/(VLOOKUP(M$51,tech_data!$B$2:$J$15,4,FALSE)/100))/1000</f>
        <v>1.2371588513475762</v>
      </c>
      <c r="N68" s="30">
        <f t="shared" ref="N68" si="111">N44*3.6/1000</f>
        <v>0.1124831083479262</v>
      </c>
      <c r="O68" s="30">
        <f>(sumatera!O44*3.6/(VLOOKUP(O$51,tech_data!$B$2:$J$15,4,FALSE)/100))/1000</f>
        <v>0.62525490804195427</v>
      </c>
      <c r="P68" s="30">
        <v>0</v>
      </c>
      <c r="Q68" s="30">
        <f t="shared" si="71"/>
        <v>1782.3624559780847</v>
      </c>
      <c r="R68" s="30"/>
      <c r="T68" s="19"/>
      <c r="U68" s="20" t="str">
        <f t="shared" si="72"/>
        <v>SUMATERA</v>
      </c>
      <c r="V68" s="20">
        <f t="shared" si="72"/>
        <v>2035</v>
      </c>
      <c r="W68" s="30">
        <f>D68*VLOOKUP(W$51,tech_data!$B$2:$K$15,10,FALSE)*1000</f>
        <v>54139078.11697606</v>
      </c>
      <c r="X68" s="30">
        <f>E68*VLOOKUP(X$51,tech_data!$B$2:$K$15,10,FALSE)*1000</f>
        <v>14363840.069901293</v>
      </c>
      <c r="Y68" s="30">
        <f>F68*VLOOKUP(Y$51,tech_data!$B$2:$K$15,10,FALSE)*1000</f>
        <v>14052775.627380783</v>
      </c>
      <c r="Z68" s="30">
        <f>G68*VLOOKUP(Z$51,tech_data!$B$2:$K$15,10,FALSE)*1000</f>
        <v>11024570.282219822</v>
      </c>
      <c r="AA68" s="30">
        <f>H44*VLOOKUP(AA$51,tech_data!$B$2:$K$15,10,FALSE)/1000</f>
        <v>1016.541556263396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139007.16853741367</v>
      </c>
      <c r="AG68" s="30">
        <f>N68*VLOOKUP(AG$51,tech_data!$B$2:$K$15,10,FALSE)*1000</f>
        <v>0</v>
      </c>
      <c r="AH68" s="30">
        <f>O68*VLOOKUP(AH$51,tech_data!$B$2:$K$15,10,FALSE)*1000</f>
        <v>17363.32879632507</v>
      </c>
      <c r="AI68" s="30"/>
      <c r="AJ68" s="30">
        <f t="shared" si="73"/>
        <v>93737651.135367975</v>
      </c>
      <c r="AK68" s="25">
        <f t="shared" si="79"/>
        <v>6.7000000002337898E-2</v>
      </c>
      <c r="AL68" s="24">
        <f t="shared" si="86"/>
        <v>6.7000000000000004E-2</v>
      </c>
      <c r="AM68" s="26"/>
      <c r="AN68" s="24"/>
      <c r="AO68" s="20" t="str">
        <f t="shared" si="74"/>
        <v>SUMATERA</v>
      </c>
      <c r="AP68" s="20">
        <f t="shared" si="74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1080.185004800366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1264.5169646292791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1211.0404148437631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29.724764363850394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122.71695200258007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121.34489674089976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154.8001092142471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57.662368578070797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155.27103355315384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1.8412553866798367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1.4050624736945347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3.8436901906115271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0.72244535158616918</v>
      </c>
      <c r="BD68" s="30">
        <f t="shared" si="80"/>
        <v>4205.0749621287832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109"/>
        <v>SUMATERA</v>
      </c>
      <c r="C69" s="20">
        <f t="shared" si="109"/>
        <v>2036</v>
      </c>
      <c r="D69" s="30">
        <f>(sumatera!D45*3.6/(VLOOKUP(D$51,tech_data!$B$2:$J$15,4,FALSE)/100))/1000</f>
        <v>589.25085431457524</v>
      </c>
      <c r="E69" s="30">
        <f>(sumatera!E45*3.6/(VLOOKUP(E$51,tech_data!$B$2:$J$15,4,FALSE)/100))/1000</f>
        <v>242.28850061915807</v>
      </c>
      <c r="F69" s="30">
        <f>(sumatera!F45*3.6/(VLOOKUP(F$51,tech_data!$B$2:$J$15,4,FALSE)/100))/1000</f>
        <v>232.05001344365746</v>
      </c>
      <c r="G69" s="30">
        <f>(sumatera!G45*3.6/(VLOOKUP(G$51,tech_data!$B$2:$J$15,4,FALSE)/100))/1000</f>
        <v>146.66183689344163</v>
      </c>
      <c r="H69" s="30">
        <f>(sumatera!H45*3.6/(VLOOKUP(H$51,tech_data!$B$2:$J$15,4,FALSE)/100))/1000</f>
        <v>755.61742315575759</v>
      </c>
      <c r="I69" s="30">
        <f>(sumatera!I45*3.6/(VLOOKUP(I$51,tech_data!$B$2:$J$15,4,FALSE)/100))/1000</f>
        <v>58.177561905291071</v>
      </c>
      <c r="J69" s="30">
        <f>(sumatera!J45*3.6/(VLOOKUP(J$51,tech_data!$B$2:$J$15,4,FALSE)/100))/1000</f>
        <v>90.725648975628303</v>
      </c>
      <c r="K69" s="30">
        <f t="shared" ref="K69:L69" si="112">K45*3.6/1000</f>
        <v>36.043258883315644</v>
      </c>
      <c r="L69" s="30">
        <f t="shared" si="112"/>
        <v>32.976944234569721</v>
      </c>
      <c r="M69" s="30">
        <f>(sumatera!M45*3.6/(VLOOKUP(M$51,tech_data!$B$2:$J$15,4,FALSE)/100))/1000</f>
        <v>5.3129413767741127</v>
      </c>
      <c r="N69" s="30">
        <f t="shared" ref="N69" si="113">N45*3.6/1000</f>
        <v>0.12896435932604028</v>
      </c>
      <c r="O69" s="30">
        <f>(sumatera!O45*3.6/(VLOOKUP(O$51,tech_data!$B$2:$J$15,4,FALSE)/100))/1000</f>
        <v>6.4218893240168846</v>
      </c>
      <c r="P69" s="30">
        <v>0</v>
      </c>
      <c r="Q69" s="30">
        <f t="shared" si="71"/>
        <v>2195.6558374855113</v>
      </c>
      <c r="R69" s="30"/>
      <c r="T69" s="19"/>
      <c r="U69" s="20" t="str">
        <f t="shared" si="72"/>
        <v>SUMATERA</v>
      </c>
      <c r="V69" s="20">
        <f t="shared" si="72"/>
        <v>2036</v>
      </c>
      <c r="W69" s="30">
        <f>D69*VLOOKUP(W$51,tech_data!$B$2:$K$15,10,FALSE)*1000</f>
        <v>58760095.19224944</v>
      </c>
      <c r="X69" s="30">
        <f>E69*VLOOKUP(X$51,tech_data!$B$2:$K$15,10,FALSE)*1000</f>
        <v>15046115.888449715</v>
      </c>
      <c r="Y69" s="30">
        <f>F69*VLOOKUP(Y$51,tech_data!$B$2:$K$15,10,FALSE)*1000</f>
        <v>14410305.834851129</v>
      </c>
      <c r="Z69" s="30">
        <f>G69*VLOOKUP(Z$51,tech_data!$B$2:$K$15,10,FALSE)*1000</f>
        <v>11024570.279280007</v>
      </c>
      <c r="AA69" s="30">
        <f>H45*VLOOKUP(AA$51,tech_data!$B$2:$K$15,10,FALSE)/1000</f>
        <v>1782.3125968686434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596962.09309433924</v>
      </c>
      <c r="AG69" s="30">
        <f>N69*VLOOKUP(AG$51,tech_data!$B$2:$K$15,10,FALSE)*1000</f>
        <v>0</v>
      </c>
      <c r="AH69" s="30">
        <f>O69*VLOOKUP(AH$51,tech_data!$B$2:$K$15,10,FALSE)*1000</f>
        <v>178335.86652794891</v>
      </c>
      <c r="AI69" s="30"/>
      <c r="AJ69" s="30">
        <f t="shared" si="73"/>
        <v>100018167.46704945</v>
      </c>
      <c r="AK69" s="25">
        <f t="shared" si="79"/>
        <v>6.700099965820229E-2</v>
      </c>
      <c r="AL69" s="24">
        <f t="shared" si="86"/>
        <v>6.7000000000000004E-2</v>
      </c>
      <c r="AM69" s="26"/>
      <c r="AN69" s="24"/>
      <c r="AO69" s="20" t="str">
        <f t="shared" si="74"/>
        <v>SUMATERA</v>
      </c>
      <c r="AP69" s="20">
        <f t="shared" si="74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2121.8272458027986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445.27692460847555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530.01364335681046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29.721452742539558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7447.5826442445286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649.33516809036985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1024.9137592369964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174.62333941348783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375.71130179825803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261.78428109604602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8.9300054484152298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1043.8835109448364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1.5849981806753382</v>
      </c>
      <c r="BD69" s="30">
        <f t="shared" si="80"/>
        <v>14115.188274964239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109"/>
        <v>SUMATERA</v>
      </c>
      <c r="C70" s="20">
        <f t="shared" si="109"/>
        <v>2037</v>
      </c>
      <c r="D70" s="30">
        <f>(sumatera!D46*3.6/(VLOOKUP(D$51,tech_data!$B$2:$J$15,4,FALSE)/100))/1000</f>
        <v>628.72941644239324</v>
      </c>
      <c r="E70" s="30">
        <f>(sumatera!E46*3.6/(VLOOKUP(E$51,tech_data!$B$2:$J$15,4,FALSE)/100))/1000</f>
        <v>282.10523174905575</v>
      </c>
      <c r="F70" s="30">
        <f>(sumatera!F46*3.6/(VLOOKUP(F$51,tech_data!$B$2:$J$15,4,FALSE)/100))/1000</f>
        <v>236.7488080930967</v>
      </c>
      <c r="G70" s="30">
        <f>(sumatera!G46*3.6/(VLOOKUP(G$51,tech_data!$B$2:$J$15,4,FALSE)/100))/1000</f>
        <v>146.66184544885851</v>
      </c>
      <c r="H70" s="30">
        <f>(sumatera!H46*3.6/(VLOOKUP(H$51,tech_data!$B$2:$J$15,4,FALSE)/100))/1000</f>
        <v>755.61755478552277</v>
      </c>
      <c r="I70" s="30">
        <f>(sumatera!I46*3.6/(VLOOKUP(I$51,tech_data!$B$2:$J$15,4,FALSE)/100))/1000</f>
        <v>58.17757065918002</v>
      </c>
      <c r="J70" s="30">
        <f>(sumatera!J46*3.6/(VLOOKUP(J$51,tech_data!$B$2:$J$15,4,FALSE)/100))/1000</f>
        <v>90.725685557500867</v>
      </c>
      <c r="K70" s="30">
        <f t="shared" ref="K70:L70" si="114">K46*3.6/1000</f>
        <v>36.052548769945602</v>
      </c>
      <c r="L70" s="30">
        <f t="shared" si="114"/>
        <v>32.976948224280981</v>
      </c>
      <c r="M70" s="30">
        <f>(sumatera!M46*3.6/(VLOOKUP(M$51,tech_data!$B$2:$J$15,4,FALSE)/100))/1000</f>
        <v>5.3129413767741127</v>
      </c>
      <c r="N70" s="30">
        <f t="shared" ref="N70" si="115">N46*3.6/1000</f>
        <v>0.12897200016003871</v>
      </c>
      <c r="O70" s="30">
        <f>(sumatera!O46*3.6/(VLOOKUP(O$51,tech_data!$B$2:$J$15,4,FALSE)/100))/1000</f>
        <v>6.4218969075882315</v>
      </c>
      <c r="P70" s="30">
        <v>0</v>
      </c>
      <c r="Q70" s="30">
        <f t="shared" si="71"/>
        <v>2279.6594200143572</v>
      </c>
      <c r="R70" s="30"/>
      <c r="T70" s="19"/>
      <c r="U70" s="20" t="str">
        <f t="shared" si="72"/>
        <v>SUMATERA</v>
      </c>
      <c r="V70" s="20">
        <f t="shared" si="72"/>
        <v>2037</v>
      </c>
      <c r="W70" s="30">
        <f>D70*VLOOKUP(W$51,tech_data!$B$2:$K$15,10,FALSE)*1000</f>
        <v>62696897.407635458</v>
      </c>
      <c r="X70" s="30">
        <f>E70*VLOOKUP(X$51,tech_data!$B$2:$K$15,10,FALSE)*1000</f>
        <v>17518734.891616359</v>
      </c>
      <c r="Y70" s="30">
        <f>F70*VLOOKUP(Y$51,tech_data!$B$2:$K$15,10,FALSE)*1000</f>
        <v>14702100.982581304</v>
      </c>
      <c r="Z70" s="30">
        <f>G70*VLOOKUP(Z$51,tech_data!$B$2:$K$15,10,FALSE)*1000</f>
        <v>11024570.922390694</v>
      </c>
      <c r="AA70" s="30">
        <f>H46*VLOOKUP(AA$51,tech_data!$B$2:$K$15,10,FALSE)/1000</f>
        <v>1782.3129073503519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596962.09309433924</v>
      </c>
      <c r="AG70" s="30">
        <f>N70*VLOOKUP(AG$51,tech_data!$B$2:$K$15,10,FALSE)*1000</f>
        <v>0</v>
      </c>
      <c r="AH70" s="30">
        <f>O70*VLOOKUP(AH$51,tech_data!$B$2:$K$15,10,FALSE)*1000</f>
        <v>178336.07712372518</v>
      </c>
      <c r="AI70" s="30"/>
      <c r="AJ70" s="30">
        <f t="shared" si="73"/>
        <v>106719384.68734924</v>
      </c>
      <c r="AK70" s="25">
        <f t="shared" si="79"/>
        <v>6.7000000000074805E-2</v>
      </c>
      <c r="AL70" s="24">
        <f t="shared" si="86"/>
        <v>6.7000000000000004E-2</v>
      </c>
      <c r="AM70" s="26"/>
      <c r="AN70" s="24"/>
      <c r="AO70" s="20" t="str">
        <f t="shared" si="74"/>
        <v>SUMATERA</v>
      </c>
      <c r="AP70" s="20">
        <f t="shared" si="74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1937.5274490081788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1169.2872215315742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495.79439612293811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29.721628818500516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215.13237497042587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130.78239373373117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171.56033870338868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60.363803401455058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153.09005370021416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7.9072157293656735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1.5905317555438701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39.39712981645593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0.67205802585259322</v>
      </c>
      <c r="BD70" s="30">
        <f t="shared" si="80"/>
        <v>4412.8265953176242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109"/>
        <v>SUMATERA</v>
      </c>
      <c r="C71" s="20">
        <f t="shared" si="109"/>
        <v>2038</v>
      </c>
      <c r="D71" s="30">
        <f>(sumatera!D47*3.6/(VLOOKUP(D$51,tech_data!$B$2:$J$15,4,FALSE)/100))/1000</f>
        <v>662.95950542488185</v>
      </c>
      <c r="E71" s="30">
        <f>(sumatera!E47*3.6/(VLOOKUP(E$51,tech_data!$B$2:$J$15,4,FALSE)/100))/1000</f>
        <v>334.01979579180346</v>
      </c>
      <c r="F71" s="30">
        <f>(sumatera!F47*3.6/(VLOOKUP(F$51,tech_data!$B$2:$J$15,4,FALSE)/100))/1000</f>
        <v>244.52036403615017</v>
      </c>
      <c r="G71" s="30">
        <f>(sumatera!G47*3.6/(VLOOKUP(G$51,tech_data!$B$2:$J$15,4,FALSE)/100))/1000</f>
        <v>146.97962396805693</v>
      </c>
      <c r="H71" s="30">
        <f>(sumatera!H47*3.6/(VLOOKUP(H$51,tech_data!$B$2:$J$15,4,FALSE)/100))/1000</f>
        <v>829.08122927959027</v>
      </c>
      <c r="I71" s="30">
        <f>(sumatera!I47*3.6/(VLOOKUP(I$51,tech_data!$B$2:$J$15,4,FALSE)/100))/1000</f>
        <v>58.398879334480057</v>
      </c>
      <c r="J71" s="30">
        <f>(sumatera!J47*3.6/(VLOOKUP(J$51,tech_data!$B$2:$J$15,4,FALSE)/100))/1000</f>
        <v>91.192854268469347</v>
      </c>
      <c r="K71" s="30">
        <f t="shared" ref="K71:L71" si="116">K47*3.6/1000</f>
        <v>72.687067502268988</v>
      </c>
      <c r="L71" s="30">
        <f t="shared" si="116"/>
        <v>33.077875363197101</v>
      </c>
      <c r="M71" s="30">
        <f>(sumatera!M47*3.6/(VLOOKUP(M$51,tech_data!$B$2:$J$15,4,FALSE)/100))/1000</f>
        <v>5.3129413767741127</v>
      </c>
      <c r="N71" s="30">
        <f t="shared" ref="N71" si="117">N47*3.6/1000</f>
        <v>0.16154614714575224</v>
      </c>
      <c r="O71" s="30">
        <f>(sumatera!O47*3.6/(VLOOKUP(O$51,tech_data!$B$2:$J$15,4,FALSE)/100))/1000</f>
        <v>6.6456512265339907</v>
      </c>
      <c r="P71" s="30">
        <v>0</v>
      </c>
      <c r="Q71" s="30">
        <f t="shared" si="71"/>
        <v>2485.0373337193528</v>
      </c>
      <c r="R71" s="30"/>
      <c r="T71" s="19"/>
      <c r="U71" s="20" t="str">
        <f t="shared" si="72"/>
        <v>SUMATERA</v>
      </c>
      <c r="V71" s="20">
        <f t="shared" si="72"/>
        <v>2038</v>
      </c>
      <c r="W71" s="30">
        <f>D71*VLOOKUP(W$51,tech_data!$B$2:$K$15,10,FALSE)*1000</f>
        <v>66110321.880969219</v>
      </c>
      <c r="X71" s="30">
        <f>E71*VLOOKUP(X$51,tech_data!$B$2:$K$15,10,FALSE)*1000</f>
        <v>20742629.318670996</v>
      </c>
      <c r="Y71" s="30">
        <f>F71*VLOOKUP(Y$51,tech_data!$B$2:$K$15,10,FALSE)*1000</f>
        <v>15184714.606644927</v>
      </c>
      <c r="Z71" s="30">
        <f>G71*VLOOKUP(Z$51,tech_data!$B$2:$K$15,10,FALSE)*1000</f>
        <v>11048458.33367884</v>
      </c>
      <c r="AA71" s="30">
        <f>H47*VLOOKUP(AA$51,tech_data!$B$2:$K$15,10,FALSE)/1000</f>
        <v>1955.5953495632336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596962.09309433924</v>
      </c>
      <c r="AG71" s="30">
        <f>N71*VLOOKUP(AG$51,tech_data!$B$2:$K$15,10,FALSE)*1000</f>
        <v>0</v>
      </c>
      <c r="AH71" s="30">
        <f>O71*VLOOKUP(AH$51,tech_data!$B$2:$K$15,10,FALSE)*1000</f>
        <v>184549.73456084891</v>
      </c>
      <c r="AI71" s="30"/>
      <c r="AJ71" s="30">
        <f t="shared" si="73"/>
        <v>113869591.56296873</v>
      </c>
      <c r="AK71" s="25">
        <f t="shared" si="79"/>
        <v>6.7000075914672025E-2</v>
      </c>
      <c r="AL71" s="24">
        <f>AL70</f>
        <v>6.7000000000000004E-2</v>
      </c>
      <c r="AM71" s="26"/>
      <c r="AN71" s="24"/>
      <c r="AO71" s="20" t="str">
        <f t="shared" si="74"/>
        <v>SUMATERA</v>
      </c>
      <c r="AP71" s="20">
        <f t="shared" si="74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1800.6823622326071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1499.3555824464413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623.71101522363722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36.232073606913275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1872.6401851093265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158.59826036175505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217.39885368627216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6308.5946809835414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165.28672399339285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7.9072157293656735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16.500902738445504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79.542420479712547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2.0329714869498465</v>
      </c>
      <c r="BD71" s="30">
        <f t="shared" si="80"/>
        <v>12788.483248078361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118">B28</f>
        <v>SUMATERA</v>
      </c>
      <c r="C76" s="20">
        <f t="shared" si="118"/>
        <v>2019</v>
      </c>
      <c r="D76" s="30">
        <f>D28*3.6/1000</f>
        <v>93.012781784640012</v>
      </c>
      <c r="E76" s="30">
        <f t="shared" ref="E76:O76" si="119">E28*3.6/1000</f>
        <v>13.49204520616615</v>
      </c>
      <c r="F76" s="30">
        <f t="shared" si="119"/>
        <v>12.846526816873848</v>
      </c>
      <c r="G76" s="30">
        <f t="shared" si="119"/>
        <v>44.877321683889235</v>
      </c>
      <c r="H76" s="30">
        <f t="shared" si="119"/>
        <v>15.815328258461541</v>
      </c>
      <c r="I76" s="30">
        <f t="shared" si="119"/>
        <v>31.323050685636925</v>
      </c>
      <c r="J76" s="30">
        <f t="shared" si="119"/>
        <v>1.4971445275569235</v>
      </c>
      <c r="K76" s="30">
        <f t="shared" si="119"/>
        <v>7.4834928000000007E-3</v>
      </c>
      <c r="L76" s="30">
        <f t="shared" si="119"/>
        <v>0</v>
      </c>
      <c r="M76" s="30">
        <f t="shared" si="119"/>
        <v>0.32908519495384614</v>
      </c>
      <c r="N76" s="30">
        <f t="shared" si="119"/>
        <v>0</v>
      </c>
      <c r="O76" s="30">
        <f t="shared" si="119"/>
        <v>0</v>
      </c>
      <c r="P76" s="30">
        <f>(sumatera!P52*3.6/(VLOOKUP(P$51,tech_data!$B$2:$J$15,4,FALSE)/100))/1000</f>
        <v>0</v>
      </c>
      <c r="Q76" s="30">
        <f t="shared" ref="Q76:Q95" si="120">SUM(D76:O76)</f>
        <v>213.20076765097846</v>
      </c>
      <c r="R76" s="30"/>
      <c r="S76" s="23"/>
      <c r="T76" s="19"/>
      <c r="U76" s="20" t="str">
        <f t="shared" ref="U76:V91" si="121">U28</f>
        <v>SUMATERA</v>
      </c>
      <c r="V76" s="20">
        <f t="shared" si="121"/>
        <v>2019</v>
      </c>
      <c r="W76" s="30">
        <f>D52*(1-(VLOOKUP(W$75,tech_data!$B$2:$O$15,4,FALSE)/100))</f>
        <v>147.53751593425656</v>
      </c>
      <c r="X76" s="30">
        <f>E52*(1-(VLOOKUP(X$75,tech_data!$B$2:$O$15,4,FALSE)/100))</f>
        <v>24.336118923271663</v>
      </c>
      <c r="Y76" s="30">
        <f>F52*(1-(VLOOKUP(Y$75,tech_data!$B$2:$O$15,4,FALSE)/100))</f>
        <v>9.1760905834813169</v>
      </c>
      <c r="Z76" s="30">
        <f>G52*(1-(VLOOKUP(Z$75,tech_data!$B$2:$O$15,4,FALSE)/100))</f>
        <v>52.682073281087362</v>
      </c>
      <c r="AA76" s="30">
        <f>H52*(1-(VLOOKUP(AA$75,tech_data!$B$2:$O$15,4,FALSE)/100))</f>
        <v>101.33525143384617</v>
      </c>
      <c r="AB76" s="30">
        <f>I52*(1-(VLOOKUP(AB$75,tech_data!$B$2:$O$15,4,FALSE)/100))</f>
        <v>1.648581615033524</v>
      </c>
      <c r="AC76" s="30">
        <f>J52*(1-(VLOOKUP(AC$75,tech_data!$B$2:$O$15,4,FALSE)/100))</f>
        <v>0.37428613188923077</v>
      </c>
      <c r="AD76" s="30">
        <f>K52*(1-(VLOOKUP(AD$75,tech_data!$B$2:$O$15,4,FALSE)/100))</f>
        <v>6.2861339520000007E-3</v>
      </c>
      <c r="AE76" s="30">
        <f>L52*(1-(VLOOKUP(AE$75,tech_data!$B$2:$O$15,4,FALSE)/100))</f>
        <v>0</v>
      </c>
      <c r="AF76" s="30">
        <f>M52*(1-(VLOOKUP(AF$75,tech_data!$B$2:$O$15,4,FALSE)/100))</f>
        <v>0.7324799500585607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(sumatera!AI52*3.6/(VLOOKUP(AI$51,tech_data!$B$2:$J$15,4,FALSE)/100))/1000</f>
        <v>0</v>
      </c>
      <c r="AJ76" s="30">
        <f t="shared" ref="AJ76:AJ95" si="122">SUM(W76:AH76)</f>
        <v>337.82868398687646</v>
      </c>
      <c r="AK76" s="30"/>
      <c r="AL76" s="23"/>
      <c r="AR76" s="30"/>
      <c r="AS76" s="30"/>
    </row>
    <row r="77" spans="1:82" x14ac:dyDescent="0.25">
      <c r="A77" s="19"/>
      <c r="B77" s="20" t="str">
        <f t="shared" si="118"/>
        <v>SUMATERA</v>
      </c>
      <c r="C77" s="20">
        <f t="shared" si="118"/>
        <v>2020</v>
      </c>
      <c r="D77" s="30">
        <f t="shared" ref="D77:O92" si="123">D29*3.6/1000</f>
        <v>98.124192830614831</v>
      </c>
      <c r="E77" s="30">
        <f t="shared" si="123"/>
        <v>13.49204520616615</v>
      </c>
      <c r="F77" s="30">
        <f t="shared" si="123"/>
        <v>22.590705026949465</v>
      </c>
      <c r="G77" s="30">
        <f t="shared" si="123"/>
        <v>44.877321683889235</v>
      </c>
      <c r="H77" s="30">
        <f t="shared" si="123"/>
        <v>15.815328258461541</v>
      </c>
      <c r="I77" s="30">
        <f t="shared" si="123"/>
        <v>33.626370770645003</v>
      </c>
      <c r="J77" s="30">
        <f t="shared" si="123"/>
        <v>4.3506335882815144</v>
      </c>
      <c r="K77" s="30">
        <f t="shared" si="123"/>
        <v>2.9557693573892996</v>
      </c>
      <c r="L77" s="30">
        <f t="shared" si="123"/>
        <v>1.0879960154846169</v>
      </c>
      <c r="M77" s="30">
        <f t="shared" si="123"/>
        <v>0.32908519495384614</v>
      </c>
      <c r="N77" s="30">
        <f t="shared" si="123"/>
        <v>1.9354753538016255E-2</v>
      </c>
      <c r="O77" s="30">
        <f t="shared" si="123"/>
        <v>0</v>
      </c>
      <c r="P77" s="30">
        <f>(sumatera!P53*3.6/(VLOOKUP(P$51,tech_data!$B$2:$J$15,4,FALSE)/100))/1000</f>
        <v>0</v>
      </c>
      <c r="Q77" s="30">
        <f t="shared" si="120"/>
        <v>237.26880268637348</v>
      </c>
      <c r="R77" s="30"/>
      <c r="S77" s="23"/>
      <c r="T77" s="19"/>
      <c r="U77" s="20" t="str">
        <f t="shared" si="121"/>
        <v>SUMATERA</v>
      </c>
      <c r="V77" s="20">
        <f t="shared" si="121"/>
        <v>2020</v>
      </c>
      <c r="W77" s="30">
        <f>D53*(1-(VLOOKUP(W$75,tech_data!$B$2:$O$15,4,FALSE)/100))</f>
        <v>155.64527138649248</v>
      </c>
      <c r="X77" s="30">
        <f>E53*(1-(VLOOKUP(X$75,tech_data!$B$2:$O$15,4,FALSE)/100))</f>
        <v>24.336118923271663</v>
      </c>
      <c r="Y77" s="30">
        <f>F53*(1-(VLOOKUP(Y$75,tech_data!$B$2:$O$15,4,FALSE)/100))</f>
        <v>16.136217876392472</v>
      </c>
      <c r="Z77" s="30">
        <f>G53*(1-(VLOOKUP(Z$75,tech_data!$B$2:$O$15,4,FALSE)/100))</f>
        <v>52.682073281087362</v>
      </c>
      <c r="AA77" s="30">
        <f>H53*(1-(VLOOKUP(AA$75,tech_data!$B$2:$O$15,4,FALSE)/100))</f>
        <v>101.33525143384617</v>
      </c>
      <c r="AB77" s="30">
        <f>I53*(1-(VLOOKUP(AB$75,tech_data!$B$2:$O$15,4,FALSE)/100))</f>
        <v>1.769808987928686</v>
      </c>
      <c r="AC77" s="30">
        <f>J53*(1-(VLOOKUP(AC$75,tech_data!$B$2:$O$15,4,FALSE)/100))</f>
        <v>1.0876583970703784</v>
      </c>
      <c r="AD77" s="30">
        <f>K53*(1-(VLOOKUP(AD$75,tech_data!$B$2:$O$15,4,FALSE)/100))</f>
        <v>2.4828462602070114</v>
      </c>
      <c r="AE77" s="30">
        <f>L53*(1-(VLOOKUP(AE$75,tech_data!$B$2:$O$15,4,FALSE)/100))</f>
        <v>0.44281437830223908</v>
      </c>
      <c r="AF77" s="30">
        <f>M53*(1-(VLOOKUP(AF$75,tech_data!$B$2:$O$15,4,FALSE)/100))</f>
        <v>0.7324799500585607</v>
      </c>
      <c r="AG77" s="30">
        <f>N53*(1-(VLOOKUP(AG$75,tech_data!$B$2:$O$15,4,FALSE)/100))</f>
        <v>1.7096698958581034E-3</v>
      </c>
      <c r="AH77" s="30">
        <f>O53*(1-(VLOOKUP(AH$75,tech_data!$B$2:$O$15,4,FALSE)/100))</f>
        <v>0</v>
      </c>
      <c r="AI77" s="30">
        <f>(sumatera!AI53*3.6/(VLOOKUP(AI$51,tech_data!$B$2:$J$15,4,FALSE)/100))/1000</f>
        <v>0</v>
      </c>
      <c r="AJ77" s="30">
        <f t="shared" si="122"/>
        <v>356.65225054455277</v>
      </c>
      <c r="AK77" s="30"/>
      <c r="AL77" s="23"/>
      <c r="AR77" s="30"/>
      <c r="AS77" s="30"/>
    </row>
    <row r="78" spans="1:82" x14ac:dyDescent="0.25">
      <c r="A78" s="19"/>
      <c r="B78" s="20" t="str">
        <f t="shared" si="118"/>
        <v>SUMATERA</v>
      </c>
      <c r="C78" s="20">
        <f t="shared" si="118"/>
        <v>2021</v>
      </c>
      <c r="D78" s="30">
        <f t="shared" si="123"/>
        <v>100.98634658329902</v>
      </c>
      <c r="E78" s="30">
        <f t="shared" si="123"/>
        <v>13.49204520616615</v>
      </c>
      <c r="F78" s="30">
        <f t="shared" si="123"/>
        <v>39.266366664317623</v>
      </c>
      <c r="G78" s="30">
        <f t="shared" si="123"/>
        <v>44.877321695236674</v>
      </c>
      <c r="H78" s="30">
        <f t="shared" si="123"/>
        <v>15.815328258461541</v>
      </c>
      <c r="I78" s="30">
        <f t="shared" si="123"/>
        <v>33.626370770645003</v>
      </c>
      <c r="J78" s="30">
        <f t="shared" si="123"/>
        <v>4.3506335882815144</v>
      </c>
      <c r="K78" s="30">
        <f t="shared" si="123"/>
        <v>2.9557693573892996</v>
      </c>
      <c r="L78" s="30">
        <f t="shared" si="123"/>
        <v>2.6605064409576111</v>
      </c>
      <c r="M78" s="30">
        <f t="shared" si="123"/>
        <v>0.32908519495384614</v>
      </c>
      <c r="N78" s="30">
        <f t="shared" si="123"/>
        <v>1.9354753538016255E-2</v>
      </c>
      <c r="O78" s="30">
        <f t="shared" si="123"/>
        <v>0</v>
      </c>
      <c r="P78" s="30">
        <f>(sumatera!P54*3.6/(VLOOKUP(P$51,tech_data!$B$2:$J$15,4,FALSE)/100))/1000</f>
        <v>0</v>
      </c>
      <c r="Q78" s="30">
        <f t="shared" si="120"/>
        <v>258.37912851324631</v>
      </c>
      <c r="R78" s="30"/>
      <c r="S78" s="23"/>
      <c r="T78" s="19"/>
      <c r="U78" s="20" t="str">
        <f t="shared" si="121"/>
        <v>SUMATERA</v>
      </c>
      <c r="V78" s="20">
        <f t="shared" si="121"/>
        <v>2021</v>
      </c>
      <c r="W78" s="30">
        <f>D54*(1-(VLOOKUP(W$75,tech_data!$B$2:$O$15,4,FALSE)/100))</f>
        <v>160.18523940799153</v>
      </c>
      <c r="X78" s="30">
        <f>E54*(1-(VLOOKUP(X$75,tech_data!$B$2:$O$15,4,FALSE)/100))</f>
        <v>24.336118923271663</v>
      </c>
      <c r="Y78" s="30">
        <f>F54*(1-(VLOOKUP(Y$75,tech_data!$B$2:$O$15,4,FALSE)/100))</f>
        <v>28.047404760226872</v>
      </c>
      <c r="Z78" s="30">
        <f>G54*(1-(VLOOKUP(Z$75,tech_data!$B$2:$O$15,4,FALSE)/100))</f>
        <v>52.682073294408262</v>
      </c>
      <c r="AA78" s="30">
        <f>H54*(1-(VLOOKUP(AA$75,tech_data!$B$2:$O$15,4,FALSE)/100))</f>
        <v>101.33525143384617</v>
      </c>
      <c r="AB78" s="30">
        <f>I54*(1-(VLOOKUP(AB$75,tech_data!$B$2:$O$15,4,FALSE)/100))</f>
        <v>1.769808987928686</v>
      </c>
      <c r="AC78" s="30">
        <f>J54*(1-(VLOOKUP(AC$75,tech_data!$B$2:$O$15,4,FALSE)/100))</f>
        <v>1.0876583970703784</v>
      </c>
      <c r="AD78" s="30">
        <f>K54*(1-(VLOOKUP(AD$75,tech_data!$B$2:$O$15,4,FALSE)/100))</f>
        <v>2.4828462602070114</v>
      </c>
      <c r="AE78" s="30">
        <f>L54*(1-(VLOOKUP(AE$75,tech_data!$B$2:$O$15,4,FALSE)/100))</f>
        <v>1.0828261214697479</v>
      </c>
      <c r="AF78" s="30">
        <f>M54*(1-(VLOOKUP(AF$75,tech_data!$B$2:$O$15,4,FALSE)/100))</f>
        <v>0.7324799500585607</v>
      </c>
      <c r="AG78" s="30">
        <f>N54*(1-(VLOOKUP(AG$75,tech_data!$B$2:$O$15,4,FALSE)/100))</f>
        <v>1.7096698958581034E-3</v>
      </c>
      <c r="AH78" s="30">
        <f>O54*(1-(VLOOKUP(AH$75,tech_data!$B$2:$O$15,4,FALSE)/100))</f>
        <v>0</v>
      </c>
      <c r="AI78" s="30">
        <f>(sumatera!AI54*3.6/(VLOOKUP(AI$51,tech_data!$B$2:$J$15,4,FALSE)/100))/1000</f>
        <v>0</v>
      </c>
      <c r="AJ78" s="30">
        <f t="shared" si="122"/>
        <v>373.74341720637466</v>
      </c>
      <c r="AK78" s="30"/>
      <c r="AL78" s="23"/>
      <c r="AR78" s="30"/>
      <c r="AS78" s="30"/>
    </row>
    <row r="79" spans="1:82" x14ac:dyDescent="0.25">
      <c r="A79" s="19"/>
      <c r="B79" s="20" t="str">
        <f t="shared" si="118"/>
        <v>SUMATERA</v>
      </c>
      <c r="C79" s="20">
        <f t="shared" si="118"/>
        <v>2022</v>
      </c>
      <c r="D79" s="30">
        <f t="shared" si="123"/>
        <v>103.14414301524728</v>
      </c>
      <c r="E79" s="30">
        <f t="shared" si="123"/>
        <v>13.49204520616615</v>
      </c>
      <c r="F79" s="30">
        <f t="shared" si="123"/>
        <v>58.312365753237714</v>
      </c>
      <c r="G79" s="30">
        <f t="shared" si="123"/>
        <v>45.47519906529287</v>
      </c>
      <c r="H79" s="30">
        <f t="shared" si="123"/>
        <v>15.815328258461541</v>
      </c>
      <c r="I79" s="30">
        <f t="shared" si="123"/>
        <v>33.626370770645003</v>
      </c>
      <c r="J79" s="30">
        <f t="shared" si="123"/>
        <v>4.3506335882815144</v>
      </c>
      <c r="K79" s="30">
        <f t="shared" si="123"/>
        <v>2.9557693573892996</v>
      </c>
      <c r="L79" s="30">
        <f t="shared" si="123"/>
        <v>2.6605064409576111</v>
      </c>
      <c r="M79" s="30">
        <f t="shared" si="123"/>
        <v>0.32908519495384614</v>
      </c>
      <c r="N79" s="30">
        <f t="shared" si="123"/>
        <v>1.9354753538016255E-2</v>
      </c>
      <c r="O79" s="30">
        <f t="shared" si="123"/>
        <v>0</v>
      </c>
      <c r="P79" s="30">
        <f>(sumatera!P55*3.6/(VLOOKUP(P$51,tech_data!$B$2:$J$15,4,FALSE)/100))/1000</f>
        <v>0</v>
      </c>
      <c r="Q79" s="30">
        <f t="shared" si="120"/>
        <v>280.18080140417084</v>
      </c>
      <c r="R79" s="30"/>
      <c r="S79" s="23"/>
      <c r="T79" s="19"/>
      <c r="U79" s="20" t="str">
        <f t="shared" si="121"/>
        <v>SUMATERA</v>
      </c>
      <c r="V79" s="20">
        <f t="shared" si="121"/>
        <v>2022</v>
      </c>
      <c r="W79" s="30">
        <f>D55*(1-(VLOOKUP(W$75,tech_data!$B$2:$O$15,4,FALSE)/100))</f>
        <v>163.60795098970257</v>
      </c>
      <c r="X79" s="30">
        <f>E55*(1-(VLOOKUP(X$75,tech_data!$B$2:$O$15,4,FALSE)/100))</f>
        <v>24.336118923271663</v>
      </c>
      <c r="Y79" s="30">
        <f>F55*(1-(VLOOKUP(Y$75,tech_data!$B$2:$O$15,4,FALSE)/100))</f>
        <v>41.651689823741215</v>
      </c>
      <c r="Z79" s="30">
        <f>G55*(1-(VLOOKUP(Z$75,tech_data!$B$2:$O$15,4,FALSE)/100))</f>
        <v>53.383929337517721</v>
      </c>
      <c r="AA79" s="30">
        <f>H55*(1-(VLOOKUP(AA$75,tech_data!$B$2:$O$15,4,FALSE)/100))</f>
        <v>101.33525143384617</v>
      </c>
      <c r="AB79" s="30">
        <f>I55*(1-(VLOOKUP(AB$75,tech_data!$B$2:$O$15,4,FALSE)/100))</f>
        <v>1.769808987928686</v>
      </c>
      <c r="AC79" s="30">
        <f>J55*(1-(VLOOKUP(AC$75,tech_data!$B$2:$O$15,4,FALSE)/100))</f>
        <v>1.0876583970703784</v>
      </c>
      <c r="AD79" s="30">
        <f>K55*(1-(VLOOKUP(AD$75,tech_data!$B$2:$O$15,4,FALSE)/100))</f>
        <v>2.4828462602070114</v>
      </c>
      <c r="AE79" s="30">
        <f>L55*(1-(VLOOKUP(AE$75,tech_data!$B$2:$O$15,4,FALSE)/100))</f>
        <v>1.0828261214697479</v>
      </c>
      <c r="AF79" s="30">
        <f>M55*(1-(VLOOKUP(AF$75,tech_data!$B$2:$O$15,4,FALSE)/100))</f>
        <v>0.7324799500585607</v>
      </c>
      <c r="AG79" s="30">
        <f>N55*(1-(VLOOKUP(AG$75,tech_data!$B$2:$O$15,4,FALSE)/100))</f>
        <v>1.7096698958581034E-3</v>
      </c>
      <c r="AH79" s="30">
        <f>O55*(1-(VLOOKUP(AH$75,tech_data!$B$2:$O$15,4,FALSE)/100))</f>
        <v>0</v>
      </c>
      <c r="AI79" s="30">
        <f>(sumatera!AI55*3.6/(VLOOKUP(AI$51,tech_data!$B$2:$J$15,4,FALSE)/100))/1000</f>
        <v>0</v>
      </c>
      <c r="AJ79" s="30">
        <f t="shared" si="122"/>
        <v>391.47226989470954</v>
      </c>
      <c r="AK79" s="30"/>
      <c r="AL79" s="23"/>
      <c r="AR79" s="30"/>
      <c r="AS79" s="30"/>
    </row>
    <row r="80" spans="1:82" x14ac:dyDescent="0.25">
      <c r="A80" s="19"/>
      <c r="B80" s="20" t="str">
        <f t="shared" si="118"/>
        <v>SUMATERA</v>
      </c>
      <c r="C80" s="20">
        <f t="shared" si="118"/>
        <v>2023</v>
      </c>
      <c r="D80" s="30">
        <f t="shared" si="123"/>
        <v>105.17834581442708</v>
      </c>
      <c r="E80" s="30">
        <f t="shared" si="123"/>
        <v>13.49204520616615</v>
      </c>
      <c r="F80" s="30">
        <f t="shared" si="123"/>
        <v>80.263552316713131</v>
      </c>
      <c r="G80" s="30">
        <f t="shared" si="123"/>
        <v>45.47519906529287</v>
      </c>
      <c r="H80" s="30">
        <f t="shared" si="123"/>
        <v>15.815328258461541</v>
      </c>
      <c r="I80" s="30">
        <f t="shared" si="123"/>
        <v>33.626370770645003</v>
      </c>
      <c r="J80" s="30">
        <f t="shared" si="123"/>
        <v>4.3506335882815144</v>
      </c>
      <c r="K80" s="30">
        <f t="shared" si="123"/>
        <v>2.9557693573892996</v>
      </c>
      <c r="L80" s="30">
        <f t="shared" si="123"/>
        <v>2.9858959108296892</v>
      </c>
      <c r="M80" s="30">
        <f t="shared" si="123"/>
        <v>0.32908519495384614</v>
      </c>
      <c r="N80" s="30">
        <f t="shared" si="123"/>
        <v>1.9354753538016255E-2</v>
      </c>
      <c r="O80" s="30">
        <f t="shared" si="123"/>
        <v>0</v>
      </c>
      <c r="P80" s="30">
        <f>(sumatera!P56*3.6/(VLOOKUP(P$51,tech_data!$B$2:$J$15,4,FALSE)/100))/1000</f>
        <v>0</v>
      </c>
      <c r="Q80" s="30">
        <f t="shared" si="120"/>
        <v>304.49158023669816</v>
      </c>
      <c r="R80" s="30"/>
      <c r="S80" s="23"/>
      <c r="T80" s="19"/>
      <c r="U80" s="20" t="str">
        <f t="shared" si="121"/>
        <v>SUMATERA</v>
      </c>
      <c r="V80" s="20">
        <f t="shared" si="121"/>
        <v>2023</v>
      </c>
      <c r="W80" s="30">
        <f>D56*(1-(VLOOKUP(W$75,tech_data!$B$2:$O$15,4,FALSE)/100))</f>
        <v>166.83461749874635</v>
      </c>
      <c r="X80" s="30">
        <f>E56*(1-(VLOOKUP(X$75,tech_data!$B$2:$O$15,4,FALSE)/100))</f>
        <v>24.336118923271663</v>
      </c>
      <c r="Y80" s="30">
        <f>F56*(1-(VLOOKUP(Y$75,tech_data!$B$2:$O$15,4,FALSE)/100))</f>
        <v>57.331108797652227</v>
      </c>
      <c r="Z80" s="30">
        <f>G56*(1-(VLOOKUP(Z$75,tech_data!$B$2:$O$15,4,FALSE)/100))</f>
        <v>53.383929337517721</v>
      </c>
      <c r="AA80" s="30">
        <f>H56*(1-(VLOOKUP(AA$75,tech_data!$B$2:$O$15,4,FALSE)/100))</f>
        <v>101.33525143384617</v>
      </c>
      <c r="AB80" s="30">
        <f>I56*(1-(VLOOKUP(AB$75,tech_data!$B$2:$O$15,4,FALSE)/100))</f>
        <v>1.769808987928686</v>
      </c>
      <c r="AC80" s="30">
        <f>J56*(1-(VLOOKUP(AC$75,tech_data!$B$2:$O$15,4,FALSE)/100))</f>
        <v>1.0876583970703784</v>
      </c>
      <c r="AD80" s="30">
        <f>K56*(1-(VLOOKUP(AD$75,tech_data!$B$2:$O$15,4,FALSE)/100))</f>
        <v>2.4828462602070114</v>
      </c>
      <c r="AE80" s="30">
        <f>L56*(1-(VLOOKUP(AE$75,tech_data!$B$2:$O$15,4,FALSE)/100))</f>
        <v>1.2152596357076837</v>
      </c>
      <c r="AF80" s="30">
        <f>M56*(1-(VLOOKUP(AF$75,tech_data!$B$2:$O$15,4,FALSE)/100))</f>
        <v>0.7324799500585607</v>
      </c>
      <c r="AG80" s="30">
        <f>N56*(1-(VLOOKUP(AG$75,tech_data!$B$2:$O$15,4,FALSE)/100))</f>
        <v>1.7096698958581034E-3</v>
      </c>
      <c r="AH80" s="30">
        <f>O56*(1-(VLOOKUP(AH$75,tech_data!$B$2:$O$15,4,FALSE)/100))</f>
        <v>0</v>
      </c>
      <c r="AI80" s="30">
        <f>(sumatera!AI56*3.6/(VLOOKUP(AI$51,tech_data!$B$2:$J$15,4,FALSE)/100))/1000</f>
        <v>0</v>
      </c>
      <c r="AJ80" s="30">
        <f t="shared" si="122"/>
        <v>410.51078889190228</v>
      </c>
      <c r="AK80" s="30"/>
      <c r="AL80" s="23"/>
      <c r="AR80" s="30"/>
      <c r="AS80" s="30"/>
    </row>
    <row r="81" spans="1:38" x14ac:dyDescent="0.25">
      <c r="A81" s="19"/>
      <c r="B81" s="20" t="str">
        <f t="shared" si="118"/>
        <v>SUMATERA</v>
      </c>
      <c r="C81" s="20">
        <f t="shared" si="118"/>
        <v>2024</v>
      </c>
      <c r="D81" s="30">
        <f t="shared" si="123"/>
        <v>108.69316222860613</v>
      </c>
      <c r="E81" s="30">
        <f t="shared" si="123"/>
        <v>13.49204520616615</v>
      </c>
      <c r="F81" s="30">
        <f t="shared" si="123"/>
        <v>93.606050166693905</v>
      </c>
      <c r="G81" s="30">
        <f t="shared" si="123"/>
        <v>49.91994758956087</v>
      </c>
      <c r="H81" s="30">
        <f t="shared" si="123"/>
        <v>15.815328258461541</v>
      </c>
      <c r="I81" s="30">
        <f t="shared" si="123"/>
        <v>33.626370770645003</v>
      </c>
      <c r="J81" s="30">
        <f t="shared" si="123"/>
        <v>4.3506335882815144</v>
      </c>
      <c r="K81" s="30">
        <f t="shared" si="123"/>
        <v>2.9557693573892996</v>
      </c>
      <c r="L81" s="30">
        <f t="shared" si="123"/>
        <v>14.004529070585381</v>
      </c>
      <c r="M81" s="30">
        <f t="shared" si="123"/>
        <v>0.32908519495384614</v>
      </c>
      <c r="N81" s="30">
        <f t="shared" si="123"/>
        <v>1.9354753538016255E-2</v>
      </c>
      <c r="O81" s="30">
        <f t="shared" si="123"/>
        <v>0</v>
      </c>
      <c r="P81" s="30">
        <f>(sumatera!P57*3.6/(VLOOKUP(P$51,tech_data!$B$2:$J$15,4,FALSE)/100))/1000</f>
        <v>0</v>
      </c>
      <c r="Q81" s="30">
        <f t="shared" si="120"/>
        <v>336.81227618488163</v>
      </c>
      <c r="R81" s="30"/>
      <c r="S81" s="23"/>
      <c r="T81" s="19"/>
      <c r="U81" s="20" t="str">
        <f t="shared" si="121"/>
        <v>SUMATERA</v>
      </c>
      <c r="V81" s="20">
        <f t="shared" si="121"/>
        <v>2024</v>
      </c>
      <c r="W81" s="30">
        <f>D57*(1-(VLOOKUP(W$75,tech_data!$B$2:$O$15,4,FALSE)/100))</f>
        <v>172.4098435350304</v>
      </c>
      <c r="X81" s="30">
        <f>E57*(1-(VLOOKUP(X$75,tech_data!$B$2:$O$15,4,FALSE)/100))</f>
        <v>24.336118923271663</v>
      </c>
      <c r="Y81" s="30">
        <f>F57*(1-(VLOOKUP(Y$75,tech_data!$B$2:$O$15,4,FALSE)/100))</f>
        <v>66.861464404781358</v>
      </c>
      <c r="Z81" s="30">
        <f>G57*(1-(VLOOKUP(Z$75,tech_data!$B$2:$O$15,4,FALSE)/100))</f>
        <v>58.601677605136672</v>
      </c>
      <c r="AA81" s="30">
        <f>H57*(1-(VLOOKUP(AA$75,tech_data!$B$2:$O$15,4,FALSE)/100))</f>
        <v>101.33525143384617</v>
      </c>
      <c r="AB81" s="30">
        <f>I57*(1-(VLOOKUP(AB$75,tech_data!$B$2:$O$15,4,FALSE)/100))</f>
        <v>1.769808987928686</v>
      </c>
      <c r="AC81" s="30">
        <f>J57*(1-(VLOOKUP(AC$75,tech_data!$B$2:$O$15,4,FALSE)/100))</f>
        <v>1.0876583970703784</v>
      </c>
      <c r="AD81" s="30">
        <f>K57*(1-(VLOOKUP(AD$75,tech_data!$B$2:$O$15,4,FALSE)/100))</f>
        <v>2.4828462602070114</v>
      </c>
      <c r="AE81" s="30">
        <f>L57*(1-(VLOOKUP(AE$75,tech_data!$B$2:$O$15,4,FALSE)/100))</f>
        <v>5.6998433317282506</v>
      </c>
      <c r="AF81" s="30">
        <f>M57*(1-(VLOOKUP(AF$75,tech_data!$B$2:$O$15,4,FALSE)/100))</f>
        <v>0.7324799500585607</v>
      </c>
      <c r="AG81" s="30">
        <f>N57*(1-(VLOOKUP(AG$75,tech_data!$B$2:$O$15,4,FALSE)/100))</f>
        <v>1.7096698958581034E-3</v>
      </c>
      <c r="AH81" s="30">
        <f>O57*(1-(VLOOKUP(AH$75,tech_data!$B$2:$O$15,4,FALSE)/100))</f>
        <v>0</v>
      </c>
      <c r="AI81" s="30">
        <f>(sumatera!AI57*3.6/(VLOOKUP(AI$51,tech_data!$B$2:$J$15,4,FALSE)/100))/1000</f>
        <v>0</v>
      </c>
      <c r="AJ81" s="30">
        <f t="shared" si="122"/>
        <v>435.31870249895496</v>
      </c>
      <c r="AK81" s="30"/>
      <c r="AL81" s="23"/>
    </row>
    <row r="82" spans="1:38" x14ac:dyDescent="0.25">
      <c r="A82" s="19"/>
      <c r="B82" s="20" t="str">
        <f t="shared" si="118"/>
        <v>SUMATERA</v>
      </c>
      <c r="C82" s="20">
        <f t="shared" si="118"/>
        <v>2025</v>
      </c>
      <c r="D82" s="30">
        <f t="shared" si="123"/>
        <v>111.04121527608241</v>
      </c>
      <c r="E82" s="30">
        <f t="shared" si="123"/>
        <v>13.49204520616615</v>
      </c>
      <c r="F82" s="30">
        <f t="shared" si="123"/>
        <v>95.661950038007618</v>
      </c>
      <c r="G82" s="30">
        <f t="shared" si="123"/>
        <v>64.810727284167314</v>
      </c>
      <c r="H82" s="30">
        <f t="shared" si="123"/>
        <v>15.815328258461541</v>
      </c>
      <c r="I82" s="30">
        <f t="shared" si="123"/>
        <v>33.626370770645003</v>
      </c>
      <c r="J82" s="30">
        <f t="shared" si="123"/>
        <v>4.3506335882815144</v>
      </c>
      <c r="K82" s="30">
        <f t="shared" si="123"/>
        <v>3.3053898484308704</v>
      </c>
      <c r="L82" s="30">
        <f t="shared" si="123"/>
        <v>27.685480996703312</v>
      </c>
      <c r="M82" s="30">
        <f t="shared" si="123"/>
        <v>0.32908519495384614</v>
      </c>
      <c r="N82" s="30">
        <f t="shared" si="123"/>
        <v>1.9354753538016255E-2</v>
      </c>
      <c r="O82" s="30">
        <f t="shared" si="123"/>
        <v>0</v>
      </c>
      <c r="P82" s="30">
        <f>(sumatera!P58*3.6/(VLOOKUP(P$51,tech_data!$B$2:$J$15,4,FALSE)/100))/1000</f>
        <v>0</v>
      </c>
      <c r="Q82" s="30">
        <f t="shared" si="120"/>
        <v>370.13758121543765</v>
      </c>
      <c r="R82" s="30"/>
      <c r="S82" s="23"/>
      <c r="T82" s="19"/>
      <c r="U82" s="20" t="str">
        <f t="shared" si="121"/>
        <v>SUMATERA</v>
      </c>
      <c r="V82" s="20">
        <f t="shared" si="121"/>
        <v>2025</v>
      </c>
      <c r="W82" s="30">
        <f>D58*(1-(VLOOKUP(W$75,tech_data!$B$2:$O$15,4,FALSE)/100))</f>
        <v>176.13434147240656</v>
      </c>
      <c r="X82" s="30">
        <f>E58*(1-(VLOOKUP(X$75,tech_data!$B$2:$O$15,4,FALSE)/100))</f>
        <v>24.336118923271663</v>
      </c>
      <c r="Y82" s="30">
        <f>F58*(1-(VLOOKUP(Y$75,tech_data!$B$2:$O$15,4,FALSE)/100))</f>
        <v>68.329964312862572</v>
      </c>
      <c r="Z82" s="30">
        <f>G58*(1-(VLOOKUP(Z$75,tech_data!$B$2:$O$15,4,FALSE)/100))</f>
        <v>76.082158116196425</v>
      </c>
      <c r="AA82" s="30">
        <f>H58*(1-(VLOOKUP(AA$75,tech_data!$B$2:$O$15,4,FALSE)/100))</f>
        <v>101.33525143384617</v>
      </c>
      <c r="AB82" s="30">
        <f>I58*(1-(VLOOKUP(AB$75,tech_data!$B$2:$O$15,4,FALSE)/100))</f>
        <v>1.769808987928686</v>
      </c>
      <c r="AC82" s="30">
        <f>J58*(1-(VLOOKUP(AC$75,tech_data!$B$2:$O$15,4,FALSE)/100))</f>
        <v>1.0876583970703784</v>
      </c>
      <c r="AD82" s="30">
        <f>K58*(1-(VLOOKUP(AD$75,tech_data!$B$2:$O$15,4,FALSE)/100))</f>
        <v>2.7765274726819311</v>
      </c>
      <c r="AE82" s="30">
        <f>L58*(1-(VLOOKUP(AE$75,tech_data!$B$2:$O$15,4,FALSE)/100))</f>
        <v>11.267990765658249</v>
      </c>
      <c r="AF82" s="30">
        <f>M58*(1-(VLOOKUP(AF$75,tech_data!$B$2:$O$15,4,FALSE)/100))</f>
        <v>0.7324799500585607</v>
      </c>
      <c r="AG82" s="30">
        <f>N58*(1-(VLOOKUP(AG$75,tech_data!$B$2:$O$15,4,FALSE)/100))</f>
        <v>1.7096698958581034E-3</v>
      </c>
      <c r="AH82" s="30">
        <f>O58*(1-(VLOOKUP(AH$75,tech_data!$B$2:$O$15,4,FALSE)/100))</f>
        <v>0</v>
      </c>
      <c r="AI82" s="30">
        <f>(sumatera!AI58*3.6/(VLOOKUP(AI$51,tech_data!$B$2:$J$15,4,FALSE)/100))/1000</f>
        <v>0</v>
      </c>
      <c r="AJ82" s="30">
        <f t="shared" si="122"/>
        <v>463.85400950187699</v>
      </c>
      <c r="AK82" s="30"/>
      <c r="AL82" s="23"/>
    </row>
    <row r="83" spans="1:38" x14ac:dyDescent="0.25">
      <c r="A83" s="19"/>
      <c r="B83" s="20" t="str">
        <f t="shared" si="118"/>
        <v>SUMATERA</v>
      </c>
      <c r="C83" s="20">
        <f t="shared" si="118"/>
        <v>2026</v>
      </c>
      <c r="D83" s="30">
        <f t="shared" si="123"/>
        <v>124.51950144302531</v>
      </c>
      <c r="E83" s="30">
        <f t="shared" si="123"/>
        <v>13.49205224765158</v>
      </c>
      <c r="F83" s="30">
        <f t="shared" si="123"/>
        <v>95.661958874693966</v>
      </c>
      <c r="G83" s="30">
        <f t="shared" si="123"/>
        <v>64.810748078873118</v>
      </c>
      <c r="H83" s="30">
        <f t="shared" si="123"/>
        <v>15.815396196088352</v>
      </c>
      <c r="I83" s="30">
        <f t="shared" si="123"/>
        <v>33.626400654392164</v>
      </c>
      <c r="J83" s="30">
        <f t="shared" si="123"/>
        <v>21.194805617558565</v>
      </c>
      <c r="K83" s="30">
        <f t="shared" si="123"/>
        <v>5.7893542617290183</v>
      </c>
      <c r="L83" s="30">
        <f t="shared" si="123"/>
        <v>27.685495340221163</v>
      </c>
      <c r="M83" s="30">
        <f t="shared" si="123"/>
        <v>0.32908519495384614</v>
      </c>
      <c r="N83" s="30">
        <f t="shared" si="123"/>
        <v>1.9354753538016255E-2</v>
      </c>
      <c r="O83" s="30">
        <f t="shared" si="123"/>
        <v>9.2713324956500397E-6</v>
      </c>
      <c r="P83" s="30">
        <f>(sumatera!P59*3.6/(VLOOKUP(P$51,tech_data!$B$2:$J$15,4,FALSE)/100))/1000</f>
        <v>0</v>
      </c>
      <c r="Q83" s="30">
        <f t="shared" si="120"/>
        <v>402.94416193405766</v>
      </c>
      <c r="R83" s="30"/>
      <c r="S83" s="23"/>
      <c r="T83" s="19"/>
      <c r="U83" s="20" t="str">
        <f t="shared" si="121"/>
        <v>SUMATERA</v>
      </c>
      <c r="V83" s="20">
        <f t="shared" si="121"/>
        <v>2026</v>
      </c>
      <c r="W83" s="30">
        <f>D59*(1-(VLOOKUP(W$75,tech_data!$B$2:$O$15,4,FALSE)/100))</f>
        <v>197.5136919441091</v>
      </c>
      <c r="X83" s="30">
        <f>E59*(1-(VLOOKUP(X$75,tech_data!$B$2:$O$15,4,FALSE)/100))</f>
        <v>24.336131624268742</v>
      </c>
      <c r="Y83" s="30">
        <f>F59*(1-(VLOOKUP(Y$75,tech_data!$B$2:$O$15,4,FALSE)/100))</f>
        <v>68.329970624781396</v>
      </c>
      <c r="Z83" s="30">
        <f>G59*(1-(VLOOKUP(Z$75,tech_data!$B$2:$O$15,4,FALSE)/100))</f>
        <v>76.082182527372794</v>
      </c>
      <c r="AA83" s="30">
        <f>H59*(1-(VLOOKUP(AA$75,tech_data!$B$2:$O$15,4,FALSE)/100))</f>
        <v>101.33568673789942</v>
      </c>
      <c r="AB83" s="30">
        <f>I59*(1-(VLOOKUP(AB$75,tech_data!$B$2:$O$15,4,FALSE)/100))</f>
        <v>1.7698105607574839</v>
      </c>
      <c r="AC83" s="30">
        <f>J59*(1-(VLOOKUP(AC$75,tech_data!$B$2:$O$15,4,FALSE)/100))</f>
        <v>5.2987014043896403</v>
      </c>
      <c r="AD83" s="30">
        <f>K59*(1-(VLOOKUP(AD$75,tech_data!$B$2:$O$15,4,FALSE)/100))</f>
        <v>4.8630575798523754</v>
      </c>
      <c r="AE83" s="30">
        <f>L59*(1-(VLOOKUP(AE$75,tech_data!$B$2:$O$15,4,FALSE)/100))</f>
        <v>11.267996603470014</v>
      </c>
      <c r="AF83" s="30">
        <f>M59*(1-(VLOOKUP(AF$75,tech_data!$B$2:$O$15,4,FALSE)/100))</f>
        <v>0.7324799500585607</v>
      </c>
      <c r="AG83" s="30">
        <f>N59*(1-(VLOOKUP(AG$75,tech_data!$B$2:$O$15,4,FALSE)/100))</f>
        <v>1.7096698958581034E-3</v>
      </c>
      <c r="AH83" s="30">
        <f>O59*(1-(VLOOKUP(AH$75,tech_data!$B$2:$O$15,4,FALSE)/100))</f>
        <v>2.3070525047315217E-5</v>
      </c>
      <c r="AI83" s="30">
        <f>(sumatera!AI59*3.6/(VLOOKUP(AI$51,tech_data!$B$2:$J$15,4,FALSE)/100))/1000</f>
        <v>0</v>
      </c>
      <c r="AJ83" s="30">
        <f t="shared" si="122"/>
        <v>491.53144229738047</v>
      </c>
      <c r="AK83" s="30"/>
      <c r="AL83" s="23"/>
    </row>
    <row r="84" spans="1:38" x14ac:dyDescent="0.25">
      <c r="A84" s="19"/>
      <c r="B84" s="20" t="str">
        <f t="shared" si="118"/>
        <v>SUMATERA</v>
      </c>
      <c r="C84" s="20">
        <f t="shared" si="118"/>
        <v>2027</v>
      </c>
      <c r="D84" s="30">
        <f t="shared" si="123"/>
        <v>138.90083356847501</v>
      </c>
      <c r="E84" s="30">
        <f t="shared" si="123"/>
        <v>13.492052236889799</v>
      </c>
      <c r="F84" s="30">
        <f t="shared" si="123"/>
        <v>95.661958874693966</v>
      </c>
      <c r="G84" s="30">
        <f t="shared" si="123"/>
        <v>64.810748060883043</v>
      </c>
      <c r="H84" s="30">
        <f t="shared" si="123"/>
        <v>15.81539617272745</v>
      </c>
      <c r="I84" s="30">
        <f t="shared" si="123"/>
        <v>45.001704071812775</v>
      </c>
      <c r="J84" s="30">
        <f t="shared" si="123"/>
        <v>54.330195825041045</v>
      </c>
      <c r="K84" s="30">
        <f t="shared" si="123"/>
        <v>13.022874306344773</v>
      </c>
      <c r="L84" s="30">
        <f t="shared" si="123"/>
        <v>27.87559411502124</v>
      </c>
      <c r="M84" s="30">
        <f t="shared" si="123"/>
        <v>0.32908519495384614</v>
      </c>
      <c r="N84" s="30">
        <f t="shared" si="123"/>
        <v>1.9354749938016259E-2</v>
      </c>
      <c r="O84" s="30">
        <f t="shared" si="123"/>
        <v>9.2713324956500397E-6</v>
      </c>
      <c r="P84" s="30">
        <f>(sumatera!P60*3.6/(VLOOKUP(P$51,tech_data!$B$2:$J$15,4,FALSE)/100))/1000</f>
        <v>0</v>
      </c>
      <c r="Q84" s="30">
        <f t="shared" si="120"/>
        <v>469.25980644811335</v>
      </c>
      <c r="R84" s="30"/>
      <c r="S84" s="23"/>
      <c r="T84" s="19"/>
      <c r="U84" s="20" t="str">
        <f t="shared" si="121"/>
        <v>SUMATERA</v>
      </c>
      <c r="V84" s="20">
        <f t="shared" si="121"/>
        <v>2027</v>
      </c>
      <c r="W84" s="30">
        <f>D60*(1-(VLOOKUP(W$75,tech_data!$B$2:$O$15,4,FALSE)/100))</f>
        <v>220.32546014309827</v>
      </c>
      <c r="X84" s="30">
        <f>E60*(1-(VLOOKUP(X$75,tech_data!$B$2:$O$15,4,FALSE)/100))</f>
        <v>24.336131604857304</v>
      </c>
      <c r="Y84" s="30">
        <f>F60*(1-(VLOOKUP(Y$75,tech_data!$B$2:$O$15,4,FALSE)/100))</f>
        <v>68.329970624781396</v>
      </c>
      <c r="Z84" s="30">
        <f>G60*(1-(VLOOKUP(Z$75,tech_data!$B$2:$O$15,4,FALSE)/100))</f>
        <v>76.082182506254</v>
      </c>
      <c r="AA84" s="30">
        <f>H60*(1-(VLOOKUP(AA$75,tech_data!$B$2:$O$15,4,FALSE)/100))</f>
        <v>101.33568658821662</v>
      </c>
      <c r="AB84" s="30">
        <f>I60*(1-(VLOOKUP(AB$75,tech_data!$B$2:$O$15,4,FALSE)/100))</f>
        <v>2.3685107406217272</v>
      </c>
      <c r="AC84" s="30">
        <f>J60*(1-(VLOOKUP(AC$75,tech_data!$B$2:$O$15,4,FALSE)/100))</f>
        <v>13.582548956260258</v>
      </c>
      <c r="AD84" s="30">
        <f>K60*(1-(VLOOKUP(AD$75,tech_data!$B$2:$O$15,4,FALSE)/100))</f>
        <v>10.939214417329609</v>
      </c>
      <c r="AE84" s="30">
        <f>L60*(1-(VLOOKUP(AE$75,tech_data!$B$2:$O$15,4,FALSE)/100))</f>
        <v>11.345366804813645</v>
      </c>
      <c r="AF84" s="30">
        <f>M60*(1-(VLOOKUP(AF$75,tech_data!$B$2:$O$15,4,FALSE)/100))</f>
        <v>0.7324799500585607</v>
      </c>
      <c r="AG84" s="30">
        <f>N60*(1-(VLOOKUP(AG$75,tech_data!$B$2:$O$15,4,FALSE)/100))</f>
        <v>1.7096695778581036E-3</v>
      </c>
      <c r="AH84" s="30">
        <f>O60*(1-(VLOOKUP(AH$75,tech_data!$B$2:$O$15,4,FALSE)/100))</f>
        <v>2.3070525047315217E-5</v>
      </c>
      <c r="AI84" s="30">
        <f>(sumatera!AI60*3.6/(VLOOKUP(AI$51,tech_data!$B$2:$J$15,4,FALSE)/100))/1000</f>
        <v>0</v>
      </c>
      <c r="AJ84" s="30">
        <f t="shared" si="122"/>
        <v>529.37928507639435</v>
      </c>
      <c r="AK84" s="30"/>
      <c r="AL84" s="23"/>
    </row>
    <row r="85" spans="1:38" x14ac:dyDescent="0.25">
      <c r="A85" s="19"/>
      <c r="B85" s="20" t="str">
        <f t="shared" si="118"/>
        <v>SUMATERA</v>
      </c>
      <c r="C85" s="20">
        <f t="shared" si="118"/>
        <v>2028</v>
      </c>
      <c r="D85" s="30">
        <f t="shared" si="123"/>
        <v>150.04776741050662</v>
      </c>
      <c r="E85" s="30">
        <f t="shared" si="123"/>
        <v>13.492052226128019</v>
      </c>
      <c r="F85" s="30">
        <f t="shared" si="123"/>
        <v>105.83164886926065</v>
      </c>
      <c r="G85" s="30">
        <f t="shared" si="123"/>
        <v>64.810748060883043</v>
      </c>
      <c r="H85" s="30">
        <f t="shared" si="123"/>
        <v>15.81539617272745</v>
      </c>
      <c r="I85" s="30">
        <f t="shared" si="123"/>
        <v>50.753244933864515</v>
      </c>
      <c r="J85" s="30">
        <f t="shared" si="123"/>
        <v>64.553814173099312</v>
      </c>
      <c r="K85" s="30">
        <f t="shared" si="123"/>
        <v>14.011138154057656</v>
      </c>
      <c r="L85" s="30">
        <f t="shared" si="123"/>
        <v>30.637253454979305</v>
      </c>
      <c r="M85" s="30">
        <f t="shared" si="123"/>
        <v>0.32908519495384614</v>
      </c>
      <c r="N85" s="30">
        <f t="shared" si="123"/>
        <v>8.4397886904657757E-2</v>
      </c>
      <c r="O85" s="30">
        <f t="shared" si="123"/>
        <v>9.2713324956500397E-6</v>
      </c>
      <c r="P85" s="30">
        <f>(sumatera!P61*3.6/(VLOOKUP(P$51,tech_data!$B$2:$J$15,4,FALSE)/100))/1000</f>
        <v>0</v>
      </c>
      <c r="Q85" s="30">
        <f t="shared" si="120"/>
        <v>510.36655580869751</v>
      </c>
      <c r="R85" s="30"/>
      <c r="S85" s="23"/>
      <c r="T85" s="19"/>
      <c r="U85" s="20" t="str">
        <f t="shared" si="121"/>
        <v>SUMATERA</v>
      </c>
      <c r="V85" s="20">
        <f t="shared" si="121"/>
        <v>2028</v>
      </c>
      <c r="W85" s="30">
        <f>D61*(1-(VLOOKUP(W$75,tech_data!$B$2:$O$15,4,FALSE)/100))</f>
        <v>238.00680347873461</v>
      </c>
      <c r="X85" s="30">
        <f>E61*(1-(VLOOKUP(X$75,tech_data!$B$2:$O$15,4,FALSE)/100))</f>
        <v>24.336131585445866</v>
      </c>
      <c r="Y85" s="30">
        <f>F61*(1-(VLOOKUP(Y$75,tech_data!$B$2:$O$15,4,FALSE)/100))</f>
        <v>75.594034906614738</v>
      </c>
      <c r="Z85" s="30">
        <f>G61*(1-(VLOOKUP(Z$75,tech_data!$B$2:$O$15,4,FALSE)/100))</f>
        <v>76.082182506254</v>
      </c>
      <c r="AA85" s="30">
        <f>H61*(1-(VLOOKUP(AA$75,tech_data!$B$2:$O$15,4,FALSE)/100))</f>
        <v>101.33568658821662</v>
      </c>
      <c r="AB85" s="30">
        <f>I61*(1-(VLOOKUP(AB$75,tech_data!$B$2:$O$15,4,FALSE)/100))</f>
        <v>2.6712234175718188</v>
      </c>
      <c r="AC85" s="30">
        <f>J61*(1-(VLOOKUP(AC$75,tech_data!$B$2:$O$15,4,FALSE)/100))</f>
        <v>16.138453543274824</v>
      </c>
      <c r="AD85" s="30">
        <f>K61*(1-(VLOOKUP(AD$75,tech_data!$B$2:$O$15,4,FALSE)/100))</f>
        <v>11.769356049408431</v>
      </c>
      <c r="AE85" s="30">
        <f>L61*(1-(VLOOKUP(AE$75,tech_data!$B$2:$O$15,4,FALSE)/100))</f>
        <v>12.469362156176578</v>
      </c>
      <c r="AF85" s="30">
        <f>M61*(1-(VLOOKUP(AF$75,tech_data!$B$2:$O$15,4,FALSE)/100))</f>
        <v>0.7324799500585607</v>
      </c>
      <c r="AG85" s="30">
        <f>N61*(1-(VLOOKUP(AG$75,tech_data!$B$2:$O$15,4,FALSE)/100))</f>
        <v>7.4551466765781053E-3</v>
      </c>
      <c r="AH85" s="30">
        <f>O61*(1-(VLOOKUP(AH$75,tech_data!$B$2:$O$15,4,FALSE)/100))</f>
        <v>2.3070525047315217E-5</v>
      </c>
      <c r="AI85" s="30">
        <f>(sumatera!AI61*3.6/(VLOOKUP(AI$51,tech_data!$B$2:$J$15,4,FALSE)/100))/1000</f>
        <v>0</v>
      </c>
      <c r="AJ85" s="30">
        <f t="shared" si="122"/>
        <v>559.14319239895758</v>
      </c>
      <c r="AK85" s="30"/>
      <c r="AL85" s="23"/>
    </row>
    <row r="86" spans="1:38" x14ac:dyDescent="0.25">
      <c r="A86" s="19"/>
      <c r="B86" s="20" t="str">
        <f t="shared" si="118"/>
        <v>SUMATERA</v>
      </c>
      <c r="C86" s="20">
        <f t="shared" si="118"/>
        <v>2029</v>
      </c>
      <c r="D86" s="30">
        <f t="shared" si="123"/>
        <v>150.04776741050662</v>
      </c>
      <c r="E86" s="30">
        <f t="shared" si="123"/>
        <v>15.374432816268822</v>
      </c>
      <c r="F86" s="30">
        <f t="shared" si="123"/>
        <v>107.44494827307989</v>
      </c>
      <c r="G86" s="30">
        <f t="shared" si="123"/>
        <v>64.810748060883043</v>
      </c>
      <c r="H86" s="30">
        <f t="shared" si="123"/>
        <v>15.81539617272745</v>
      </c>
      <c r="I86" s="30">
        <f t="shared" si="123"/>
        <v>50.753244933864515</v>
      </c>
      <c r="J86" s="30">
        <f t="shared" si="123"/>
        <v>64.553814173099312</v>
      </c>
      <c r="K86" s="30">
        <f t="shared" si="123"/>
        <v>14.011138154057656</v>
      </c>
      <c r="L86" s="30">
        <f t="shared" si="123"/>
        <v>30.637253454979305</v>
      </c>
      <c r="M86" s="30">
        <f t="shared" si="123"/>
        <v>0.32908519495384614</v>
      </c>
      <c r="N86" s="30">
        <f t="shared" si="123"/>
        <v>8.4398046954489075E-2</v>
      </c>
      <c r="O86" s="30">
        <f t="shared" si="123"/>
        <v>9.2713324956500397E-6</v>
      </c>
      <c r="P86" s="30">
        <f>(sumatera!P62*3.6/(VLOOKUP(P$51,tech_data!$B$2:$J$15,4,FALSE)/100))/1000</f>
        <v>0</v>
      </c>
      <c r="Q86" s="30">
        <f t="shared" si="120"/>
        <v>513.86223596270725</v>
      </c>
      <c r="R86" s="30"/>
      <c r="S86" s="23"/>
      <c r="T86" s="19"/>
      <c r="U86" s="20" t="str">
        <f t="shared" si="121"/>
        <v>SUMATERA</v>
      </c>
      <c r="V86" s="20">
        <f t="shared" si="121"/>
        <v>2029</v>
      </c>
      <c r="W86" s="30">
        <f>D62*(1-(VLOOKUP(W$75,tech_data!$B$2:$O$15,4,FALSE)/100))</f>
        <v>238.00680347873461</v>
      </c>
      <c r="X86" s="30">
        <f>E62*(1-(VLOOKUP(X$75,tech_data!$B$2:$O$15,4,FALSE)/100))</f>
        <v>27.731453584484886</v>
      </c>
      <c r="Y86" s="30">
        <f>F62*(1-(VLOOKUP(Y$75,tech_data!$B$2:$O$15,4,FALSE)/100))</f>
        <v>76.746391623628483</v>
      </c>
      <c r="Z86" s="30">
        <f>G62*(1-(VLOOKUP(Z$75,tech_data!$B$2:$O$15,4,FALSE)/100))</f>
        <v>76.082182506254</v>
      </c>
      <c r="AA86" s="30">
        <f>H62*(1-(VLOOKUP(AA$75,tech_data!$B$2:$O$15,4,FALSE)/100))</f>
        <v>101.33568658821662</v>
      </c>
      <c r="AB86" s="30">
        <f>I62*(1-(VLOOKUP(AB$75,tech_data!$B$2:$O$15,4,FALSE)/100))</f>
        <v>2.6712234175718188</v>
      </c>
      <c r="AC86" s="30">
        <f>J62*(1-(VLOOKUP(AC$75,tech_data!$B$2:$O$15,4,FALSE)/100))</f>
        <v>16.138453543274824</v>
      </c>
      <c r="AD86" s="30">
        <f>K62*(1-(VLOOKUP(AD$75,tech_data!$B$2:$O$15,4,FALSE)/100))</f>
        <v>11.769356049408431</v>
      </c>
      <c r="AE86" s="30">
        <f>L62*(1-(VLOOKUP(AE$75,tech_data!$B$2:$O$15,4,FALSE)/100))</f>
        <v>12.469362156176578</v>
      </c>
      <c r="AF86" s="30">
        <f>M62*(1-(VLOOKUP(AF$75,tech_data!$B$2:$O$15,4,FALSE)/100))</f>
        <v>0.7324799500585607</v>
      </c>
      <c r="AG86" s="30">
        <f>N62*(1-(VLOOKUP(AG$75,tech_data!$B$2:$O$15,4,FALSE)/100))</f>
        <v>7.4551608143132051E-3</v>
      </c>
      <c r="AH86" s="30">
        <f>O62*(1-(VLOOKUP(AH$75,tech_data!$B$2:$O$15,4,FALSE)/100))</f>
        <v>2.3070525047315217E-5</v>
      </c>
      <c r="AI86" s="30">
        <f>(sumatera!AI62*3.6/(VLOOKUP(AI$51,tech_data!$B$2:$J$15,4,FALSE)/100))/1000</f>
        <v>0</v>
      </c>
      <c r="AJ86" s="30">
        <f t="shared" si="122"/>
        <v>563.69087112914815</v>
      </c>
      <c r="AK86" s="30"/>
      <c r="AL86" s="23"/>
    </row>
    <row r="87" spans="1:38" x14ac:dyDescent="0.25">
      <c r="A87" s="19"/>
      <c r="B87" s="20" t="str">
        <f t="shared" si="118"/>
        <v>SUMATERA</v>
      </c>
      <c r="C87" s="20">
        <f t="shared" si="118"/>
        <v>2030</v>
      </c>
      <c r="D87" s="30">
        <f t="shared" si="123"/>
        <v>160.45408102919197</v>
      </c>
      <c r="E87" s="30">
        <f t="shared" si="123"/>
        <v>23.404484216643617</v>
      </c>
      <c r="F87" s="30">
        <f t="shared" si="123"/>
        <v>109.08050308742372</v>
      </c>
      <c r="G87" s="30">
        <f t="shared" si="123"/>
        <v>64.81077111386989</v>
      </c>
      <c r="H87" s="30">
        <f t="shared" si="123"/>
        <v>15.815482935762656</v>
      </c>
      <c r="I87" s="30">
        <f t="shared" si="123"/>
        <v>50.753285486470915</v>
      </c>
      <c r="J87" s="30">
        <f t="shared" si="123"/>
        <v>64.553886276200558</v>
      </c>
      <c r="K87" s="30">
        <f t="shared" si="123"/>
        <v>14.011145116663403</v>
      </c>
      <c r="L87" s="30">
        <f t="shared" si="123"/>
        <v>30.713147131439307</v>
      </c>
      <c r="M87" s="30">
        <f t="shared" si="123"/>
        <v>0.32908519495384614</v>
      </c>
      <c r="N87" s="30">
        <f t="shared" si="123"/>
        <v>8.4435320293009999E-2</v>
      </c>
      <c r="O87" s="30">
        <f t="shared" si="123"/>
        <v>1.9920001949989099E-5</v>
      </c>
      <c r="P87" s="30">
        <f>(sumatera!P63*3.6/(VLOOKUP(P$51,tech_data!$B$2:$J$15,4,FALSE)/100))/1000</f>
        <v>0</v>
      </c>
      <c r="Q87" s="30">
        <f t="shared" si="120"/>
        <v>534.0103268289148</v>
      </c>
      <c r="R87" s="30"/>
      <c r="S87" s="23"/>
      <c r="T87" s="19"/>
      <c r="U87" s="20" t="str">
        <f t="shared" si="121"/>
        <v>SUMATERA</v>
      </c>
      <c r="V87" s="20">
        <f t="shared" si="121"/>
        <v>2030</v>
      </c>
      <c r="W87" s="30">
        <f>D63*(1-(VLOOKUP(W$75,tech_data!$B$2:$O$15,4,FALSE)/100))</f>
        <v>254.51336990837342</v>
      </c>
      <c r="X87" s="30">
        <f>E63*(1-(VLOOKUP(X$75,tech_data!$B$2:$O$15,4,FALSE)/100))</f>
        <v>42.215564988899239</v>
      </c>
      <c r="Y87" s="30">
        <f>F63*(1-(VLOOKUP(Y$75,tech_data!$B$2:$O$15,4,FALSE)/100))</f>
        <v>77.914645062445516</v>
      </c>
      <c r="Z87" s="30">
        <f>G63*(1-(VLOOKUP(Z$75,tech_data!$B$2:$O$15,4,FALSE)/100))</f>
        <v>76.082209568455951</v>
      </c>
      <c r="AA87" s="30">
        <f>H63*(1-(VLOOKUP(AA$75,tech_data!$B$2:$O$15,4,FALSE)/100))</f>
        <v>101.33624251433108</v>
      </c>
      <c r="AB87" s="30">
        <f>I63*(1-(VLOOKUP(AB$75,tech_data!$B$2:$O$15,4,FALSE)/100))</f>
        <v>2.6712255519195245</v>
      </c>
      <c r="AC87" s="30">
        <f>J63*(1-(VLOOKUP(AC$75,tech_data!$B$2:$O$15,4,FALSE)/100))</f>
        <v>16.138471569050136</v>
      </c>
      <c r="AD87" s="30">
        <f>K63*(1-(VLOOKUP(AD$75,tech_data!$B$2:$O$15,4,FALSE)/100))</f>
        <v>11.769361897997259</v>
      </c>
      <c r="AE87" s="30">
        <f>L63*(1-(VLOOKUP(AE$75,tech_data!$B$2:$O$15,4,FALSE)/100))</f>
        <v>12.500250882495799</v>
      </c>
      <c r="AF87" s="30">
        <f>M63*(1-(VLOOKUP(AF$75,tech_data!$B$2:$O$15,4,FALSE)/100))</f>
        <v>0.7324799500585607</v>
      </c>
      <c r="AG87" s="30">
        <f>N63*(1-(VLOOKUP(AG$75,tech_data!$B$2:$O$15,4,FALSE)/100))</f>
        <v>7.4584532925492204E-3</v>
      </c>
      <c r="AH87" s="30">
        <f>O63*(1-(VLOOKUP(AH$75,tech_data!$B$2:$O$15,4,FALSE)/100))</f>
        <v>4.9568376945321714E-5</v>
      </c>
      <c r="AI87" s="30">
        <f>(sumatera!AI63*3.6/(VLOOKUP(AI$51,tech_data!$B$2:$J$15,4,FALSE)/100))/1000</f>
        <v>0</v>
      </c>
      <c r="AJ87" s="30">
        <f t="shared" si="122"/>
        <v>595.88132991569591</v>
      </c>
      <c r="AK87" s="30"/>
      <c r="AL87" s="23"/>
    </row>
    <row r="88" spans="1:38" x14ac:dyDescent="0.25">
      <c r="A88" s="19"/>
      <c r="B88" s="20" t="str">
        <f t="shared" si="118"/>
        <v>SUMATERA</v>
      </c>
      <c r="C88" s="20">
        <f t="shared" si="118"/>
        <v>2031</v>
      </c>
      <c r="D88" s="30">
        <f t="shared" si="123"/>
        <v>169.54174040570169</v>
      </c>
      <c r="E88" s="30">
        <f t="shared" si="123"/>
        <v>34.076640550455522</v>
      </c>
      <c r="F88" s="30">
        <f t="shared" si="123"/>
        <v>111.68216421826671</v>
      </c>
      <c r="G88" s="30">
        <f t="shared" si="123"/>
        <v>65.028553903455787</v>
      </c>
      <c r="H88" s="30">
        <f t="shared" si="123"/>
        <v>25.920469654087409</v>
      </c>
      <c r="I88" s="30">
        <f t="shared" si="123"/>
        <v>50.925209600165154</v>
      </c>
      <c r="J88" s="30">
        <f t="shared" si="123"/>
        <v>64.859503991628571</v>
      </c>
      <c r="K88" s="30">
        <f t="shared" si="123"/>
        <v>35.297043882988667</v>
      </c>
      <c r="L88" s="30">
        <f t="shared" si="123"/>
        <v>30.795681288620443</v>
      </c>
      <c r="M88" s="30">
        <f t="shared" si="123"/>
        <v>0.38351924391774866</v>
      </c>
      <c r="N88" s="30">
        <f t="shared" si="123"/>
        <v>0.10447285807396169</v>
      </c>
      <c r="O88" s="30">
        <f t="shared" si="123"/>
        <v>7.1607862628133678E-2</v>
      </c>
      <c r="P88" s="30">
        <f>(sumatera!P64*3.6/(VLOOKUP(P$51,tech_data!$B$2:$J$15,4,FALSE)/100))/1000</f>
        <v>0</v>
      </c>
      <c r="Q88" s="30">
        <f t="shared" si="120"/>
        <v>588.68660745998989</v>
      </c>
      <c r="R88" s="30"/>
      <c r="S88" s="23"/>
      <c r="T88" s="19"/>
      <c r="U88" s="20" t="str">
        <f t="shared" si="121"/>
        <v>SUMATERA</v>
      </c>
      <c r="V88" s="20">
        <f t="shared" si="121"/>
        <v>2031</v>
      </c>
      <c r="W88" s="30">
        <f>D64*(1-(VLOOKUP(W$75,tech_data!$B$2:$O$15,4,FALSE)/100))</f>
        <v>268.92827788490609</v>
      </c>
      <c r="X88" s="30">
        <f>E64*(1-(VLOOKUP(X$75,tech_data!$B$2:$O$15,4,FALSE)/100))</f>
        <v>61.465342301288935</v>
      </c>
      <c r="Y88" s="30">
        <f>F64*(1-(VLOOKUP(Y$75,tech_data!$B$2:$O$15,4,FALSE)/100))</f>
        <v>79.77297444161907</v>
      </c>
      <c r="Z88" s="30">
        <f>G64*(1-(VLOOKUP(Z$75,tech_data!$B$2:$O$15,4,FALSE)/100))</f>
        <v>76.337867625795923</v>
      </c>
      <c r="AA88" s="30">
        <f>H64*(1-(VLOOKUP(AA$75,tech_data!$B$2:$O$15,4,FALSE)/100))</f>
        <v>166.08300926507857</v>
      </c>
      <c r="AB88" s="30">
        <f>I64*(1-(VLOOKUP(AB$75,tech_data!$B$2:$O$15,4,FALSE)/100))</f>
        <v>2.6802741894823789</v>
      </c>
      <c r="AC88" s="30">
        <f>J64*(1-(VLOOKUP(AC$75,tech_data!$B$2:$O$15,4,FALSE)/100))</f>
        <v>16.214875997907139</v>
      </c>
      <c r="AD88" s="30">
        <f>K64*(1-(VLOOKUP(AD$75,tech_data!$B$2:$O$15,4,FALSE)/100))</f>
        <v>29.649516861710481</v>
      </c>
      <c r="AE88" s="30">
        <f>L64*(1-(VLOOKUP(AE$75,tech_data!$B$2:$O$15,4,FALSE)/100))</f>
        <v>12.533842284468522</v>
      </c>
      <c r="AF88" s="30">
        <f>M64*(1-(VLOOKUP(AF$75,tech_data!$B$2:$O$15,4,FALSE)/100))</f>
        <v>0.85363960742982747</v>
      </c>
      <c r="AG88" s="30">
        <f>N64*(1-(VLOOKUP(AG$75,tech_data!$B$2:$O$15,4,FALSE)/100))</f>
        <v>9.2284357965332874E-3</v>
      </c>
      <c r="AH88" s="30">
        <f>O64*(1-(VLOOKUP(AH$75,tech_data!$B$2:$O$15,4,FALSE)/100))</f>
        <v>0.17818700700489079</v>
      </c>
      <c r="AI88" s="30">
        <f>(sumatera!AI64*3.6/(VLOOKUP(AI$51,tech_data!$B$2:$J$15,4,FALSE)/100))/1000</f>
        <v>0</v>
      </c>
      <c r="AJ88" s="30">
        <f t="shared" si="122"/>
        <v>714.70703590248843</v>
      </c>
      <c r="AK88" s="30"/>
      <c r="AL88" s="23"/>
    </row>
    <row r="89" spans="1:38" x14ac:dyDescent="0.25">
      <c r="A89" s="19"/>
      <c r="B89" s="20" t="str">
        <f t="shared" si="118"/>
        <v>SUMATERA</v>
      </c>
      <c r="C89" s="20">
        <f t="shared" si="118"/>
        <v>2032</v>
      </c>
      <c r="D89" s="30">
        <f t="shared" si="123"/>
        <v>179.90623495173756</v>
      </c>
      <c r="E89" s="30">
        <f t="shared" si="123"/>
        <v>44.407662764991414</v>
      </c>
      <c r="F89" s="30">
        <f t="shared" si="123"/>
        <v>113.58209728817586</v>
      </c>
      <c r="G89" s="30">
        <f t="shared" si="123"/>
        <v>66.077529037223215</v>
      </c>
      <c r="H89" s="30">
        <f t="shared" si="123"/>
        <v>26.583795150178723</v>
      </c>
      <c r="I89" s="30">
        <f t="shared" si="123"/>
        <v>50.925377437428736</v>
      </c>
      <c r="J89" s="30">
        <f t="shared" si="123"/>
        <v>64.859802369320519</v>
      </c>
      <c r="K89" s="30">
        <f t="shared" si="123"/>
        <v>35.29707270397315</v>
      </c>
      <c r="L89" s="30">
        <f t="shared" si="123"/>
        <v>30.79576184717402</v>
      </c>
      <c r="M89" s="30">
        <f t="shared" si="123"/>
        <v>0.38351924391774866</v>
      </c>
      <c r="N89" s="30">
        <f t="shared" si="123"/>
        <v>0.10462717159467788</v>
      </c>
      <c r="O89" s="30">
        <f t="shared" si="123"/>
        <v>7.1651489819267375E-2</v>
      </c>
      <c r="P89" s="30">
        <f>(sumatera!P65*3.6/(VLOOKUP(P$51,tech_data!$B$2:$J$15,4,FALSE)/100))/1000</f>
        <v>0</v>
      </c>
      <c r="Q89" s="30">
        <f t="shared" si="120"/>
        <v>612.99513145553487</v>
      </c>
      <c r="R89" s="30"/>
      <c r="S89" s="23"/>
      <c r="T89" s="19"/>
      <c r="U89" s="20" t="str">
        <f t="shared" si="121"/>
        <v>SUMATERA</v>
      </c>
      <c r="V89" s="20">
        <f t="shared" si="121"/>
        <v>2032</v>
      </c>
      <c r="W89" s="30">
        <f>D65*(1-(VLOOKUP(W$75,tech_data!$B$2:$O$15,4,FALSE)/100))</f>
        <v>285.36851061310097</v>
      </c>
      <c r="X89" s="30">
        <f>E65*(1-(VLOOKUP(X$75,tech_data!$B$2:$O$15,4,FALSE)/100))</f>
        <v>80.099802931246202</v>
      </c>
      <c r="Y89" s="30">
        <f>F65*(1-(VLOOKUP(Y$75,tech_data!$B$2:$O$15,4,FALSE)/100))</f>
        <v>81.130069491554181</v>
      </c>
      <c r="Z89" s="30">
        <f>G65*(1-(VLOOKUP(Z$75,tech_data!$B$2:$O$15,4,FALSE)/100))</f>
        <v>77.569273217609876</v>
      </c>
      <c r="AA89" s="30">
        <f>H65*(1-(VLOOKUP(AA$75,tech_data!$B$2:$O$15,4,FALSE)/100))</f>
        <v>170.33320596225624</v>
      </c>
      <c r="AB89" s="30">
        <f>I65*(1-(VLOOKUP(AB$75,tech_data!$B$2:$O$15,4,FALSE)/100))</f>
        <v>2.6802830230225676</v>
      </c>
      <c r="AC89" s="30">
        <f>J65*(1-(VLOOKUP(AC$75,tech_data!$B$2:$O$15,4,FALSE)/100))</f>
        <v>16.214950592330126</v>
      </c>
      <c r="AD89" s="30">
        <f>K65*(1-(VLOOKUP(AD$75,tech_data!$B$2:$O$15,4,FALSE)/100))</f>
        <v>29.649541071337445</v>
      </c>
      <c r="AE89" s="30">
        <f>L65*(1-(VLOOKUP(AE$75,tech_data!$B$2:$O$15,4,FALSE)/100))</f>
        <v>12.533875071799827</v>
      </c>
      <c r="AF89" s="30">
        <f>M65*(1-(VLOOKUP(AF$75,tech_data!$B$2:$O$15,4,FALSE)/100))</f>
        <v>0.85363960742982747</v>
      </c>
      <c r="AG89" s="30">
        <f>N65*(1-(VLOOKUP(AG$75,tech_data!$B$2:$O$15,4,FALSE)/100))</f>
        <v>9.2420668241965497E-3</v>
      </c>
      <c r="AH89" s="30">
        <f>O65*(1-(VLOOKUP(AH$75,tech_data!$B$2:$O$15,4,FALSE)/100))</f>
        <v>0.17829556768980484</v>
      </c>
      <c r="AI89" s="30">
        <f>(sumatera!AI65*3.6/(VLOOKUP(AI$51,tech_data!$B$2:$J$15,4,FALSE)/100))/1000</f>
        <v>0</v>
      </c>
      <c r="AJ89" s="30">
        <f t="shared" si="122"/>
        <v>756.6206892162013</v>
      </c>
      <c r="AK89" s="30"/>
      <c r="AL89" s="23"/>
    </row>
    <row r="90" spans="1:38" x14ac:dyDescent="0.25">
      <c r="A90" s="19"/>
      <c r="B90" s="20" t="str">
        <f t="shared" si="118"/>
        <v>SUMATERA</v>
      </c>
      <c r="C90" s="20">
        <f t="shared" si="118"/>
        <v>2033</v>
      </c>
      <c r="D90" s="30">
        <f t="shared" si="123"/>
        <v>190.6519539346726</v>
      </c>
      <c r="E90" s="30">
        <f t="shared" si="123"/>
        <v>56.446473639064493</v>
      </c>
      <c r="F90" s="30">
        <f t="shared" si="123"/>
        <v>115.94586000884232</v>
      </c>
      <c r="G90" s="30">
        <f t="shared" si="123"/>
        <v>66.32267964178692</v>
      </c>
      <c r="H90" s="30">
        <f t="shared" si="123"/>
        <v>58.18032407368738</v>
      </c>
      <c r="I90" s="30">
        <f t="shared" si="123"/>
        <v>51.277976394838845</v>
      </c>
      <c r="J90" s="30">
        <f t="shared" si="123"/>
        <v>65.486585995700693</v>
      </c>
      <c r="K90" s="30">
        <f t="shared" si="123"/>
        <v>35.357649109209817</v>
      </c>
      <c r="L90" s="30">
        <f t="shared" si="123"/>
        <v>30.965025875640514</v>
      </c>
      <c r="M90" s="30">
        <f t="shared" si="123"/>
        <v>0.38351924391774866</v>
      </c>
      <c r="N90" s="30">
        <f t="shared" si="123"/>
        <v>0.11243585573911767</v>
      </c>
      <c r="O90" s="30">
        <f t="shared" si="123"/>
        <v>0.17922560248752892</v>
      </c>
      <c r="P90" s="30">
        <f>(sumatera!P66*3.6/(VLOOKUP(P$51,tech_data!$B$2:$J$15,4,FALSE)/100))/1000</f>
        <v>0</v>
      </c>
      <c r="Q90" s="30">
        <f t="shared" si="120"/>
        <v>671.309709375588</v>
      </c>
      <c r="R90" s="30"/>
      <c r="S90" s="23"/>
      <c r="T90" s="19"/>
      <c r="U90" s="20" t="str">
        <f t="shared" si="121"/>
        <v>SUMATERA</v>
      </c>
      <c r="V90" s="20">
        <f t="shared" si="121"/>
        <v>2033</v>
      </c>
      <c r="W90" s="30">
        <f>D66*(1-(VLOOKUP(W$75,tech_data!$B$2:$O$15,4,FALSE)/100))</f>
        <v>302.41344417223928</v>
      </c>
      <c r="X90" s="30">
        <f>E66*(1-(VLOOKUP(X$75,tech_data!$B$2:$O$15,4,FALSE)/100))</f>
        <v>101.81466740504156</v>
      </c>
      <c r="Y90" s="30">
        <f>F66*(1-(VLOOKUP(Y$75,tech_data!$B$2:$O$15,4,FALSE)/100))</f>
        <v>82.818471434887357</v>
      </c>
      <c r="Z90" s="30">
        <f>G66*(1-(VLOOKUP(Z$75,tech_data!$B$2:$O$15,4,FALSE)/100))</f>
        <v>77.857058709923777</v>
      </c>
      <c r="AA90" s="30">
        <f>H66*(1-(VLOOKUP(AA$75,tech_data!$B$2:$O$15,4,FALSE)/100))</f>
        <v>372.78503943510805</v>
      </c>
      <c r="AB90" s="30">
        <f>I66*(1-(VLOOKUP(AB$75,tech_data!$B$2:$O$15,4,FALSE)/100))</f>
        <v>2.6988408628862577</v>
      </c>
      <c r="AC90" s="30">
        <f>J66*(1-(VLOOKUP(AC$75,tech_data!$B$2:$O$15,4,FALSE)/100))</f>
        <v>16.37164649892517</v>
      </c>
      <c r="AD90" s="30">
        <f>K66*(1-(VLOOKUP(AD$75,tech_data!$B$2:$O$15,4,FALSE)/100))</f>
        <v>29.700425251736245</v>
      </c>
      <c r="AE90" s="30">
        <f>L66*(1-(VLOOKUP(AE$75,tech_data!$B$2:$O$15,4,FALSE)/100))</f>
        <v>12.602765531385691</v>
      </c>
      <c r="AF90" s="30">
        <f>M66*(1-(VLOOKUP(AF$75,tech_data!$B$2:$O$15,4,FALSE)/100))</f>
        <v>0.85363960742982747</v>
      </c>
      <c r="AG90" s="30">
        <f>N66*(1-(VLOOKUP(AG$75,tech_data!$B$2:$O$15,4,FALSE)/100))</f>
        <v>9.9318339236220653E-3</v>
      </c>
      <c r="AH90" s="30">
        <f>O66*(1-(VLOOKUP(AH$75,tech_data!$B$2:$O$15,4,FALSE)/100))</f>
        <v>0.44597998758524643</v>
      </c>
      <c r="AI90" s="30">
        <f>(sumatera!AI66*3.6/(VLOOKUP(AI$51,tech_data!$B$2:$J$15,4,FALSE)/100))/1000</f>
        <v>0</v>
      </c>
      <c r="AJ90" s="30">
        <f t="shared" si="122"/>
        <v>1000.371910731072</v>
      </c>
      <c r="AK90" s="30"/>
      <c r="AL90" s="23"/>
    </row>
    <row r="91" spans="1:38" x14ac:dyDescent="0.25">
      <c r="A91" s="19"/>
      <c r="B91" s="20" t="str">
        <f t="shared" si="118"/>
        <v>SUMATERA</v>
      </c>
      <c r="C91" s="20">
        <f t="shared" si="118"/>
        <v>2034</v>
      </c>
      <c r="D91" s="30">
        <f t="shared" si="123"/>
        <v>203.74251843224903</v>
      </c>
      <c r="E91" s="30">
        <f t="shared" si="123"/>
        <v>66.324920364252918</v>
      </c>
      <c r="F91" s="30">
        <f t="shared" si="123"/>
        <v>118.14315896527597</v>
      </c>
      <c r="G91" s="30">
        <f t="shared" si="123"/>
        <v>67.464369910946388</v>
      </c>
      <c r="H91" s="30">
        <f t="shared" si="123"/>
        <v>58.180330068551953</v>
      </c>
      <c r="I91" s="30">
        <f t="shared" si="123"/>
        <v>51.27798018584194</v>
      </c>
      <c r="J91" s="30">
        <f t="shared" si="123"/>
        <v>65.486590833802353</v>
      </c>
      <c r="K91" s="30">
        <f t="shared" si="123"/>
        <v>35.357650191695633</v>
      </c>
      <c r="L91" s="30">
        <f t="shared" si="123"/>
        <v>30.965934702938622</v>
      </c>
      <c r="M91" s="30">
        <f t="shared" si="123"/>
        <v>0.38351924391774866</v>
      </c>
      <c r="N91" s="30">
        <f t="shared" si="123"/>
        <v>0.11243631732731237</v>
      </c>
      <c r="O91" s="30">
        <f t="shared" si="123"/>
        <v>0.17922651126841374</v>
      </c>
      <c r="P91" s="30">
        <f>(sumatera!P67*3.6/(VLOOKUP(P$51,tech_data!$B$2:$J$15,4,FALSE)/100))/1000</f>
        <v>0</v>
      </c>
      <c r="Q91" s="30">
        <f t="shared" si="120"/>
        <v>697.61863572806828</v>
      </c>
      <c r="R91" s="30"/>
      <c r="S91" s="23"/>
      <c r="T91" s="19"/>
      <c r="U91" s="20" t="str">
        <f t="shared" si="121"/>
        <v>SUMATERA</v>
      </c>
      <c r="V91" s="20">
        <f t="shared" si="121"/>
        <v>2034</v>
      </c>
      <c r="W91" s="30">
        <f>D67*(1-(VLOOKUP(W$75,tech_data!$B$2:$O$15,4,FALSE)/100))</f>
        <v>323.17778785805018</v>
      </c>
      <c r="X91" s="30">
        <f>E67*(1-(VLOOKUP(X$75,tech_data!$B$2:$O$15,4,FALSE)/100))</f>
        <v>119.63280028318519</v>
      </c>
      <c r="Y91" s="30">
        <f>F67*(1-(VLOOKUP(Y$75,tech_data!$B$2:$O$15,4,FALSE)/100))</f>
        <v>84.387970689482813</v>
      </c>
      <c r="Z91" s="30">
        <f>G67*(1-(VLOOKUP(Z$75,tech_data!$B$2:$O$15,4,FALSE)/100))</f>
        <v>79.197303808502298</v>
      </c>
      <c r="AA91" s="30">
        <f>H67*(1-(VLOOKUP(AA$75,tech_data!$B$2:$O$15,4,FALSE)/100))</f>
        <v>372.78507784664765</v>
      </c>
      <c r="AB91" s="30">
        <f>I67*(1-(VLOOKUP(AB$75,tech_data!$B$2:$O$15,4,FALSE)/100))</f>
        <v>2.6988410624127361</v>
      </c>
      <c r="AC91" s="30">
        <f>J67*(1-(VLOOKUP(AC$75,tech_data!$B$2:$O$15,4,FALSE)/100))</f>
        <v>16.371647708450585</v>
      </c>
      <c r="AD91" s="30">
        <f>K67*(1-(VLOOKUP(AD$75,tech_data!$B$2:$O$15,4,FALSE)/100))</f>
        <v>29.700426161024332</v>
      </c>
      <c r="AE91" s="30">
        <f>L67*(1-(VLOOKUP(AE$75,tech_data!$B$2:$O$15,4,FALSE)/100))</f>
        <v>12.603135424096021</v>
      </c>
      <c r="AF91" s="30">
        <f>M67*(1-(VLOOKUP(AF$75,tech_data!$B$2:$O$15,4,FALSE)/100))</f>
        <v>0.85363960742982747</v>
      </c>
      <c r="AG91" s="30">
        <f>N67*(1-(VLOOKUP(AG$75,tech_data!$B$2:$O$15,4,FALSE)/100))</f>
        <v>9.9318746972459297E-3</v>
      </c>
      <c r="AH91" s="30">
        <f>O67*(1-(VLOOKUP(AH$75,tech_data!$B$2:$O$15,4,FALSE)/100))</f>
        <v>0.44598224897023886</v>
      </c>
      <c r="AI91" s="30">
        <f>(sumatera!AI67*3.6/(VLOOKUP(AI$51,tech_data!$B$2:$J$15,4,FALSE)/100))/1000</f>
        <v>0</v>
      </c>
      <c r="AJ91" s="30">
        <f t="shared" si="122"/>
        <v>1041.8645445729494</v>
      </c>
      <c r="AK91" s="30"/>
      <c r="AL91" s="23"/>
    </row>
    <row r="92" spans="1:38" x14ac:dyDescent="0.25">
      <c r="A92" s="19"/>
      <c r="B92" s="20" t="str">
        <f t="shared" ref="B92:C95" si="124">B44</f>
        <v>SUMATERA</v>
      </c>
      <c r="C92" s="20">
        <f t="shared" si="124"/>
        <v>2035</v>
      </c>
      <c r="D92" s="30">
        <f t="shared" si="123"/>
        <v>209.92556028777986</v>
      </c>
      <c r="E92" s="30">
        <f t="shared" si="123"/>
        <v>82.497632178177042</v>
      </c>
      <c r="F92" s="30">
        <f t="shared" si="123"/>
        <v>132.00406520620703</v>
      </c>
      <c r="G92" s="30">
        <f t="shared" si="123"/>
        <v>67.464444988973241</v>
      </c>
      <c r="H92" s="30">
        <f t="shared" si="123"/>
        <v>58.180438832245244</v>
      </c>
      <c r="I92" s="30">
        <f t="shared" si="123"/>
        <v>51.278031078985435</v>
      </c>
      <c r="J92" s="30">
        <f t="shared" si="123"/>
        <v>65.486681331166466</v>
      </c>
      <c r="K92" s="30">
        <f t="shared" si="123"/>
        <v>35.357658930923883</v>
      </c>
      <c r="L92" s="30">
        <f t="shared" si="123"/>
        <v>31.061235739182585</v>
      </c>
      <c r="M92" s="30">
        <f t="shared" si="123"/>
        <v>0.38351924391774866</v>
      </c>
      <c r="N92" s="30">
        <f t="shared" si="123"/>
        <v>0.1124831083479262</v>
      </c>
      <c r="O92" s="30">
        <f t="shared" si="123"/>
        <v>0.17923974030536025</v>
      </c>
      <c r="P92" s="30">
        <f>(sumatera!P68*3.6/(VLOOKUP(P$51,tech_data!$B$2:$J$15,4,FALSE)/100))/1000</f>
        <v>0</v>
      </c>
      <c r="Q92" s="30">
        <f t="shared" si="120"/>
        <v>733.93099066621176</v>
      </c>
      <c r="R92" s="30"/>
      <c r="S92" s="23"/>
      <c r="T92" s="19"/>
      <c r="U92" s="20" t="str">
        <f t="shared" ref="U92:V95" si="125">U44</f>
        <v>SUMATERA</v>
      </c>
      <c r="V92" s="20">
        <f t="shared" si="125"/>
        <v>2035</v>
      </c>
      <c r="W92" s="30">
        <f>D68*(1-(VLOOKUP(W$75,tech_data!$B$2:$O$15,4,FALSE)/100))</f>
        <v>332.9853714909612</v>
      </c>
      <c r="X92" s="30">
        <f>E68*(1-(VLOOKUP(X$75,tech_data!$B$2:$O$15,4,FALSE)/100))</f>
        <v>148.80414028400159</v>
      </c>
      <c r="Y92" s="30">
        <f>F68*(1-(VLOOKUP(Y$75,tech_data!$B$2:$O$15,4,FALSE)/100))</f>
        <v>94.288618004433587</v>
      </c>
      <c r="Z92" s="30">
        <f>G68*(1-(VLOOKUP(Z$75,tech_data!$B$2:$O$15,4,FALSE)/100))</f>
        <v>79.197391943577273</v>
      </c>
      <c r="AA92" s="30">
        <f>H68*(1-(VLOOKUP(AA$75,tech_data!$B$2:$O$15,4,FALSE)/100))</f>
        <v>372.7857747399417</v>
      </c>
      <c r="AB92" s="30">
        <f>I68*(1-(VLOOKUP(AB$75,tech_data!$B$2:$O$15,4,FALSE)/100))</f>
        <v>2.6988437409992359</v>
      </c>
      <c r="AC92" s="30">
        <f>J68*(1-(VLOOKUP(AC$75,tech_data!$B$2:$O$15,4,FALSE)/100))</f>
        <v>16.371670332791613</v>
      </c>
      <c r="AD92" s="30">
        <f>K68*(1-(VLOOKUP(AD$75,tech_data!$B$2:$O$15,4,FALSE)/100))</f>
        <v>29.700433501976061</v>
      </c>
      <c r="AE92" s="30">
        <f>L68*(1-(VLOOKUP(AE$75,tech_data!$B$2:$O$15,4,FALSE)/100))</f>
        <v>12.641922945847313</v>
      </c>
      <c r="AF92" s="30">
        <f>M68*(1-(VLOOKUP(AF$75,tech_data!$B$2:$O$15,4,FALSE)/100))</f>
        <v>0.85363960742982747</v>
      </c>
      <c r="AG92" s="30">
        <f>N68*(1-(VLOOKUP(AG$75,tech_data!$B$2:$O$15,4,FALSE)/100))</f>
        <v>9.9360079040668198E-3</v>
      </c>
      <c r="AH92" s="30">
        <f>O68*(1-(VLOOKUP(AH$75,tech_data!$B$2:$O$15,4,FALSE)/100))</f>
        <v>0.44601516773659405</v>
      </c>
      <c r="AI92" s="30">
        <f>(sumatera!AI68*3.6/(VLOOKUP(AI$51,tech_data!$B$2:$J$15,4,FALSE)/100))/1000</f>
        <v>0</v>
      </c>
      <c r="AJ92" s="30">
        <f t="shared" si="122"/>
        <v>1090.7837577676</v>
      </c>
      <c r="AK92" s="30"/>
      <c r="AL92" s="23"/>
    </row>
    <row r="93" spans="1:38" x14ac:dyDescent="0.25">
      <c r="A93" s="19"/>
      <c r="B93" s="20" t="str">
        <f t="shared" si="124"/>
        <v>SUMATERA</v>
      </c>
      <c r="C93" s="20">
        <f t="shared" si="124"/>
        <v>2036</v>
      </c>
      <c r="D93" s="30">
        <f t="shared" ref="D93:O95" si="126">D45*3.6/1000</f>
        <v>227.84366366830241</v>
      </c>
      <c r="E93" s="30">
        <f t="shared" si="126"/>
        <v>86.416231887499706</v>
      </c>
      <c r="F93" s="30">
        <f t="shared" si="126"/>
        <v>135.36250784213351</v>
      </c>
      <c r="G93" s="30">
        <f t="shared" si="126"/>
        <v>67.464444970983152</v>
      </c>
      <c r="H93" s="30">
        <f t="shared" si="126"/>
        <v>102.00835212602728</v>
      </c>
      <c r="I93" s="30">
        <f t="shared" si="126"/>
        <v>55.268683810026516</v>
      </c>
      <c r="J93" s="30">
        <f t="shared" si="126"/>
        <v>72.580519180502634</v>
      </c>
      <c r="K93" s="30">
        <f t="shared" si="126"/>
        <v>36.043258883315644</v>
      </c>
      <c r="L93" s="30">
        <f t="shared" si="126"/>
        <v>32.976944234569721</v>
      </c>
      <c r="M93" s="30">
        <f t="shared" si="126"/>
        <v>1.6470118267999749</v>
      </c>
      <c r="N93" s="30">
        <f t="shared" si="126"/>
        <v>0.12896435932604028</v>
      </c>
      <c r="O93" s="30">
        <f t="shared" si="126"/>
        <v>1.8409416062181736</v>
      </c>
      <c r="P93" s="30">
        <f>(sumatera!P69*3.6/(VLOOKUP(P$51,tech_data!$B$2:$J$15,4,FALSE)/100))/1000</f>
        <v>0</v>
      </c>
      <c r="Q93" s="30">
        <f t="shared" si="120"/>
        <v>819.58152439570461</v>
      </c>
      <c r="R93" s="30"/>
      <c r="S93" s="23"/>
      <c r="T93" s="19"/>
      <c r="U93" s="20" t="str">
        <f t="shared" si="125"/>
        <v>SUMATERA</v>
      </c>
      <c r="V93" s="20">
        <f t="shared" si="125"/>
        <v>2036</v>
      </c>
      <c r="W93" s="30">
        <f>D69*(1-(VLOOKUP(W$75,tech_data!$B$2:$O$15,4,FALSE)/100))</f>
        <v>361.4071906462728</v>
      </c>
      <c r="X93" s="30">
        <f>E69*(1-(VLOOKUP(X$75,tech_data!$B$2:$O$15,4,FALSE)/100))</f>
        <v>155.87226873165835</v>
      </c>
      <c r="Y93" s="30">
        <f>F69*(1-(VLOOKUP(Y$75,tech_data!$B$2:$O$15,4,FALSE)/100))</f>
        <v>96.687505601523938</v>
      </c>
      <c r="Z93" s="30">
        <f>G69*(1-(VLOOKUP(Z$75,tech_data!$B$2:$O$15,4,FALSE)/100))</f>
        <v>79.197391922458479</v>
      </c>
      <c r="AA93" s="30">
        <f>H69*(1-(VLOOKUP(AA$75,tech_data!$B$2:$O$15,4,FALSE)/100))</f>
        <v>653.60907102973033</v>
      </c>
      <c r="AB93" s="30">
        <f>I69*(1-(VLOOKUP(AB$75,tech_data!$B$2:$O$15,4,FALSE)/100))</f>
        <v>2.9088780952645563</v>
      </c>
      <c r="AC93" s="30">
        <f>J69*(1-(VLOOKUP(AC$75,tech_data!$B$2:$O$15,4,FALSE)/100))</f>
        <v>18.145129795125655</v>
      </c>
      <c r="AD93" s="30">
        <f>K69*(1-(VLOOKUP(AD$75,tech_data!$B$2:$O$15,4,FALSE)/100))</f>
        <v>30.27633746198514</v>
      </c>
      <c r="AE93" s="30">
        <f>L69*(1-(VLOOKUP(AE$75,tech_data!$B$2:$O$15,4,FALSE)/100))</f>
        <v>13.421616303469877</v>
      </c>
      <c r="AF93" s="30">
        <f>M69*(1-(VLOOKUP(AF$75,tech_data!$B$2:$O$15,4,FALSE)/100))</f>
        <v>3.6659295499741376</v>
      </c>
      <c r="AG93" s="30">
        <f>N69*(1-(VLOOKUP(AG$75,tech_data!$B$2:$O$15,4,FALSE)/100))</f>
        <v>1.1391851740466896E-2</v>
      </c>
      <c r="AH93" s="30">
        <f>O69*(1-(VLOOKUP(AH$75,tech_data!$B$2:$O$15,4,FALSE)/100))</f>
        <v>4.5809477177987112</v>
      </c>
      <c r="AI93" s="30">
        <f>(sumatera!AI69*3.6/(VLOOKUP(AI$51,tech_data!$B$2:$J$15,4,FALSE)/100))/1000</f>
        <v>0</v>
      </c>
      <c r="AJ93" s="30">
        <f t="shared" si="122"/>
        <v>1419.7836587070024</v>
      </c>
      <c r="AK93" s="30"/>
      <c r="AL93" s="23"/>
    </row>
    <row r="94" spans="1:38" x14ac:dyDescent="0.25">
      <c r="A94" s="19"/>
      <c r="B94" s="20" t="str">
        <f t="shared" si="124"/>
        <v>SUMATERA</v>
      </c>
      <c r="C94" s="20">
        <f t="shared" si="124"/>
        <v>2037</v>
      </c>
      <c r="D94" s="30">
        <f t="shared" si="126"/>
        <v>243.10870769105873</v>
      </c>
      <c r="E94" s="30">
        <f t="shared" si="126"/>
        <v>100.61753265716321</v>
      </c>
      <c r="F94" s="30">
        <f t="shared" si="126"/>
        <v>138.10347138763976</v>
      </c>
      <c r="G94" s="30">
        <f t="shared" si="126"/>
        <v>67.464448906474928</v>
      </c>
      <c r="H94" s="30">
        <f t="shared" si="126"/>
        <v>102.00836989604558</v>
      </c>
      <c r="I94" s="30">
        <f t="shared" si="126"/>
        <v>55.268692126221019</v>
      </c>
      <c r="J94" s="30">
        <f t="shared" si="126"/>
        <v>72.580548446000705</v>
      </c>
      <c r="K94" s="30">
        <f t="shared" si="126"/>
        <v>36.052548769945602</v>
      </c>
      <c r="L94" s="30">
        <f t="shared" si="126"/>
        <v>32.976948224280981</v>
      </c>
      <c r="M94" s="30">
        <f t="shared" si="126"/>
        <v>1.6470118267999749</v>
      </c>
      <c r="N94" s="30">
        <f t="shared" si="126"/>
        <v>0.12897200016003871</v>
      </c>
      <c r="O94" s="30">
        <f t="shared" si="126"/>
        <v>1.840943780175293</v>
      </c>
      <c r="P94" s="30">
        <f>(sumatera!P70*3.6/(VLOOKUP(P$51,tech_data!$B$2:$J$15,4,FALSE)/100))/1000</f>
        <v>0</v>
      </c>
      <c r="Q94" s="30">
        <f t="shared" si="120"/>
        <v>851.79819571196572</v>
      </c>
      <c r="R94" s="30"/>
      <c r="S94" s="23"/>
      <c r="T94" s="19"/>
      <c r="U94" s="20" t="str">
        <f t="shared" si="125"/>
        <v>SUMATERA</v>
      </c>
      <c r="V94" s="20">
        <f t="shared" si="125"/>
        <v>2037</v>
      </c>
      <c r="W94" s="30">
        <f>D70*(1-(VLOOKUP(W$75,tech_data!$B$2:$O$15,4,FALSE)/100))</f>
        <v>385.62070875133452</v>
      </c>
      <c r="X94" s="30">
        <f>E70*(1-(VLOOKUP(X$75,tech_data!$B$2:$O$15,4,FALSE)/100))</f>
        <v>181.48769909189252</v>
      </c>
      <c r="Y94" s="30">
        <f>F70*(1-(VLOOKUP(Y$75,tech_data!$B$2:$O$15,4,FALSE)/100))</f>
        <v>98.645336705456955</v>
      </c>
      <c r="Z94" s="30">
        <f>G70*(1-(VLOOKUP(Z$75,tech_data!$B$2:$O$15,4,FALSE)/100))</f>
        <v>79.197396542383601</v>
      </c>
      <c r="AA94" s="30">
        <f>H70*(1-(VLOOKUP(AA$75,tech_data!$B$2:$O$15,4,FALSE)/100))</f>
        <v>653.60918488947721</v>
      </c>
      <c r="AB94" s="30">
        <f>I70*(1-(VLOOKUP(AB$75,tech_data!$B$2:$O$15,4,FALSE)/100))</f>
        <v>2.9088785329590037</v>
      </c>
      <c r="AC94" s="30">
        <f>J70*(1-(VLOOKUP(AC$75,tech_data!$B$2:$O$15,4,FALSE)/100))</f>
        <v>18.145137111500169</v>
      </c>
      <c r="AD94" s="30">
        <f>K70*(1-(VLOOKUP(AD$75,tech_data!$B$2:$O$15,4,FALSE)/100))</f>
        <v>30.284140966754304</v>
      </c>
      <c r="AE94" s="30">
        <f>L70*(1-(VLOOKUP(AE$75,tech_data!$B$2:$O$15,4,FALSE)/100))</f>
        <v>13.421617927282361</v>
      </c>
      <c r="AF94" s="30">
        <f>M70*(1-(VLOOKUP(AF$75,tech_data!$B$2:$O$15,4,FALSE)/100))</f>
        <v>3.6659295499741376</v>
      </c>
      <c r="AG94" s="30">
        <f>N70*(1-(VLOOKUP(AG$75,tech_data!$B$2:$O$15,4,FALSE)/100))</f>
        <v>1.1392526680803424E-2</v>
      </c>
      <c r="AH94" s="30">
        <f>O70*(1-(VLOOKUP(AH$75,tech_data!$B$2:$O$15,4,FALSE)/100))</f>
        <v>4.5809531274129389</v>
      </c>
      <c r="AI94" s="30">
        <f>(sumatera!AI70*3.6/(VLOOKUP(AI$51,tech_data!$B$2:$J$15,4,FALSE)/100))/1000</f>
        <v>0</v>
      </c>
      <c r="AJ94" s="30">
        <f t="shared" si="122"/>
        <v>1471.5783757231084</v>
      </c>
      <c r="AK94" s="30"/>
      <c r="AL94" s="23"/>
    </row>
    <row r="95" spans="1:38" x14ac:dyDescent="0.25">
      <c r="A95" s="19"/>
      <c r="B95" s="20" t="str">
        <f t="shared" si="124"/>
        <v>SUMATERA</v>
      </c>
      <c r="C95" s="20">
        <f t="shared" si="124"/>
        <v>2038</v>
      </c>
      <c r="D95" s="30">
        <f t="shared" si="126"/>
        <v>256.34434209762099</v>
      </c>
      <c r="E95" s="30">
        <f t="shared" si="126"/>
        <v>119.13372716574322</v>
      </c>
      <c r="F95" s="30">
        <f t="shared" si="126"/>
        <v>142.63687902108759</v>
      </c>
      <c r="G95" s="30">
        <f t="shared" si="126"/>
        <v>67.610627025306201</v>
      </c>
      <c r="H95" s="30">
        <f t="shared" si="126"/>
        <v>111.92596595274469</v>
      </c>
      <c r="I95" s="30">
        <f t="shared" si="126"/>
        <v>55.478935367756051</v>
      </c>
      <c r="J95" s="30">
        <f t="shared" si="126"/>
        <v>72.954283414775489</v>
      </c>
      <c r="K95" s="30">
        <f t="shared" si="126"/>
        <v>72.687067502268988</v>
      </c>
      <c r="L95" s="30">
        <f t="shared" si="126"/>
        <v>33.077875363197101</v>
      </c>
      <c r="M95" s="30">
        <f t="shared" si="126"/>
        <v>1.6470118267999749</v>
      </c>
      <c r="N95" s="30">
        <f t="shared" si="126"/>
        <v>0.16154614714575224</v>
      </c>
      <c r="O95" s="30">
        <f t="shared" si="126"/>
        <v>1.9050866849397441</v>
      </c>
      <c r="P95" s="30">
        <f>(sumatera!P71*3.6/(VLOOKUP(P$51,tech_data!$B$2:$J$15,4,FALSE)/100))/1000</f>
        <v>0</v>
      </c>
      <c r="Q95" s="30">
        <f t="shared" si="120"/>
        <v>935.56334756938577</v>
      </c>
      <c r="R95" s="30"/>
      <c r="S95" s="23"/>
      <c r="T95" s="19"/>
      <c r="U95" s="20" t="str">
        <f t="shared" si="125"/>
        <v>SUMATERA</v>
      </c>
      <c r="V95" s="20">
        <f t="shared" si="125"/>
        <v>2038</v>
      </c>
      <c r="W95" s="30">
        <f>D71*(1-(VLOOKUP(W$75,tech_data!$B$2:$O$15,4,FALSE)/100))</f>
        <v>406.61516332726086</v>
      </c>
      <c r="X95" s="30">
        <f>E71*(1-(VLOOKUP(X$75,tech_data!$B$2:$O$15,4,FALSE)/100))</f>
        <v>214.88606862606022</v>
      </c>
      <c r="Y95" s="30">
        <f>F71*(1-(VLOOKUP(Y$75,tech_data!$B$2:$O$15,4,FALSE)/100))</f>
        <v>101.88348501506256</v>
      </c>
      <c r="Z95" s="30">
        <f>G71*(1-(VLOOKUP(Z$75,tech_data!$B$2:$O$15,4,FALSE)/100))</f>
        <v>79.368996942750741</v>
      </c>
      <c r="AA95" s="30">
        <f>H71*(1-(VLOOKUP(AA$75,tech_data!$B$2:$O$15,4,FALSE)/100))</f>
        <v>717.15526332684556</v>
      </c>
      <c r="AB95" s="30">
        <f>I71*(1-(VLOOKUP(AB$75,tech_data!$B$2:$O$15,4,FALSE)/100))</f>
        <v>2.9199439667240052</v>
      </c>
      <c r="AC95" s="30">
        <f>J71*(1-(VLOOKUP(AC$75,tech_data!$B$2:$O$15,4,FALSE)/100))</f>
        <v>18.238570853693865</v>
      </c>
      <c r="AD95" s="30">
        <f>K71*(1-(VLOOKUP(AD$75,tech_data!$B$2:$O$15,4,FALSE)/100))</f>
        <v>61.057136701905947</v>
      </c>
      <c r="AE95" s="30">
        <f>L71*(1-(VLOOKUP(AE$75,tech_data!$B$2:$O$15,4,FALSE)/100))</f>
        <v>13.462695272821222</v>
      </c>
      <c r="AF95" s="30">
        <f>M71*(1-(VLOOKUP(AF$75,tech_data!$B$2:$O$15,4,FALSE)/100))</f>
        <v>3.6659295499741376</v>
      </c>
      <c r="AG95" s="30">
        <f>N71*(1-(VLOOKUP(AG$75,tech_data!$B$2:$O$15,4,FALSE)/100))</f>
        <v>1.4269909664541456E-2</v>
      </c>
      <c r="AH95" s="30">
        <f>O71*(1-(VLOOKUP(AH$75,tech_data!$B$2:$O$15,4,FALSE)/100))</f>
        <v>4.7405645415942468</v>
      </c>
      <c r="AI95" s="30">
        <f>(sumatera!AI71*3.6/(VLOOKUP(AI$51,tech_data!$B$2:$J$15,4,FALSE)/100))/1000</f>
        <v>0</v>
      </c>
      <c r="AJ95" s="30">
        <f t="shared" si="122"/>
        <v>1624.0080880343578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4B11B-894A-4C1A-812F-9F2BBE2B78D2}">
  <sheetPr codeName="Sheet9"/>
  <dimension ref="A1:CF96"/>
  <sheetViews>
    <sheetView topLeftCell="D19" zoomScale="85" zoomScaleNormal="85" workbookViewId="0">
      <selection activeCell="R37" sqref="R37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proj_rukn!A42</f>
        <v>JAWA</v>
      </c>
      <c r="C4" s="20">
        <f>proj_rukn!B42</f>
        <v>2019</v>
      </c>
      <c r="D4" s="30">
        <f>existing_capacity!C4</f>
        <v>23045</v>
      </c>
      <c r="E4" s="30">
        <f>existing_capacity!D4</f>
        <v>2896.7400000000002</v>
      </c>
      <c r="F4" s="30">
        <f>existing_capacity!E4</f>
        <v>9861.0300000000007</v>
      </c>
      <c r="G4" s="30">
        <f>existing_capacity!F4</f>
        <v>33.130000000000003</v>
      </c>
      <c r="H4" s="30">
        <f>existing_capacity!G4</f>
        <v>1204.8</v>
      </c>
      <c r="I4" s="30">
        <f>existing_capacity!H4</f>
        <v>2599.35</v>
      </c>
      <c r="J4" s="30">
        <f>existing_capacity!I4</f>
        <v>17.350000000000001</v>
      </c>
      <c r="K4" s="30">
        <f>existing_capacity!J4</f>
        <v>1</v>
      </c>
      <c r="L4" s="30">
        <f>existing_capacity!K4</f>
        <v>0</v>
      </c>
      <c r="M4" s="30">
        <f>existing_capacity!L4</f>
        <v>8</v>
      </c>
      <c r="N4" s="30">
        <f>existing_capacity!M4</f>
        <v>0</v>
      </c>
      <c r="O4" s="30">
        <f>existing_capacity!N4</f>
        <v>0</v>
      </c>
      <c r="P4" s="30">
        <v>0</v>
      </c>
      <c r="Q4" s="30">
        <f>SUM(D4:O4)</f>
        <v>39666.400000000001</v>
      </c>
      <c r="R4" s="30"/>
      <c r="S4" s="36"/>
      <c r="T4" s="19"/>
      <c r="U4" s="20" t="str">
        <f t="shared" ref="U4:V23" si="0">B4</f>
        <v>JAWA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JAWA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potential!G4</f>
        <v>8107</v>
      </c>
      <c r="AV4" s="30">
        <f>potential!H4</f>
        <v>4199</v>
      </c>
      <c r="AW4" s="30">
        <f>potential!I4</f>
        <v>2910</v>
      </c>
      <c r="AX4" s="30">
        <f>potential!J4</f>
        <v>31869</v>
      </c>
      <c r="AY4" s="30">
        <f>potential!K4</f>
        <v>22992</v>
      </c>
      <c r="AZ4" s="30">
        <f>potential!L4</f>
        <v>9215</v>
      </c>
      <c r="BA4" s="30">
        <f>potential!M4</f>
        <v>2273</v>
      </c>
      <c r="BB4" s="30">
        <v>999</v>
      </c>
      <c r="BC4" s="30">
        <v>999</v>
      </c>
      <c r="BD4" s="30">
        <f t="shared" ref="BD4:BD23" si="3">SUM(AU4:BA4)</f>
        <v>81565</v>
      </c>
      <c r="BF4" s="23"/>
      <c r="BG4" s="19"/>
      <c r="BH4" s="20" t="str">
        <f>AO4</f>
        <v>JAWA</v>
      </c>
      <c r="BI4" s="20">
        <f>AP4</f>
        <v>2019</v>
      </c>
      <c r="BJ4" s="25">
        <f t="shared" ref="BJ4:BJ22" si="4">SUM(K28:L28,N28)/Q28</f>
        <v>1.0992806798910363E-5</v>
      </c>
      <c r="BK4" s="43">
        <f t="shared" ref="BK4:BK23" si="5">$BO$5+((BJ4-$BN$5)*($BO$6-$BO$5)/($BN$6-$BN$5))</f>
        <v>2.7269208117115562E-4</v>
      </c>
      <c r="BL4" s="34">
        <f>BK4*Q28*1000</f>
        <v>45633.873286318667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JAWA</v>
      </c>
      <c r="C5" s="20">
        <f>C4+1</f>
        <v>2020</v>
      </c>
      <c r="D5" s="30">
        <f>D4+W5</f>
        <v>24590.342157830499</v>
      </c>
      <c r="E5" s="30">
        <f t="shared" ref="E5:O20" si="6">E4+X5</f>
        <v>2896.7400000000002</v>
      </c>
      <c r="F5" s="30">
        <f t="shared" si="6"/>
        <v>10866.79029873865</v>
      </c>
      <c r="G5" s="30">
        <f t="shared" si="6"/>
        <v>33.130000000000003</v>
      </c>
      <c r="H5" s="30">
        <f t="shared" si="6"/>
        <v>1204.8</v>
      </c>
      <c r="I5" s="30">
        <f t="shared" si="6"/>
        <v>4698.849945526661</v>
      </c>
      <c r="J5" s="30">
        <f t="shared" si="6"/>
        <v>45.913049212311336</v>
      </c>
      <c r="K5" s="30">
        <f t="shared" si="6"/>
        <v>5132.4106039591934</v>
      </c>
      <c r="L5" s="30">
        <f t="shared" si="6"/>
        <v>15.070203388185728</v>
      </c>
      <c r="M5" s="30">
        <f t="shared" si="6"/>
        <v>8</v>
      </c>
      <c r="N5" s="30">
        <f t="shared" si="6"/>
        <v>5.5552591534388132</v>
      </c>
      <c r="O5" s="30">
        <f t="shared" si="6"/>
        <v>0</v>
      </c>
      <c r="P5" s="30">
        <f>BL5/((VLOOKUP(P$3,tech_data!$B$2:$G$15,6,FALSE)/100)*24*365)</f>
        <v>14.133045404029611</v>
      </c>
      <c r="Q5" s="30">
        <f t="shared" ref="Q5:Q23" si="7">SUM(D5:O5)</f>
        <v>49497.601517808944</v>
      </c>
      <c r="R5" s="30"/>
      <c r="S5" s="36"/>
      <c r="T5" s="19"/>
      <c r="U5" s="20" t="str">
        <f t="shared" si="0"/>
        <v>JAWA</v>
      </c>
      <c r="V5" s="20">
        <f t="shared" si="0"/>
        <v>2020</v>
      </c>
      <c r="W5" s="30">
        <v>1545.3421578304985</v>
      </c>
      <c r="X5" s="30">
        <v>0</v>
      </c>
      <c r="Y5" s="30">
        <v>1005.7602987386491</v>
      </c>
      <c r="Z5" s="30">
        <v>0</v>
      </c>
      <c r="AA5" s="30">
        <v>0</v>
      </c>
      <c r="AB5" s="30">
        <v>2099.4999455266616</v>
      </c>
      <c r="AC5" s="30">
        <v>28.563049212311334</v>
      </c>
      <c r="AD5" s="30">
        <v>5131.4106039591934</v>
      </c>
      <c r="AE5" s="30">
        <v>15.070203388185728</v>
      </c>
      <c r="AF5" s="30">
        <v>0</v>
      </c>
      <c r="AG5" s="30">
        <v>5.5552591534388132</v>
      </c>
      <c r="AH5" s="30">
        <v>0</v>
      </c>
      <c r="AI5" s="30">
        <f t="shared" ref="AI5:AI23" si="8">IF(P5&gt;=P4, P5-P4, 0)</f>
        <v>14.133045404029611</v>
      </c>
      <c r="AJ5" s="34">
        <f t="shared" si="1"/>
        <v>9845.3345632129676</v>
      </c>
      <c r="AM5" s="23"/>
      <c r="AO5" s="20" t="str">
        <f t="shared" si="2"/>
        <v>JAWA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8107</v>
      </c>
      <c r="AV5" s="30">
        <f t="shared" si="9"/>
        <v>2099.5000544733384</v>
      </c>
      <c r="AW5" s="30">
        <f t="shared" si="9"/>
        <v>2881.4369507876886</v>
      </c>
      <c r="AX5" s="30">
        <f t="shared" si="9"/>
        <v>26737.589396040807</v>
      </c>
      <c r="AY5" s="30">
        <f t="shared" si="9"/>
        <v>22976.929796611814</v>
      </c>
      <c r="AZ5" s="30">
        <f t="shared" si="9"/>
        <v>9215</v>
      </c>
      <c r="BA5" s="30">
        <f t="shared" si="9"/>
        <v>2267.4447408465612</v>
      </c>
      <c r="BB5" s="30">
        <v>999</v>
      </c>
      <c r="BC5" s="30">
        <v>999</v>
      </c>
      <c r="BD5" s="30">
        <f t="shared" si="3"/>
        <v>74284.900938760213</v>
      </c>
      <c r="BF5" s="23"/>
      <c r="BG5" s="19"/>
      <c r="BH5" s="20" t="str">
        <f t="shared" ref="BH5:BI23" si="10">AO5</f>
        <v>JAWA</v>
      </c>
      <c r="BI5" s="20">
        <f t="shared" si="10"/>
        <v>2020</v>
      </c>
      <c r="BJ5" s="25">
        <f t="shared" si="4"/>
        <v>4.8341537766512302E-2</v>
      </c>
      <c r="BK5" s="43">
        <f t="shared" si="5"/>
        <v>2.8335813247260964E-4</v>
      </c>
      <c r="BL5" s="34">
        <f t="shared" ref="BL5:BL23" si="11">BK5*Q29*1000</f>
        <v>55712.464982684731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JAWA</v>
      </c>
      <c r="C6" s="20">
        <f t="shared" ref="C6:C23" si="13">C5+1</f>
        <v>2021</v>
      </c>
      <c r="D6" s="30">
        <f t="shared" ref="D6:O21" si="14">D5+W6</f>
        <v>25844.279313886684</v>
      </c>
      <c r="E6" s="30">
        <f t="shared" si="6"/>
        <v>2896.7400000000002</v>
      </c>
      <c r="F6" s="30">
        <f t="shared" si="6"/>
        <v>13616.364638620629</v>
      </c>
      <c r="G6" s="30">
        <f t="shared" si="6"/>
        <v>33.130000000000003</v>
      </c>
      <c r="H6" s="30">
        <f t="shared" si="6"/>
        <v>1204.8</v>
      </c>
      <c r="I6" s="30">
        <f t="shared" si="6"/>
        <v>5748.5999727633298</v>
      </c>
      <c r="J6" s="30">
        <f t="shared" si="6"/>
        <v>1486.6315246061556</v>
      </c>
      <c r="K6" s="30">
        <f t="shared" si="6"/>
        <v>5644.7360482598597</v>
      </c>
      <c r="L6" s="30">
        <f t="shared" si="6"/>
        <v>1781.0435282416056</v>
      </c>
      <c r="M6" s="30">
        <f t="shared" si="6"/>
        <v>8</v>
      </c>
      <c r="N6" s="30">
        <f t="shared" si="6"/>
        <v>7.940875974922962</v>
      </c>
      <c r="O6" s="30">
        <f t="shared" si="6"/>
        <v>0</v>
      </c>
      <c r="P6" s="30">
        <f>BL6/((VLOOKUP(P$3,tech_data!$B$2:$G$15,6,FALSE)/100)*24*365)</f>
        <v>16.790977129804766</v>
      </c>
      <c r="Q6" s="30">
        <f t="shared" si="7"/>
        <v>58272.265902353189</v>
      </c>
      <c r="R6" s="30"/>
      <c r="S6" s="36"/>
      <c r="T6" s="19"/>
      <c r="U6" s="20" t="str">
        <f t="shared" si="0"/>
        <v>JAWA</v>
      </c>
      <c r="V6" s="20">
        <f t="shared" si="0"/>
        <v>2021</v>
      </c>
      <c r="W6" s="30">
        <v>1253.9371560561858</v>
      </c>
      <c r="X6" s="30">
        <v>0</v>
      </c>
      <c r="Y6" s="30">
        <v>2749.5743398819795</v>
      </c>
      <c r="Z6" s="30">
        <v>0</v>
      </c>
      <c r="AA6" s="30">
        <v>0</v>
      </c>
      <c r="AB6" s="30">
        <v>1049.7500272366692</v>
      </c>
      <c r="AC6" s="30">
        <v>1440.7184753938443</v>
      </c>
      <c r="AD6" s="30">
        <v>512.32544430066594</v>
      </c>
      <c r="AE6" s="30">
        <v>1765.9733248534199</v>
      </c>
      <c r="AF6" s="30">
        <v>0</v>
      </c>
      <c r="AG6" s="30">
        <v>2.3856168214841484</v>
      </c>
      <c r="AH6" s="30">
        <v>0</v>
      </c>
      <c r="AI6" s="30">
        <f t="shared" si="8"/>
        <v>2.6579317257751551</v>
      </c>
      <c r="AJ6" s="34">
        <f t="shared" si="1"/>
        <v>8777.3223162700251</v>
      </c>
      <c r="AM6" s="23"/>
      <c r="AO6" s="20" t="str">
        <f t="shared" si="2"/>
        <v>JAWA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8107</v>
      </c>
      <c r="AV6" s="30">
        <f t="shared" si="9"/>
        <v>1049.7500272366692</v>
      </c>
      <c r="AW6" s="30">
        <f t="shared" si="9"/>
        <v>1440.7184753938443</v>
      </c>
      <c r="AX6" s="30">
        <f t="shared" si="9"/>
        <v>26225.26395174014</v>
      </c>
      <c r="AY6" s="30">
        <f t="shared" si="9"/>
        <v>21210.956471758393</v>
      </c>
      <c r="AZ6" s="30">
        <f t="shared" si="9"/>
        <v>9215</v>
      </c>
      <c r="BA6" s="30">
        <f t="shared" si="9"/>
        <v>2265.0591240250769</v>
      </c>
      <c r="BB6" s="30">
        <v>999</v>
      </c>
      <c r="BC6" s="30">
        <v>999</v>
      </c>
      <c r="BD6" s="30">
        <f t="shared" si="3"/>
        <v>69513.748050154129</v>
      </c>
      <c r="BF6" s="23"/>
      <c r="BG6" s="19"/>
      <c r="BH6" s="20" t="str">
        <f t="shared" si="10"/>
        <v>JAWA</v>
      </c>
      <c r="BI6" s="20">
        <f t="shared" si="10"/>
        <v>2021</v>
      </c>
      <c r="BJ6" s="25">
        <f t="shared" si="4"/>
        <v>6.9106196498879474E-2</v>
      </c>
      <c r="BK6" s="43">
        <f t="shared" si="5"/>
        <v>2.8794067784802856E-4</v>
      </c>
      <c r="BL6" s="34">
        <f t="shared" si="11"/>
        <v>66190.031845690391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JAWA</v>
      </c>
      <c r="C7" s="20">
        <f t="shared" si="13"/>
        <v>2022</v>
      </c>
      <c r="D7" s="30">
        <f t="shared" si="14"/>
        <v>25844.279313886684</v>
      </c>
      <c r="E7" s="30">
        <f t="shared" si="6"/>
        <v>2896.7400000000002</v>
      </c>
      <c r="F7" s="30">
        <f t="shared" si="6"/>
        <v>19545.329074238332</v>
      </c>
      <c r="G7" s="30">
        <f t="shared" si="6"/>
        <v>45.901869312161693</v>
      </c>
      <c r="H7" s="30">
        <f t="shared" si="6"/>
        <v>1204.8000104406976</v>
      </c>
      <c r="I7" s="30">
        <f t="shared" si="6"/>
        <v>5748.5999727633298</v>
      </c>
      <c r="J7" s="30">
        <f t="shared" si="6"/>
        <v>1486.6315246061556</v>
      </c>
      <c r="K7" s="30">
        <f t="shared" si="6"/>
        <v>5644.7360482598597</v>
      </c>
      <c r="L7" s="30">
        <f t="shared" si="6"/>
        <v>1781.0435282416056</v>
      </c>
      <c r="M7" s="30">
        <f t="shared" si="6"/>
        <v>8</v>
      </c>
      <c r="N7" s="30">
        <f t="shared" si="6"/>
        <v>7.9408759749190105</v>
      </c>
      <c r="O7" s="30">
        <f t="shared" si="6"/>
        <v>0</v>
      </c>
      <c r="P7" s="30">
        <f>BL7/((VLOOKUP(P$3,tech_data!$B$2:$G$15,6,FALSE)/100)*24*365)</f>
        <v>17.930445731203395</v>
      </c>
      <c r="Q7" s="30">
        <f t="shared" si="7"/>
        <v>64214.002217723748</v>
      </c>
      <c r="R7" s="30"/>
      <c r="S7" s="36"/>
      <c r="T7" s="19"/>
      <c r="U7" s="20" t="str">
        <f t="shared" si="0"/>
        <v>JAWA</v>
      </c>
      <c r="V7" s="20">
        <f t="shared" si="0"/>
        <v>2022</v>
      </c>
      <c r="W7" s="30">
        <v>0</v>
      </c>
      <c r="X7" s="30">
        <v>0</v>
      </c>
      <c r="Y7" s="30">
        <v>5928.964435617705</v>
      </c>
      <c r="Z7" s="30">
        <v>12.771869312161687</v>
      </c>
      <c r="AA7" s="30">
        <v>1.0440697643505208E-5</v>
      </c>
      <c r="AB7" s="30">
        <v>0</v>
      </c>
      <c r="AC7" s="30">
        <v>0</v>
      </c>
      <c r="AD7" s="30">
        <v>0</v>
      </c>
      <c r="AE7" s="30">
        <v>0</v>
      </c>
      <c r="AF7" s="30">
        <v>0</v>
      </c>
      <c r="AG7" s="30">
        <v>-3.9518619382860203E-12</v>
      </c>
      <c r="AH7" s="30">
        <v>0</v>
      </c>
      <c r="AI7" s="30">
        <f t="shared" si="8"/>
        <v>1.1394686013986295</v>
      </c>
      <c r="AJ7" s="34">
        <f t="shared" si="1"/>
        <v>5942.8757839719583</v>
      </c>
      <c r="AM7" s="23"/>
      <c r="AO7" s="20" t="str">
        <f t="shared" si="2"/>
        <v>JAWA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8106.9999895593028</v>
      </c>
      <c r="AV7" s="30">
        <f t="shared" si="9"/>
        <v>1049.7500272366692</v>
      </c>
      <c r="AW7" s="30">
        <f t="shared" si="9"/>
        <v>1440.7184753938443</v>
      </c>
      <c r="AX7" s="30">
        <f t="shared" si="9"/>
        <v>26225.26395174014</v>
      </c>
      <c r="AY7" s="30">
        <f t="shared" si="9"/>
        <v>21210.956471758393</v>
      </c>
      <c r="AZ7" s="30">
        <f t="shared" si="9"/>
        <v>9215</v>
      </c>
      <c r="BA7" s="30">
        <f t="shared" si="9"/>
        <v>2265.059124025081</v>
      </c>
      <c r="BB7" s="30">
        <v>999</v>
      </c>
      <c r="BC7" s="30">
        <v>999</v>
      </c>
      <c r="BD7" s="30">
        <f t="shared" si="3"/>
        <v>69513.74803971342</v>
      </c>
      <c r="BF7" s="23"/>
      <c r="BG7" s="19"/>
      <c r="BH7" s="20" t="str">
        <f t="shared" si="10"/>
        <v>JAWA</v>
      </c>
      <c r="BI7" s="20">
        <f t="shared" si="10"/>
        <v>2022</v>
      </c>
      <c r="BJ7" s="25">
        <f t="shared" si="4"/>
        <v>6.4485347300571538E-2</v>
      </c>
      <c r="BK7" s="43">
        <f t="shared" si="5"/>
        <v>2.8692090423185028E-4</v>
      </c>
      <c r="BL7" s="34">
        <f t="shared" si="11"/>
        <v>70681.817072403792</v>
      </c>
      <c r="BP7" s="23"/>
    </row>
    <row r="8" spans="1:68" x14ac:dyDescent="0.25">
      <c r="A8" s="19"/>
      <c r="B8" s="20" t="str">
        <f t="shared" si="12"/>
        <v>JAWA</v>
      </c>
      <c r="C8" s="20">
        <f t="shared" si="13"/>
        <v>2023</v>
      </c>
      <c r="D8" s="30">
        <f t="shared" si="14"/>
        <v>25844.279313886684</v>
      </c>
      <c r="E8" s="30">
        <f t="shared" si="6"/>
        <v>2896.7400000000002</v>
      </c>
      <c r="F8" s="30">
        <f t="shared" si="6"/>
        <v>23722.056165832804</v>
      </c>
      <c r="G8" s="30">
        <f t="shared" si="6"/>
        <v>47.09565033013989</v>
      </c>
      <c r="H8" s="30">
        <f t="shared" si="6"/>
        <v>1204.8000104406976</v>
      </c>
      <c r="I8" s="30">
        <f t="shared" si="6"/>
        <v>5748.5999727633298</v>
      </c>
      <c r="J8" s="30">
        <f t="shared" si="6"/>
        <v>1486.6315246061556</v>
      </c>
      <c r="K8" s="30">
        <f t="shared" si="6"/>
        <v>5644.7360482598597</v>
      </c>
      <c r="L8" s="30">
        <f t="shared" si="6"/>
        <v>1781.0435282416056</v>
      </c>
      <c r="M8" s="30">
        <f t="shared" si="6"/>
        <v>8</v>
      </c>
      <c r="N8" s="30">
        <f t="shared" si="6"/>
        <v>7.9408759749190105</v>
      </c>
      <c r="O8" s="30">
        <f t="shared" si="6"/>
        <v>0</v>
      </c>
      <c r="P8" s="30">
        <f>BL8/((VLOOKUP(P$3,tech_data!$B$2:$G$15,6,FALSE)/100)*24*365)</f>
        <v>18.730459902774886</v>
      </c>
      <c r="Q8" s="30">
        <f t="shared" si="7"/>
        <v>68391.923090336204</v>
      </c>
      <c r="R8" s="30"/>
      <c r="S8" s="36"/>
      <c r="T8" s="19"/>
      <c r="U8" s="20" t="str">
        <f t="shared" si="0"/>
        <v>JAWA</v>
      </c>
      <c r="V8" s="20">
        <f t="shared" si="0"/>
        <v>2023</v>
      </c>
      <c r="W8" s="30">
        <v>0</v>
      </c>
      <c r="X8" s="30">
        <v>0</v>
      </c>
      <c r="Y8" s="30">
        <v>4176.7270915944709</v>
      </c>
      <c r="Z8" s="30">
        <v>1.1937810179781996</v>
      </c>
      <c r="AA8" s="30">
        <v>0</v>
      </c>
      <c r="AB8" s="30">
        <v>0</v>
      </c>
      <c r="AC8" s="30">
        <v>0</v>
      </c>
      <c r="AD8" s="30">
        <v>0</v>
      </c>
      <c r="AE8" s="30">
        <v>0</v>
      </c>
      <c r="AF8" s="30">
        <v>0</v>
      </c>
      <c r="AG8" s="30">
        <v>0</v>
      </c>
      <c r="AH8" s="30">
        <v>0</v>
      </c>
      <c r="AI8" s="30">
        <f t="shared" si="8"/>
        <v>0.80001417157149035</v>
      </c>
      <c r="AJ8" s="34">
        <f t="shared" si="1"/>
        <v>4178.72088678402</v>
      </c>
      <c r="AM8" s="23"/>
      <c r="AO8" s="20" t="str">
        <f t="shared" si="2"/>
        <v>JAWA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8106.9999895593028</v>
      </c>
      <c r="AV8" s="30">
        <f t="shared" si="9"/>
        <v>1049.7500272366692</v>
      </c>
      <c r="AW8" s="30">
        <f t="shared" si="9"/>
        <v>1440.7184753938443</v>
      </c>
      <c r="AX8" s="30">
        <f t="shared" si="9"/>
        <v>26225.26395174014</v>
      </c>
      <c r="AY8" s="30">
        <f t="shared" si="9"/>
        <v>21210.956471758393</v>
      </c>
      <c r="AZ8" s="30">
        <f t="shared" si="9"/>
        <v>9215</v>
      </c>
      <c r="BA8" s="30">
        <f t="shared" si="9"/>
        <v>2265.059124025081</v>
      </c>
      <c r="BB8" s="30">
        <v>999</v>
      </c>
      <c r="BC8" s="30">
        <v>999</v>
      </c>
      <c r="BD8" s="30">
        <f t="shared" si="3"/>
        <v>69513.74803971342</v>
      </c>
      <c r="BF8" s="23"/>
      <c r="BG8" s="19"/>
      <c r="BH8" s="20" t="str">
        <f t="shared" si="10"/>
        <v>JAWA</v>
      </c>
      <c r="BI8" s="20">
        <f t="shared" si="10"/>
        <v>2023</v>
      </c>
      <c r="BJ8" s="25">
        <f t="shared" si="4"/>
        <v>6.1593756627595281E-2</v>
      </c>
      <c r="BK8" s="43">
        <f t="shared" si="5"/>
        <v>2.8628276008333141E-4</v>
      </c>
      <c r="BL8" s="34">
        <f t="shared" si="11"/>
        <v>73835.472936738603</v>
      </c>
      <c r="BP8" s="23"/>
    </row>
    <row r="9" spans="1:68" x14ac:dyDescent="0.25">
      <c r="A9" s="19"/>
      <c r="B9" s="20" t="str">
        <f t="shared" si="12"/>
        <v>JAWA</v>
      </c>
      <c r="C9" s="20">
        <f t="shared" si="13"/>
        <v>2024</v>
      </c>
      <c r="D9" s="30">
        <f t="shared" si="14"/>
        <v>25844.279313886684</v>
      </c>
      <c r="E9" s="30">
        <f t="shared" si="6"/>
        <v>3340.5114030069753</v>
      </c>
      <c r="F9" s="30">
        <f t="shared" si="6"/>
        <v>27935.803810131412</v>
      </c>
      <c r="G9" s="30">
        <f t="shared" si="6"/>
        <v>48.479226222518854</v>
      </c>
      <c r="H9" s="30">
        <f t="shared" si="6"/>
        <v>1204.8000104406976</v>
      </c>
      <c r="I9" s="30">
        <f t="shared" si="6"/>
        <v>5748.5999727633298</v>
      </c>
      <c r="J9" s="30">
        <f t="shared" si="6"/>
        <v>1486.6315246061556</v>
      </c>
      <c r="K9" s="30">
        <f t="shared" si="6"/>
        <v>5644.7360482598597</v>
      </c>
      <c r="L9" s="30">
        <f t="shared" si="6"/>
        <v>1781.0435282416056</v>
      </c>
      <c r="M9" s="30">
        <f t="shared" si="6"/>
        <v>8</v>
      </c>
      <c r="N9" s="30">
        <f t="shared" si="6"/>
        <v>7.9408759749190105</v>
      </c>
      <c r="O9" s="30">
        <f t="shared" si="6"/>
        <v>0</v>
      </c>
      <c r="P9" s="30">
        <f>BL9/((VLOOKUP(P$3,tech_data!$B$2:$G$15,6,FALSE)/100)*24*365)</f>
        <v>19.629395346747643</v>
      </c>
      <c r="Q9" s="30">
        <f t="shared" si="7"/>
        <v>73050.825713534141</v>
      </c>
      <c r="R9" s="30"/>
      <c r="S9" s="36"/>
      <c r="T9" s="19"/>
      <c r="U9" s="20" t="str">
        <f t="shared" si="0"/>
        <v>JAWA</v>
      </c>
      <c r="V9" s="20">
        <f t="shared" si="0"/>
        <v>2024</v>
      </c>
      <c r="W9" s="30">
        <v>2.2737367544323206E-13</v>
      </c>
      <c r="X9" s="30">
        <v>443.77140300697533</v>
      </c>
      <c r="Y9" s="30">
        <v>4213.747644298609</v>
      </c>
      <c r="Z9" s="30">
        <v>1.3835758923789616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30">
        <v>0</v>
      </c>
      <c r="AH9" s="30">
        <v>0</v>
      </c>
      <c r="AI9" s="30">
        <f t="shared" si="8"/>
        <v>0.89893544397275704</v>
      </c>
      <c r="AJ9" s="34">
        <f t="shared" si="1"/>
        <v>4659.801558641936</v>
      </c>
      <c r="AM9" s="23"/>
      <c r="AO9" s="20" t="str">
        <f t="shared" si="2"/>
        <v>JAWA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8106.9999895593028</v>
      </c>
      <c r="AV9" s="30">
        <f t="shared" si="9"/>
        <v>1049.7500272366692</v>
      </c>
      <c r="AW9" s="30">
        <f t="shared" si="9"/>
        <v>1440.7184753938443</v>
      </c>
      <c r="AX9" s="30">
        <f t="shared" si="9"/>
        <v>26225.26395174014</v>
      </c>
      <c r="AY9" s="30">
        <f t="shared" si="9"/>
        <v>21210.956471758393</v>
      </c>
      <c r="AZ9" s="30">
        <f t="shared" si="9"/>
        <v>9215</v>
      </c>
      <c r="BA9" s="30">
        <f t="shared" si="9"/>
        <v>2265.059124025081</v>
      </c>
      <c r="BB9" s="30">
        <v>999</v>
      </c>
      <c r="BC9" s="30">
        <v>999</v>
      </c>
      <c r="BD9" s="30">
        <f t="shared" si="3"/>
        <v>69513.74803971342</v>
      </c>
      <c r="BF9" s="23"/>
      <c r="BG9" s="19"/>
      <c r="BH9" s="20" t="str">
        <f t="shared" si="10"/>
        <v>JAWA</v>
      </c>
      <c r="BI9" s="20">
        <f t="shared" si="10"/>
        <v>2024</v>
      </c>
      <c r="BJ9" s="25">
        <f t="shared" si="4"/>
        <v>5.863918500708059E-2</v>
      </c>
      <c r="BK9" s="43">
        <f t="shared" si="5"/>
        <v>2.8563071669121781E-4</v>
      </c>
      <c r="BL9" s="34">
        <f t="shared" si="11"/>
        <v>77379.076456879222</v>
      </c>
      <c r="BN9" s="38"/>
      <c r="BP9" s="23"/>
    </row>
    <row r="10" spans="1:68" x14ac:dyDescent="0.25">
      <c r="A10" s="19"/>
      <c r="B10" s="20" t="str">
        <f t="shared" si="12"/>
        <v>JAWA</v>
      </c>
      <c r="C10" s="20">
        <f t="shared" si="13"/>
        <v>2025</v>
      </c>
      <c r="D10" s="30">
        <f t="shared" si="14"/>
        <v>25844.279313886684</v>
      </c>
      <c r="E10" s="30">
        <f t="shared" si="6"/>
        <v>3762.3823755759972</v>
      </c>
      <c r="F10" s="30">
        <f t="shared" si="6"/>
        <v>29370.642105337633</v>
      </c>
      <c r="G10" s="30">
        <f t="shared" si="6"/>
        <v>49.674101963024924</v>
      </c>
      <c r="H10" s="30">
        <f t="shared" si="6"/>
        <v>1204.8000104406976</v>
      </c>
      <c r="I10" s="30">
        <f t="shared" si="6"/>
        <v>6170.4355349591624</v>
      </c>
      <c r="J10" s="30">
        <f t="shared" si="6"/>
        <v>1486.6315246061556</v>
      </c>
      <c r="K10" s="30">
        <f t="shared" si="6"/>
        <v>5644.7360482598597</v>
      </c>
      <c r="L10" s="30">
        <f t="shared" si="6"/>
        <v>3481.9881504819964</v>
      </c>
      <c r="M10" s="30">
        <f t="shared" si="6"/>
        <v>8</v>
      </c>
      <c r="N10" s="30">
        <f t="shared" si="6"/>
        <v>7.9408759749190105</v>
      </c>
      <c r="O10" s="30">
        <f t="shared" si="6"/>
        <v>0</v>
      </c>
      <c r="P10" s="30">
        <f>BL10/((VLOOKUP(P$3,tech_data!$B$2:$G$15,6,FALSE)/100)*24*365)</f>
        <v>20.776034754674001</v>
      </c>
      <c r="Q10" s="30">
        <f t="shared" si="7"/>
        <v>77031.510041486137</v>
      </c>
      <c r="R10" s="30"/>
      <c r="S10" s="36"/>
      <c r="T10" s="19"/>
      <c r="U10" s="20" t="str">
        <f t="shared" si="0"/>
        <v>JAWA</v>
      </c>
      <c r="V10" s="20">
        <f t="shared" si="0"/>
        <v>2025</v>
      </c>
      <c r="W10" s="30">
        <v>0</v>
      </c>
      <c r="X10" s="30">
        <v>421.87097256902189</v>
      </c>
      <c r="Y10" s="30">
        <v>1434.8382952062204</v>
      </c>
      <c r="Z10" s="30">
        <v>1.1948757405060697</v>
      </c>
      <c r="AA10" s="30">
        <v>0</v>
      </c>
      <c r="AB10" s="30">
        <v>421.83556219583284</v>
      </c>
      <c r="AC10" s="30">
        <v>0</v>
      </c>
      <c r="AD10" s="30">
        <v>0</v>
      </c>
      <c r="AE10" s="30">
        <v>1700.9446222403908</v>
      </c>
      <c r="AF10" s="30">
        <v>0</v>
      </c>
      <c r="AG10" s="30">
        <v>0</v>
      </c>
      <c r="AH10" s="30">
        <v>0</v>
      </c>
      <c r="AI10" s="30">
        <f t="shared" si="8"/>
        <v>1.146639407926358</v>
      </c>
      <c r="AJ10" s="34">
        <f t="shared" si="1"/>
        <v>3981.8309673598983</v>
      </c>
      <c r="AM10" s="23"/>
      <c r="AO10" s="20" t="str">
        <f t="shared" si="2"/>
        <v>JAWA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8106.9999895593028</v>
      </c>
      <c r="AV10" s="30">
        <f t="shared" si="9"/>
        <v>627.91446504083638</v>
      </c>
      <c r="AW10" s="30">
        <f t="shared" si="9"/>
        <v>1440.7184753938443</v>
      </c>
      <c r="AX10" s="30">
        <f t="shared" si="9"/>
        <v>26225.26395174014</v>
      </c>
      <c r="AY10" s="30">
        <f t="shared" si="9"/>
        <v>19510.011849518003</v>
      </c>
      <c r="AZ10" s="30">
        <f t="shared" si="9"/>
        <v>9215</v>
      </c>
      <c r="BA10" s="30">
        <f t="shared" si="9"/>
        <v>2265.059124025081</v>
      </c>
      <c r="BB10" s="30">
        <v>999</v>
      </c>
      <c r="BC10" s="30">
        <v>999</v>
      </c>
      <c r="BD10" s="30">
        <f t="shared" si="3"/>
        <v>67390.967855277209</v>
      </c>
      <c r="BF10" s="23"/>
      <c r="BG10" s="19"/>
      <c r="BH10" s="20" t="str">
        <f t="shared" si="10"/>
        <v>JAWA</v>
      </c>
      <c r="BI10" s="20">
        <f t="shared" si="10"/>
        <v>2025</v>
      </c>
      <c r="BJ10" s="25">
        <f t="shared" si="4"/>
        <v>7.4553313376904184E-2</v>
      </c>
      <c r="BK10" s="43">
        <f t="shared" si="5"/>
        <v>2.8914280019352368E-4</v>
      </c>
      <c r="BL10" s="34">
        <f t="shared" si="11"/>
        <v>81899.129002924921</v>
      </c>
      <c r="BP10" s="23"/>
    </row>
    <row r="11" spans="1:68" x14ac:dyDescent="0.25">
      <c r="A11" s="19"/>
      <c r="B11" s="20" t="str">
        <f t="shared" si="12"/>
        <v>JAWA</v>
      </c>
      <c r="C11" s="20">
        <f t="shared" si="13"/>
        <v>2026</v>
      </c>
      <c r="D11" s="30">
        <f t="shared" si="14"/>
        <v>25875.696708134146</v>
      </c>
      <c r="E11" s="30">
        <f t="shared" si="6"/>
        <v>3782.4467735483295</v>
      </c>
      <c r="F11" s="30">
        <f t="shared" si="6"/>
        <v>29388.731632783347</v>
      </c>
      <c r="G11" s="30">
        <f t="shared" si="6"/>
        <v>49.674101963024924</v>
      </c>
      <c r="H11" s="30">
        <f t="shared" si="6"/>
        <v>1376.3865850510283</v>
      </c>
      <c r="I11" s="30">
        <f t="shared" si="6"/>
        <v>6421.3534526450148</v>
      </c>
      <c r="J11" s="30">
        <f t="shared" si="6"/>
        <v>1685.507026535865</v>
      </c>
      <c r="K11" s="30">
        <f t="shared" si="6"/>
        <v>5709.9484942784329</v>
      </c>
      <c r="L11" s="30">
        <f t="shared" si="6"/>
        <v>3590.3993462724366</v>
      </c>
      <c r="M11" s="30">
        <f t="shared" si="6"/>
        <v>96.365073885961152</v>
      </c>
      <c r="N11" s="30">
        <f t="shared" si="6"/>
        <v>7.9408759749190105</v>
      </c>
      <c r="O11" s="30">
        <f t="shared" si="6"/>
        <v>18.869583896723704</v>
      </c>
      <c r="P11" s="30">
        <f>BL11/((VLOOKUP(P$3,tech_data!$B$2:$G$15,6,FALSE)/100)*24*365)</f>
        <v>21.105446194035586</v>
      </c>
      <c r="Q11" s="30">
        <f t="shared" si="7"/>
        <v>78003.319654969222</v>
      </c>
      <c r="R11" s="30"/>
      <c r="S11" s="36"/>
      <c r="T11" s="19"/>
      <c r="U11" s="20" t="str">
        <f t="shared" si="0"/>
        <v>JAWA</v>
      </c>
      <c r="V11" s="20">
        <f t="shared" si="0"/>
        <v>2026</v>
      </c>
      <c r="W11" s="30">
        <v>31.417394247460859</v>
      </c>
      <c r="X11" s="30">
        <v>20.064397972332088</v>
      </c>
      <c r="Y11" s="30">
        <v>18.089527445713337</v>
      </c>
      <c r="Z11" s="30">
        <v>0</v>
      </c>
      <c r="AA11" s="30">
        <v>171.58657461033079</v>
      </c>
      <c r="AB11" s="30">
        <v>250.91791768585281</v>
      </c>
      <c r="AC11" s="30">
        <v>198.87550192970929</v>
      </c>
      <c r="AD11" s="30">
        <v>65.212446018573303</v>
      </c>
      <c r="AE11" s="30">
        <v>108.4111957904402</v>
      </c>
      <c r="AF11" s="30">
        <v>88.365073885961152</v>
      </c>
      <c r="AG11" s="30">
        <v>0</v>
      </c>
      <c r="AH11" s="30">
        <v>18.869583896723704</v>
      </c>
      <c r="AI11" s="30">
        <f t="shared" si="8"/>
        <v>0.32941143936158568</v>
      </c>
      <c r="AJ11" s="34">
        <f t="shared" si="1"/>
        <v>972.13902492245904</v>
      </c>
      <c r="AM11" s="23"/>
      <c r="AO11" s="20" t="str">
        <f t="shared" si="2"/>
        <v>JAWA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7935.4134149489719</v>
      </c>
      <c r="AV11" s="30">
        <f t="shared" si="9"/>
        <v>376.99654735498359</v>
      </c>
      <c r="AW11" s="30">
        <f t="shared" si="9"/>
        <v>1241.842973464135</v>
      </c>
      <c r="AX11" s="30">
        <f t="shared" si="9"/>
        <v>26160.051505721567</v>
      </c>
      <c r="AY11" s="30">
        <f t="shared" si="9"/>
        <v>19401.600653727564</v>
      </c>
      <c r="AZ11" s="30">
        <f t="shared" si="9"/>
        <v>9126.6349261140385</v>
      </c>
      <c r="BA11" s="30">
        <f t="shared" si="9"/>
        <v>2265.059124025081</v>
      </c>
      <c r="BB11" s="30">
        <v>999</v>
      </c>
      <c r="BC11" s="30">
        <v>999</v>
      </c>
      <c r="BD11" s="30">
        <f t="shared" si="3"/>
        <v>66507.599145356347</v>
      </c>
      <c r="BF11" s="23"/>
      <c r="BG11" s="19"/>
      <c r="BH11" s="20" t="str">
        <f t="shared" si="10"/>
        <v>JAWA</v>
      </c>
      <c r="BI11" s="20">
        <f t="shared" si="10"/>
        <v>2026</v>
      </c>
      <c r="BJ11" s="25">
        <f t="shared" si="4"/>
        <v>7.499040470585408E-2</v>
      </c>
      <c r="BK11" s="43">
        <f t="shared" si="5"/>
        <v>2.8923926172818849E-4</v>
      </c>
      <c r="BL11" s="34">
        <f t="shared" si="11"/>
        <v>83197.668896888295</v>
      </c>
      <c r="BP11" s="23"/>
    </row>
    <row r="12" spans="1:68" x14ac:dyDescent="0.25">
      <c r="A12" s="19"/>
      <c r="B12" s="20" t="str">
        <f t="shared" si="12"/>
        <v>JAWA</v>
      </c>
      <c r="C12" s="20">
        <f t="shared" si="13"/>
        <v>2027</v>
      </c>
      <c r="D12" s="30">
        <f t="shared" si="14"/>
        <v>25875.696708134146</v>
      </c>
      <c r="E12" s="30">
        <f t="shared" si="6"/>
        <v>4121.8283399563961</v>
      </c>
      <c r="F12" s="30">
        <f t="shared" si="6"/>
        <v>35510.473743231232</v>
      </c>
      <c r="G12" s="30">
        <f t="shared" si="6"/>
        <v>52.14003244797653</v>
      </c>
      <c r="H12" s="30">
        <f t="shared" si="6"/>
        <v>1376.3865850510283</v>
      </c>
      <c r="I12" s="30">
        <f t="shared" si="6"/>
        <v>6609.8466798783911</v>
      </c>
      <c r="J12" s="30">
        <f t="shared" si="6"/>
        <v>1685.507026535865</v>
      </c>
      <c r="K12" s="30">
        <f t="shared" si="6"/>
        <v>5709.9484942784329</v>
      </c>
      <c r="L12" s="30">
        <f t="shared" si="6"/>
        <v>4604.6678182017085</v>
      </c>
      <c r="M12" s="30">
        <f t="shared" si="6"/>
        <v>96.365073885961152</v>
      </c>
      <c r="N12" s="30">
        <f t="shared" si="6"/>
        <v>7.9408759749190105</v>
      </c>
      <c r="O12" s="30">
        <f t="shared" si="6"/>
        <v>18.869583896723704</v>
      </c>
      <c r="P12" s="30">
        <f>BL12/((VLOOKUP(P$3,tech_data!$B$2:$G$15,6,FALSE)/100)*24*365)</f>
        <v>22.796753333224451</v>
      </c>
      <c r="Q12" s="30">
        <f t="shared" si="7"/>
        <v>85669.670961472788</v>
      </c>
      <c r="R12" s="30"/>
      <c r="S12" s="36"/>
      <c r="T12" s="19"/>
      <c r="U12" s="20" t="str">
        <f t="shared" si="0"/>
        <v>JAWA</v>
      </c>
      <c r="V12" s="20">
        <f t="shared" si="0"/>
        <v>2027</v>
      </c>
      <c r="W12" s="30">
        <v>0</v>
      </c>
      <c r="X12" s="30">
        <v>339.38156640806687</v>
      </c>
      <c r="Y12" s="30">
        <v>6121.7421104478854</v>
      </c>
      <c r="Z12" s="30">
        <v>2.4659304849516039</v>
      </c>
      <c r="AA12" s="30">
        <v>0</v>
      </c>
      <c r="AB12" s="30">
        <v>188.49322723337622</v>
      </c>
      <c r="AC12" s="30">
        <v>0</v>
      </c>
      <c r="AD12" s="30">
        <v>0</v>
      </c>
      <c r="AE12" s="30">
        <v>1014.268471929272</v>
      </c>
      <c r="AF12" s="30">
        <v>0</v>
      </c>
      <c r="AG12" s="30">
        <v>0</v>
      </c>
      <c r="AH12" s="30">
        <v>0</v>
      </c>
      <c r="AI12" s="30">
        <f t="shared" si="8"/>
        <v>1.691307139188865</v>
      </c>
      <c r="AJ12" s="34">
        <f t="shared" si="1"/>
        <v>7668.0426136427413</v>
      </c>
      <c r="AM12" s="23"/>
      <c r="AO12" s="20" t="str">
        <f t="shared" si="2"/>
        <v>JAWA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7935.4134149489719</v>
      </c>
      <c r="AV12" s="30">
        <f t="shared" si="9"/>
        <v>188.50332012160737</v>
      </c>
      <c r="AW12" s="30">
        <f t="shared" si="9"/>
        <v>1241.842973464135</v>
      </c>
      <c r="AX12" s="30">
        <f t="shared" si="9"/>
        <v>26160.051505721567</v>
      </c>
      <c r="AY12" s="30">
        <f t="shared" si="9"/>
        <v>18387.332181798294</v>
      </c>
      <c r="AZ12" s="30">
        <f t="shared" si="9"/>
        <v>9126.6349261140385</v>
      </c>
      <c r="BA12" s="30">
        <f t="shared" si="9"/>
        <v>2265.059124025081</v>
      </c>
      <c r="BB12" s="30">
        <v>999</v>
      </c>
      <c r="BC12" s="30">
        <v>999</v>
      </c>
      <c r="BD12" s="30">
        <f t="shared" si="3"/>
        <v>65304.837446193691</v>
      </c>
      <c r="BF12" s="23"/>
      <c r="BG12" s="19"/>
      <c r="BH12" s="20" t="str">
        <f t="shared" si="10"/>
        <v>JAWA</v>
      </c>
      <c r="BI12" s="20">
        <f t="shared" si="10"/>
        <v>2027</v>
      </c>
      <c r="BJ12" s="25">
        <f t="shared" si="4"/>
        <v>7.9756054984059035E-2</v>
      </c>
      <c r="BK12" s="43">
        <f t="shared" si="5"/>
        <v>2.9029099144475785E-4</v>
      </c>
      <c r="BL12" s="34">
        <f t="shared" si="11"/>
        <v>89864.801639570796</v>
      </c>
      <c r="BP12" s="23"/>
    </row>
    <row r="13" spans="1:68" x14ac:dyDescent="0.25">
      <c r="A13" s="19"/>
      <c r="B13" s="20" t="str">
        <f t="shared" si="12"/>
        <v>JAWA</v>
      </c>
      <c r="C13" s="20">
        <f t="shared" si="13"/>
        <v>2028</v>
      </c>
      <c r="D13" s="30">
        <f t="shared" si="14"/>
        <v>25875.696708134146</v>
      </c>
      <c r="E13" s="30">
        <f t="shared" si="6"/>
        <v>4667.842353099406</v>
      </c>
      <c r="F13" s="30">
        <f t="shared" si="6"/>
        <v>38910.75117141501</v>
      </c>
      <c r="G13" s="30">
        <f t="shared" si="6"/>
        <v>53.710953705758016</v>
      </c>
      <c r="H13" s="30">
        <f t="shared" si="6"/>
        <v>1376.3865850510283</v>
      </c>
      <c r="I13" s="30">
        <f t="shared" si="6"/>
        <v>6609.8466798783911</v>
      </c>
      <c r="J13" s="30">
        <f t="shared" si="6"/>
        <v>1685.507026535865</v>
      </c>
      <c r="K13" s="30">
        <f t="shared" si="6"/>
        <v>6316.2724329650018</v>
      </c>
      <c r="L13" s="30">
        <f t="shared" si="6"/>
        <v>5797.7122733352862</v>
      </c>
      <c r="M13" s="30">
        <f t="shared" si="6"/>
        <v>96.365073885961152</v>
      </c>
      <c r="N13" s="30">
        <f t="shared" si="6"/>
        <v>7.9408759749190105</v>
      </c>
      <c r="O13" s="30">
        <f t="shared" si="6"/>
        <v>18.869583896723704</v>
      </c>
      <c r="P13" s="30">
        <f>BL13/((VLOOKUP(P$3,tech_data!$B$2:$G$15,6,FALSE)/100)*24*365)</f>
        <v>24.160013316444644</v>
      </c>
      <c r="Q13" s="30">
        <f t="shared" si="7"/>
        <v>91416.90171787751</v>
      </c>
      <c r="R13" s="30"/>
      <c r="S13" s="36"/>
      <c r="T13" s="19"/>
      <c r="U13" s="20" t="str">
        <f t="shared" si="0"/>
        <v>JAWA</v>
      </c>
      <c r="V13" s="20">
        <f t="shared" si="0"/>
        <v>2028</v>
      </c>
      <c r="W13" s="30">
        <v>0</v>
      </c>
      <c r="X13" s="30">
        <v>546.01401314301029</v>
      </c>
      <c r="Y13" s="30">
        <v>3400.2774281837792</v>
      </c>
      <c r="Z13" s="30">
        <v>1.5709212577814831</v>
      </c>
      <c r="AA13" s="30">
        <v>0</v>
      </c>
      <c r="AB13" s="30">
        <v>0</v>
      </c>
      <c r="AC13" s="30">
        <v>0</v>
      </c>
      <c r="AD13" s="30">
        <v>606.32393868656879</v>
      </c>
      <c r="AE13" s="30">
        <v>1193.0444551335781</v>
      </c>
      <c r="AF13" s="30">
        <v>0</v>
      </c>
      <c r="AG13" s="30">
        <v>0</v>
      </c>
      <c r="AH13" s="30">
        <v>0</v>
      </c>
      <c r="AI13" s="30">
        <f t="shared" si="8"/>
        <v>1.3632599832201926</v>
      </c>
      <c r="AJ13" s="34">
        <f t="shared" si="1"/>
        <v>5748.5940163879368</v>
      </c>
      <c r="AM13" s="23"/>
      <c r="AO13" s="20" t="str">
        <f t="shared" si="2"/>
        <v>JAWA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7935.4134149489719</v>
      </c>
      <c r="AV13" s="30">
        <f t="shared" si="9"/>
        <v>188.50332012160737</v>
      </c>
      <c r="AW13" s="30">
        <f t="shared" si="9"/>
        <v>1241.842973464135</v>
      </c>
      <c r="AX13" s="30">
        <f t="shared" si="9"/>
        <v>25553.727567034999</v>
      </c>
      <c r="AY13" s="30">
        <f t="shared" si="9"/>
        <v>17194.287726664716</v>
      </c>
      <c r="AZ13" s="30">
        <f t="shared" si="9"/>
        <v>9126.6349261140385</v>
      </c>
      <c r="BA13" s="30">
        <f t="shared" si="9"/>
        <v>2265.059124025081</v>
      </c>
      <c r="BB13" s="30">
        <v>999</v>
      </c>
      <c r="BC13" s="30">
        <v>999</v>
      </c>
      <c r="BD13" s="30">
        <f t="shared" si="3"/>
        <v>63505.469052373548</v>
      </c>
      <c r="BF13" s="23"/>
      <c r="BG13" s="19"/>
      <c r="BH13" s="20" t="str">
        <f t="shared" si="10"/>
        <v>JAWA</v>
      </c>
      <c r="BI13" s="20">
        <f t="shared" si="10"/>
        <v>2028</v>
      </c>
      <c r="BJ13" s="25">
        <f t="shared" si="4"/>
        <v>9.0578777802016439E-2</v>
      </c>
      <c r="BK13" s="43">
        <f t="shared" si="5"/>
        <v>2.9267945441147948E-4</v>
      </c>
      <c r="BL13" s="34">
        <f t="shared" si="11"/>
        <v>95238.772493424796</v>
      </c>
      <c r="BP13" s="23"/>
    </row>
    <row r="14" spans="1:68" x14ac:dyDescent="0.25">
      <c r="A14" s="19"/>
      <c r="B14" s="20" t="str">
        <f t="shared" si="12"/>
        <v>JAWA</v>
      </c>
      <c r="C14" s="20">
        <f t="shared" si="13"/>
        <v>2029</v>
      </c>
      <c r="D14" s="30">
        <f t="shared" si="14"/>
        <v>25875.696708134146</v>
      </c>
      <c r="E14" s="30">
        <f t="shared" si="6"/>
        <v>5308.3070660751973</v>
      </c>
      <c r="F14" s="30">
        <f t="shared" si="6"/>
        <v>42194.674697447823</v>
      </c>
      <c r="G14" s="30">
        <f t="shared" si="6"/>
        <v>55.211284520983412</v>
      </c>
      <c r="H14" s="30">
        <f t="shared" si="6"/>
        <v>1376.3865850510283</v>
      </c>
      <c r="I14" s="30">
        <f t="shared" si="6"/>
        <v>6609.8466798783911</v>
      </c>
      <c r="J14" s="30">
        <f t="shared" si="6"/>
        <v>1685.507026535865</v>
      </c>
      <c r="K14" s="30">
        <f t="shared" si="6"/>
        <v>7049.0910930745567</v>
      </c>
      <c r="L14" s="30">
        <f t="shared" si="6"/>
        <v>6954.4418136126287</v>
      </c>
      <c r="M14" s="30">
        <f t="shared" si="6"/>
        <v>96.365073885961152</v>
      </c>
      <c r="N14" s="30">
        <f t="shared" si="6"/>
        <v>7.9408759749190105</v>
      </c>
      <c r="O14" s="30">
        <f t="shared" si="6"/>
        <v>18.869583896723704</v>
      </c>
      <c r="P14" s="30">
        <f>BL14/((VLOOKUP(P$3,tech_data!$B$2:$G$15,6,FALSE)/100)*24*365)</f>
        <v>25.53565116042331</v>
      </c>
      <c r="Q14" s="30">
        <f t="shared" si="7"/>
        <v>97232.338488088237</v>
      </c>
      <c r="R14" s="30"/>
      <c r="S14" s="36"/>
      <c r="T14" s="19"/>
      <c r="U14" s="20" t="str">
        <f t="shared" si="0"/>
        <v>JAWA</v>
      </c>
      <c r="V14" s="20">
        <f t="shared" si="0"/>
        <v>2029</v>
      </c>
      <c r="W14" s="30">
        <v>0</v>
      </c>
      <c r="X14" s="30">
        <v>640.46471297579137</v>
      </c>
      <c r="Y14" s="30">
        <v>3283.9235260328155</v>
      </c>
      <c r="Z14" s="30">
        <v>1.5003308152253974</v>
      </c>
      <c r="AA14" s="30">
        <v>0</v>
      </c>
      <c r="AB14" s="30">
        <v>-3.5527136788005009E-15</v>
      </c>
      <c r="AC14" s="30">
        <v>0</v>
      </c>
      <c r="AD14" s="30">
        <v>732.81866010955468</v>
      </c>
      <c r="AE14" s="30">
        <v>1156.7295402773423</v>
      </c>
      <c r="AF14" s="30">
        <v>0</v>
      </c>
      <c r="AG14" s="30">
        <v>0</v>
      </c>
      <c r="AH14" s="30">
        <v>0</v>
      </c>
      <c r="AI14" s="30">
        <f t="shared" si="8"/>
        <v>1.3756378439786658</v>
      </c>
      <c r="AJ14" s="34">
        <f t="shared" si="1"/>
        <v>5816.8124080547077</v>
      </c>
      <c r="AM14" s="23"/>
      <c r="AO14" s="20" t="str">
        <f t="shared" si="2"/>
        <v>JAWA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7935.4134149489719</v>
      </c>
      <c r="AV14" s="30">
        <f t="shared" si="9"/>
        <v>188.50332012160737</v>
      </c>
      <c r="AW14" s="30">
        <f t="shared" si="9"/>
        <v>1241.842973464135</v>
      </c>
      <c r="AX14" s="30">
        <f t="shared" si="9"/>
        <v>24820.908906925444</v>
      </c>
      <c r="AY14" s="30">
        <f t="shared" si="9"/>
        <v>16037.558186387374</v>
      </c>
      <c r="AZ14" s="30">
        <f t="shared" si="9"/>
        <v>9126.6349261140385</v>
      </c>
      <c r="BA14" s="30">
        <f t="shared" si="9"/>
        <v>2265.059124025081</v>
      </c>
      <c r="BB14" s="30">
        <v>999</v>
      </c>
      <c r="BC14" s="30">
        <v>999</v>
      </c>
      <c r="BD14" s="30">
        <f t="shared" si="3"/>
        <v>61615.920851986652</v>
      </c>
      <c r="BF14" s="23"/>
      <c r="BG14" s="19"/>
      <c r="BH14" s="20" t="str">
        <f t="shared" si="10"/>
        <v>JAWA</v>
      </c>
      <c r="BI14" s="20">
        <f t="shared" si="10"/>
        <v>2029</v>
      </c>
      <c r="BJ14" s="25">
        <f t="shared" si="4"/>
        <v>0.10072776600868687</v>
      </c>
      <c r="BK14" s="43">
        <f t="shared" si="5"/>
        <v>2.9491923111915847E-4</v>
      </c>
      <c r="BL14" s="34">
        <f t="shared" si="11"/>
        <v>100661.53687438869</v>
      </c>
      <c r="BP14" s="23"/>
    </row>
    <row r="15" spans="1:68" x14ac:dyDescent="0.25">
      <c r="A15" s="19"/>
      <c r="B15" s="20" t="str">
        <f t="shared" si="12"/>
        <v>JAWA</v>
      </c>
      <c r="C15" s="20">
        <f t="shared" si="13"/>
        <v>2030</v>
      </c>
      <c r="D15" s="30">
        <f t="shared" si="14"/>
        <v>25875.696708134146</v>
      </c>
      <c r="E15" s="30">
        <f t="shared" si="6"/>
        <v>5984.5957716961038</v>
      </c>
      <c r="F15" s="30">
        <f t="shared" si="6"/>
        <v>46191.971362755939</v>
      </c>
      <c r="G15" s="30">
        <f t="shared" si="6"/>
        <v>57.089518658801268</v>
      </c>
      <c r="H15" s="30">
        <f t="shared" si="6"/>
        <v>1376.3865850510283</v>
      </c>
      <c r="I15" s="30">
        <f t="shared" si="6"/>
        <v>6609.8466798783911</v>
      </c>
      <c r="J15" s="30">
        <f t="shared" si="6"/>
        <v>1685.507026535865</v>
      </c>
      <c r="K15" s="30">
        <f t="shared" si="6"/>
        <v>7912.1228799532482</v>
      </c>
      <c r="L15" s="30">
        <f t="shared" si="6"/>
        <v>8298.2036055338212</v>
      </c>
      <c r="M15" s="30">
        <f t="shared" si="6"/>
        <v>96.365073885961152</v>
      </c>
      <c r="N15" s="30">
        <f t="shared" si="6"/>
        <v>7.9408759749190105</v>
      </c>
      <c r="O15" s="30">
        <f t="shared" si="6"/>
        <v>18.869583896723704</v>
      </c>
      <c r="P15" s="30">
        <f>BL15/((VLOOKUP(P$3,tech_data!$B$2:$G$15,6,FALSE)/100)*24*365)</f>
        <v>27.157373818497369</v>
      </c>
      <c r="Q15" s="30">
        <f t="shared" si="7"/>
        <v>104114.59567195497</v>
      </c>
      <c r="R15" s="30"/>
      <c r="S15" s="36"/>
      <c r="T15" s="19"/>
      <c r="U15" s="20" t="str">
        <f t="shared" si="0"/>
        <v>JAWA</v>
      </c>
      <c r="V15" s="20">
        <f t="shared" si="0"/>
        <v>2030</v>
      </c>
      <c r="W15" s="30">
        <v>0</v>
      </c>
      <c r="X15" s="30">
        <v>676.28870562090674</v>
      </c>
      <c r="Y15" s="30">
        <v>3997.2966653081153</v>
      </c>
      <c r="Z15" s="30">
        <v>1.8782341378178564</v>
      </c>
      <c r="AA15" s="30">
        <v>0</v>
      </c>
      <c r="AB15" s="30">
        <v>0</v>
      </c>
      <c r="AC15" s="30">
        <v>0</v>
      </c>
      <c r="AD15" s="30">
        <v>863.03178687869126</v>
      </c>
      <c r="AE15" s="30">
        <v>1343.761791921193</v>
      </c>
      <c r="AF15" s="30">
        <v>0</v>
      </c>
      <c r="AG15" s="30">
        <v>0</v>
      </c>
      <c r="AH15" s="30">
        <v>0</v>
      </c>
      <c r="AI15" s="30">
        <f t="shared" si="8"/>
        <v>1.6217226580740594</v>
      </c>
      <c r="AJ15" s="34">
        <f t="shared" si="1"/>
        <v>6883.8789065247984</v>
      </c>
      <c r="AM15" s="23"/>
      <c r="AO15" s="20" t="str">
        <f t="shared" si="2"/>
        <v>JAWA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7935.4134149489719</v>
      </c>
      <c r="AV15" s="30">
        <f t="shared" si="9"/>
        <v>188.50332012160737</v>
      </c>
      <c r="AW15" s="30">
        <f t="shared" si="9"/>
        <v>1241.842973464135</v>
      </c>
      <c r="AX15" s="30">
        <f t="shared" si="9"/>
        <v>23957.877120046753</v>
      </c>
      <c r="AY15" s="30">
        <f t="shared" si="9"/>
        <v>14693.796394466181</v>
      </c>
      <c r="AZ15" s="30">
        <f t="shared" si="9"/>
        <v>9126.6349261140385</v>
      </c>
      <c r="BA15" s="30">
        <f t="shared" si="9"/>
        <v>2265.059124025081</v>
      </c>
      <c r="BB15" s="30">
        <v>999</v>
      </c>
      <c r="BC15" s="30">
        <v>999</v>
      </c>
      <c r="BD15" s="30">
        <f t="shared" si="3"/>
        <v>59409.127273186765</v>
      </c>
      <c r="BF15" s="23"/>
      <c r="BG15" s="19"/>
      <c r="BH15" s="20" t="str">
        <f t="shared" si="10"/>
        <v>JAWA</v>
      </c>
      <c r="BI15" s="20">
        <f t="shared" si="10"/>
        <v>2030</v>
      </c>
      <c r="BJ15" s="25">
        <f t="shared" si="4"/>
        <v>0.11134987682284364</v>
      </c>
      <c r="BK15" s="43">
        <f t="shared" si="5"/>
        <v>2.9726342109193793E-4</v>
      </c>
      <c r="BL15" s="34">
        <f t="shared" si="11"/>
        <v>107054.36759251665</v>
      </c>
      <c r="BP15" s="23"/>
    </row>
    <row r="16" spans="1:68" x14ac:dyDescent="0.25">
      <c r="A16" s="19"/>
      <c r="B16" s="20" t="str">
        <f t="shared" si="12"/>
        <v>JAWA</v>
      </c>
      <c r="C16" s="20">
        <f t="shared" si="13"/>
        <v>2031</v>
      </c>
      <c r="D16" s="30">
        <f t="shared" si="14"/>
        <v>25875.696708134146</v>
      </c>
      <c r="E16" s="30">
        <f t="shared" si="6"/>
        <v>6698.0722484069702</v>
      </c>
      <c r="F16" s="30">
        <f t="shared" si="6"/>
        <v>51714.496193200604</v>
      </c>
      <c r="G16" s="30">
        <f t="shared" si="6"/>
        <v>59.792714133875677</v>
      </c>
      <c r="H16" s="30">
        <f t="shared" si="6"/>
        <v>1376.3865850510283</v>
      </c>
      <c r="I16" s="30">
        <f t="shared" si="6"/>
        <v>6609.8466798783911</v>
      </c>
      <c r="J16" s="30">
        <f t="shared" si="6"/>
        <v>1685.507026535865</v>
      </c>
      <c r="K16" s="30">
        <f t="shared" si="6"/>
        <v>9361.2062960970779</v>
      </c>
      <c r="L16" s="30">
        <f t="shared" si="6"/>
        <v>9811.5471114429911</v>
      </c>
      <c r="M16" s="30">
        <f t="shared" si="6"/>
        <v>96.365073885961152</v>
      </c>
      <c r="N16" s="30">
        <f t="shared" si="6"/>
        <v>7.9408759749190105</v>
      </c>
      <c r="O16" s="30">
        <f t="shared" si="6"/>
        <v>18.869583896723704</v>
      </c>
      <c r="P16" s="30">
        <f>BL16/((VLOOKUP(P$3,tech_data!$B$2:$G$15,6,FALSE)/100)*24*365)</f>
        <v>29.27927767465556</v>
      </c>
      <c r="Q16" s="30">
        <f t="shared" si="7"/>
        <v>113315.72709663857</v>
      </c>
      <c r="R16" s="30"/>
      <c r="S16" s="36"/>
      <c r="T16" s="19"/>
      <c r="U16" s="20" t="str">
        <f t="shared" si="0"/>
        <v>JAWA</v>
      </c>
      <c r="V16" s="20">
        <f t="shared" si="0"/>
        <v>2031</v>
      </c>
      <c r="W16" s="30">
        <v>1.4210854715202004E-14</v>
      </c>
      <c r="X16" s="30">
        <v>713.47647671086645</v>
      </c>
      <c r="Y16" s="30">
        <v>5522.5248304446632</v>
      </c>
      <c r="Z16" s="30">
        <v>2.7031954750744118</v>
      </c>
      <c r="AA16" s="30">
        <v>0</v>
      </c>
      <c r="AB16" s="30">
        <v>0</v>
      </c>
      <c r="AC16" s="30">
        <v>0</v>
      </c>
      <c r="AD16" s="30">
        <v>1449.0834161438304</v>
      </c>
      <c r="AE16" s="30">
        <v>1513.3435059091705</v>
      </c>
      <c r="AF16" s="30">
        <v>0</v>
      </c>
      <c r="AG16" s="30">
        <v>0</v>
      </c>
      <c r="AH16" s="30">
        <v>0</v>
      </c>
      <c r="AI16" s="30">
        <f t="shared" si="8"/>
        <v>2.1219038561581911</v>
      </c>
      <c r="AJ16" s="34">
        <f t="shared" si="1"/>
        <v>9203.2533285397622</v>
      </c>
      <c r="AM16" s="23"/>
      <c r="AO16" s="20" t="str">
        <f t="shared" si="2"/>
        <v>JAWA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7935.4134149489719</v>
      </c>
      <c r="AV16" s="30">
        <f t="shared" si="9"/>
        <v>188.50332012160737</v>
      </c>
      <c r="AW16" s="30">
        <f t="shared" si="9"/>
        <v>1241.842973464135</v>
      </c>
      <c r="AX16" s="30">
        <f t="shared" si="9"/>
        <v>22508.793703902924</v>
      </c>
      <c r="AY16" s="30">
        <f t="shared" si="9"/>
        <v>13180.452888557011</v>
      </c>
      <c r="AZ16" s="30">
        <f t="shared" si="9"/>
        <v>9126.6349261140385</v>
      </c>
      <c r="BA16" s="30">
        <f t="shared" si="9"/>
        <v>2265.059124025081</v>
      </c>
      <c r="BB16" s="30">
        <v>999</v>
      </c>
      <c r="BC16" s="30">
        <v>999</v>
      </c>
      <c r="BD16" s="30">
        <f t="shared" si="3"/>
        <v>56446.700351133768</v>
      </c>
      <c r="BF16" s="23"/>
      <c r="BG16" s="19"/>
      <c r="BH16" s="20" t="str">
        <f t="shared" si="10"/>
        <v>JAWA</v>
      </c>
      <c r="BI16" s="20">
        <f t="shared" si="10"/>
        <v>2031</v>
      </c>
      <c r="BJ16" s="25">
        <f t="shared" si="4"/>
        <v>0.12320858759800737</v>
      </c>
      <c r="BK16" s="43">
        <f t="shared" si="5"/>
        <v>2.9988051588369821E-4</v>
      </c>
      <c r="BL16" s="34">
        <f t="shared" si="11"/>
        <v>115418.91259349223</v>
      </c>
      <c r="BP16" s="23"/>
    </row>
    <row r="17" spans="1:84" x14ac:dyDescent="0.25">
      <c r="A17" s="19"/>
      <c r="B17" s="20" t="str">
        <f t="shared" si="12"/>
        <v>JAWA</v>
      </c>
      <c r="C17" s="20">
        <f t="shared" si="13"/>
        <v>2032</v>
      </c>
      <c r="D17" s="30">
        <f t="shared" si="14"/>
        <v>25875.698151137447</v>
      </c>
      <c r="E17" s="30">
        <f t="shared" si="6"/>
        <v>7451.7761672150655</v>
      </c>
      <c r="F17" s="30">
        <f t="shared" si="6"/>
        <v>57840.150322723523</v>
      </c>
      <c r="G17" s="30">
        <f t="shared" si="6"/>
        <v>62.73795529068677</v>
      </c>
      <c r="H17" s="30">
        <f t="shared" si="6"/>
        <v>1376.3865850510283</v>
      </c>
      <c r="I17" s="30">
        <f t="shared" si="6"/>
        <v>6609.8472638696994</v>
      </c>
      <c r="J17" s="30">
        <f t="shared" si="6"/>
        <v>1685.507026535865</v>
      </c>
      <c r="K17" s="30">
        <f t="shared" si="6"/>
        <v>10999.606062296818</v>
      </c>
      <c r="L17" s="30">
        <f t="shared" si="6"/>
        <v>11477.104327317693</v>
      </c>
      <c r="M17" s="30">
        <f t="shared" si="6"/>
        <v>96.365073885961152</v>
      </c>
      <c r="N17" s="30">
        <f t="shared" si="6"/>
        <v>7.9408759749190105</v>
      </c>
      <c r="O17" s="30">
        <f t="shared" si="6"/>
        <v>18.869583896723704</v>
      </c>
      <c r="P17" s="30">
        <f>BL17/((VLOOKUP(P$3,tech_data!$B$2:$G$15,6,FALSE)/100)*24*365)</f>
        <v>31.627230523650645</v>
      </c>
      <c r="Q17" s="30">
        <f t="shared" si="7"/>
        <v>123501.98939519544</v>
      </c>
      <c r="R17" s="30"/>
      <c r="S17" s="36"/>
      <c r="T17" s="19"/>
      <c r="U17" s="20" t="str">
        <f t="shared" si="0"/>
        <v>JAWA</v>
      </c>
      <c r="V17" s="20">
        <f t="shared" si="0"/>
        <v>2032</v>
      </c>
      <c r="W17" s="30">
        <v>1.4430033008823644E-3</v>
      </c>
      <c r="X17" s="30">
        <v>753.70391880809495</v>
      </c>
      <c r="Y17" s="30">
        <v>6125.6541295229208</v>
      </c>
      <c r="Z17" s="30">
        <v>2.9452411568110963</v>
      </c>
      <c r="AA17" s="30">
        <v>0</v>
      </c>
      <c r="AB17" s="30">
        <v>5.8399130851738358E-4</v>
      </c>
      <c r="AC17" s="30">
        <v>0</v>
      </c>
      <c r="AD17" s="30">
        <v>1638.3997661997398</v>
      </c>
      <c r="AE17" s="30">
        <v>1665.557215874702</v>
      </c>
      <c r="AF17" s="30">
        <v>0</v>
      </c>
      <c r="AG17" s="30">
        <v>0</v>
      </c>
      <c r="AH17" s="30">
        <v>0</v>
      </c>
      <c r="AI17" s="30">
        <f t="shared" si="8"/>
        <v>2.3479528489950852</v>
      </c>
      <c r="AJ17" s="34">
        <f t="shared" si="1"/>
        <v>10188.610251405873</v>
      </c>
      <c r="AM17" s="23"/>
      <c r="AO17" s="20" t="str">
        <f t="shared" si="2"/>
        <v>JAWA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7935.4134149489719</v>
      </c>
      <c r="AV17" s="30">
        <f t="shared" si="9"/>
        <v>188.50273613029884</v>
      </c>
      <c r="AW17" s="30">
        <f t="shared" si="9"/>
        <v>1241.842973464135</v>
      </c>
      <c r="AX17" s="30">
        <f t="shared" si="9"/>
        <v>20870.393937703186</v>
      </c>
      <c r="AY17" s="30">
        <f t="shared" si="9"/>
        <v>11514.895672682309</v>
      </c>
      <c r="AZ17" s="30">
        <f t="shared" si="9"/>
        <v>9126.6349261140385</v>
      </c>
      <c r="BA17" s="30">
        <f t="shared" si="9"/>
        <v>2265.059124025081</v>
      </c>
      <c r="BB17" s="30">
        <v>999</v>
      </c>
      <c r="BC17" s="30">
        <v>999</v>
      </c>
      <c r="BD17" s="30">
        <f t="shared" si="3"/>
        <v>53142.742785068025</v>
      </c>
      <c r="BF17" s="23"/>
      <c r="BG17" s="19"/>
      <c r="BH17" s="20" t="str">
        <f t="shared" si="10"/>
        <v>JAWA</v>
      </c>
      <c r="BI17" s="20">
        <f t="shared" si="10"/>
        <v>2032</v>
      </c>
      <c r="BJ17" s="25">
        <f t="shared" si="4"/>
        <v>0.13476960411731045</v>
      </c>
      <c r="BK17" s="43">
        <f t="shared" si="5"/>
        <v>3.0243191263278578E-4</v>
      </c>
      <c r="BL17" s="34">
        <f t="shared" si="11"/>
        <v>124674.54272423087</v>
      </c>
      <c r="BP17" s="23"/>
    </row>
    <row r="18" spans="1:84" x14ac:dyDescent="0.25">
      <c r="A18" s="19"/>
      <c r="B18" s="20" t="str">
        <f t="shared" si="12"/>
        <v>JAWA</v>
      </c>
      <c r="C18" s="20">
        <f t="shared" si="13"/>
        <v>2033</v>
      </c>
      <c r="D18" s="30">
        <f t="shared" si="14"/>
        <v>25875.698151137447</v>
      </c>
      <c r="E18" s="30">
        <f t="shared" si="6"/>
        <v>8248.6047095593603</v>
      </c>
      <c r="F18" s="30">
        <f t="shared" si="6"/>
        <v>63810.076286442534</v>
      </c>
      <c r="G18" s="30">
        <f t="shared" si="6"/>
        <v>65.562745090167851</v>
      </c>
      <c r="H18" s="30">
        <f t="shared" si="6"/>
        <v>1376.3865850510283</v>
      </c>
      <c r="I18" s="30">
        <f t="shared" si="6"/>
        <v>6609.8472638696994</v>
      </c>
      <c r="J18" s="30">
        <f t="shared" si="6"/>
        <v>1685.507026535865</v>
      </c>
      <c r="K18" s="30">
        <f t="shared" si="6"/>
        <v>11610.56175222015</v>
      </c>
      <c r="L18" s="30">
        <f t="shared" si="6"/>
        <v>13799.896049045952</v>
      </c>
      <c r="M18" s="30">
        <f t="shared" si="6"/>
        <v>96.365073885961152</v>
      </c>
      <c r="N18" s="30">
        <f t="shared" si="6"/>
        <v>7.9408759749190105</v>
      </c>
      <c r="O18" s="30">
        <f t="shared" si="6"/>
        <v>18.869583896723704</v>
      </c>
      <c r="P18" s="30">
        <f>BL18/((VLOOKUP(P$3,tech_data!$B$2:$G$15,6,FALSE)/100)*24*365)</f>
        <v>33.970677387365861</v>
      </c>
      <c r="Q18" s="30">
        <f t="shared" si="7"/>
        <v>133205.31610270982</v>
      </c>
      <c r="R18" s="30"/>
      <c r="S18" s="36"/>
      <c r="T18" s="19"/>
      <c r="U18" s="20" t="str">
        <f t="shared" si="0"/>
        <v>JAWA</v>
      </c>
      <c r="V18" s="20">
        <f t="shared" si="0"/>
        <v>2033</v>
      </c>
      <c r="W18" s="30">
        <v>0</v>
      </c>
      <c r="X18" s="30">
        <v>796.82854234429533</v>
      </c>
      <c r="Y18" s="30">
        <v>5969.9259637190125</v>
      </c>
      <c r="Z18" s="30">
        <v>2.8247897994810875</v>
      </c>
      <c r="AA18" s="30">
        <v>0</v>
      </c>
      <c r="AB18" s="30">
        <v>0</v>
      </c>
      <c r="AC18" s="30">
        <v>0</v>
      </c>
      <c r="AD18" s="30">
        <v>610.95568992333153</v>
      </c>
      <c r="AE18" s="30">
        <v>2322.7917217282597</v>
      </c>
      <c r="AF18" s="30">
        <v>0</v>
      </c>
      <c r="AG18" s="30">
        <v>0</v>
      </c>
      <c r="AH18" s="30">
        <v>0</v>
      </c>
      <c r="AI18" s="30">
        <f t="shared" si="8"/>
        <v>2.343446863715215</v>
      </c>
      <c r="AJ18" s="34">
        <f t="shared" si="1"/>
        <v>9705.6701543780946</v>
      </c>
      <c r="AM18" s="23"/>
      <c r="AO18" s="20" t="str">
        <f t="shared" si="2"/>
        <v>JAWA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7935.4134149489719</v>
      </c>
      <c r="AV18" s="30">
        <f t="shared" si="9"/>
        <v>188.50273613029884</v>
      </c>
      <c r="AW18" s="30">
        <f t="shared" si="9"/>
        <v>1241.842973464135</v>
      </c>
      <c r="AX18" s="30">
        <f t="shared" si="9"/>
        <v>20259.438247779854</v>
      </c>
      <c r="AY18" s="30">
        <f t="shared" si="9"/>
        <v>9192.1039509540497</v>
      </c>
      <c r="AZ18" s="30">
        <f t="shared" si="9"/>
        <v>9126.6349261140385</v>
      </c>
      <c r="BA18" s="30">
        <f t="shared" si="9"/>
        <v>2265.059124025081</v>
      </c>
      <c r="BB18" s="30">
        <v>999</v>
      </c>
      <c r="BC18" s="30">
        <v>999</v>
      </c>
      <c r="BD18" s="30">
        <f t="shared" si="3"/>
        <v>50208.99537341643</v>
      </c>
      <c r="BF18" s="23"/>
      <c r="BG18" s="19"/>
      <c r="BH18" s="20" t="str">
        <f t="shared" si="10"/>
        <v>JAWA</v>
      </c>
      <c r="BI18" s="20">
        <f t="shared" si="10"/>
        <v>2033</v>
      </c>
      <c r="BJ18" s="25">
        <f t="shared" si="4"/>
        <v>0.14524696210141852</v>
      </c>
      <c r="BK18" s="43">
        <f t="shared" si="5"/>
        <v>3.047441571534165E-4</v>
      </c>
      <c r="BL18" s="34">
        <f t="shared" si="11"/>
        <v>133912.41026099623</v>
      </c>
      <c r="BP18" s="23"/>
    </row>
    <row r="19" spans="1:84" x14ac:dyDescent="0.25">
      <c r="A19" s="19"/>
      <c r="B19" s="20" t="str">
        <f t="shared" si="12"/>
        <v>JAWA</v>
      </c>
      <c r="C19" s="20">
        <f t="shared" si="13"/>
        <v>2034</v>
      </c>
      <c r="D19" s="30">
        <f t="shared" si="14"/>
        <v>27256.812685380381</v>
      </c>
      <c r="E19" s="30">
        <f t="shared" si="6"/>
        <v>9090.5418410765014</v>
      </c>
      <c r="F19" s="30">
        <f t="shared" si="6"/>
        <v>67806.514370794423</v>
      </c>
      <c r="G19" s="30">
        <f t="shared" si="6"/>
        <v>68.531312182324044</v>
      </c>
      <c r="H19" s="30">
        <f t="shared" si="6"/>
        <v>1376.3865850510283</v>
      </c>
      <c r="I19" s="30">
        <f t="shared" si="6"/>
        <v>6609.8472638696994</v>
      </c>
      <c r="J19" s="30">
        <f t="shared" si="6"/>
        <v>1685.507026535865</v>
      </c>
      <c r="K19" s="30">
        <f t="shared" si="6"/>
        <v>13165.468880134005</v>
      </c>
      <c r="L19" s="30">
        <f t="shared" si="6"/>
        <v>15790.071789239595</v>
      </c>
      <c r="M19" s="30">
        <f t="shared" si="6"/>
        <v>96.365073885961152</v>
      </c>
      <c r="N19" s="30">
        <f t="shared" si="6"/>
        <v>7.9408759749190105</v>
      </c>
      <c r="O19" s="30">
        <f t="shared" si="6"/>
        <v>18.869584106831478</v>
      </c>
      <c r="P19" s="30">
        <f>BL19/((VLOOKUP(P$3,tech_data!$B$2:$G$15,6,FALSE)/100)*24*365)</f>
        <v>36.498279711154964</v>
      </c>
      <c r="Q19" s="30">
        <f t="shared" si="7"/>
        <v>142972.85728823158</v>
      </c>
      <c r="R19" s="30"/>
      <c r="S19" s="36"/>
      <c r="T19" s="19"/>
      <c r="U19" s="20" t="str">
        <f t="shared" si="0"/>
        <v>JAWA</v>
      </c>
      <c r="V19" s="20">
        <f t="shared" si="0"/>
        <v>2034</v>
      </c>
      <c r="W19" s="30">
        <v>1381.1145342429322</v>
      </c>
      <c r="X19" s="30">
        <v>841.9371315171403</v>
      </c>
      <c r="Y19" s="30">
        <v>3996.4380843518834</v>
      </c>
      <c r="Z19" s="30">
        <v>2.9685670921561962</v>
      </c>
      <c r="AA19" s="30">
        <v>0</v>
      </c>
      <c r="AB19" s="30">
        <v>0</v>
      </c>
      <c r="AC19" s="30">
        <v>0</v>
      </c>
      <c r="AD19" s="30">
        <v>1554.9071279138561</v>
      </c>
      <c r="AE19" s="30">
        <v>1990.1757401936427</v>
      </c>
      <c r="AF19" s="30">
        <v>0</v>
      </c>
      <c r="AG19" s="30">
        <v>0</v>
      </c>
      <c r="AH19" s="30">
        <v>2.1010777350148997E-7</v>
      </c>
      <c r="AI19" s="30">
        <f t="shared" si="8"/>
        <v>2.5276023237891039</v>
      </c>
      <c r="AJ19" s="34">
        <f t="shared" si="1"/>
        <v>9770.0687878455083</v>
      </c>
      <c r="AM19" s="23"/>
      <c r="AO19" s="20" t="str">
        <f t="shared" si="2"/>
        <v>JAWA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7935.4134149489719</v>
      </c>
      <c r="AV19" s="30">
        <f t="shared" si="9"/>
        <v>188.50273613029884</v>
      </c>
      <c r="AW19" s="30">
        <f t="shared" si="9"/>
        <v>1241.842973464135</v>
      </c>
      <c r="AX19" s="30">
        <f t="shared" si="9"/>
        <v>18704.531119865998</v>
      </c>
      <c r="AY19" s="30">
        <f t="shared" si="9"/>
        <v>7201.9282107604067</v>
      </c>
      <c r="AZ19" s="30">
        <f t="shared" si="9"/>
        <v>9126.6349261140385</v>
      </c>
      <c r="BA19" s="30">
        <f t="shared" si="9"/>
        <v>2265.059124025081</v>
      </c>
      <c r="BB19" s="30">
        <v>999</v>
      </c>
      <c r="BC19" s="30">
        <v>999</v>
      </c>
      <c r="BD19" s="30">
        <f t="shared" si="3"/>
        <v>46663.912505308923</v>
      </c>
      <c r="BF19" s="23"/>
      <c r="BG19" s="19"/>
      <c r="BH19" s="20" t="str">
        <f t="shared" si="10"/>
        <v>JAWA</v>
      </c>
      <c r="BI19" s="20">
        <f t="shared" si="10"/>
        <v>2034</v>
      </c>
      <c r="BJ19" s="25">
        <f t="shared" si="4"/>
        <v>0.15533857642393167</v>
      </c>
      <c r="BK19" s="43">
        <f t="shared" si="5"/>
        <v>3.0697127203838494E-4</v>
      </c>
      <c r="BL19" s="34">
        <f t="shared" si="11"/>
        <v>143876.21862137289</v>
      </c>
      <c r="BP19" s="23"/>
    </row>
    <row r="20" spans="1:84" x14ac:dyDescent="0.25">
      <c r="A20" s="19"/>
      <c r="B20" s="20" t="str">
        <f t="shared" si="12"/>
        <v>JAWA</v>
      </c>
      <c r="C20" s="20">
        <f t="shared" si="13"/>
        <v>2035</v>
      </c>
      <c r="D20" s="30">
        <f t="shared" si="14"/>
        <v>28792.705201535817</v>
      </c>
      <c r="E20" s="30">
        <f t="shared" si="6"/>
        <v>9980.4704545849327</v>
      </c>
      <c r="F20" s="30">
        <f t="shared" si="6"/>
        <v>71592.751283939739</v>
      </c>
      <c r="G20" s="30">
        <f t="shared" si="6"/>
        <v>71.451870221092449</v>
      </c>
      <c r="H20" s="30">
        <f t="shared" si="6"/>
        <v>1376.3865850510283</v>
      </c>
      <c r="I20" s="30">
        <f t="shared" si="6"/>
        <v>6609.8472638696994</v>
      </c>
      <c r="J20" s="30">
        <f t="shared" si="6"/>
        <v>1685.507026535865</v>
      </c>
      <c r="K20" s="30">
        <f t="shared" si="6"/>
        <v>14888.374672949081</v>
      </c>
      <c r="L20" s="30">
        <f t="shared" si="6"/>
        <v>17798.31304879719</v>
      </c>
      <c r="M20" s="30">
        <f t="shared" si="6"/>
        <v>96.365073885961152</v>
      </c>
      <c r="N20" s="30">
        <f t="shared" si="6"/>
        <v>7.9408759749190105</v>
      </c>
      <c r="O20" s="30">
        <f t="shared" si="6"/>
        <v>18.869584300670859</v>
      </c>
      <c r="P20" s="30">
        <f>BL20/((VLOOKUP(P$3,tech_data!$B$2:$G$15,6,FALSE)/100)*24*365)</f>
        <v>39.093102079760477</v>
      </c>
      <c r="Q20" s="30">
        <f t="shared" si="7"/>
        <v>152918.98294164601</v>
      </c>
      <c r="R20" s="30"/>
      <c r="S20" s="36"/>
      <c r="T20" s="19"/>
      <c r="U20" s="20" t="str">
        <f t="shared" si="0"/>
        <v>JAWA</v>
      </c>
      <c r="V20" s="20">
        <f t="shared" si="0"/>
        <v>2035</v>
      </c>
      <c r="W20" s="30">
        <v>1535.892516155435</v>
      </c>
      <c r="X20" s="30">
        <v>889.92861350843111</v>
      </c>
      <c r="Y20" s="30">
        <v>3786.236913145312</v>
      </c>
      <c r="Z20" s="30">
        <v>2.9205580387684043</v>
      </c>
      <c r="AA20" s="30">
        <v>0</v>
      </c>
      <c r="AB20" s="30">
        <v>0</v>
      </c>
      <c r="AC20" s="30">
        <v>0</v>
      </c>
      <c r="AD20" s="30">
        <v>1722.9057928150762</v>
      </c>
      <c r="AE20" s="30">
        <v>2008.2412595575965</v>
      </c>
      <c r="AF20" s="30">
        <v>0</v>
      </c>
      <c r="AG20" s="30">
        <v>0</v>
      </c>
      <c r="AH20" s="30">
        <v>1.9383937977082957E-7</v>
      </c>
      <c r="AI20" s="30">
        <f t="shared" si="8"/>
        <v>2.594822368605513</v>
      </c>
      <c r="AJ20" s="34">
        <f t="shared" si="1"/>
        <v>9948.7204757830641</v>
      </c>
      <c r="AM20" s="23"/>
      <c r="AO20" s="20" t="str">
        <f t="shared" si="2"/>
        <v>JAWA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7935.4134149489719</v>
      </c>
      <c r="AV20" s="30">
        <f t="shared" si="9"/>
        <v>188.50273613029884</v>
      </c>
      <c r="AW20" s="30">
        <f t="shared" si="9"/>
        <v>1241.842973464135</v>
      </c>
      <c r="AX20" s="30">
        <f t="shared" si="9"/>
        <v>16981.625327050922</v>
      </c>
      <c r="AY20" s="30">
        <f t="shared" si="9"/>
        <v>5193.6869512028097</v>
      </c>
      <c r="AZ20" s="30">
        <f t="shared" si="9"/>
        <v>9126.6349261140385</v>
      </c>
      <c r="BA20" s="30">
        <f t="shared" si="9"/>
        <v>2265.059124025081</v>
      </c>
      <c r="BB20" s="30">
        <v>999</v>
      </c>
      <c r="BC20" s="30">
        <v>999</v>
      </c>
      <c r="BD20" s="30">
        <f t="shared" si="3"/>
        <v>42932.765452936255</v>
      </c>
      <c r="BF20" s="23"/>
      <c r="BG20" s="19"/>
      <c r="BH20" s="20" t="str">
        <f t="shared" si="10"/>
        <v>JAWA</v>
      </c>
      <c r="BI20" s="20">
        <f t="shared" si="10"/>
        <v>2035</v>
      </c>
      <c r="BJ20" s="25">
        <f t="shared" si="4"/>
        <v>0.16475215793004816</v>
      </c>
      <c r="BK20" s="43">
        <f t="shared" si="5"/>
        <v>3.0904875209490716E-4</v>
      </c>
      <c r="BL20" s="34">
        <f t="shared" si="11"/>
        <v>154105.00839841581</v>
      </c>
      <c r="BP20" s="23"/>
    </row>
    <row r="21" spans="1:84" x14ac:dyDescent="0.25">
      <c r="A21" s="19"/>
      <c r="B21" s="20" t="str">
        <f t="shared" si="12"/>
        <v>JAWA</v>
      </c>
      <c r="C21" s="20">
        <f t="shared" si="13"/>
        <v>2036</v>
      </c>
      <c r="D21" s="30">
        <f t="shared" si="14"/>
        <v>29937.099545285681</v>
      </c>
      <c r="E21" s="30">
        <f t="shared" si="14"/>
        <v>10922.699304584294</v>
      </c>
      <c r="F21" s="30">
        <f t="shared" si="14"/>
        <v>74242.355949995457</v>
      </c>
      <c r="G21" s="30">
        <f t="shared" si="14"/>
        <v>73.329743347510572</v>
      </c>
      <c r="H21" s="30">
        <f t="shared" si="14"/>
        <v>1376.3865850510283</v>
      </c>
      <c r="I21" s="30">
        <f t="shared" si="14"/>
        <v>6609.8472638696994</v>
      </c>
      <c r="J21" s="30">
        <f t="shared" si="14"/>
        <v>1685.507026535865</v>
      </c>
      <c r="K21" s="30">
        <f t="shared" si="14"/>
        <v>16570.634325687723</v>
      </c>
      <c r="L21" s="30">
        <f t="shared" si="14"/>
        <v>19341.496668003052</v>
      </c>
      <c r="M21" s="30">
        <f t="shared" si="14"/>
        <v>96.365073885961152</v>
      </c>
      <c r="N21" s="30">
        <f t="shared" si="14"/>
        <v>7.9408759749190105</v>
      </c>
      <c r="O21" s="30">
        <f t="shared" si="14"/>
        <v>18.869584300670859</v>
      </c>
      <c r="P21" s="30">
        <f>BL21/((VLOOKUP(P$3,tech_data!$B$2:$G$15,6,FALSE)/100)*24*365)</f>
        <v>41.161078638269792</v>
      </c>
      <c r="Q21" s="30">
        <f t="shared" si="7"/>
        <v>160882.53194652189</v>
      </c>
      <c r="R21" s="30"/>
      <c r="S21" s="36"/>
      <c r="T21" s="19"/>
      <c r="U21" s="20" t="str">
        <f t="shared" si="0"/>
        <v>JAWA</v>
      </c>
      <c r="V21" s="20">
        <f t="shared" si="0"/>
        <v>2036</v>
      </c>
      <c r="W21" s="30">
        <v>1144.394343749864</v>
      </c>
      <c r="X21" s="30">
        <v>942.22884999936105</v>
      </c>
      <c r="Y21" s="30">
        <v>2649.6046660557236</v>
      </c>
      <c r="Z21" s="30">
        <v>1.8778731264181161</v>
      </c>
      <c r="AA21" s="30">
        <v>0</v>
      </c>
      <c r="AB21" s="30">
        <v>0</v>
      </c>
      <c r="AC21" s="30">
        <v>0</v>
      </c>
      <c r="AD21" s="30">
        <v>1682.2596527386406</v>
      </c>
      <c r="AE21" s="30">
        <v>1543.1836192058631</v>
      </c>
      <c r="AF21" s="30">
        <v>0</v>
      </c>
      <c r="AG21" s="30">
        <v>0</v>
      </c>
      <c r="AH21" s="30">
        <v>0</v>
      </c>
      <c r="AI21" s="30">
        <f t="shared" si="8"/>
        <v>2.0679765585093151</v>
      </c>
      <c r="AJ21" s="34">
        <f t="shared" si="1"/>
        <v>7965.6169814343802</v>
      </c>
      <c r="AM21" s="23"/>
      <c r="AO21" s="20" t="str">
        <f t="shared" si="2"/>
        <v>JAWA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7935.4134149489719</v>
      </c>
      <c r="AV21" s="30">
        <f t="shared" si="15"/>
        <v>188.50273613029884</v>
      </c>
      <c r="AW21" s="30">
        <f t="shared" si="15"/>
        <v>1241.842973464135</v>
      </c>
      <c r="AX21" s="30">
        <f t="shared" si="15"/>
        <v>15299.365674312281</v>
      </c>
      <c r="AY21" s="30">
        <f t="shared" si="15"/>
        <v>3650.5033319969466</v>
      </c>
      <c r="AZ21" s="30">
        <f t="shared" si="15"/>
        <v>9126.6349261140385</v>
      </c>
      <c r="BA21" s="30">
        <f t="shared" si="15"/>
        <v>2265.059124025081</v>
      </c>
      <c r="BB21" s="30">
        <v>999</v>
      </c>
      <c r="BC21" s="30">
        <v>999</v>
      </c>
      <c r="BD21" s="30">
        <f t="shared" si="3"/>
        <v>39707.322180991752</v>
      </c>
      <c r="BF21" s="23"/>
      <c r="BG21" s="19"/>
      <c r="BH21" s="20" t="str">
        <f t="shared" si="10"/>
        <v>JAWA</v>
      </c>
      <c r="BI21" s="20">
        <f t="shared" si="10"/>
        <v>2036</v>
      </c>
      <c r="BJ21" s="25">
        <f t="shared" si="4"/>
        <v>0.17233768800782978</v>
      </c>
      <c r="BK21" s="43">
        <f t="shared" si="5"/>
        <v>3.1072280011207277E-4</v>
      </c>
      <c r="BL21" s="34">
        <f t="shared" si="11"/>
        <v>162256.97199205955</v>
      </c>
      <c r="BP21" s="23"/>
    </row>
    <row r="22" spans="1:84" x14ac:dyDescent="0.25">
      <c r="A22" s="19"/>
      <c r="B22" s="20" t="str">
        <f t="shared" si="12"/>
        <v>JAWA</v>
      </c>
      <c r="C22" s="20">
        <f t="shared" si="13"/>
        <v>2037</v>
      </c>
      <c r="D22" s="30">
        <f t="shared" ref="D22:O23" si="16">D21+W22</f>
        <v>30669.624122269928</v>
      </c>
      <c r="E22" s="30">
        <f t="shared" si="16"/>
        <v>11920.157674861715</v>
      </c>
      <c r="F22" s="30">
        <f t="shared" si="16"/>
        <v>75678.684069769632</v>
      </c>
      <c r="G22" s="30">
        <f t="shared" si="16"/>
        <v>74.155042610353263</v>
      </c>
      <c r="H22" s="30">
        <f t="shared" si="16"/>
        <v>1376.3865850510283</v>
      </c>
      <c r="I22" s="30">
        <f t="shared" si="16"/>
        <v>6609.8472638696994</v>
      </c>
      <c r="J22" s="30">
        <f t="shared" si="16"/>
        <v>1685.507026535865</v>
      </c>
      <c r="K22" s="30">
        <f t="shared" si="16"/>
        <v>18170.4080849811</v>
      </c>
      <c r="L22" s="30">
        <f t="shared" si="16"/>
        <v>20381.306046326376</v>
      </c>
      <c r="M22" s="30">
        <f t="shared" si="16"/>
        <v>96.365073885961152</v>
      </c>
      <c r="N22" s="30">
        <f t="shared" si="16"/>
        <v>7.9408759749190105</v>
      </c>
      <c r="O22" s="30">
        <f t="shared" si="16"/>
        <v>18.869584300670859</v>
      </c>
      <c r="P22" s="30">
        <f>BL22/((VLOOKUP(P$3,tech_data!$B$2:$G$15,6,FALSE)/100)*24*365)</f>
        <v>42.656922467642673</v>
      </c>
      <c r="Q22" s="30">
        <f t="shared" si="7"/>
        <v>166689.25145043727</v>
      </c>
      <c r="R22" s="30"/>
      <c r="S22" s="36"/>
      <c r="T22" s="19"/>
      <c r="U22" s="20" t="str">
        <f t="shared" si="0"/>
        <v>JAWA</v>
      </c>
      <c r="V22" s="20">
        <f t="shared" si="0"/>
        <v>2037</v>
      </c>
      <c r="W22" s="30">
        <v>732.5245769842486</v>
      </c>
      <c r="X22" s="30">
        <v>997.45837027742209</v>
      </c>
      <c r="Y22" s="30">
        <v>1436.3281197741792</v>
      </c>
      <c r="Z22" s="30">
        <v>0.82529926284269284</v>
      </c>
      <c r="AA22" s="30">
        <v>0</v>
      </c>
      <c r="AB22" s="30">
        <v>0</v>
      </c>
      <c r="AC22" s="30">
        <v>0</v>
      </c>
      <c r="AD22" s="30">
        <v>1599.7737592933759</v>
      </c>
      <c r="AE22" s="30">
        <v>1039.8093783233223</v>
      </c>
      <c r="AF22" s="30">
        <v>0</v>
      </c>
      <c r="AG22" s="30">
        <v>0</v>
      </c>
      <c r="AH22" s="30">
        <v>0</v>
      </c>
      <c r="AI22" s="30">
        <f t="shared" si="8"/>
        <v>1.4958438293728804</v>
      </c>
      <c r="AJ22" s="34">
        <f t="shared" si="1"/>
        <v>5808.2153477447637</v>
      </c>
      <c r="AM22" s="23"/>
      <c r="AO22" s="20" t="str">
        <f t="shared" si="2"/>
        <v>JAWA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7935.4134149489719</v>
      </c>
      <c r="AV22" s="30">
        <f t="shared" si="15"/>
        <v>188.50273613029884</v>
      </c>
      <c r="AW22" s="30">
        <f t="shared" si="15"/>
        <v>1241.842973464135</v>
      </c>
      <c r="AX22" s="30">
        <f t="shared" si="15"/>
        <v>13699.591915018906</v>
      </c>
      <c r="AY22" s="30">
        <f t="shared" si="15"/>
        <v>2610.6939536736245</v>
      </c>
      <c r="AZ22" s="30">
        <f t="shared" si="15"/>
        <v>9126.6349261140385</v>
      </c>
      <c r="BA22" s="30">
        <f t="shared" si="15"/>
        <v>2265.059124025081</v>
      </c>
      <c r="BB22" s="30">
        <v>999</v>
      </c>
      <c r="BC22" s="30">
        <v>999</v>
      </c>
      <c r="BD22" s="30">
        <f t="shared" si="3"/>
        <v>37067.739043375055</v>
      </c>
      <c r="BF22" s="23"/>
      <c r="BG22" s="19"/>
      <c r="BH22" s="20" t="str">
        <f t="shared" si="10"/>
        <v>JAWA</v>
      </c>
      <c r="BI22" s="20">
        <f t="shared" si="10"/>
        <v>2037</v>
      </c>
      <c r="BJ22" s="25">
        <f t="shared" si="4"/>
        <v>0.1784077664603762</v>
      </c>
      <c r="BK22" s="43">
        <f t="shared" si="5"/>
        <v>3.1206240363263474E-4</v>
      </c>
      <c r="BL22" s="34">
        <f t="shared" si="11"/>
        <v>168153.58836744743</v>
      </c>
      <c r="BP22" s="23"/>
    </row>
    <row r="23" spans="1:84" x14ac:dyDescent="0.25">
      <c r="A23" s="19"/>
      <c r="B23" s="20" t="str">
        <f t="shared" si="12"/>
        <v>JAWA</v>
      </c>
      <c r="C23" s="20">
        <f t="shared" si="13"/>
        <v>2038</v>
      </c>
      <c r="D23" s="30">
        <f t="shared" si="16"/>
        <v>32164.788014545898</v>
      </c>
      <c r="E23" s="30">
        <f t="shared" si="16"/>
        <v>12971.40648487715</v>
      </c>
      <c r="F23" s="30">
        <f t="shared" si="16"/>
        <v>79295.235112968425</v>
      </c>
      <c r="G23" s="30">
        <f t="shared" si="16"/>
        <v>76.771052718490182</v>
      </c>
      <c r="H23" s="30">
        <f t="shared" si="16"/>
        <v>1376.3865850510283</v>
      </c>
      <c r="I23" s="30">
        <f t="shared" si="16"/>
        <v>6609.8472638696994</v>
      </c>
      <c r="J23" s="30">
        <f t="shared" si="16"/>
        <v>2001.8537532846969</v>
      </c>
      <c r="K23" s="30">
        <f t="shared" si="16"/>
        <v>20394.898740366141</v>
      </c>
      <c r="L23" s="30">
        <f t="shared" si="16"/>
        <v>21686.653023163188</v>
      </c>
      <c r="M23" s="30">
        <f t="shared" si="16"/>
        <v>96.365073934563597</v>
      </c>
      <c r="N23" s="30">
        <f t="shared" si="16"/>
        <v>7.9408759749190105</v>
      </c>
      <c r="O23" s="30">
        <f t="shared" si="16"/>
        <v>18.869584300670859</v>
      </c>
      <c r="P23" s="30">
        <f>BL23/((VLOOKUP(P$3,tech_data!$B$2:$G$15,6,FALSE)/100)*24*365)</f>
        <v>45.213298283841453</v>
      </c>
      <c r="Q23" s="30">
        <f t="shared" si="7"/>
        <v>176701.0155650549</v>
      </c>
      <c r="R23" s="30"/>
      <c r="S23" s="36"/>
      <c r="T23" s="19"/>
      <c r="U23" s="20" t="str">
        <f t="shared" si="0"/>
        <v>JAWA</v>
      </c>
      <c r="V23" s="20">
        <f t="shared" si="0"/>
        <v>2038</v>
      </c>
      <c r="W23" s="30">
        <v>1495.1638922759712</v>
      </c>
      <c r="X23" s="30">
        <v>1051.2488100154344</v>
      </c>
      <c r="Y23" s="30">
        <v>3616.5510431987982</v>
      </c>
      <c r="Z23" s="30">
        <v>2.6160101081369231</v>
      </c>
      <c r="AA23" s="30">
        <v>0</v>
      </c>
      <c r="AB23" s="30">
        <v>0</v>
      </c>
      <c r="AC23" s="30">
        <v>316.34672674883205</v>
      </c>
      <c r="AD23" s="30">
        <v>2224.4906553850428</v>
      </c>
      <c r="AE23" s="30">
        <v>1305.3469768368122</v>
      </c>
      <c r="AF23" s="30">
        <v>4.8602448838605331E-8</v>
      </c>
      <c r="AG23" s="30">
        <v>0</v>
      </c>
      <c r="AH23" s="30">
        <v>0</v>
      </c>
      <c r="AI23" s="30">
        <f t="shared" si="8"/>
        <v>2.5563758161987806</v>
      </c>
      <c r="AJ23" s="34">
        <f t="shared" si="1"/>
        <v>10014.320490433829</v>
      </c>
      <c r="AM23" s="23"/>
      <c r="AO23" s="20" t="str">
        <f t="shared" si="2"/>
        <v>JAWA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7935.4134149489719</v>
      </c>
      <c r="AV23" s="30">
        <f t="shared" si="15"/>
        <v>188.50273613029884</v>
      </c>
      <c r="AW23" s="30">
        <f t="shared" si="15"/>
        <v>925.49624671530296</v>
      </c>
      <c r="AX23" s="30">
        <f t="shared" si="15"/>
        <v>11475.101259633862</v>
      </c>
      <c r="AY23" s="30">
        <f t="shared" si="15"/>
        <v>1305.3469768368122</v>
      </c>
      <c r="AZ23" s="30">
        <f t="shared" si="15"/>
        <v>9126.634926065437</v>
      </c>
      <c r="BA23" s="30">
        <f t="shared" si="15"/>
        <v>2265.059124025081</v>
      </c>
      <c r="BB23" s="30">
        <v>999</v>
      </c>
      <c r="BC23" s="30">
        <v>999</v>
      </c>
      <c r="BD23" s="30">
        <f t="shared" si="3"/>
        <v>33221.554684355768</v>
      </c>
      <c r="BF23" s="23"/>
      <c r="BG23" s="19"/>
      <c r="BH23" s="20" t="str">
        <f t="shared" si="10"/>
        <v>JAWA</v>
      </c>
      <c r="BI23" s="20">
        <f t="shared" si="10"/>
        <v>2038</v>
      </c>
      <c r="BJ23" s="25">
        <f>SUM(K47:L47,N47)/Q47</f>
        <v>0.18312340191359425</v>
      </c>
      <c r="BK23" s="43">
        <f t="shared" si="5"/>
        <v>3.1310309559472426E-4</v>
      </c>
      <c r="BL23" s="34">
        <f t="shared" si="11"/>
        <v>178230.82183490304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JAWA</v>
      </c>
      <c r="C28" s="20">
        <f>C4</f>
        <v>2019</v>
      </c>
      <c r="D28" s="30">
        <f>(D4*(VLOOKUP(D$27,tech_data!$B$2:$O$15,6, FALSE)/100)*(1-(VLOOKUP(D$27,tech_data!$B$2:$O$15,7, FALSE)/100))*8760)/1000</f>
        <v>111748.58493333332</v>
      </c>
      <c r="E28" s="30">
        <f>(E4*(VLOOKUP(E$27,tech_data!$B$2:$O$15,6, FALSE)/100)*(1-(VLOOKUP(E$27,tech_data!$B$2:$O$15,7, FALSE)/100))*8760)/1000</f>
        <v>8659.4673168553854</v>
      </c>
      <c r="F28" s="30">
        <f>(F4*(VLOOKUP(F$27,tech_data!$B$2:$O$15,6, FALSE)/100)*(1-(VLOOKUP(F$27,tech_data!$B$2:$O$15,7, FALSE)/100))*8760)/1000</f>
        <v>27290.263987661539</v>
      </c>
      <c r="G28" s="30">
        <f>(G4*(VLOOKUP(G$27,tech_data!$B$2:$O$15,6, FALSE)/100)*(1-(VLOOKUP(G$27,tech_data!$B$2:$O$15,7, FALSE)/100))*8760)/1000</f>
        <v>165.55866313846153</v>
      </c>
      <c r="H28" s="30">
        <f>(H4*(VLOOKUP(H$27,tech_data!$B$2:$O$15,6, FALSE)/100)*(1-(VLOOKUP(H$27,tech_data!$B$2:$O$15,7, FALSE)/100))*8760)/1000</f>
        <v>7818.1140184615379</v>
      </c>
      <c r="I28" s="30">
        <f>(I4*(VLOOKUP(I$27,tech_data!$B$2:$O$15,6, FALSE)/100)*(1-(VLOOKUP(I$27,tech_data!$B$2:$O$15,7, FALSE)/100))*8760)/1000</f>
        <v>11539.290456000001</v>
      </c>
      <c r="J28" s="30">
        <f>(J4*(VLOOKUP(J$27,tech_data!$B$2:$O$15,6, FALSE)/100)*(1-(VLOOKUP(J$27,tech_data!$B$2:$O$15,7, FALSE)/100))*8760)/1000</f>
        <v>102.69577107692311</v>
      </c>
      <c r="K28" s="30">
        <f>(K4*(VLOOKUP(K$27,tech_data!$B$2:$O$15,6, FALSE)/100)*(1-(VLOOKUP(K$27,tech_data!$B$2:$O$15,7, FALSE)/100))*8760)/1000</f>
        <v>1.8395999999999999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19.980886153846154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167345.79563268099</v>
      </c>
      <c r="R28" s="34">
        <f>proj_rukn!D42</f>
        <v>202127</v>
      </c>
      <c r="S28" s="35"/>
      <c r="T28" s="19"/>
      <c r="U28" s="20" t="str">
        <f t="shared" ref="U28:V47" si="18">B28</f>
        <v>JAWA</v>
      </c>
      <c r="V28" s="20">
        <f t="shared" si="18"/>
        <v>2019</v>
      </c>
      <c r="W28" s="29">
        <f t="shared" ref="W28:AI47" si="19">D28/$Q28</f>
        <v>0.66777049588158233</v>
      </c>
      <c r="X28" s="29">
        <f t="shared" si="19"/>
        <v>5.1745950856528576E-2</v>
      </c>
      <c r="Y28" s="29">
        <f t="shared" si="19"/>
        <v>0.16307708170668866</v>
      </c>
      <c r="Z28" s="29">
        <f t="shared" si="19"/>
        <v>9.8932072068220848E-4</v>
      </c>
      <c r="AA28" s="29">
        <f t="shared" si="19"/>
        <v>4.6718317534681683E-2</v>
      </c>
      <c r="AB28" s="29">
        <f t="shared" si="19"/>
        <v>6.8954767655641597E-2</v>
      </c>
      <c r="AC28" s="29">
        <f t="shared" si="19"/>
        <v>6.1367404354954486E-4</v>
      </c>
      <c r="AD28" s="29">
        <f t="shared" si="19"/>
        <v>1.0992806798910363E-5</v>
      </c>
      <c r="AE28" s="29">
        <f t="shared" si="19"/>
        <v>0</v>
      </c>
      <c r="AF28" s="29">
        <f t="shared" si="19"/>
        <v>1.1939879384662641E-4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1.0000000000000002</v>
      </c>
      <c r="AM28" s="23"/>
      <c r="AO28" s="20" t="str">
        <f>B28</f>
        <v>JAWA</v>
      </c>
      <c r="AP28" s="20">
        <f>C28</f>
        <v>2019</v>
      </c>
      <c r="AQ28" s="25">
        <f t="shared" ref="AQ28:AQ47" si="21">D28/Q28</f>
        <v>0.66777049588158233</v>
      </c>
      <c r="AR28" s="25">
        <f t="shared" ref="AR28:AR47" si="22">SUM(E28:F28)/Q28</f>
        <v>0.21482303256321725</v>
      </c>
      <c r="AS28" s="25">
        <f t="shared" ref="AS28:AS47" si="23">G28/Q28</f>
        <v>9.8932072068220848E-4</v>
      </c>
      <c r="AT28" s="37">
        <f t="shared" ref="AT28:AT47" si="24">SUM(H28:N28)/Q28</f>
        <v>0.11641715083451837</v>
      </c>
      <c r="AU28" s="24">
        <f>SUM(AQ28:AT28)</f>
        <v>1.0000000000000002</v>
      </c>
      <c r="AW28" s="24">
        <f>$BD$29+((AP28-$BC$29)*($BD$30-$BD$29)/($BC$30-$BC$29))</f>
        <v>0.66777049588158233</v>
      </c>
      <c r="AX28" s="24">
        <f t="shared" ref="AX28:AX47" si="25">$BE$29+((AP28-$BC$29)*($BE$30-$BE$29)/($BC$30-$BC$29))</f>
        <v>0.19239999999999999</v>
      </c>
      <c r="AY28" s="24">
        <f>BF29</f>
        <v>9.8932072068220848E-4</v>
      </c>
      <c r="AZ28" s="25">
        <f>$BG$29+((AP28-$BC$29)*($BG$30-$BG$29)/($BC$30-$BC$29))</f>
        <v>0.1166</v>
      </c>
      <c r="BA28" s="24">
        <f>SUM(AW28:AZ28)</f>
        <v>0.97775981660226463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JAWA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39648.050000000003</v>
      </c>
      <c r="BQ28" s="30">
        <f t="shared" ref="BQ28:BQ47" si="27">BN28*$CD$30</f>
        <v>13830.82</v>
      </c>
      <c r="BR28" s="30">
        <f>SUM(D4,F4,H4,M4)</f>
        <v>34118.83</v>
      </c>
      <c r="BS28" s="30"/>
      <c r="BT28" s="30">
        <f t="shared" ref="BT28:BT47" si="28">BN28*$CD$31</f>
        <v>6915.41</v>
      </c>
      <c r="BU28" s="30">
        <f>SUM(E4,G4,P4,I4)</f>
        <v>5529.22</v>
      </c>
      <c r="BW28" s="30">
        <f t="shared" ref="BW28:BW47" si="29">$CD$32*SUM(H4:O4)</f>
        <v>1.9152499999999999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9.4426007852881858E-5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JAWA</v>
      </c>
      <c r="C29" s="20">
        <f t="shared" si="31"/>
        <v>2020</v>
      </c>
      <c r="D29" s="30">
        <f>(D5*(VLOOKUP(D$27,tech_data!$B$2:$O$15,6, FALSE)/100)*(1-(VLOOKUP(D$27,tech_data!$B$2:$O$15,7, FALSE)/100))*8760)/1000</f>
        <v>119242.17570683657</v>
      </c>
      <c r="E29" s="30">
        <f>(E5*(VLOOKUP(E$27,tech_data!$B$2:$O$15,6, FALSE)/100)*(1-(VLOOKUP(E$27,tech_data!$B$2:$O$15,7, FALSE)/100))*8760)/1000</f>
        <v>8659.4673168553854</v>
      </c>
      <c r="F29" s="30">
        <f>(F5*(VLOOKUP(F$27,tech_data!$B$2:$O$15,6, FALSE)/100)*(1-(VLOOKUP(F$27,tech_data!$B$2:$O$15,7, FALSE)/100))*8760)/1000</f>
        <v>30073.691688508923</v>
      </c>
      <c r="G29" s="30">
        <f>(G5*(VLOOKUP(G$27,tech_data!$B$2:$O$15,6, FALSE)/100)*(1-(VLOOKUP(G$27,tech_data!$B$2:$O$15,7, FALSE)/100))*8760)/1000</f>
        <v>165.55866313846153</v>
      </c>
      <c r="H29" s="30">
        <f>(H5*(VLOOKUP(H$27,tech_data!$B$2:$O$15,6, FALSE)/100)*(1-(VLOOKUP(H$27,tech_data!$B$2:$O$15,7, FALSE)/100))*8760)/1000</f>
        <v>7818.1140184615379</v>
      </c>
      <c r="I29" s="30">
        <f>(I5*(VLOOKUP(I$27,tech_data!$B$2:$O$15,6, FALSE)/100)*(1-(VLOOKUP(I$27,tech_data!$B$2:$O$15,7, FALSE)/100))*8760)/1000</f>
        <v>20859.597334176589</v>
      </c>
      <c r="J29" s="30">
        <f>(J5*(VLOOKUP(J$27,tech_data!$B$2:$O$15,6, FALSE)/100)*(1-(VLOOKUP(J$27,tech_data!$B$2:$O$15,7, FALSE)/100))*8760)/1000</f>
        <v>271.76230497700459</v>
      </c>
      <c r="K29" s="30">
        <f>(K5*(VLOOKUP(K$27,tech_data!$B$2:$O$15,6, FALSE)/100)*(1-(VLOOKUP(K$27,tech_data!$B$2:$O$15,7, FALSE)/100))*8760)/1000</f>
        <v>9441.5825470433319</v>
      </c>
      <c r="L29" s="30">
        <f>(L5*(VLOOKUP(L$27,tech_data!$B$2:$O$15,6, FALSE)/100)*(1-(VLOOKUP(L$27,tech_data!$B$2:$O$15,7, FALSE)/100))*8760)/1000</f>
        <v>46.349444568166923</v>
      </c>
      <c r="M29" s="30">
        <f>(M5*(VLOOKUP(M$27,tech_data!$B$2:$O$15,6, FALSE)/100)*(1-(VLOOKUP(M$27,tech_data!$B$2:$O$15,7, FALSE)/100))*8760)/1000</f>
        <v>19.980886153846154</v>
      </c>
      <c r="N29" s="30">
        <f>(N5*(VLOOKUP(N$27,tech_data!$B$2:$O$15,6, FALSE)/100)*(1-(VLOOKUP(N$27,tech_data!$B$2:$O$15,7, FALSE)/100))*8760)/1000</f>
        <v>16.740440143338652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50.269785711299363</v>
      </c>
      <c r="Q29" s="34">
        <f t="shared" si="17"/>
        <v>196615.02035086317</v>
      </c>
      <c r="R29" s="34">
        <f>proj_rukn!D43</f>
        <v>218489</v>
      </c>
      <c r="S29" s="35"/>
      <c r="T29" s="19"/>
      <c r="U29" s="20" t="str">
        <f t="shared" si="18"/>
        <v>JAWA</v>
      </c>
      <c r="V29" s="20">
        <f t="shared" si="18"/>
        <v>2020</v>
      </c>
      <c r="W29" s="29">
        <f t="shared" si="19"/>
        <v>0.60647541319094889</v>
      </c>
      <c r="X29" s="29">
        <f t="shared" si="19"/>
        <v>4.404275574369855E-2</v>
      </c>
      <c r="Y29" s="29">
        <f t="shared" si="19"/>
        <v>0.15295724423719947</v>
      </c>
      <c r="Z29" s="29">
        <f t="shared" si="19"/>
        <v>8.4204483890914844E-4</v>
      </c>
      <c r="AA29" s="29">
        <f t="shared" si="19"/>
        <v>3.9763564373209978E-2</v>
      </c>
      <c r="AB29" s="29">
        <f t="shared" si="19"/>
        <v>0.10609361022851789</v>
      </c>
      <c r="AC29" s="29">
        <f t="shared" si="19"/>
        <v>1.3822052073744909E-3</v>
      </c>
      <c r="AD29" s="29">
        <f t="shared" si="19"/>
        <v>4.8020657476700673E-2</v>
      </c>
      <c r="AE29" s="29">
        <f t="shared" si="19"/>
        <v>2.3573704839770367E-4</v>
      </c>
      <c r="AF29" s="29">
        <f t="shared" si="19"/>
        <v>1.0162441362918199E-4</v>
      </c>
      <c r="AG29" s="29">
        <f t="shared" si="19"/>
        <v>8.5143241413931781E-5</v>
      </c>
      <c r="AH29" s="29">
        <f t="shared" si="19"/>
        <v>0</v>
      </c>
      <c r="AI29" s="29">
        <f t="shared" si="19"/>
        <v>2.5567622260797772E-4</v>
      </c>
      <c r="AJ29" s="29">
        <f t="shared" si="20"/>
        <v>1</v>
      </c>
      <c r="AM29" s="23"/>
      <c r="AO29" s="20" t="str">
        <f>AO28</f>
        <v>JAWA</v>
      </c>
      <c r="AP29" s="20">
        <f>AP28+1</f>
        <v>2020</v>
      </c>
      <c r="AQ29" s="25">
        <f t="shared" si="21"/>
        <v>0.60647541319094889</v>
      </c>
      <c r="AR29" s="25">
        <f t="shared" si="22"/>
        <v>0.19699999998089801</v>
      </c>
      <c r="AS29" s="25">
        <f t="shared" si="23"/>
        <v>8.4204483890914844E-4</v>
      </c>
      <c r="AT29" s="37">
        <f t="shared" si="24"/>
        <v>0.19568254198924387</v>
      </c>
      <c r="AU29" s="24">
        <f t="shared" ref="AU29:AU47" si="32">SUM(AQ29:AT29)</f>
        <v>0.99999999999999989</v>
      </c>
      <c r="AW29" s="24">
        <f>$BD$29+((AP29-$BC$29)*($BD$30-$BD$29)/($BC$30-$BC$29))</f>
        <v>0.60647541323465193</v>
      </c>
      <c r="AX29" s="24">
        <f t="shared" si="25"/>
        <v>0.19699999999999998</v>
      </c>
      <c r="AY29" s="24">
        <f>AY28*0.98</f>
        <v>9.6953430626856431E-4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0.93994494754092051</v>
      </c>
      <c r="BC29" s="20">
        <v>2019</v>
      </c>
      <c r="BD29" s="25">
        <f>AQ28</f>
        <v>0.66777049588158233</v>
      </c>
      <c r="BE29" s="25">
        <v>0.19239999999999999</v>
      </c>
      <c r="BF29" s="25">
        <f>AS28</f>
        <v>9.8932072068220848E-4</v>
      </c>
      <c r="BG29" s="25">
        <v>0.1166</v>
      </c>
      <c r="BH29" s="24">
        <f>SUM(BD29:BG29)</f>
        <v>0.97775981660226463</v>
      </c>
      <c r="BJ29" s="19"/>
      <c r="BK29" s="20" t="str">
        <f>BK28</f>
        <v>JAWA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44312.785447499846</v>
      </c>
      <c r="BQ29" s="30">
        <f t="shared" si="27"/>
        <v>14643.64</v>
      </c>
      <c r="BR29" s="30">
        <f t="shared" ref="BR29:BR47" si="36">SUM(D5,F5,H5,M5)</f>
        <v>36669.93245656915</v>
      </c>
      <c r="BS29" s="30"/>
      <c r="BT29" s="30">
        <f t="shared" si="28"/>
        <v>7321.82</v>
      </c>
      <c r="BU29" s="30">
        <f t="shared" ref="BU29:BU47" si="37">SUM(E5,G5,P5,I5)</f>
        <v>7642.8529909306908</v>
      </c>
      <c r="BW29" s="30">
        <f t="shared" si="29"/>
        <v>5.5552995306198953</v>
      </c>
      <c r="BX29" s="30">
        <f t="shared" ref="BX29:BX47" si="38">N5</f>
        <v>5.5552591534388132</v>
      </c>
      <c r="BZ29" s="24">
        <f>BZ28+$CD$34</f>
        <v>0.1008</v>
      </c>
      <c r="CA29" s="24">
        <f t="shared" si="30"/>
        <v>0.24540082619807871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JAWA</v>
      </c>
      <c r="C30" s="20">
        <f t="shared" si="31"/>
        <v>2021</v>
      </c>
      <c r="D30" s="30">
        <f>(D6*(VLOOKUP(D$27,tech_data!$B$2:$O$15,6, FALSE)/100)*(1-(VLOOKUP(D$27,tech_data!$B$2:$O$15,7, FALSE)/100))*8760)/1000</f>
        <v>125322.70088733589</v>
      </c>
      <c r="E30" s="30">
        <f>(E6*(VLOOKUP(E$27,tech_data!$B$2:$O$15,6, FALSE)/100)*(1-(VLOOKUP(E$27,tech_data!$B$2:$O$15,7, FALSE)/100))*8760)/1000</f>
        <v>8659.4673168553854</v>
      </c>
      <c r="F30" s="30">
        <f>(F6*(VLOOKUP(F$27,tech_data!$B$2:$O$15,6, FALSE)/100)*(1-(VLOOKUP(F$27,tech_data!$B$2:$O$15,7, FALSE)/100))*8760)/1000</f>
        <v>37683.100603102983</v>
      </c>
      <c r="G30" s="30">
        <f>(G6*(VLOOKUP(G$27,tech_data!$B$2:$O$15,6, FALSE)/100)*(1-(VLOOKUP(G$27,tech_data!$B$2:$O$15,7, FALSE)/100))*8760)/1000</f>
        <v>165.55866313846153</v>
      </c>
      <c r="H30" s="30">
        <f>(H6*(VLOOKUP(H$27,tech_data!$B$2:$O$15,6, FALSE)/100)*(1-(VLOOKUP(H$27,tech_data!$B$2:$O$15,7, FALSE)/100))*8760)/1000</f>
        <v>7818.1140184615379</v>
      </c>
      <c r="I30" s="30">
        <f>(I6*(VLOOKUP(I$27,tech_data!$B$2:$O$15,6, FALSE)/100)*(1-(VLOOKUP(I$27,tech_data!$B$2:$O$15,7, FALSE)/100))*8760)/1000</f>
        <v>25519.751015088292</v>
      </c>
      <c r="J30" s="30">
        <f>(J6*(VLOOKUP(J$27,tech_data!$B$2:$O$15,6, FALSE)/100)*(1-(VLOOKUP(J$27,tech_data!$B$2:$O$15,7, FALSE)/100))*8760)/1000</f>
        <v>8799.4680534115814</v>
      </c>
      <c r="K30" s="30">
        <f>(K6*(VLOOKUP(K$27,tech_data!$B$2:$O$15,6, FALSE)/100)*(1-(VLOOKUP(K$27,tech_data!$B$2:$O$15,7, FALSE)/100))*8760)/1000</f>
        <v>10384.056434378837</v>
      </c>
      <c r="L30" s="30">
        <f>(L6*(VLOOKUP(L$27,tech_data!$B$2:$O$15,6, FALSE)/100)*(1-(VLOOKUP(L$27,tech_data!$B$2:$O$15,7, FALSE)/100))*8760)/1000</f>
        <v>5477.721578093764</v>
      </c>
      <c r="M30" s="30">
        <f>(M6*(VLOOKUP(M$27,tech_data!$B$2:$O$15,6, FALSE)/100)*(1-(VLOOKUP(M$27,tech_data!$B$2:$O$15,7, FALSE)/100))*8760)/1000</f>
        <v>19.980886153846154</v>
      </c>
      <c r="N30" s="30">
        <f>(N6*(VLOOKUP(N$27,tech_data!$B$2:$O$15,6, FALSE)/100)*(1-(VLOOKUP(N$27,tech_data!$B$2:$O$15,7, FALSE)/100))*8760)/1000</f>
        <v>23.929353297871842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59.723774888457555</v>
      </c>
      <c r="Q30" s="34">
        <f t="shared" si="17"/>
        <v>229873.84880931844</v>
      </c>
      <c r="R30" s="34">
        <f>proj_rukn!D44</f>
        <v>234371</v>
      </c>
      <c r="S30" s="35"/>
      <c r="T30" s="19"/>
      <c r="U30" s="20" t="str">
        <f t="shared" si="18"/>
        <v>JAWA</v>
      </c>
      <c r="V30" s="20">
        <f t="shared" si="18"/>
        <v>2021</v>
      </c>
      <c r="W30" s="29">
        <f t="shared" si="19"/>
        <v>0.54518033058772042</v>
      </c>
      <c r="X30" s="29">
        <f t="shared" si="19"/>
        <v>3.7670519555438681E-2</v>
      </c>
      <c r="Y30" s="29">
        <f t="shared" si="19"/>
        <v>0.16392948044456032</v>
      </c>
      <c r="Z30" s="29">
        <f t="shared" si="19"/>
        <v>7.2021530067908381E-4</v>
      </c>
      <c r="AA30" s="29">
        <f t="shared" si="19"/>
        <v>3.4010454251134518E-2</v>
      </c>
      <c r="AB30" s="29">
        <f t="shared" si="19"/>
        <v>0.1110163298142585</v>
      </c>
      <c r="AC30" s="29">
        <f t="shared" si="19"/>
        <v>3.827955245448901E-2</v>
      </c>
      <c r="AD30" s="29">
        <f t="shared" si="19"/>
        <v>4.5172848012791859E-2</v>
      </c>
      <c r="AE30" s="29">
        <f t="shared" si="19"/>
        <v>2.3829250723676546E-2</v>
      </c>
      <c r="AF30" s="29">
        <f t="shared" si="19"/>
        <v>8.692109284001419E-5</v>
      </c>
      <c r="AG30" s="29">
        <f t="shared" si="19"/>
        <v>1.0409776241107515E-4</v>
      </c>
      <c r="AH30" s="29">
        <f t="shared" si="19"/>
        <v>0</v>
      </c>
      <c r="AI30" s="29">
        <f t="shared" si="19"/>
        <v>2.5981108855056731E-4</v>
      </c>
      <c r="AJ30" s="29">
        <f t="shared" si="20"/>
        <v>1</v>
      </c>
      <c r="AM30" s="23"/>
      <c r="AO30" s="20" t="str">
        <f t="shared" ref="AO30:AO47" si="39">AO29</f>
        <v>JAWA</v>
      </c>
      <c r="AP30" s="20">
        <f t="shared" ref="AP30:AP47" si="40">AP29+1</f>
        <v>2021</v>
      </c>
      <c r="AQ30" s="25">
        <f t="shared" si="21"/>
        <v>0.54518033058772042</v>
      </c>
      <c r="AR30" s="25">
        <f t="shared" si="22"/>
        <v>0.201599999999999</v>
      </c>
      <c r="AS30" s="25">
        <f t="shared" si="23"/>
        <v>7.2021530067908381E-4</v>
      </c>
      <c r="AT30" s="37">
        <f t="shared" si="24"/>
        <v>0.25249945411160152</v>
      </c>
      <c r="AU30" s="24">
        <f t="shared" si="32"/>
        <v>1</v>
      </c>
      <c r="AW30" s="24">
        <f t="shared" ref="AW30:AW34" si="41">$BD$29+((AP30-$BC$29)*($BD$30-$BD$29)/($BC$30-$BC$29))</f>
        <v>0.54518033058772153</v>
      </c>
      <c r="AX30" s="24">
        <f t="shared" si="25"/>
        <v>0.2016</v>
      </c>
      <c r="AY30" s="24">
        <f t="shared" ref="AY30:AY47" si="42">AY29*0.98</f>
        <v>9.5014362014319296E-4</v>
      </c>
      <c r="AZ30" s="25">
        <f t="shared" si="33"/>
        <v>0.15440000000000001</v>
      </c>
      <c r="BA30" s="24">
        <f t="shared" si="34"/>
        <v>0.90213047420786474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JAWA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49368.704902400452</v>
      </c>
      <c r="BQ30" s="30">
        <f t="shared" si="27"/>
        <v>15499.24</v>
      </c>
      <c r="BR30" s="30">
        <f t="shared" si="36"/>
        <v>40673.443952507318</v>
      </c>
      <c r="BS30" s="30"/>
      <c r="BT30" s="30">
        <f t="shared" si="28"/>
        <v>7749.62</v>
      </c>
      <c r="BU30" s="30">
        <f t="shared" si="37"/>
        <v>8695.2609498931342</v>
      </c>
      <c r="BW30" s="30">
        <f t="shared" si="29"/>
        <v>7.9408759749229372</v>
      </c>
      <c r="BX30" s="30">
        <f t="shared" si="38"/>
        <v>7.940875974922962</v>
      </c>
      <c r="BZ30" s="24">
        <f t="shared" ref="BZ30:BZ47" si="46">BZ29*1.05</f>
        <v>0.10584</v>
      </c>
      <c r="CA30" s="24">
        <f t="shared" si="30"/>
        <v>0.17890275514348652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JAWA</v>
      </c>
      <c r="C31" s="20">
        <f t="shared" si="31"/>
        <v>2022</v>
      </c>
      <c r="D31" s="30">
        <f>(D7*(VLOOKUP(D$27,tech_data!$B$2:$O$15,6, FALSE)/100)*(1-(VLOOKUP(D$27,tech_data!$B$2:$O$15,7, FALSE)/100))*8760)/1000</f>
        <v>125322.70088733589</v>
      </c>
      <c r="E31" s="30">
        <f>(E7*(VLOOKUP(E$27,tech_data!$B$2:$O$15,6, FALSE)/100)*(1-(VLOOKUP(E$27,tech_data!$B$2:$O$15,7, FALSE)/100))*8760)/1000</f>
        <v>8659.4673168553854</v>
      </c>
      <c r="F31" s="30">
        <f>(F7*(VLOOKUP(F$27,tech_data!$B$2:$O$15,6, FALSE)/100)*(1-(VLOOKUP(F$27,tech_data!$B$2:$O$15,7, FALSE)/100))*8760)/1000</f>
        <v>54091.427585321246</v>
      </c>
      <c r="G31" s="30">
        <f>(G7*(VLOOKUP(G$27,tech_data!$B$2:$O$15,6, FALSE)/100)*(1-(VLOOKUP(G$27,tech_data!$B$2:$O$15,7, FALSE)/100))*8760)/1000</f>
        <v>229.38279863802785</v>
      </c>
      <c r="H31" s="30">
        <f>(H7*(VLOOKUP(H$27,tech_data!$B$2:$O$15,6, FALSE)/100)*(1-(VLOOKUP(H$27,tech_data!$B$2:$O$15,7, FALSE)/100))*8760)/1000</f>
        <v>7818.1140862126713</v>
      </c>
      <c r="I31" s="30">
        <f>(I7*(VLOOKUP(I$27,tech_data!$B$2:$O$15,6, FALSE)/100)*(1-(VLOOKUP(I$27,tech_data!$B$2:$O$15,7, FALSE)/100))*8760)/1000</f>
        <v>25519.751015088292</v>
      </c>
      <c r="J31" s="30">
        <f>(J7*(VLOOKUP(J$27,tech_data!$B$2:$O$15,6, FALSE)/100)*(1-(VLOOKUP(J$27,tech_data!$B$2:$O$15,7, FALSE)/100))*8760)/1000</f>
        <v>8799.4680534115814</v>
      </c>
      <c r="K31" s="30">
        <f>(K7*(VLOOKUP(K$27,tech_data!$B$2:$O$15,6, FALSE)/100)*(1-(VLOOKUP(K$27,tech_data!$B$2:$O$15,7, FALSE)/100))*8760)/1000</f>
        <v>10384.056434378837</v>
      </c>
      <c r="L31" s="30">
        <f>(L7*(VLOOKUP(L$27,tech_data!$B$2:$O$15,6, FALSE)/100)*(1-(VLOOKUP(L$27,tech_data!$B$2:$O$15,7, FALSE)/100))*8760)/1000</f>
        <v>5477.721578093764</v>
      </c>
      <c r="M31" s="30">
        <f>(M7*(VLOOKUP(M$27,tech_data!$B$2:$O$15,6, FALSE)/100)*(1-(VLOOKUP(M$27,tech_data!$B$2:$O$15,7, FALSE)/100))*8760)/1000</f>
        <v>19.980886153846154</v>
      </c>
      <c r="N31" s="30">
        <f>(N7*(VLOOKUP(N$27,tech_data!$B$2:$O$15,6, FALSE)/100)*(1-(VLOOKUP(N$27,tech_data!$B$2:$O$15,7, FALSE)/100))*8760)/1000</f>
        <v>23.92935329785994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63.776747250715104</v>
      </c>
      <c r="Q31" s="34">
        <f t="shared" si="17"/>
        <v>246345.99999478739</v>
      </c>
      <c r="R31" s="34">
        <f>proj_rukn!D45</f>
        <v>246346</v>
      </c>
      <c r="S31" s="35"/>
      <c r="T31" s="19"/>
      <c r="U31" s="20" t="str">
        <f t="shared" si="18"/>
        <v>JAWA</v>
      </c>
      <c r="V31" s="20">
        <f t="shared" si="18"/>
        <v>2022</v>
      </c>
      <c r="W31" s="29">
        <f t="shared" si="19"/>
        <v>0.50872634786027648</v>
      </c>
      <c r="X31" s="29">
        <f t="shared" si="19"/>
        <v>3.5151645722027627E-2</v>
      </c>
      <c r="Y31" s="29">
        <f t="shared" si="19"/>
        <v>0.21957501882095024</v>
      </c>
      <c r="Z31" s="29">
        <f t="shared" si="19"/>
        <v>9.3114074774050125E-4</v>
      </c>
      <c r="AA31" s="29">
        <f t="shared" si="19"/>
        <v>3.1736314315548457E-2</v>
      </c>
      <c r="AB31" s="29">
        <f t="shared" si="19"/>
        <v>0.10359312112081497</v>
      </c>
      <c r="AC31" s="29">
        <f t="shared" si="19"/>
        <v>3.5719955077808348E-2</v>
      </c>
      <c r="AD31" s="29">
        <f t="shared" si="19"/>
        <v>4.2152324107550196E-2</v>
      </c>
      <c r="AE31" s="29">
        <f t="shared" si="19"/>
        <v>2.2235886022950124E-2</v>
      </c>
      <c r="AF31" s="29">
        <f t="shared" si="19"/>
        <v>8.1109034261846926E-5</v>
      </c>
      <c r="AG31" s="29">
        <f t="shared" si="19"/>
        <v>9.713717007122616E-5</v>
      </c>
      <c r="AH31" s="29">
        <f t="shared" si="19"/>
        <v>0</v>
      </c>
      <c r="AI31" s="29">
        <f t="shared" si="19"/>
        <v>2.5889093897227722E-4</v>
      </c>
      <c r="AJ31" s="29">
        <f t="shared" si="20"/>
        <v>1</v>
      </c>
      <c r="AM31" s="23"/>
      <c r="AO31" s="20" t="str">
        <f t="shared" si="39"/>
        <v>JAWA</v>
      </c>
      <c r="AP31" s="20">
        <f t="shared" si="40"/>
        <v>2022</v>
      </c>
      <c r="AQ31" s="25">
        <f t="shared" si="21"/>
        <v>0.50872634786027648</v>
      </c>
      <c r="AR31" s="25">
        <f t="shared" si="22"/>
        <v>0.25472666454297788</v>
      </c>
      <c r="AS31" s="25">
        <f t="shared" si="23"/>
        <v>9.3114074774050125E-4</v>
      </c>
      <c r="AT31" s="37">
        <f t="shared" si="24"/>
        <v>0.23561584684900519</v>
      </c>
      <c r="AU31" s="24">
        <f t="shared" si="32"/>
        <v>1</v>
      </c>
      <c r="AW31" s="24">
        <f t="shared" si="41"/>
        <v>0.48388524794079113</v>
      </c>
      <c r="AX31" s="24">
        <f t="shared" si="25"/>
        <v>0.20619999999999999</v>
      </c>
      <c r="AY31" s="24">
        <f t="shared" si="42"/>
        <v>9.3114074774032908E-4</v>
      </c>
      <c r="AZ31" s="25">
        <f t="shared" si="33"/>
        <v>0.17330000000000001</v>
      </c>
      <c r="BA31" s="24">
        <f t="shared" si="34"/>
        <v>0.86431638868853145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JAWA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55311.580686372406</v>
      </c>
      <c r="BQ31" s="30">
        <f t="shared" si="27"/>
        <v>16423.84</v>
      </c>
      <c r="BR31" s="30">
        <f t="shared" si="36"/>
        <v>46602.408398565713</v>
      </c>
      <c r="BS31" s="30"/>
      <c r="BT31" s="30">
        <f t="shared" si="28"/>
        <v>8211.92</v>
      </c>
      <c r="BU31" s="30">
        <f t="shared" si="37"/>
        <v>8709.1722878066939</v>
      </c>
      <c r="BW31" s="30">
        <f t="shared" si="29"/>
        <v>7.940875980143284</v>
      </c>
      <c r="BX31" s="30">
        <f t="shared" si="38"/>
        <v>7.9408759749190105</v>
      </c>
      <c r="BZ31" s="24">
        <f t="shared" si="46"/>
        <v>0.11113200000000001</v>
      </c>
      <c r="CA31" s="24">
        <f t="shared" si="30"/>
        <v>0.17890275493466101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JAWA</v>
      </c>
      <c r="C32" s="20">
        <f t="shared" si="31"/>
        <v>2023</v>
      </c>
      <c r="D32" s="30">
        <f>(D8*(VLOOKUP(D$27,tech_data!$B$2:$O$15,6, FALSE)/100)*(1-(VLOOKUP(D$27,tech_data!$B$2:$O$15,7, FALSE)/100))*8760)/1000</f>
        <v>125322.70088733589</v>
      </c>
      <c r="E32" s="30">
        <f>(E8*(VLOOKUP(E$27,tech_data!$B$2:$O$15,6, FALSE)/100)*(1-(VLOOKUP(E$27,tech_data!$B$2:$O$15,7, FALSE)/100))*8760)/1000</f>
        <v>8659.4673168553854</v>
      </c>
      <c r="F32" s="30">
        <f>(F8*(VLOOKUP(F$27,tech_data!$B$2:$O$15,6, FALSE)/100)*(1-(VLOOKUP(F$27,tech_data!$B$2:$O$15,7, FALSE)/100))*8760)/1000</f>
        <v>65650.461979703061</v>
      </c>
      <c r="G32" s="30">
        <f>(G8*(VLOOKUP(G$27,tech_data!$B$2:$O$15,6, FALSE)/100)*(1-(VLOOKUP(G$27,tech_data!$B$2:$O$15,7, FALSE)/100))*8760)/1000</f>
        <v>235.3484125654816</v>
      </c>
      <c r="H32" s="30">
        <f>(H8*(VLOOKUP(H$27,tech_data!$B$2:$O$15,6, FALSE)/100)*(1-(VLOOKUP(H$27,tech_data!$B$2:$O$15,7, FALSE)/100))*8760)/1000</f>
        <v>7818.1140862126713</v>
      </c>
      <c r="I32" s="30">
        <f>(I8*(VLOOKUP(I$27,tech_data!$B$2:$O$15,6, FALSE)/100)*(1-(VLOOKUP(I$27,tech_data!$B$2:$O$15,7, FALSE)/100))*8760)/1000</f>
        <v>25519.751015088292</v>
      </c>
      <c r="J32" s="30">
        <f>(J8*(VLOOKUP(J$27,tech_data!$B$2:$O$15,6, FALSE)/100)*(1-(VLOOKUP(J$27,tech_data!$B$2:$O$15,7, FALSE)/100))*8760)/1000</f>
        <v>8799.4680534115814</v>
      </c>
      <c r="K32" s="30">
        <f>(K8*(VLOOKUP(K$27,tech_data!$B$2:$O$15,6, FALSE)/100)*(1-(VLOOKUP(K$27,tech_data!$B$2:$O$15,7, FALSE)/100))*8760)/1000</f>
        <v>10384.056434378837</v>
      </c>
      <c r="L32" s="30">
        <f>(L8*(VLOOKUP(L$27,tech_data!$B$2:$O$15,6, FALSE)/100)*(1-(VLOOKUP(L$27,tech_data!$B$2:$O$15,7, FALSE)/100))*8760)/1000</f>
        <v>5477.721578093764</v>
      </c>
      <c r="M32" s="30">
        <f>(M8*(VLOOKUP(M$27,tech_data!$B$2:$O$15,6, FALSE)/100)*(1-(VLOOKUP(M$27,tech_data!$B$2:$O$15,7, FALSE)/100))*8760)/1000</f>
        <v>19.980886153846154</v>
      </c>
      <c r="N32" s="30">
        <f>(N8*(VLOOKUP(N$27,tech_data!$B$2:$O$15,6, FALSE)/100)*(1-(VLOOKUP(N$27,tech_data!$B$2:$O$15,7, FALSE)/100))*8760)/1000</f>
        <v>23.92935329785994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66.622315195995654</v>
      </c>
      <c r="Q32" s="34">
        <f t="shared" si="17"/>
        <v>257911.00000309665</v>
      </c>
      <c r="R32" s="34">
        <f>proj_rukn!D46</f>
        <v>257911</v>
      </c>
      <c r="S32" s="35"/>
      <c r="T32" s="19"/>
      <c r="U32" s="20" t="str">
        <f t="shared" si="18"/>
        <v>JAWA</v>
      </c>
      <c r="V32" s="20">
        <f t="shared" si="18"/>
        <v>2023</v>
      </c>
      <c r="W32" s="29">
        <f t="shared" si="19"/>
        <v>0.48591452433525978</v>
      </c>
      <c r="X32" s="29">
        <f t="shared" si="19"/>
        <v>3.3575409023854794E-2</v>
      </c>
      <c r="Y32" s="29">
        <f t="shared" si="19"/>
        <v>0.25454696379338149</v>
      </c>
      <c r="Z32" s="29">
        <f t="shared" si="19"/>
        <v>9.1251793278555719E-4</v>
      </c>
      <c r="AA32" s="29">
        <f t="shared" si="19"/>
        <v>3.0313224663231896E-2</v>
      </c>
      <c r="AB32" s="29">
        <f t="shared" si="19"/>
        <v>9.8947896812396074E-2</v>
      </c>
      <c r="AC32" s="29">
        <f t="shared" si="19"/>
        <v>3.4118234791482058E-2</v>
      </c>
      <c r="AD32" s="29">
        <f t="shared" si="19"/>
        <v>4.02621696409E-2</v>
      </c>
      <c r="AE32" s="29">
        <f t="shared" si="19"/>
        <v>2.1238805549309625E-2</v>
      </c>
      <c r="AF32" s="29">
        <f t="shared" si="19"/>
        <v>7.7472020013129533E-5</v>
      </c>
      <c r="AG32" s="29">
        <f t="shared" si="19"/>
        <v>9.2781437385658729E-5</v>
      </c>
      <c r="AH32" s="29">
        <f t="shared" si="19"/>
        <v>0</v>
      </c>
      <c r="AI32" s="29">
        <f t="shared" si="19"/>
        <v>2.5831513659826737E-4</v>
      </c>
      <c r="AJ32" s="29">
        <f t="shared" si="20"/>
        <v>1.0000000000000002</v>
      </c>
      <c r="AM32" s="23"/>
      <c r="AO32" s="20" t="str">
        <f t="shared" si="39"/>
        <v>JAWA</v>
      </c>
      <c r="AP32" s="20">
        <f t="shared" si="40"/>
        <v>2023</v>
      </c>
      <c r="AQ32" s="25">
        <f t="shared" si="21"/>
        <v>0.48591452433525978</v>
      </c>
      <c r="AR32" s="25">
        <f t="shared" si="22"/>
        <v>0.28812237281723629</v>
      </c>
      <c r="AS32" s="25">
        <f t="shared" si="23"/>
        <v>9.1251793278555719E-4</v>
      </c>
      <c r="AT32" s="37">
        <f t="shared" si="24"/>
        <v>0.22505058491471847</v>
      </c>
      <c r="AU32" s="24">
        <f t="shared" si="32"/>
        <v>1</v>
      </c>
      <c r="AW32" s="24">
        <f t="shared" si="41"/>
        <v>0.42259016529386073</v>
      </c>
      <c r="AX32" s="24">
        <f t="shared" si="25"/>
        <v>0.21079999999999999</v>
      </c>
      <c r="AY32" s="24">
        <f t="shared" si="42"/>
        <v>9.1251793278552249E-4</v>
      </c>
      <c r="AZ32" s="25">
        <f t="shared" si="33"/>
        <v>0.19220000000000001</v>
      </c>
      <c r="BA32" s="24">
        <f t="shared" si="34"/>
        <v>0.82650268322664633</v>
      </c>
      <c r="BJ32" s="19"/>
      <c r="BK32" s="20" t="str">
        <f t="shared" si="44"/>
        <v>JAWA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59490.301573156437</v>
      </c>
      <c r="BQ32" s="30">
        <f t="shared" si="27"/>
        <v>17349.359999999997</v>
      </c>
      <c r="BR32" s="30">
        <f t="shared" si="36"/>
        <v>50779.135490160188</v>
      </c>
      <c r="BS32" s="30"/>
      <c r="BT32" s="30">
        <f t="shared" si="28"/>
        <v>8674.6799999999985</v>
      </c>
      <c r="BU32" s="30">
        <f t="shared" si="37"/>
        <v>8711.1660829962457</v>
      </c>
      <c r="BW32" s="30">
        <f t="shared" si="29"/>
        <v>7.940875980143284</v>
      </c>
      <c r="BX32" s="30">
        <f t="shared" si="38"/>
        <v>7.9408759749190105</v>
      </c>
      <c r="BZ32" s="24">
        <f t="shared" si="46"/>
        <v>0.11668860000000002</v>
      </c>
      <c r="CA32" s="24">
        <f t="shared" si="30"/>
        <v>0.17890275493466101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JAWA</v>
      </c>
      <c r="C33" s="20">
        <f t="shared" si="31"/>
        <v>2024</v>
      </c>
      <c r="D33" s="30">
        <f>(D9*(VLOOKUP(D$27,tech_data!$B$2:$O$15,6, FALSE)/100)*(1-(VLOOKUP(D$27,tech_data!$B$2:$O$15,7, FALSE)/100))*8760)/1000</f>
        <v>125322.70088733589</v>
      </c>
      <c r="E33" s="30">
        <f>(E9*(VLOOKUP(E$27,tech_data!$B$2:$O$15,6, FALSE)/100)*(1-(VLOOKUP(E$27,tech_data!$B$2:$O$15,7, FALSE)/100))*8760)/1000</f>
        <v>9986.0703121169408</v>
      </c>
      <c r="F33" s="30">
        <f>(F9*(VLOOKUP(F$27,tech_data!$B$2:$O$15,6, FALSE)/100)*(1-(VLOOKUP(F$27,tech_data!$B$2:$O$15,7, FALSE)/100))*8760)/1000</f>
        <v>77311.950241101309</v>
      </c>
      <c r="G33" s="30">
        <f>(G9*(VLOOKUP(G$27,tech_data!$B$2:$O$15,6, FALSE)/100)*(1-(VLOOKUP(G$27,tech_data!$B$2:$O$15,7, FALSE)/100))*8760)/1000</f>
        <v>242.26247761507003</v>
      </c>
      <c r="H33" s="30">
        <f>(H9*(VLOOKUP(H$27,tech_data!$B$2:$O$15,6, FALSE)/100)*(1-(VLOOKUP(H$27,tech_data!$B$2:$O$15,7, FALSE)/100))*8760)/1000</f>
        <v>7818.1140862126713</v>
      </c>
      <c r="I33" s="30">
        <f>(I9*(VLOOKUP(I$27,tech_data!$B$2:$O$15,6, FALSE)/100)*(1-(VLOOKUP(I$27,tech_data!$B$2:$O$15,7, FALSE)/100))*8760)/1000</f>
        <v>25519.751015088292</v>
      </c>
      <c r="J33" s="30">
        <f>(J9*(VLOOKUP(J$27,tech_data!$B$2:$O$15,6, FALSE)/100)*(1-(VLOOKUP(J$27,tech_data!$B$2:$O$15,7, FALSE)/100))*8760)/1000</f>
        <v>8799.4680534115814</v>
      </c>
      <c r="K33" s="30">
        <f>(K9*(VLOOKUP(K$27,tech_data!$B$2:$O$15,6, FALSE)/100)*(1-(VLOOKUP(K$27,tech_data!$B$2:$O$15,7, FALSE)/100))*8760)/1000</f>
        <v>10384.056434378837</v>
      </c>
      <c r="L33" s="30">
        <f>(L9*(VLOOKUP(L$27,tech_data!$B$2:$O$15,6, FALSE)/100)*(1-(VLOOKUP(L$27,tech_data!$B$2:$O$15,7, FALSE)/100))*8760)/1000</f>
        <v>5477.721578093764</v>
      </c>
      <c r="M33" s="30">
        <f>(M9*(VLOOKUP(M$27,tech_data!$B$2:$O$15,6, FALSE)/100)*(1-(VLOOKUP(M$27,tech_data!$B$2:$O$15,7, FALSE)/100))*8760)/1000</f>
        <v>19.980886153846154</v>
      </c>
      <c r="N33" s="30">
        <f>(N9*(VLOOKUP(N$27,tech_data!$B$2:$O$15,6, FALSE)/100)*(1-(VLOOKUP(N$27,tech_data!$B$2:$O$15,7, FALSE)/100))*8760)/1000</f>
        <v>23.92935329785994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69.819735910707152</v>
      </c>
      <c r="Q33" s="34">
        <f t="shared" si="17"/>
        <v>270906.00532480603</v>
      </c>
      <c r="R33" s="34">
        <f>proj_rukn!D47</f>
        <v>270906</v>
      </c>
      <c r="S33" s="35"/>
      <c r="T33" s="19"/>
      <c r="U33" s="20" t="str">
        <f t="shared" si="18"/>
        <v>JAWA</v>
      </c>
      <c r="V33" s="20">
        <f t="shared" si="18"/>
        <v>2024</v>
      </c>
      <c r="W33" s="29">
        <f t="shared" si="19"/>
        <v>0.46260584270577065</v>
      </c>
      <c r="X33" s="29">
        <f t="shared" si="19"/>
        <v>3.6861753212683569E-2</v>
      </c>
      <c r="Y33" s="29">
        <f t="shared" si="19"/>
        <v>0.28538293253561214</v>
      </c>
      <c r="Z33" s="29">
        <f t="shared" si="19"/>
        <v>8.9426765318327474E-4</v>
      </c>
      <c r="AA33" s="29">
        <f t="shared" si="19"/>
        <v>2.8859139083458298E-2</v>
      </c>
      <c r="AB33" s="29">
        <f t="shared" si="19"/>
        <v>9.4201496140667237E-2</v>
      </c>
      <c r="AC33" s="29">
        <f t="shared" si="19"/>
        <v>3.2481627872594974E-2</v>
      </c>
      <c r="AD33" s="29">
        <f t="shared" si="19"/>
        <v>3.8330846235500565E-2</v>
      </c>
      <c r="AE33" s="29">
        <f t="shared" si="19"/>
        <v>2.0220007937905193E-2</v>
      </c>
      <c r="AF33" s="29">
        <f t="shared" si="19"/>
        <v>7.3755788949343628E-5</v>
      </c>
      <c r="AG33" s="29">
        <f t="shared" si="19"/>
        <v>8.8330833674836972E-5</v>
      </c>
      <c r="AH33" s="29">
        <f t="shared" si="19"/>
        <v>0</v>
      </c>
      <c r="AI33" s="29">
        <f t="shared" si="19"/>
        <v>2.5772679282984491E-4</v>
      </c>
      <c r="AJ33" s="29">
        <f t="shared" si="20"/>
        <v>1</v>
      </c>
      <c r="AM33" s="23"/>
      <c r="AO33" s="20" t="str">
        <f t="shared" si="39"/>
        <v>JAWA</v>
      </c>
      <c r="AP33" s="20">
        <f t="shared" si="40"/>
        <v>2024</v>
      </c>
      <c r="AQ33" s="25">
        <f t="shared" si="21"/>
        <v>0.46260584270577065</v>
      </c>
      <c r="AR33" s="25">
        <f t="shared" si="22"/>
        <v>0.32224468574829573</v>
      </c>
      <c r="AS33" s="25">
        <f t="shared" si="23"/>
        <v>8.9426765318327474E-4</v>
      </c>
      <c r="AT33" s="37">
        <f t="shared" si="24"/>
        <v>0.21425520389275046</v>
      </c>
      <c r="AU33" s="24">
        <f t="shared" si="32"/>
        <v>1</v>
      </c>
      <c r="AW33" s="24">
        <f t="shared" si="41"/>
        <v>0.36129508264693039</v>
      </c>
      <c r="AX33" s="24">
        <f t="shared" si="25"/>
        <v>0.21540000000000001</v>
      </c>
      <c r="AY33" s="24">
        <f t="shared" si="42"/>
        <v>8.9426757412981207E-4</v>
      </c>
      <c r="AZ33" s="25">
        <f t="shared" si="33"/>
        <v>0.21110000000000001</v>
      </c>
      <c r="BA33" s="24">
        <f t="shared" si="34"/>
        <v>0.78868935022106013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JAWA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64150.103131798358</v>
      </c>
      <c r="BQ33" s="30">
        <f t="shared" si="27"/>
        <v>18314.439999999999</v>
      </c>
      <c r="BR33" s="30">
        <f t="shared" si="36"/>
        <v>54992.883134458796</v>
      </c>
      <c r="BS33" s="30"/>
      <c r="BT33" s="30">
        <f t="shared" si="28"/>
        <v>9157.2199999999993</v>
      </c>
      <c r="BU33" s="30">
        <f t="shared" si="37"/>
        <v>9157.2199973395709</v>
      </c>
      <c r="BW33" s="30">
        <f t="shared" si="29"/>
        <v>7.940875980143284</v>
      </c>
      <c r="BX33" s="30">
        <f t="shared" si="38"/>
        <v>7.9408759749190105</v>
      </c>
      <c r="BZ33" s="24">
        <f t="shared" si="46"/>
        <v>0.12252303000000002</v>
      </c>
      <c r="CA33" s="24">
        <f t="shared" si="30"/>
        <v>0.17890275493466101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JAWA</v>
      </c>
      <c r="C34" s="20">
        <f t="shared" si="31"/>
        <v>2025</v>
      </c>
      <c r="D34" s="30">
        <f>(D10*(VLOOKUP(D$27,tech_data!$B$2:$O$15,6, FALSE)/100)*(1-(VLOOKUP(D$27,tech_data!$B$2:$O$15,7, FALSE)/100))*8760)/1000</f>
        <v>125322.70088733589</v>
      </c>
      <c r="E34" s="30">
        <f>(E10*(VLOOKUP(E$27,tech_data!$B$2:$O$15,6, FALSE)/100)*(1-(VLOOKUP(E$27,tech_data!$B$2:$O$15,7, FALSE)/100))*8760)/1000</f>
        <v>11247.204517772761</v>
      </c>
      <c r="F34" s="30">
        <f>(F10*(VLOOKUP(F$27,tech_data!$B$2:$O$15,6, FALSE)/100)*(1-(VLOOKUP(F$27,tech_data!$B$2:$O$15,7, FALSE)/100))*8760)/1000</f>
        <v>81282.845356092745</v>
      </c>
      <c r="G34" s="30">
        <f>(G10*(VLOOKUP(G$27,tech_data!$B$2:$O$15,6, FALSE)/100)*(1-(VLOOKUP(G$27,tech_data!$B$2:$O$15,7, FALSE)/100))*8760)/1000</f>
        <v>248.23356213709732</v>
      </c>
      <c r="H34" s="30">
        <f>(H10*(VLOOKUP(H$27,tech_data!$B$2:$O$15,6, FALSE)/100)*(1-(VLOOKUP(H$27,tech_data!$B$2:$O$15,7, FALSE)/100))*8760)/1000</f>
        <v>7818.1140862126713</v>
      </c>
      <c r="I34" s="30">
        <f>(I10*(VLOOKUP(I$27,tech_data!$B$2:$O$15,6, FALSE)/100)*(1-(VLOOKUP(I$27,tech_data!$B$2:$O$15,7, FALSE)/100))*8760)/1000</f>
        <v>27392.404977366466</v>
      </c>
      <c r="J34" s="30">
        <f>(J10*(VLOOKUP(J$27,tech_data!$B$2:$O$15,6, FALSE)/100)*(1-(VLOOKUP(J$27,tech_data!$B$2:$O$15,7, FALSE)/100))*8760)/1000</f>
        <v>8799.4680534115814</v>
      </c>
      <c r="K34" s="30">
        <f>(K10*(VLOOKUP(K$27,tech_data!$B$2:$O$15,6, FALSE)/100)*(1-(VLOOKUP(K$27,tech_data!$B$2:$O$15,7, FALSE)/100))*8760)/1000</f>
        <v>10384.056434378837</v>
      </c>
      <c r="L34" s="30">
        <f>(L10*(VLOOKUP(L$27,tech_data!$B$2:$O$15,6, FALSE)/100)*(1-(VLOOKUP(L$27,tech_data!$B$2:$O$15,7, FALSE)/100))*8760)/1000</f>
        <v>10709.093474763551</v>
      </c>
      <c r="M34" s="30">
        <f>(M10*(VLOOKUP(M$27,tech_data!$B$2:$O$15,6, FALSE)/100)*(1-(VLOOKUP(M$27,tech_data!$B$2:$O$15,7, FALSE)/100))*8760)/1000</f>
        <v>19.980886153846154</v>
      </c>
      <c r="N34" s="30">
        <f>(N10*(VLOOKUP(N$27,tech_data!$B$2:$O$15,6, FALSE)/100)*(1-(VLOOKUP(N$27,tech_data!$B$2:$O$15,7, FALSE)/100))*8760)/1000</f>
        <v>23.92935329785994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73.898214092639179</v>
      </c>
      <c r="Q34" s="34">
        <f t="shared" si="17"/>
        <v>283248.03158892324</v>
      </c>
      <c r="R34" s="34">
        <f>proj_rukn!D48</f>
        <v>283248</v>
      </c>
      <c r="S34" s="35"/>
      <c r="T34" s="19"/>
      <c r="U34" s="20" t="str">
        <f t="shared" si="18"/>
        <v>JAWA</v>
      </c>
      <c r="V34" s="20">
        <f t="shared" si="18"/>
        <v>2025</v>
      </c>
      <c r="W34" s="29">
        <f t="shared" si="19"/>
        <v>0.44244862068173602</v>
      </c>
      <c r="X34" s="29">
        <f t="shared" si="19"/>
        <v>3.9707970624472989E-2</v>
      </c>
      <c r="Y34" s="29">
        <f t="shared" si="19"/>
        <v>0.28696702639070132</v>
      </c>
      <c r="Z34" s="29">
        <f t="shared" si="19"/>
        <v>8.7638230262216863E-4</v>
      </c>
      <c r="AA34" s="29">
        <f t="shared" si="19"/>
        <v>2.7601653725025949E-2</v>
      </c>
      <c r="AB34" s="29">
        <f t="shared" si="19"/>
        <v>9.6708191840573693E-2</v>
      </c>
      <c r="AC34" s="29">
        <f t="shared" si="19"/>
        <v>3.1066299045573651E-2</v>
      </c>
      <c r="AD34" s="29">
        <f t="shared" si="19"/>
        <v>3.6660648182188171E-2</v>
      </c>
      <c r="AE34" s="29">
        <f t="shared" si="19"/>
        <v>3.7808183219100414E-2</v>
      </c>
      <c r="AF34" s="29">
        <f t="shared" si="19"/>
        <v>7.0542012390202013E-5</v>
      </c>
      <c r="AG34" s="29">
        <f t="shared" si="19"/>
        <v>8.4481975615592335E-5</v>
      </c>
      <c r="AH34" s="29">
        <f t="shared" si="19"/>
        <v>0</v>
      </c>
      <c r="AI34" s="29">
        <f t="shared" si="19"/>
        <v>2.6089577279000254E-4</v>
      </c>
      <c r="AJ34" s="29">
        <f t="shared" si="20"/>
        <v>1.0000000000000002</v>
      </c>
      <c r="AM34" s="23"/>
      <c r="AO34" s="20" t="str">
        <f t="shared" si="39"/>
        <v>JAWA</v>
      </c>
      <c r="AP34" s="20">
        <f t="shared" si="40"/>
        <v>2025</v>
      </c>
      <c r="AQ34" s="25">
        <f t="shared" si="21"/>
        <v>0.44244862068173602</v>
      </c>
      <c r="AR34" s="25">
        <f t="shared" si="22"/>
        <v>0.32667499701517433</v>
      </c>
      <c r="AS34" s="25">
        <f t="shared" si="23"/>
        <v>8.7638230262216863E-4</v>
      </c>
      <c r="AT34" s="37">
        <f t="shared" si="24"/>
        <v>0.23000000000046766</v>
      </c>
      <c r="AU34" s="24">
        <f t="shared" si="32"/>
        <v>1.0000000000000002</v>
      </c>
      <c r="AW34" s="24">
        <f t="shared" si="41"/>
        <v>0.3</v>
      </c>
      <c r="AX34" s="24">
        <f t="shared" si="25"/>
        <v>0.22</v>
      </c>
      <c r="AY34" s="24">
        <f t="shared" si="42"/>
        <v>8.7638222264721586E-4</v>
      </c>
      <c r="AZ34" s="25">
        <f t="shared" si="33"/>
        <v>0.23</v>
      </c>
      <c r="BA34" s="24">
        <f t="shared" si="34"/>
        <v>0.75087638222264719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JAWA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66430.989476917879</v>
      </c>
      <c r="BQ34" s="30">
        <f t="shared" si="27"/>
        <v>19330.12</v>
      </c>
      <c r="BR34" s="30">
        <f t="shared" si="36"/>
        <v>56427.721429665013</v>
      </c>
      <c r="BS34" s="30"/>
      <c r="BT34" s="30">
        <f t="shared" si="28"/>
        <v>9665.06</v>
      </c>
      <c r="BU34" s="30">
        <f t="shared" si="37"/>
        <v>10003.268047252859</v>
      </c>
      <c r="BW34" s="30">
        <f t="shared" si="29"/>
        <v>9.0022660723613956</v>
      </c>
      <c r="BX34" s="30">
        <f t="shared" si="38"/>
        <v>7.9408759749190105</v>
      </c>
      <c r="BZ34" s="24">
        <f t="shared" si="46"/>
        <v>0.12864918150000001</v>
      </c>
      <c r="CA34" s="24">
        <f t="shared" si="30"/>
        <v>0.15939412253092883</v>
      </c>
      <c r="CC34" s="20" t="s">
        <v>179</v>
      </c>
      <c r="CD34" s="38">
        <v>0.1</v>
      </c>
      <c r="CF34" s="23"/>
    </row>
    <row r="35" spans="1:84" x14ac:dyDescent="0.25">
      <c r="A35" s="19"/>
      <c r="B35" s="20" t="str">
        <f t="shared" si="31"/>
        <v>JAWA</v>
      </c>
      <c r="C35" s="20">
        <f t="shared" si="31"/>
        <v>2026</v>
      </c>
      <c r="D35" s="30">
        <f>(D11*(VLOOKUP(D$27,tech_data!$B$2:$O$15,6, FALSE)/100)*(1-(VLOOKUP(D$27,tech_data!$B$2:$O$15,7, FALSE)/100))*8760)/1000</f>
        <v>125475.04843992632</v>
      </c>
      <c r="E35" s="30">
        <f>(E11*(VLOOKUP(E$27,tech_data!$B$2:$O$15,6, FALSE)/100)*(1-(VLOOKUP(E$27,tech_data!$B$2:$O$15,7, FALSE)/100))*8760)/1000</f>
        <v>11307.184701867223</v>
      </c>
      <c r="F35" s="30">
        <f>(F11*(VLOOKUP(F$27,tech_data!$B$2:$O$15,6, FALSE)/100)*(1-(VLOOKUP(F$27,tech_data!$B$2:$O$15,7, FALSE)/100))*8760)/1000</f>
        <v>81332.907872828378</v>
      </c>
      <c r="G35" s="30">
        <f>(G11*(VLOOKUP(G$27,tech_data!$B$2:$O$15,6, FALSE)/100)*(1-(VLOOKUP(G$27,tech_data!$B$2:$O$15,7, FALSE)/100))*8760)/1000</f>
        <v>248.23356213709732</v>
      </c>
      <c r="H35" s="30">
        <f>(H11*(VLOOKUP(H$27,tech_data!$B$2:$O$15,6, FALSE)/100)*(1-(VLOOKUP(H$27,tech_data!$B$2:$O$15,7, FALSE)/100))*8760)/1000</f>
        <v>8931.5631270002068</v>
      </c>
      <c r="I35" s="30">
        <f>(I11*(VLOOKUP(I$27,tech_data!$B$2:$O$15,6, FALSE)/100)*(1-(VLOOKUP(I$27,tech_data!$B$2:$O$15,7, FALSE)/100))*8760)/1000</f>
        <v>28506.304503321702</v>
      </c>
      <c r="J35" s="30">
        <f>(J11*(VLOOKUP(J$27,tech_data!$B$2:$O$15,6, FALSE)/100)*(1-(VLOOKUP(J$27,tech_data!$B$2:$O$15,7, FALSE)/100))*8760)/1000</f>
        <v>9976.6249997505784</v>
      </c>
      <c r="K35" s="30">
        <f>(K11*(VLOOKUP(K$27,tech_data!$B$2:$O$15,6, FALSE)/100)*(1-(VLOOKUP(K$27,tech_data!$B$2:$O$15,7, FALSE)/100))*8760)/1000</f>
        <v>10504.021250074604</v>
      </c>
      <c r="L35" s="30">
        <f>(L11*(VLOOKUP(L$27,tech_data!$B$2:$O$15,6, FALSE)/100)*(1-(VLOOKUP(L$27,tech_data!$B$2:$O$15,7, FALSE)/100))*8760)/1000</f>
        <v>11042.519546092948</v>
      </c>
      <c r="M35" s="30">
        <f>(M11*(VLOOKUP(M$27,tech_data!$B$2:$O$15,6, FALSE)/100)*(1-(VLOOKUP(M$27,tech_data!$B$2:$O$15,7, FALSE)/100))*8760)/1000</f>
        <v>240.68244631529535</v>
      </c>
      <c r="N35" s="30">
        <f>(N11*(VLOOKUP(N$27,tech_data!$B$2:$O$15,6, FALSE)/100)*(1-(VLOOKUP(N$27,tech_data!$B$2:$O$15,7, FALSE)/100))*8760)/1000</f>
        <v>23.92935329785994</v>
      </c>
      <c r="O35" s="30">
        <f>(O11*(VLOOKUP(O$27,tech_data!$B$2:$O$15,6, FALSE)/100)*(1-(VLOOKUP(O$27,tech_data!$B$2:$O$15,7, FALSE)/100))*8760)/1000</f>
        <v>54.04912166470961</v>
      </c>
      <c r="P35" s="30">
        <f>(P11*(VLOOKUP(P$27,tech_data!$B$2:$O$15,6, FALSE)/100)*(1-(VLOOKUP(P$27,tech_data!$B$2:$O$15,7, FALSE)/100))*8760)/1000</f>
        <v>75.069896627730728</v>
      </c>
      <c r="Q35" s="34">
        <f t="shared" si="17"/>
        <v>287643.06892427697</v>
      </c>
      <c r="R35" s="34">
        <f>proj_rukn!D49</f>
        <v>287643</v>
      </c>
      <c r="S35" s="35"/>
      <c r="T35" s="19"/>
      <c r="U35" s="20" t="str">
        <f t="shared" si="18"/>
        <v>JAWA</v>
      </c>
      <c r="V35" s="20">
        <f t="shared" si="18"/>
        <v>2026</v>
      </c>
      <c r="W35" s="29">
        <f t="shared" si="19"/>
        <v>0.43621787553990415</v>
      </c>
      <c r="X35" s="29">
        <f t="shared" si="19"/>
        <v>3.9309776328536807E-2</v>
      </c>
      <c r="Y35" s="29">
        <f t="shared" si="19"/>
        <v>0.28275636251899239</v>
      </c>
      <c r="Z35" s="29">
        <f t="shared" si="19"/>
        <v>8.629916342689476E-4</v>
      </c>
      <c r="AA35" s="29">
        <f t="shared" si="19"/>
        <v>3.1050854659569329E-2</v>
      </c>
      <c r="AB35" s="29">
        <f t="shared" si="19"/>
        <v>9.9103046737503989E-2</v>
      </c>
      <c r="AC35" s="29">
        <f t="shared" si="19"/>
        <v>3.4684044489794258E-2</v>
      </c>
      <c r="AD35" s="29">
        <f t="shared" si="19"/>
        <v>3.6517553818895682E-2</v>
      </c>
      <c r="AE35" s="29">
        <f t="shared" si="19"/>
        <v>3.838965975223943E-2</v>
      </c>
      <c r="AF35" s="29">
        <f t="shared" si="19"/>
        <v>8.3673994723876288E-4</v>
      </c>
      <c r="AG35" s="29">
        <f t="shared" si="19"/>
        <v>8.3191134718978483E-5</v>
      </c>
      <c r="AH35" s="29">
        <f t="shared" si="19"/>
        <v>1.8790343833710878E-4</v>
      </c>
      <c r="AI35" s="29">
        <f t="shared" si="19"/>
        <v>2.6098281077474225E-4</v>
      </c>
      <c r="AJ35" s="29">
        <f t="shared" si="20"/>
        <v>0.99999999999999989</v>
      </c>
      <c r="AM35" s="23"/>
      <c r="AO35" s="20" t="str">
        <f t="shared" si="39"/>
        <v>JAWA</v>
      </c>
      <c r="AP35" s="20">
        <f t="shared" si="40"/>
        <v>2026</v>
      </c>
      <c r="AQ35" s="25">
        <f t="shared" si="21"/>
        <v>0.43621787553990415</v>
      </c>
      <c r="AR35" s="25">
        <f t="shared" si="22"/>
        <v>0.32206613884752922</v>
      </c>
      <c r="AS35" s="25">
        <f t="shared" si="23"/>
        <v>8.629916342689476E-4</v>
      </c>
      <c r="AT35" s="37">
        <f t="shared" si="24"/>
        <v>0.24066509053996046</v>
      </c>
      <c r="AU35" s="24">
        <f t="shared" si="32"/>
        <v>0.99981209656166281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8.5885457819427158E-4</v>
      </c>
      <c r="AZ35" s="25">
        <f t="shared" ref="AZ35:AZ47" si="47">$BG$30+((AP35-$BC$30)*($BG$31-$BG$30)/($BC$31-$BC$30))</f>
        <v>0.23320000000000002</v>
      </c>
      <c r="BA35" s="24">
        <f t="shared" si="34"/>
        <v>0.75665885457819426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JAWA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67030.629358101607</v>
      </c>
      <c r="BQ35" s="30">
        <f t="shared" si="27"/>
        <v>20423.080000000002</v>
      </c>
      <c r="BR35" s="30">
        <f t="shared" si="36"/>
        <v>56737.179999854481</v>
      </c>
      <c r="BS35" s="30"/>
      <c r="BT35" s="30">
        <f t="shared" si="28"/>
        <v>10211.540000000001</v>
      </c>
      <c r="BU35" s="30">
        <f t="shared" si="37"/>
        <v>10274.579774350404</v>
      </c>
      <c r="BW35" s="30">
        <f t="shared" si="29"/>
        <v>9.4533852192701922</v>
      </c>
      <c r="BX35" s="30">
        <f t="shared" si="38"/>
        <v>7.9408759749190105</v>
      </c>
      <c r="BZ35" s="24">
        <f t="shared" si="46"/>
        <v>0.13508164057500002</v>
      </c>
      <c r="CA35" s="24">
        <f t="shared" si="30"/>
        <v>0.15161760381598641</v>
      </c>
      <c r="CF35" s="23"/>
    </row>
    <row r="36" spans="1:84" x14ac:dyDescent="0.25">
      <c r="A36" s="19"/>
      <c r="B36" s="20" t="str">
        <f t="shared" si="31"/>
        <v>JAWA</v>
      </c>
      <c r="C36" s="20">
        <f t="shared" si="31"/>
        <v>2027</v>
      </c>
      <c r="D36" s="30">
        <f>(D12*(VLOOKUP(D$27,tech_data!$B$2:$O$15,6, FALSE)/100)*(1-(VLOOKUP(D$27,tech_data!$B$2:$O$15,7, FALSE)/100))*8760)/1000</f>
        <v>125475.04843992632</v>
      </c>
      <c r="E36" s="30">
        <f>(E12*(VLOOKUP(E$27,tech_data!$B$2:$O$15,6, FALSE)/100)*(1-(VLOOKUP(E$27,tech_data!$B$2:$O$15,7, FALSE)/100))*8760)/1000</f>
        <v>12321.726421957337</v>
      </c>
      <c r="F36" s="30">
        <f>(F12*(VLOOKUP(F$27,tech_data!$B$2:$O$15,6, FALSE)/100)*(1-(VLOOKUP(F$27,tech_data!$B$2:$O$15,7, FALSE)/100))*8760)/1000</f>
        <v>98274.74440090984</v>
      </c>
      <c r="G36" s="30">
        <f>(G12*(VLOOKUP(G$27,tech_data!$B$2:$O$15,6, FALSE)/100)*(1-(VLOOKUP(G$27,tech_data!$B$2:$O$15,7, FALSE)/100))*8760)/1000</f>
        <v>260.55641618119535</v>
      </c>
      <c r="H36" s="30">
        <f>(H12*(VLOOKUP(H$27,tech_data!$B$2:$O$15,6, FALSE)/100)*(1-(VLOOKUP(H$27,tech_data!$B$2:$O$15,7, FALSE)/100))*8760)/1000</f>
        <v>8931.5631270002068</v>
      </c>
      <c r="I36" s="30">
        <f>(I12*(VLOOKUP(I$27,tech_data!$B$2:$O$15,6, FALSE)/100)*(1-(VLOOKUP(I$27,tech_data!$B$2:$O$15,7, FALSE)/100))*8760)/1000</f>
        <v>29343.082196989249</v>
      </c>
      <c r="J36" s="30">
        <f>(J12*(VLOOKUP(J$27,tech_data!$B$2:$O$15,6, FALSE)/100)*(1-(VLOOKUP(J$27,tech_data!$B$2:$O$15,7, FALSE)/100))*8760)/1000</f>
        <v>9976.6249997505784</v>
      </c>
      <c r="K36" s="30">
        <f>(K12*(VLOOKUP(K$27,tech_data!$B$2:$O$15,6, FALSE)/100)*(1-(VLOOKUP(K$27,tech_data!$B$2:$O$15,7, FALSE)/100))*8760)/1000</f>
        <v>10504.021250074604</v>
      </c>
      <c r="L36" s="30">
        <f>(L12*(VLOOKUP(L$27,tech_data!$B$2:$O$15,6, FALSE)/100)*(1-(VLOOKUP(L$27,tech_data!$B$2:$O$15,7, FALSE)/100))*8760)/1000</f>
        <v>14161.971825932726</v>
      </c>
      <c r="M36" s="30">
        <f>(M12*(VLOOKUP(M$27,tech_data!$B$2:$O$15,6, FALSE)/100)*(1-(VLOOKUP(M$27,tech_data!$B$2:$O$15,7, FALSE)/100))*8760)/1000</f>
        <v>240.68244631529535</v>
      </c>
      <c r="N36" s="30">
        <f>(N12*(VLOOKUP(N$27,tech_data!$B$2:$O$15,6, FALSE)/100)*(1-(VLOOKUP(N$27,tech_data!$B$2:$O$15,7, FALSE)/100))*8760)/1000</f>
        <v>23.92935329785994</v>
      </c>
      <c r="O36" s="30">
        <f>(O12*(VLOOKUP(O$27,tech_data!$B$2:$O$15,6, FALSE)/100)*(1-(VLOOKUP(O$27,tech_data!$B$2:$O$15,7, FALSE)/100))*8760)/1000</f>
        <v>54.04912166470961</v>
      </c>
      <c r="P36" s="30">
        <f>(P12*(VLOOKUP(P$27,tech_data!$B$2:$O$15,6, FALSE)/100)*(1-(VLOOKUP(P$27,tech_data!$B$2:$O$15,7, FALSE)/100))*8760)/1000</f>
        <v>81.085701787089633</v>
      </c>
      <c r="Q36" s="34">
        <f t="shared" si="17"/>
        <v>309568</v>
      </c>
      <c r="R36" s="34">
        <f>proj_rukn!D50</f>
        <v>309568</v>
      </c>
      <c r="S36" s="35"/>
      <c r="T36" s="19"/>
      <c r="U36" s="20" t="str">
        <f t="shared" si="18"/>
        <v>JAWA</v>
      </c>
      <c r="V36" s="20">
        <f t="shared" si="18"/>
        <v>2027</v>
      </c>
      <c r="W36" s="29">
        <f t="shared" si="19"/>
        <v>0.40532305806777935</v>
      </c>
      <c r="X36" s="29">
        <f t="shared" si="19"/>
        <v>3.9802971954327762E-2</v>
      </c>
      <c r="Y36" s="29">
        <f t="shared" si="19"/>
        <v>0.31745769718094197</v>
      </c>
      <c r="Z36" s="29">
        <f t="shared" si="19"/>
        <v>8.4167748663038604E-4</v>
      </c>
      <c r="AA36" s="29">
        <f t="shared" si="19"/>
        <v>2.885170019834158E-2</v>
      </c>
      <c r="AB36" s="29">
        <f t="shared" si="19"/>
        <v>9.4787194403133559E-2</v>
      </c>
      <c r="AC36" s="29">
        <f t="shared" si="19"/>
        <v>3.2227571970457468E-2</v>
      </c>
      <c r="AD36" s="29">
        <f t="shared" si="19"/>
        <v>3.3931224319292061E-2</v>
      </c>
      <c r="AE36" s="29">
        <f t="shared" si="19"/>
        <v>4.5747531482364864E-2</v>
      </c>
      <c r="AF36" s="29">
        <f t="shared" si="19"/>
        <v>7.7747844194262763E-4</v>
      </c>
      <c r="AG36" s="29">
        <f t="shared" si="19"/>
        <v>7.7299182402121476E-5</v>
      </c>
      <c r="AH36" s="29">
        <f t="shared" si="19"/>
        <v>1.7459531238600117E-4</v>
      </c>
      <c r="AI36" s="29">
        <f t="shared" si="19"/>
        <v>2.6193179458823144E-4</v>
      </c>
      <c r="AJ36" s="29">
        <f t="shared" si="20"/>
        <v>0.99999999999999967</v>
      </c>
      <c r="AM36" s="23"/>
      <c r="AO36" s="20" t="str">
        <f t="shared" si="39"/>
        <v>JAWA</v>
      </c>
      <c r="AP36" s="20">
        <f t="shared" si="40"/>
        <v>2027</v>
      </c>
      <c r="AQ36" s="25">
        <f t="shared" si="21"/>
        <v>0.40532305806777935</v>
      </c>
      <c r="AR36" s="25">
        <f t="shared" si="22"/>
        <v>0.35726066913526972</v>
      </c>
      <c r="AS36" s="25">
        <f t="shared" si="23"/>
        <v>8.4167748663038604E-4</v>
      </c>
      <c r="AT36" s="37">
        <f t="shared" si="24"/>
        <v>0.23639999999793429</v>
      </c>
      <c r="AU36" s="24">
        <f t="shared" si="32"/>
        <v>0.99982540468761372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8.4167748663038615E-4</v>
      </c>
      <c r="AZ36" s="25">
        <f t="shared" si="47"/>
        <v>0.2364</v>
      </c>
      <c r="BA36" s="24">
        <f t="shared" si="34"/>
        <v>0.76244167748663028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JAWA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73684.403499815089</v>
      </c>
      <c r="BQ36" s="30">
        <f t="shared" si="27"/>
        <v>21533.98</v>
      </c>
      <c r="BR36" s="30">
        <f t="shared" si="36"/>
        <v>62858.922110302366</v>
      </c>
      <c r="BS36" s="30"/>
      <c r="BT36" s="30">
        <f t="shared" si="28"/>
        <v>10766.99</v>
      </c>
      <c r="BU36" s="30">
        <f t="shared" si="37"/>
        <v>10806.611805615988</v>
      </c>
      <c r="BW36" s="30">
        <f t="shared" si="29"/>
        <v>10.054766068851517</v>
      </c>
      <c r="BX36" s="30">
        <f t="shared" si="38"/>
        <v>7.9408759749190105</v>
      </c>
      <c r="BZ36" s="24">
        <f t="shared" si="46"/>
        <v>0.14183572260375002</v>
      </c>
      <c r="CA36" s="24">
        <f t="shared" si="30"/>
        <v>0.14342716839390002</v>
      </c>
      <c r="CF36" s="23"/>
    </row>
    <row r="37" spans="1:84" x14ac:dyDescent="0.25">
      <c r="A37" s="19"/>
      <c r="B37" s="20" t="str">
        <f t="shared" si="31"/>
        <v>JAWA</v>
      </c>
      <c r="C37" s="20">
        <f t="shared" si="31"/>
        <v>2028</v>
      </c>
      <c r="D37" s="30">
        <f>(D13*(VLOOKUP(D$27,tech_data!$B$2:$O$15,6, FALSE)/100)*(1-(VLOOKUP(D$27,tech_data!$B$2:$O$15,7, FALSE)/100))*8760)/1000</f>
        <v>125475.04843992632</v>
      </c>
      <c r="E37" s="30">
        <f>(E13*(VLOOKUP(E$27,tech_data!$B$2:$O$15,6, FALSE)/100)*(1-(VLOOKUP(E$27,tech_data!$B$2:$O$15,7, FALSE)/100))*8760)/1000</f>
        <v>13953.971808618528</v>
      </c>
      <c r="F37" s="30">
        <f>(F13*(VLOOKUP(F$27,tech_data!$B$2:$O$15,6, FALSE)/100)*(1-(VLOOKUP(F$27,tech_data!$B$2:$O$15,7, FALSE)/100))*8760)/1000</f>
        <v>107684.96510264406</v>
      </c>
      <c r="G37" s="30">
        <f>(G13*(VLOOKUP(G$27,tech_data!$B$2:$O$15,6, FALSE)/100)*(1-(VLOOKUP(G$27,tech_data!$B$2:$O$15,7, FALSE)/100))*8760)/1000</f>
        <v>268.40669156103513</v>
      </c>
      <c r="H37" s="30">
        <f>(H13*(VLOOKUP(H$27,tech_data!$B$2:$O$15,6, FALSE)/100)*(1-(VLOOKUP(H$27,tech_data!$B$2:$O$15,7, FALSE)/100))*8760)/1000</f>
        <v>8931.5631270002068</v>
      </c>
      <c r="I37" s="30">
        <f>(I13*(VLOOKUP(I$27,tech_data!$B$2:$O$15,6, FALSE)/100)*(1-(VLOOKUP(I$27,tech_data!$B$2:$O$15,7, FALSE)/100))*8760)/1000</f>
        <v>29343.082196989249</v>
      </c>
      <c r="J37" s="30">
        <f>(J13*(VLOOKUP(J$27,tech_data!$B$2:$O$15,6, FALSE)/100)*(1-(VLOOKUP(J$27,tech_data!$B$2:$O$15,7, FALSE)/100))*8760)/1000</f>
        <v>9976.6249997505784</v>
      </c>
      <c r="K37" s="30">
        <f>(K13*(VLOOKUP(K$27,tech_data!$B$2:$O$15,6, FALSE)/100)*(1-(VLOOKUP(K$27,tech_data!$B$2:$O$15,7, FALSE)/100))*8760)/1000</f>
        <v>11619.414767682418</v>
      </c>
      <c r="L37" s="30">
        <f>(L13*(VLOOKUP(L$27,tech_data!$B$2:$O$15,6, FALSE)/100)*(1-(VLOOKUP(L$27,tech_data!$B$2:$O$15,7, FALSE)/100))*8760)/1000</f>
        <v>17831.261908900196</v>
      </c>
      <c r="M37" s="30">
        <f>(M13*(VLOOKUP(M$27,tech_data!$B$2:$O$15,6, FALSE)/100)*(1-(VLOOKUP(M$27,tech_data!$B$2:$O$15,7, FALSE)/100))*8760)/1000</f>
        <v>240.68244631529535</v>
      </c>
      <c r="N37" s="30">
        <f>(N13*(VLOOKUP(N$27,tech_data!$B$2:$O$15,6, FALSE)/100)*(1-(VLOOKUP(N$27,tech_data!$B$2:$O$15,7, FALSE)/100))*8760)/1000</f>
        <v>23.92935329785994</v>
      </c>
      <c r="O37" s="30">
        <f>(O13*(VLOOKUP(O$27,tech_data!$B$2:$O$15,6, FALSE)/100)*(1-(VLOOKUP(O$27,tech_data!$B$2:$O$15,7, FALSE)/100))*8760)/1000</f>
        <v>54.04912166470961</v>
      </c>
      <c r="P37" s="30">
        <f>(P13*(VLOOKUP(P$27,tech_data!$B$2:$O$15,6, FALSE)/100)*(1-(VLOOKUP(P$27,tech_data!$B$2:$O$15,7, FALSE)/100))*8760)/1000</f>
        <v>85.934677026759459</v>
      </c>
      <c r="Q37" s="34">
        <f t="shared" si="17"/>
        <v>325402.99996435054</v>
      </c>
      <c r="R37" s="34">
        <f>proj_rukn!D51</f>
        <v>325403</v>
      </c>
      <c r="S37" s="35"/>
      <c r="T37" s="19"/>
      <c r="U37" s="20" t="str">
        <f t="shared" si="18"/>
        <v>JAWA</v>
      </c>
      <c r="V37" s="20">
        <f t="shared" si="18"/>
        <v>2028</v>
      </c>
      <c r="W37" s="29">
        <f t="shared" si="19"/>
        <v>0.38559892949257601</v>
      </c>
      <c r="X37" s="29">
        <f t="shared" si="19"/>
        <v>4.2882124043562141E-2</v>
      </c>
      <c r="Y37" s="29">
        <f t="shared" si="19"/>
        <v>0.33092800347397366</v>
      </c>
      <c r="Z37" s="29">
        <f t="shared" si="19"/>
        <v>8.2484393687347801E-4</v>
      </c>
      <c r="AA37" s="29">
        <f t="shared" si="19"/>
        <v>2.7447697556502868E-2</v>
      </c>
      <c r="AB37" s="29">
        <f t="shared" si="19"/>
        <v>9.0174590277913622E-2</v>
      </c>
      <c r="AC37" s="29">
        <f t="shared" si="19"/>
        <v>3.065929017508617E-2</v>
      </c>
      <c r="AD37" s="29">
        <f t="shared" si="19"/>
        <v>3.570776781085417E-2</v>
      </c>
      <c r="AE37" s="29">
        <f t="shared" si="19"/>
        <v>5.4797472398391216E-2</v>
      </c>
      <c r="AF37" s="29">
        <f t="shared" si="19"/>
        <v>7.3964421453294308E-4</v>
      </c>
      <c r="AG37" s="29">
        <f t="shared" si="19"/>
        <v>7.3537592771060858E-5</v>
      </c>
      <c r="AH37" s="29">
        <f t="shared" si="19"/>
        <v>1.6609902696235421E-4</v>
      </c>
      <c r="AI37" s="29">
        <f t="shared" si="19"/>
        <v>2.6408692309589651E-4</v>
      </c>
      <c r="AJ37" s="29">
        <f t="shared" si="20"/>
        <v>0.99999999999999967</v>
      </c>
      <c r="AM37" s="23"/>
      <c r="AO37" s="20" t="str">
        <f t="shared" si="39"/>
        <v>JAWA</v>
      </c>
      <c r="AP37" s="20">
        <f t="shared" si="40"/>
        <v>2028</v>
      </c>
      <c r="AQ37" s="25">
        <f t="shared" si="21"/>
        <v>0.38559892949257601</v>
      </c>
      <c r="AR37" s="25">
        <f t="shared" si="22"/>
        <v>0.37381012751753584</v>
      </c>
      <c r="AS37" s="25">
        <f t="shared" si="23"/>
        <v>8.2484393687347801E-4</v>
      </c>
      <c r="AT37" s="37">
        <f t="shared" si="24"/>
        <v>0.23960000002605206</v>
      </c>
      <c r="AU37" s="24">
        <f t="shared" si="32"/>
        <v>0.99983390097303737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8.2484393689777845E-4</v>
      </c>
      <c r="AZ37" s="25">
        <f t="shared" si="47"/>
        <v>0.23960000000000001</v>
      </c>
      <c r="BA37" s="24">
        <f t="shared" si="34"/>
        <v>0.76822484393689783</v>
      </c>
      <c r="BJ37" s="19"/>
      <c r="BK37" s="20" t="str">
        <f t="shared" si="44"/>
        <v>JAWA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77633.629122382874</v>
      </c>
      <c r="BQ37" s="30">
        <f t="shared" si="27"/>
        <v>22711.119999999999</v>
      </c>
      <c r="BR37" s="30">
        <f t="shared" si="36"/>
        <v>66259.199538486151</v>
      </c>
      <c r="BS37" s="30"/>
      <c r="BT37" s="30">
        <f t="shared" si="28"/>
        <v>11355.56</v>
      </c>
      <c r="BU37" s="30">
        <f t="shared" si="37"/>
        <v>11355.56</v>
      </c>
      <c r="BW37" s="30">
        <f t="shared" si="29"/>
        <v>10.95445026576159</v>
      </c>
      <c r="BX37" s="30">
        <f t="shared" si="38"/>
        <v>7.9408759749190105</v>
      </c>
      <c r="BZ37" s="24">
        <f t="shared" si="46"/>
        <v>0.14892750873393754</v>
      </c>
      <c r="CA37" s="24">
        <f t="shared" si="30"/>
        <v>0.14892750873408034</v>
      </c>
      <c r="CF37" s="23"/>
    </row>
    <row r="38" spans="1:84" x14ac:dyDescent="0.25">
      <c r="A38" s="19"/>
      <c r="B38" s="20" t="str">
        <f t="shared" si="31"/>
        <v>JAWA</v>
      </c>
      <c r="C38" s="20">
        <f t="shared" si="31"/>
        <v>2029</v>
      </c>
      <c r="D38" s="30">
        <f>(D14*(VLOOKUP(D$27,tech_data!$B$2:$O$15,6, FALSE)/100)*(1-(VLOOKUP(D$27,tech_data!$B$2:$O$15,7, FALSE)/100))*8760)/1000</f>
        <v>125475.04843992632</v>
      </c>
      <c r="E38" s="30">
        <f>(E14*(VLOOKUP(E$27,tech_data!$B$2:$O$15,6, FALSE)/100)*(1-(VLOOKUP(E$27,tech_data!$B$2:$O$15,7, FALSE)/100))*8760)/1000</f>
        <v>15868.566577086887</v>
      </c>
      <c r="F38" s="30">
        <f>(F14*(VLOOKUP(F$27,tech_data!$B$2:$O$15,6, FALSE)/100)*(1-(VLOOKUP(F$27,tech_data!$B$2:$O$15,7, FALSE)/100))*8760)/1000</f>
        <v>116773.17799122949</v>
      </c>
      <c r="G38" s="30">
        <f>(G14*(VLOOKUP(G$27,tech_data!$B$2:$O$15,6, FALSE)/100)*(1-(VLOOKUP(G$27,tech_data!$B$2:$O$15,7, FALSE)/100))*8760)/1000</f>
        <v>275.90420934051463</v>
      </c>
      <c r="H38" s="30">
        <f>(H14*(VLOOKUP(H$27,tech_data!$B$2:$O$15,6, FALSE)/100)*(1-(VLOOKUP(H$27,tech_data!$B$2:$O$15,7, FALSE)/100))*8760)/1000</f>
        <v>8931.5631270002068</v>
      </c>
      <c r="I38" s="30">
        <f>(I14*(VLOOKUP(I$27,tech_data!$B$2:$O$15,6, FALSE)/100)*(1-(VLOOKUP(I$27,tech_data!$B$2:$O$15,7, FALSE)/100))*8760)/1000</f>
        <v>29343.082196989249</v>
      </c>
      <c r="J38" s="30">
        <f>(J14*(VLOOKUP(J$27,tech_data!$B$2:$O$15,6, FALSE)/100)*(1-(VLOOKUP(J$27,tech_data!$B$2:$O$15,7, FALSE)/100))*8760)/1000</f>
        <v>9976.6249997505784</v>
      </c>
      <c r="K38" s="30">
        <f>(K14*(VLOOKUP(K$27,tech_data!$B$2:$O$15,6, FALSE)/100)*(1-(VLOOKUP(K$27,tech_data!$B$2:$O$15,7, FALSE)/100))*8760)/1000</f>
        <v>12967.507974819953</v>
      </c>
      <c r="L38" s="30">
        <f>(L14*(VLOOKUP(L$27,tech_data!$B$2:$O$15,6, FALSE)/100)*(1-(VLOOKUP(L$27,tech_data!$B$2:$O$15,7, FALSE)/100))*8760)/1000</f>
        <v>21388.862979465466</v>
      </c>
      <c r="M38" s="30">
        <f>(M14*(VLOOKUP(M$27,tech_data!$B$2:$O$15,6, FALSE)/100)*(1-(VLOOKUP(M$27,tech_data!$B$2:$O$15,7, FALSE)/100))*8760)/1000</f>
        <v>240.68244631529535</v>
      </c>
      <c r="N38" s="30">
        <f>(N14*(VLOOKUP(N$27,tech_data!$B$2:$O$15,6, FALSE)/100)*(1-(VLOOKUP(N$27,tech_data!$B$2:$O$15,7, FALSE)/100))*8760)/1000</f>
        <v>23.92935329785994</v>
      </c>
      <c r="O38" s="30">
        <f>(O14*(VLOOKUP(O$27,tech_data!$B$2:$O$15,6, FALSE)/100)*(1-(VLOOKUP(O$27,tech_data!$B$2:$O$15,7, FALSE)/100))*8760)/1000</f>
        <v>54.04912166470961</v>
      </c>
      <c r="P38" s="30">
        <f>(P14*(VLOOKUP(P$27,tech_data!$B$2:$O$15,6, FALSE)/100)*(1-(VLOOKUP(P$27,tech_data!$B$2:$O$15,7, FALSE)/100))*8760)/1000</f>
        <v>90.827679041275317</v>
      </c>
      <c r="Q38" s="34">
        <f t="shared" si="17"/>
        <v>341318.9994168866</v>
      </c>
      <c r="R38" s="34">
        <f>proj_rukn!D52</f>
        <v>341319</v>
      </c>
      <c r="S38" s="35"/>
      <c r="T38" s="19"/>
      <c r="U38" s="20" t="str">
        <f t="shared" si="18"/>
        <v>JAWA</v>
      </c>
      <c r="V38" s="20">
        <f t="shared" si="18"/>
        <v>2029</v>
      </c>
      <c r="W38" s="29">
        <f t="shared" si="19"/>
        <v>0.367618118693332</v>
      </c>
      <c r="X38" s="29">
        <f t="shared" si="19"/>
        <v>4.6491893519543109E-2</v>
      </c>
      <c r="Y38" s="29">
        <f t="shared" si="19"/>
        <v>0.34212328698585825</v>
      </c>
      <c r="Z38" s="29">
        <f t="shared" si="19"/>
        <v>8.0834705894448488E-4</v>
      </c>
      <c r="AA38" s="29">
        <f t="shared" si="19"/>
        <v>2.6167787735985968E-2</v>
      </c>
      <c r="AB38" s="29">
        <f t="shared" si="19"/>
        <v>8.5969671325414984E-2</v>
      </c>
      <c r="AC38" s="29">
        <f t="shared" si="19"/>
        <v>2.9229621019617315E-2</v>
      </c>
      <c r="AD38" s="29">
        <f t="shared" si="19"/>
        <v>3.799234146641059E-2</v>
      </c>
      <c r="AE38" s="29">
        <f t="shared" si="19"/>
        <v>6.2665316070908597E-2</v>
      </c>
      <c r="AF38" s="29">
        <f t="shared" si="19"/>
        <v>7.051539666015665E-4</v>
      </c>
      <c r="AG38" s="29">
        <f t="shared" si="19"/>
        <v>7.0108471367668165E-5</v>
      </c>
      <c r="AH38" s="29">
        <f t="shared" si="19"/>
        <v>1.5835368601527534E-4</v>
      </c>
      <c r="AI38" s="29">
        <f t="shared" si="19"/>
        <v>2.6610789084828676E-4</v>
      </c>
      <c r="AJ38" s="29">
        <f t="shared" si="20"/>
        <v>0.99999999999999989</v>
      </c>
      <c r="AM38" s="23"/>
      <c r="AO38" s="20" t="str">
        <f t="shared" si="39"/>
        <v>JAWA</v>
      </c>
      <c r="AP38" s="20">
        <f t="shared" si="40"/>
        <v>2029</v>
      </c>
      <c r="AQ38" s="25">
        <f t="shared" si="21"/>
        <v>0.367618118693332</v>
      </c>
      <c r="AR38" s="25">
        <f t="shared" si="22"/>
        <v>0.38861518050540139</v>
      </c>
      <c r="AS38" s="25">
        <f t="shared" si="23"/>
        <v>8.0834705894448488E-4</v>
      </c>
      <c r="AT38" s="37">
        <f t="shared" si="24"/>
        <v>0.24280000005630675</v>
      </c>
      <c r="AU38" s="24">
        <f t="shared" si="32"/>
        <v>0.99984164631398464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8.0834705815982283E-4</v>
      </c>
      <c r="AZ38" s="25">
        <f t="shared" si="47"/>
        <v>0.24280000000000002</v>
      </c>
      <c r="BA38" s="24">
        <f t="shared" si="34"/>
        <v>0.7740083470581598</v>
      </c>
      <c r="BJ38" s="19"/>
      <c r="BK38" s="20" t="str">
        <f t="shared" si="44"/>
        <v>JAWA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81560.893330050676</v>
      </c>
      <c r="BQ38" s="30">
        <f t="shared" si="27"/>
        <v>23997.801363269991</v>
      </c>
      <c r="BR38" s="30">
        <f t="shared" si="36"/>
        <v>69543.123064518964</v>
      </c>
      <c r="BS38" s="30"/>
      <c r="BT38" s="30">
        <f t="shared" si="28"/>
        <v>11998.900681634996</v>
      </c>
      <c r="BU38" s="30">
        <f t="shared" si="37"/>
        <v>11998.900681634994</v>
      </c>
      <c r="BW38" s="30">
        <f t="shared" si="29"/>
        <v>11.899224365955039</v>
      </c>
      <c r="BX38" s="30">
        <f t="shared" si="38"/>
        <v>7.9408759749190105</v>
      </c>
      <c r="BZ38" s="24">
        <f t="shared" si="46"/>
        <v>0.15637388417063441</v>
      </c>
      <c r="CA38" s="24">
        <f t="shared" si="30"/>
        <v>0.15637388417071965</v>
      </c>
      <c r="CF38" s="23"/>
    </row>
    <row r="39" spans="1:84" x14ac:dyDescent="0.25">
      <c r="A39" s="19"/>
      <c r="B39" s="20" t="str">
        <f t="shared" si="31"/>
        <v>JAWA</v>
      </c>
      <c r="C39" s="20">
        <f t="shared" si="31"/>
        <v>2030</v>
      </c>
      <c r="D39" s="30">
        <f>(D15*(VLOOKUP(D$27,tech_data!$B$2:$O$15,6, FALSE)/100)*(1-(VLOOKUP(D$27,tech_data!$B$2:$O$15,7, FALSE)/100))*8760)/1000</f>
        <v>125475.04843992632</v>
      </c>
      <c r="E39" s="30">
        <f>(E15*(VLOOKUP(E$27,tech_data!$B$2:$O$15,6, FALSE)/100)*(1-(VLOOKUP(E$27,tech_data!$B$2:$O$15,7, FALSE)/100))*8760)/1000</f>
        <v>17890.253004961902</v>
      </c>
      <c r="F39" s="30">
        <f>(F15*(VLOOKUP(F$27,tech_data!$B$2:$O$15,6, FALSE)/100)*(1-(VLOOKUP(F$27,tech_data!$B$2:$O$15,7, FALSE)/100))*8760)/1000</f>
        <v>127835.64116528512</v>
      </c>
      <c r="G39" s="30">
        <f>(G15*(VLOOKUP(G$27,tech_data!$B$2:$O$15,6, FALSE)/100)*(1-(VLOOKUP(G$27,tech_data!$B$2:$O$15,7, FALSE)/100))*8760)/1000</f>
        <v>285.29020188256544</v>
      </c>
      <c r="H39" s="30">
        <f>(H15*(VLOOKUP(H$27,tech_data!$B$2:$O$15,6, FALSE)/100)*(1-(VLOOKUP(H$27,tech_data!$B$2:$O$15,7, FALSE)/100))*8760)/1000</f>
        <v>8931.5631270002068</v>
      </c>
      <c r="I39" s="30">
        <f>(I15*(VLOOKUP(I$27,tech_data!$B$2:$O$15,6, FALSE)/100)*(1-(VLOOKUP(I$27,tech_data!$B$2:$O$15,7, FALSE)/100))*8760)/1000</f>
        <v>29343.082196989249</v>
      </c>
      <c r="J39" s="30">
        <f>(J15*(VLOOKUP(J$27,tech_data!$B$2:$O$15,6, FALSE)/100)*(1-(VLOOKUP(J$27,tech_data!$B$2:$O$15,7, FALSE)/100))*8760)/1000</f>
        <v>9976.6249997505784</v>
      </c>
      <c r="K39" s="30">
        <f>(K15*(VLOOKUP(K$27,tech_data!$B$2:$O$15,6, FALSE)/100)*(1-(VLOOKUP(K$27,tech_data!$B$2:$O$15,7, FALSE)/100))*8760)/1000</f>
        <v>14555.141249961995</v>
      </c>
      <c r="L39" s="30">
        <f>(L15*(VLOOKUP(L$27,tech_data!$B$2:$O$15,6, FALSE)/100)*(1-(VLOOKUP(L$27,tech_data!$B$2:$O$15,7, FALSE)/100))*8760)/1000</f>
        <v>25521.694573251276</v>
      </c>
      <c r="M39" s="30">
        <f>(M15*(VLOOKUP(M$27,tech_data!$B$2:$O$15,6, FALSE)/100)*(1-(VLOOKUP(M$27,tech_data!$B$2:$O$15,7, FALSE)/100))*8760)/1000</f>
        <v>240.68244631529535</v>
      </c>
      <c r="N39" s="30">
        <f>(N15*(VLOOKUP(N$27,tech_data!$B$2:$O$15,6, FALSE)/100)*(1-(VLOOKUP(N$27,tech_data!$B$2:$O$15,7, FALSE)/100))*8760)/1000</f>
        <v>23.92935329785994</v>
      </c>
      <c r="O39" s="30">
        <f>(O15*(VLOOKUP(O$27,tech_data!$B$2:$O$15,6, FALSE)/100)*(1-(VLOOKUP(O$27,tech_data!$B$2:$O$15,7, FALSE)/100))*8760)/1000</f>
        <v>54.04912166470961</v>
      </c>
      <c r="P39" s="30">
        <f>(P15*(VLOOKUP(P$27,tech_data!$B$2:$O$15,6, FALSE)/100)*(1-(VLOOKUP(P$27,tech_data!$B$2:$O$15,7, FALSE)/100))*8760)/1000</f>
        <v>96.595979373863088</v>
      </c>
      <c r="Q39" s="34">
        <f t="shared" si="17"/>
        <v>360132.99988028716</v>
      </c>
      <c r="R39" s="34">
        <f>proj_rukn!D53</f>
        <v>360133</v>
      </c>
      <c r="S39" s="35"/>
      <c r="T39" s="19"/>
      <c r="U39" s="20" t="str">
        <f t="shared" si="18"/>
        <v>JAWA</v>
      </c>
      <c r="V39" s="20">
        <f t="shared" si="18"/>
        <v>2030</v>
      </c>
      <c r="W39" s="29">
        <f t="shared" si="19"/>
        <v>0.34841308206033839</v>
      </c>
      <c r="X39" s="29">
        <f t="shared" si="19"/>
        <v>4.9676794436802105E-2</v>
      </c>
      <c r="Y39" s="29">
        <f t="shared" si="19"/>
        <v>0.35496786245020406</v>
      </c>
      <c r="Z39" s="29">
        <f t="shared" si="19"/>
        <v>7.921801167274301E-4</v>
      </c>
      <c r="AA39" s="29">
        <f t="shared" si="19"/>
        <v>2.4800735089450767E-2</v>
      </c>
      <c r="AB39" s="29">
        <f t="shared" si="19"/>
        <v>8.1478459921038249E-2</v>
      </c>
      <c r="AC39" s="29">
        <f t="shared" si="19"/>
        <v>2.7702612654399727E-2</v>
      </c>
      <c r="AD39" s="29">
        <f t="shared" si="19"/>
        <v>4.0416016457254157E-2</v>
      </c>
      <c r="AE39" s="29">
        <f t="shared" si="19"/>
        <v>7.0867414487800387E-2</v>
      </c>
      <c r="AF39" s="29">
        <f t="shared" si="19"/>
        <v>6.6831544566952011E-4</v>
      </c>
      <c r="AG39" s="29">
        <f t="shared" si="19"/>
        <v>6.6445877789078937E-5</v>
      </c>
      <c r="AH39" s="29">
        <f t="shared" si="19"/>
        <v>1.5008100252594523E-4</v>
      </c>
      <c r="AI39" s="29">
        <f t="shared" si="19"/>
        <v>2.682230714929563E-4</v>
      </c>
      <c r="AJ39" s="29">
        <f t="shared" si="20"/>
        <v>0.99999999999999978</v>
      </c>
      <c r="AM39" s="23"/>
      <c r="AO39" s="20" t="str">
        <f t="shared" si="39"/>
        <v>JAWA</v>
      </c>
      <c r="AP39" s="20">
        <f t="shared" si="40"/>
        <v>2030</v>
      </c>
      <c r="AQ39" s="25">
        <f t="shared" si="21"/>
        <v>0.34841308206033839</v>
      </c>
      <c r="AR39" s="25">
        <f t="shared" si="22"/>
        <v>0.40464465688700613</v>
      </c>
      <c r="AS39" s="25">
        <f t="shared" si="23"/>
        <v>7.921801167274301E-4</v>
      </c>
      <c r="AT39" s="37">
        <f t="shared" si="24"/>
        <v>0.24599999993340191</v>
      </c>
      <c r="AU39" s="24">
        <f t="shared" si="32"/>
        <v>0.99984991899747389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7.9218011699662633E-4</v>
      </c>
      <c r="AZ39" s="25">
        <f t="shared" si="47"/>
        <v>0.246</v>
      </c>
      <c r="BA39" s="24">
        <f t="shared" si="34"/>
        <v>0.77979218011699669</v>
      </c>
      <c r="BJ39" s="19"/>
      <c r="BK39" s="20" t="str">
        <f t="shared" si="44"/>
        <v>JAWA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86237.978657775602</v>
      </c>
      <c r="BQ39" s="30">
        <f t="shared" si="27"/>
        <v>25357.378688103585</v>
      </c>
      <c r="BR39" s="30">
        <f t="shared" si="36"/>
        <v>73540.419729827074</v>
      </c>
      <c r="BS39" s="30"/>
      <c r="BT39" s="30">
        <f t="shared" si="28"/>
        <v>12678.689344051792</v>
      </c>
      <c r="BU39" s="30">
        <f t="shared" si="37"/>
        <v>12678.689344051792</v>
      </c>
      <c r="BW39" s="30">
        <f t="shared" si="29"/>
        <v>13.00262115535498</v>
      </c>
      <c r="BX39" s="30">
        <f t="shared" si="38"/>
        <v>7.9408759749190105</v>
      </c>
      <c r="BZ39" s="24">
        <f t="shared" si="46"/>
        <v>0.16419257837916615</v>
      </c>
      <c r="CA39" s="24">
        <f t="shared" si="30"/>
        <v>0.16419257837975007</v>
      </c>
      <c r="CF39" s="23"/>
    </row>
    <row r="40" spans="1:84" x14ac:dyDescent="0.25">
      <c r="A40" s="19"/>
      <c r="B40" s="20" t="str">
        <f t="shared" si="31"/>
        <v>JAWA</v>
      </c>
      <c r="C40" s="20">
        <f t="shared" si="31"/>
        <v>2031</v>
      </c>
      <c r="D40" s="30">
        <f>(D16*(VLOOKUP(D$27,tech_data!$B$2:$O$15,6, FALSE)/100)*(1-(VLOOKUP(D$27,tech_data!$B$2:$O$15,7, FALSE)/100))*8760)/1000</f>
        <v>125475.04843992632</v>
      </c>
      <c r="E40" s="30">
        <f>(E16*(VLOOKUP(E$27,tech_data!$B$2:$O$15,6, FALSE)/100)*(1-(VLOOKUP(E$27,tech_data!$B$2:$O$15,7, FALSE)/100))*8760)/1000</f>
        <v>20023.107949286517</v>
      </c>
      <c r="F40" s="30">
        <f>(F16*(VLOOKUP(F$27,tech_data!$B$2:$O$15,6, FALSE)/100)*(1-(VLOOKUP(F$27,tech_data!$B$2:$O$15,7, FALSE)/100))*8760)/1000</f>
        <v>143119.15216781228</v>
      </c>
      <c r="G40" s="30">
        <f>(G16*(VLOOKUP(G$27,tech_data!$B$2:$O$15,6, FALSE)/100)*(1-(VLOOKUP(G$27,tech_data!$B$2:$O$15,7, FALSE)/100))*8760)/1000</f>
        <v>298.79872675595084</v>
      </c>
      <c r="H40" s="30">
        <f>(H16*(VLOOKUP(H$27,tech_data!$B$2:$O$15,6, FALSE)/100)*(1-(VLOOKUP(H$27,tech_data!$B$2:$O$15,7, FALSE)/100))*8760)/1000</f>
        <v>8931.5631270002068</v>
      </c>
      <c r="I40" s="30">
        <f>(I16*(VLOOKUP(I$27,tech_data!$B$2:$O$15,6, FALSE)/100)*(1-(VLOOKUP(I$27,tech_data!$B$2:$O$15,7, FALSE)/100))*8760)/1000</f>
        <v>29343.082196989249</v>
      </c>
      <c r="J40" s="30">
        <f>(J16*(VLOOKUP(J$27,tech_data!$B$2:$O$15,6, FALSE)/100)*(1-(VLOOKUP(J$27,tech_data!$B$2:$O$15,7, FALSE)/100))*8760)/1000</f>
        <v>9976.6249997505784</v>
      </c>
      <c r="K40" s="30">
        <f>(K16*(VLOOKUP(K$27,tech_data!$B$2:$O$15,6, FALSE)/100)*(1-(VLOOKUP(K$27,tech_data!$B$2:$O$15,7, FALSE)/100))*8760)/1000</f>
        <v>17220.875102300186</v>
      </c>
      <c r="L40" s="30">
        <f>(L16*(VLOOKUP(L$27,tech_data!$B$2:$O$15,6, FALSE)/100)*(1-(VLOOKUP(L$27,tech_data!$B$2:$O$15,7, FALSE)/100))*8760)/1000</f>
        <v>30176.08636432164</v>
      </c>
      <c r="M40" s="30">
        <f>(M16*(VLOOKUP(M$27,tech_data!$B$2:$O$15,6, FALSE)/100)*(1-(VLOOKUP(M$27,tech_data!$B$2:$O$15,7, FALSE)/100))*8760)/1000</f>
        <v>240.68244631529535</v>
      </c>
      <c r="N40" s="30">
        <f>(N16*(VLOOKUP(N$27,tech_data!$B$2:$O$15,6, FALSE)/100)*(1-(VLOOKUP(N$27,tech_data!$B$2:$O$15,7, FALSE)/100))*8760)/1000</f>
        <v>23.92935329785994</v>
      </c>
      <c r="O40" s="30">
        <f>(O16*(VLOOKUP(O$27,tech_data!$B$2:$O$15,6, FALSE)/100)*(1-(VLOOKUP(O$27,tech_data!$B$2:$O$15,7, FALSE)/100))*8760)/1000</f>
        <v>54.04912166470961</v>
      </c>
      <c r="P40" s="30">
        <f>(P16*(VLOOKUP(P$27,tech_data!$B$2:$O$15,6, FALSE)/100)*(1-(VLOOKUP(P$27,tech_data!$B$2:$O$15,7, FALSE)/100))*8760)/1000</f>
        <v>104.14337267089721</v>
      </c>
      <c r="Q40" s="34">
        <f t="shared" si="17"/>
        <v>384882.99999542092</v>
      </c>
      <c r="R40" s="34">
        <f>proj_rukn!D54</f>
        <v>384883</v>
      </c>
      <c r="S40" s="35"/>
      <c r="T40" s="19"/>
      <c r="U40" s="20" t="str">
        <f t="shared" si="18"/>
        <v>JAWA</v>
      </c>
      <c r="V40" s="20">
        <f t="shared" si="18"/>
        <v>2031</v>
      </c>
      <c r="W40" s="29">
        <f t="shared" si="19"/>
        <v>0.3260082893799392</v>
      </c>
      <c r="X40" s="29">
        <f t="shared" si="19"/>
        <v>5.2023882451354669E-2</v>
      </c>
      <c r="Y40" s="29">
        <f t="shared" si="19"/>
        <v>0.37185106167202764</v>
      </c>
      <c r="Z40" s="29">
        <f t="shared" si="19"/>
        <v>7.7633651462783685E-4</v>
      </c>
      <c r="AA40" s="29">
        <f t="shared" si="19"/>
        <v>2.3205917453112943E-2</v>
      </c>
      <c r="AB40" s="29">
        <f t="shared" si="19"/>
        <v>7.6238966640091541E-2</v>
      </c>
      <c r="AC40" s="29">
        <f t="shared" si="19"/>
        <v>2.5921189036328635E-2</v>
      </c>
      <c r="AD40" s="29">
        <f t="shared" si="19"/>
        <v>4.4743142987622393E-2</v>
      </c>
      <c r="AE40" s="29">
        <f t="shared" si="19"/>
        <v>7.8403271551823944E-2</v>
      </c>
      <c r="AF40" s="29">
        <f t="shared" si="19"/>
        <v>6.2533924937749612E-4</v>
      </c>
      <c r="AG40" s="29">
        <f t="shared" si="19"/>
        <v>6.2173058561029292E-5</v>
      </c>
      <c r="AH40" s="29">
        <f t="shared" si="19"/>
        <v>1.4043000513234581E-4</v>
      </c>
      <c r="AI40" s="29">
        <f t="shared" si="19"/>
        <v>2.7058449625505992E-4</v>
      </c>
      <c r="AJ40" s="29">
        <f t="shared" si="20"/>
        <v>0.99999999999999967</v>
      </c>
      <c r="AM40" s="23"/>
      <c r="AO40" s="20" t="str">
        <f t="shared" si="39"/>
        <v>JAWA</v>
      </c>
      <c r="AP40" s="20">
        <f t="shared" si="40"/>
        <v>2031</v>
      </c>
      <c r="AQ40" s="25">
        <f t="shared" si="21"/>
        <v>0.3260082893799392</v>
      </c>
      <c r="AR40" s="25">
        <f t="shared" si="22"/>
        <v>0.42387494412338234</v>
      </c>
      <c r="AS40" s="25">
        <f t="shared" si="23"/>
        <v>7.7633651462783685E-4</v>
      </c>
      <c r="AT40" s="37">
        <f t="shared" si="24"/>
        <v>0.24919999997691802</v>
      </c>
      <c r="AU40" s="24">
        <f t="shared" si="32"/>
        <v>0.99985956999486736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7.7633651465669376E-4</v>
      </c>
      <c r="AZ40" s="25">
        <f t="shared" si="47"/>
        <v>0.2492</v>
      </c>
      <c r="BA40" s="24">
        <f t="shared" si="34"/>
        <v>0.78557633651465664</v>
      </c>
      <c r="BJ40" s="19"/>
      <c r="BK40" s="20" t="str">
        <f t="shared" si="44"/>
        <v>JAWA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92478.805064262357</v>
      </c>
      <c r="BQ40" s="30">
        <f t="shared" si="27"/>
        <v>26793.981840187786</v>
      </c>
      <c r="BR40" s="30">
        <f t="shared" si="36"/>
        <v>79062.944560271746</v>
      </c>
      <c r="BS40" s="30"/>
      <c r="BT40" s="30">
        <f t="shared" si="28"/>
        <v>13396.990920093893</v>
      </c>
      <c r="BU40" s="30">
        <f t="shared" si="37"/>
        <v>13396.990920093893</v>
      </c>
      <c r="BW40" s="30">
        <f t="shared" si="29"/>
        <v>14.483834616381481</v>
      </c>
      <c r="BX40" s="30">
        <f t="shared" si="38"/>
        <v>7.9408759749190105</v>
      </c>
      <c r="BZ40" s="24">
        <f t="shared" si="46"/>
        <v>0.17240220729812447</v>
      </c>
      <c r="CA40" s="24">
        <f t="shared" si="30"/>
        <v>0.17944600075825401</v>
      </c>
      <c r="CF40" s="23"/>
    </row>
    <row r="41" spans="1:84" x14ac:dyDescent="0.25">
      <c r="A41" s="19"/>
      <c r="B41" s="20" t="str">
        <f t="shared" si="31"/>
        <v>JAWA</v>
      </c>
      <c r="C41" s="20">
        <f t="shared" si="31"/>
        <v>2032</v>
      </c>
      <c r="D41" s="30">
        <f>(D17*(VLOOKUP(D$27,tech_data!$B$2:$O$15,6, FALSE)/100)*(1-(VLOOKUP(D$27,tech_data!$B$2:$O$15,7, FALSE)/100))*8760)/1000</f>
        <v>125475.05543726099</v>
      </c>
      <c r="E41" s="30">
        <f>(E17*(VLOOKUP(E$27,tech_data!$B$2:$O$15,6, FALSE)/100)*(1-(VLOOKUP(E$27,tech_data!$B$2:$O$15,7, FALSE)/100))*8760)/1000</f>
        <v>22276.218152999838</v>
      </c>
      <c r="F41" s="30">
        <f>(F17*(VLOOKUP(F$27,tech_data!$B$2:$O$15,6, FALSE)/100)*(1-(VLOOKUP(F$27,tech_data!$B$2:$O$15,7, FALSE)/100))*8760)/1000</f>
        <v>160071.81515451748</v>
      </c>
      <c r="G41" s="30">
        <f>(G17*(VLOOKUP(G$27,tech_data!$B$2:$O$15,6, FALSE)/100)*(1-(VLOOKUP(G$27,tech_data!$B$2:$O$15,7, FALSE)/100))*8760)/1000</f>
        <v>313.51681273669402</v>
      </c>
      <c r="H41" s="30">
        <f>(H17*(VLOOKUP(H$27,tech_data!$B$2:$O$15,6, FALSE)/100)*(1-(VLOOKUP(H$27,tech_data!$B$2:$O$15,7, FALSE)/100))*8760)/1000</f>
        <v>8931.5631270002068</v>
      </c>
      <c r="I41" s="30">
        <f>(I17*(VLOOKUP(I$27,tech_data!$B$2:$O$15,6, FALSE)/100)*(1-(VLOOKUP(I$27,tech_data!$B$2:$O$15,7, FALSE)/100))*8760)/1000</f>
        <v>29343.084789500968</v>
      </c>
      <c r="J41" s="30">
        <f>(J17*(VLOOKUP(J$27,tech_data!$B$2:$O$15,6, FALSE)/100)*(1-(VLOOKUP(J$27,tech_data!$B$2:$O$15,7, FALSE)/100))*8760)/1000</f>
        <v>9976.6249997505784</v>
      </c>
      <c r="K41" s="30">
        <f>(K17*(VLOOKUP(K$27,tech_data!$B$2:$O$15,6, FALSE)/100)*(1-(VLOOKUP(K$27,tech_data!$B$2:$O$15,7, FALSE)/100))*8760)/1000</f>
        <v>20234.875312201224</v>
      </c>
      <c r="L41" s="30">
        <f>(L17*(VLOOKUP(L$27,tech_data!$B$2:$O$15,6, FALSE)/100)*(1-(VLOOKUP(L$27,tech_data!$B$2:$O$15,7, FALSE)/100))*8760)/1000</f>
        <v>35298.62186459326</v>
      </c>
      <c r="M41" s="30">
        <f>(M17*(VLOOKUP(M$27,tech_data!$B$2:$O$15,6, FALSE)/100)*(1-(VLOOKUP(M$27,tech_data!$B$2:$O$15,7, FALSE)/100))*8760)/1000</f>
        <v>240.68244631529535</v>
      </c>
      <c r="N41" s="30">
        <f>(N17*(VLOOKUP(N$27,tech_data!$B$2:$O$15,6, FALSE)/100)*(1-(VLOOKUP(N$27,tech_data!$B$2:$O$15,7, FALSE)/100))*8760)/1000</f>
        <v>23.92935329785994</v>
      </c>
      <c r="O41" s="30">
        <f>(O17*(VLOOKUP(O$27,tech_data!$B$2:$O$15,6, FALSE)/100)*(1-(VLOOKUP(O$27,tech_data!$B$2:$O$15,7, FALSE)/100))*8760)/1000</f>
        <v>54.04912166470961</v>
      </c>
      <c r="P41" s="30">
        <f>(P17*(VLOOKUP(P$27,tech_data!$B$2:$O$15,6, FALSE)/100)*(1-(VLOOKUP(P$27,tech_data!$B$2:$O$15,7, FALSE)/100))*8760)/1000</f>
        <v>112.49479893501751</v>
      </c>
      <c r="Q41" s="34">
        <f t="shared" si="17"/>
        <v>412240.03657183913</v>
      </c>
      <c r="R41" s="34">
        <f>proj_rukn!D55</f>
        <v>412240</v>
      </c>
      <c r="S41" s="35"/>
      <c r="T41" s="19"/>
      <c r="U41" s="20" t="str">
        <f t="shared" si="18"/>
        <v>JAWA</v>
      </c>
      <c r="V41" s="20">
        <f t="shared" si="18"/>
        <v>2032</v>
      </c>
      <c r="W41" s="29">
        <f t="shared" si="19"/>
        <v>0.30437377330135923</v>
      </c>
      <c r="X41" s="29">
        <f t="shared" si="19"/>
        <v>5.4037007997203269E-2</v>
      </c>
      <c r="Y41" s="29">
        <f t="shared" si="19"/>
        <v>0.3882975959483802</v>
      </c>
      <c r="Z41" s="29">
        <f t="shared" si="19"/>
        <v>7.6052004881398496E-4</v>
      </c>
      <c r="AA41" s="29">
        <f t="shared" si="19"/>
        <v>2.1665928426735294E-2</v>
      </c>
      <c r="AB41" s="29">
        <f t="shared" si="19"/>
        <v>7.1179609417649295E-2</v>
      </c>
      <c r="AC41" s="29">
        <f t="shared" si="19"/>
        <v>2.420100939907616E-2</v>
      </c>
      <c r="AD41" s="29">
        <f t="shared" si="19"/>
        <v>4.9085177365287246E-2</v>
      </c>
      <c r="AE41" s="29">
        <f t="shared" si="19"/>
        <v>8.5626379616434795E-2</v>
      </c>
      <c r="AF41" s="29">
        <f t="shared" si="19"/>
        <v>5.8384054182799574E-4</v>
      </c>
      <c r="AG41" s="29">
        <f t="shared" si="19"/>
        <v>5.8047135588417997E-5</v>
      </c>
      <c r="AH41" s="29">
        <f t="shared" si="19"/>
        <v>1.3111080164405798E-4</v>
      </c>
      <c r="AI41" s="29">
        <f t="shared" si="19"/>
        <v>2.728866411678905E-4</v>
      </c>
      <c r="AJ41" s="29">
        <f t="shared" si="20"/>
        <v>1.0000000000000002</v>
      </c>
      <c r="AM41" s="23"/>
      <c r="AO41" s="20" t="str">
        <f t="shared" si="39"/>
        <v>JAWA</v>
      </c>
      <c r="AP41" s="20">
        <f t="shared" si="40"/>
        <v>2032</v>
      </c>
      <c r="AQ41" s="25">
        <f t="shared" si="21"/>
        <v>0.30437377330135923</v>
      </c>
      <c r="AR41" s="25">
        <f t="shared" si="22"/>
        <v>0.44233460394558349</v>
      </c>
      <c r="AS41" s="25">
        <f t="shared" si="23"/>
        <v>7.6052004881398496E-4</v>
      </c>
      <c r="AT41" s="37">
        <f t="shared" si="24"/>
        <v>0.25239999190259926</v>
      </c>
      <c r="AU41" s="24">
        <f t="shared" si="32"/>
        <v>0.99986888919835604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7.6080978436355987E-4</v>
      </c>
      <c r="AZ41" s="25">
        <f t="shared" si="47"/>
        <v>0.25240000000000001</v>
      </c>
      <c r="BA41" s="24">
        <f t="shared" si="34"/>
        <v>0.79136080978436363</v>
      </c>
      <c r="BJ41" s="19"/>
      <c r="BK41" s="20" t="str">
        <f t="shared" si="44"/>
        <v>JAWA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99363.458333593793</v>
      </c>
      <c r="BQ41" s="30">
        <f t="shared" si="27"/>
        <v>28311.974659633248</v>
      </c>
      <c r="BR41" s="30">
        <f t="shared" si="36"/>
        <v>85188.600132797961</v>
      </c>
      <c r="BS41" s="30"/>
      <c r="BT41" s="30">
        <f t="shared" si="28"/>
        <v>14155.987329816624</v>
      </c>
      <c r="BU41" s="30">
        <f t="shared" si="37"/>
        <v>14155.988616899103</v>
      </c>
      <c r="BW41" s="30">
        <f t="shared" si="29"/>
        <v>16.135813399414356</v>
      </c>
      <c r="BX41" s="30">
        <f t="shared" si="38"/>
        <v>7.9408759749190105</v>
      </c>
      <c r="BZ41" s="24">
        <f t="shared" si="46"/>
        <v>0.1810223176630307</v>
      </c>
      <c r="CA41" s="24">
        <f t="shared" si="30"/>
        <v>0.19437279938849475</v>
      </c>
      <c r="CF41" s="23"/>
    </row>
    <row r="42" spans="1:84" x14ac:dyDescent="0.25">
      <c r="A42" s="19"/>
      <c r="B42" s="20" t="str">
        <f t="shared" si="31"/>
        <v>JAWA</v>
      </c>
      <c r="C42" s="20">
        <f t="shared" si="31"/>
        <v>2033</v>
      </c>
      <c r="D42" s="30">
        <f>(D18*(VLOOKUP(D$27,tech_data!$B$2:$O$15,6, FALSE)/100)*(1-(VLOOKUP(D$27,tech_data!$B$2:$O$15,7, FALSE)/100))*8760)/1000</f>
        <v>125475.05543726099</v>
      </c>
      <c r="E42" s="30">
        <f>(E18*(VLOOKUP(E$27,tech_data!$B$2:$O$15,6, FALSE)/100)*(1-(VLOOKUP(E$27,tech_data!$B$2:$O$15,7, FALSE)/100))*8760)/1000</f>
        <v>24658.244403049179</v>
      </c>
      <c r="F42" s="30">
        <f>(F18*(VLOOKUP(F$27,tech_data!$B$2:$O$15,6, FALSE)/100)*(1-(VLOOKUP(F$27,tech_data!$B$2:$O$15,7, FALSE)/100))*8760)/1000</f>
        <v>176593.50259859647</v>
      </c>
      <c r="G42" s="30">
        <f>(G18*(VLOOKUP(G$27,tech_data!$B$2:$O$15,6, FALSE)/100)*(1-(VLOOKUP(G$27,tech_data!$B$2:$O$15,7, FALSE)/100))*8760)/1000</f>
        <v>327.6329740059137</v>
      </c>
      <c r="H42" s="30">
        <f>(H18*(VLOOKUP(H$27,tech_data!$B$2:$O$15,6, FALSE)/100)*(1-(VLOOKUP(H$27,tech_data!$B$2:$O$15,7, FALSE)/100))*8760)/1000</f>
        <v>8931.5631270002068</v>
      </c>
      <c r="I42" s="30">
        <f>(I18*(VLOOKUP(I$27,tech_data!$B$2:$O$15,6, FALSE)/100)*(1-(VLOOKUP(I$27,tech_data!$B$2:$O$15,7, FALSE)/100))*8760)/1000</f>
        <v>29343.084789500968</v>
      </c>
      <c r="J42" s="30">
        <f>(J18*(VLOOKUP(J$27,tech_data!$B$2:$O$15,6, FALSE)/100)*(1-(VLOOKUP(J$27,tech_data!$B$2:$O$15,7, FALSE)/100))*8760)/1000</f>
        <v>9976.6249997505784</v>
      </c>
      <c r="K42" s="30">
        <f>(K18*(VLOOKUP(K$27,tech_data!$B$2:$O$15,6, FALSE)/100)*(1-(VLOOKUP(K$27,tech_data!$B$2:$O$15,7, FALSE)/100))*8760)/1000</f>
        <v>21358.789399384186</v>
      </c>
      <c r="L42" s="30">
        <f>(L18*(VLOOKUP(L$27,tech_data!$B$2:$O$15,6, FALSE)/100)*(1-(VLOOKUP(L$27,tech_data!$B$2:$O$15,7, FALSE)/100))*8760)/1000</f>
        <v>42442.527184015882</v>
      </c>
      <c r="M42" s="30">
        <f>(M18*(VLOOKUP(M$27,tech_data!$B$2:$O$15,6, FALSE)/100)*(1-(VLOOKUP(M$27,tech_data!$B$2:$O$15,7, FALSE)/100))*8760)/1000</f>
        <v>240.68244631529535</v>
      </c>
      <c r="N42" s="30">
        <f>(N18*(VLOOKUP(N$27,tech_data!$B$2:$O$15,6, FALSE)/100)*(1-(VLOOKUP(N$27,tech_data!$B$2:$O$15,7, FALSE)/100))*8760)/1000</f>
        <v>23.92935329785994</v>
      </c>
      <c r="O42" s="30">
        <f>(O18*(VLOOKUP(O$27,tech_data!$B$2:$O$15,6, FALSE)/100)*(1-(VLOOKUP(O$27,tech_data!$B$2:$O$15,7, FALSE)/100))*8760)/1000</f>
        <v>54.04912166470961</v>
      </c>
      <c r="P42" s="30">
        <f>(P18*(VLOOKUP(P$27,tech_data!$B$2:$O$15,6, FALSE)/100)*(1-(VLOOKUP(P$27,tech_data!$B$2:$O$15,7, FALSE)/100))*8760)/1000</f>
        <v>120.83019787396043</v>
      </c>
      <c r="Q42" s="34">
        <f t="shared" si="17"/>
        <v>439425.68583384226</v>
      </c>
      <c r="R42" s="34">
        <f>proj_rukn!D56</f>
        <v>439426</v>
      </c>
      <c r="S42" s="35"/>
      <c r="T42" s="19"/>
      <c r="U42" s="20" t="str">
        <f t="shared" si="18"/>
        <v>JAWA</v>
      </c>
      <c r="V42" s="20">
        <f t="shared" si="18"/>
        <v>2033</v>
      </c>
      <c r="W42" s="29">
        <f t="shared" si="19"/>
        <v>0.28554328862037942</v>
      </c>
      <c r="X42" s="29">
        <f t="shared" si="19"/>
        <v>5.6114708807379711E-2</v>
      </c>
      <c r="Y42" s="29">
        <f t="shared" si="19"/>
        <v>0.40187341862708237</v>
      </c>
      <c r="Z42" s="29">
        <f t="shared" si="19"/>
        <v>7.4559358855913547E-4</v>
      </c>
      <c r="AA42" s="29">
        <f t="shared" si="19"/>
        <v>2.0325537206710879E-2</v>
      </c>
      <c r="AB42" s="29">
        <f t="shared" si="19"/>
        <v>6.6775989059038116E-2</v>
      </c>
      <c r="AC42" s="29">
        <f t="shared" si="19"/>
        <v>2.2703782053202479E-2</v>
      </c>
      <c r="AD42" s="29">
        <f t="shared" si="19"/>
        <v>4.8606146813776549E-2</v>
      </c>
      <c r="AE42" s="29">
        <f t="shared" si="19"/>
        <v>9.658635931460878E-2</v>
      </c>
      <c r="AF42" s="29">
        <f t="shared" si="19"/>
        <v>5.4772047714639815E-4</v>
      </c>
      <c r="AG42" s="29">
        <f t="shared" si="19"/>
        <v>5.4455973033192742E-5</v>
      </c>
      <c r="AH42" s="29">
        <f t="shared" si="19"/>
        <v>1.2299945908293336E-4</v>
      </c>
      <c r="AI42" s="29">
        <f t="shared" si="19"/>
        <v>2.7497299718535188E-4</v>
      </c>
      <c r="AJ42" s="29">
        <f t="shared" si="20"/>
        <v>1</v>
      </c>
      <c r="AM42" s="23"/>
      <c r="AO42" s="20" t="str">
        <f t="shared" si="39"/>
        <v>JAWA</v>
      </c>
      <c r="AP42" s="20">
        <f t="shared" si="40"/>
        <v>2033</v>
      </c>
      <c r="AQ42" s="25">
        <f t="shared" si="21"/>
        <v>0.28554328862037942</v>
      </c>
      <c r="AR42" s="25">
        <f t="shared" si="22"/>
        <v>0.4579881274344621</v>
      </c>
      <c r="AS42" s="25">
        <f t="shared" si="23"/>
        <v>7.4559358855913547E-4</v>
      </c>
      <c r="AT42" s="37">
        <f t="shared" si="24"/>
        <v>0.25559999089751639</v>
      </c>
      <c r="AU42" s="24">
        <f t="shared" si="32"/>
        <v>0.9998770005409171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7.4559358867628861E-4</v>
      </c>
      <c r="AZ42" s="25">
        <f t="shared" si="47"/>
        <v>0.25559999999999999</v>
      </c>
      <c r="BA42" s="24">
        <f t="shared" si="34"/>
        <v>0.7971455935886762</v>
      </c>
      <c r="BJ42" s="19"/>
      <c r="BK42" s="20" t="str">
        <f t="shared" si="44"/>
        <v>JAWA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106135.38107632029</v>
      </c>
      <c r="BQ42" s="30">
        <f t="shared" si="27"/>
        <v>29915.968216618654</v>
      </c>
      <c r="BR42" s="30">
        <f t="shared" si="36"/>
        <v>91158.526096516973</v>
      </c>
      <c r="BS42" s="30"/>
      <c r="BT42" s="30">
        <f t="shared" si="28"/>
        <v>14957.984108309327</v>
      </c>
      <c r="BU42" s="30">
        <f t="shared" si="37"/>
        <v>14957.985395906595</v>
      </c>
      <c r="BW42" s="30">
        <f t="shared" si="29"/>
        <v>17.602687105240147</v>
      </c>
      <c r="BX42" s="30">
        <f t="shared" si="38"/>
        <v>7.9408759749190105</v>
      </c>
      <c r="BZ42" s="24">
        <f t="shared" si="46"/>
        <v>0.19007343354618225</v>
      </c>
      <c r="CA42" s="24">
        <f t="shared" si="30"/>
        <v>0.19007343354618406</v>
      </c>
      <c r="CF42" s="23"/>
    </row>
    <row r="43" spans="1:84" x14ac:dyDescent="0.25">
      <c r="A43" s="19"/>
      <c r="B43" s="20" t="str">
        <f t="shared" si="31"/>
        <v>JAWA</v>
      </c>
      <c r="C43" s="20">
        <f t="shared" si="31"/>
        <v>2034</v>
      </c>
      <c r="D43" s="30">
        <f>(D19*(VLOOKUP(D$27,tech_data!$B$2:$O$15,6, FALSE)/100)*(1-(VLOOKUP(D$27,tech_data!$B$2:$O$15,7, FALSE)/100))*8760)/1000</f>
        <v>132172.28237726999</v>
      </c>
      <c r="E43" s="30">
        <f>(E19*(VLOOKUP(E$27,tech_data!$B$2:$O$15,6, FALSE)/100)*(1-(VLOOKUP(E$27,tech_data!$B$2:$O$15,7, FALSE)/100))*8760)/1000</f>
        <v>27175.117533954835</v>
      </c>
      <c r="F43" s="30">
        <f>(F19*(VLOOKUP(F$27,tech_data!$B$2:$O$15,6, FALSE)/100)*(1-(VLOOKUP(F$27,tech_data!$B$2:$O$15,7, FALSE)/100))*8760)/1000</f>
        <v>187653.58966174381</v>
      </c>
      <c r="G43" s="30">
        <f>(G19*(VLOOKUP(G$27,tech_data!$B$2:$O$15,6, FALSE)/100)*(1-(VLOOKUP(G$27,tech_data!$B$2:$O$15,7, FALSE)/100))*8760)/1000</f>
        <v>342.46762535557303</v>
      </c>
      <c r="H43" s="30">
        <f>(H19*(VLOOKUP(H$27,tech_data!$B$2:$O$15,6, FALSE)/100)*(1-(VLOOKUP(H$27,tech_data!$B$2:$O$15,7, FALSE)/100))*8760)/1000</f>
        <v>8931.5631270002068</v>
      </c>
      <c r="I43" s="30">
        <f>(I19*(VLOOKUP(I$27,tech_data!$B$2:$O$15,6, FALSE)/100)*(1-(VLOOKUP(I$27,tech_data!$B$2:$O$15,7, FALSE)/100))*8760)/1000</f>
        <v>29343.084789500968</v>
      </c>
      <c r="J43" s="30">
        <f>(J19*(VLOOKUP(J$27,tech_data!$B$2:$O$15,6, FALSE)/100)*(1-(VLOOKUP(J$27,tech_data!$B$2:$O$15,7, FALSE)/100))*8760)/1000</f>
        <v>9976.6249997505784</v>
      </c>
      <c r="K43" s="30">
        <f>(K19*(VLOOKUP(K$27,tech_data!$B$2:$O$15,6, FALSE)/100)*(1-(VLOOKUP(K$27,tech_data!$B$2:$O$15,7, FALSE)/100))*8760)/1000</f>
        <v>24219.196551894514</v>
      </c>
      <c r="L43" s="30">
        <f>(L19*(VLOOKUP(L$27,tech_data!$B$2:$O$15,6, FALSE)/100)*(1-(VLOOKUP(L$27,tech_data!$B$2:$O$15,7, FALSE)/100))*8760)/1000</f>
        <v>48563.449229655293</v>
      </c>
      <c r="M43" s="30">
        <f>(M19*(VLOOKUP(M$27,tech_data!$B$2:$O$15,6, FALSE)/100)*(1-(VLOOKUP(M$27,tech_data!$B$2:$O$15,7, FALSE)/100))*8760)/1000</f>
        <v>240.68244631529535</v>
      </c>
      <c r="N43" s="30">
        <f>(N19*(VLOOKUP(N$27,tech_data!$B$2:$O$15,6, FALSE)/100)*(1-(VLOOKUP(N$27,tech_data!$B$2:$O$15,7, FALSE)/100))*8760)/1000</f>
        <v>23.92935329785994</v>
      </c>
      <c r="O43" s="30">
        <f>(O19*(VLOOKUP(O$27,tech_data!$B$2:$O$15,6, FALSE)/100)*(1-(VLOOKUP(O$27,tech_data!$B$2:$O$15,7, FALSE)/100))*8760)/1000</f>
        <v>54.04912226653213</v>
      </c>
      <c r="P43" s="30">
        <f>(P19*(VLOOKUP(P$27,tech_data!$B$2:$O$15,6, FALSE)/100)*(1-(VLOOKUP(P$27,tech_data!$B$2:$O$15,7, FALSE)/100))*8760)/1000</f>
        <v>129.82061880220797</v>
      </c>
      <c r="Q43" s="34">
        <f t="shared" si="17"/>
        <v>468696.03681800561</v>
      </c>
      <c r="R43" s="34">
        <f>proj_rukn!D57</f>
        <v>468696</v>
      </c>
      <c r="S43" s="35"/>
      <c r="T43" s="19"/>
      <c r="U43" s="20" t="str">
        <f t="shared" si="18"/>
        <v>JAWA</v>
      </c>
      <c r="V43" s="20">
        <f t="shared" si="18"/>
        <v>2034</v>
      </c>
      <c r="W43" s="29">
        <f t="shared" si="19"/>
        <v>0.28199999998846248</v>
      </c>
      <c r="X43" s="29">
        <f t="shared" si="19"/>
        <v>5.7980258844191841E-2</v>
      </c>
      <c r="Y43" s="29">
        <f t="shared" si="19"/>
        <v>0.40037374955361438</v>
      </c>
      <c r="Z43" s="29">
        <f t="shared" si="19"/>
        <v>7.3068171790100498E-4</v>
      </c>
      <c r="AA43" s="29">
        <f t="shared" si="19"/>
        <v>1.9056195114507287E-2</v>
      </c>
      <c r="AB43" s="29">
        <f t="shared" si="19"/>
        <v>6.2605788153687489E-2</v>
      </c>
      <c r="AC43" s="29">
        <f t="shared" si="19"/>
        <v>2.1285917131884127E-2</v>
      </c>
      <c r="AD43" s="29">
        <f t="shared" si="19"/>
        <v>5.1673568047042852E-2</v>
      </c>
      <c r="AE43" s="29">
        <f t="shared" si="19"/>
        <v>0.10361395321230858</v>
      </c>
      <c r="AF43" s="29">
        <f t="shared" si="19"/>
        <v>5.1351500206679192E-4</v>
      </c>
      <c r="AG43" s="29">
        <f t="shared" si="19"/>
        <v>5.1055164580262265E-5</v>
      </c>
      <c r="AH43" s="29">
        <f t="shared" si="19"/>
        <v>1.1531806975257052E-4</v>
      </c>
      <c r="AI43" s="29">
        <f t="shared" si="19"/>
        <v>2.7698254007771188E-4</v>
      </c>
      <c r="AJ43" s="29">
        <f t="shared" si="20"/>
        <v>0.99999999999999967</v>
      </c>
      <c r="AM43" s="23"/>
      <c r="AO43" s="20" t="str">
        <f t="shared" si="39"/>
        <v>JAWA</v>
      </c>
      <c r="AP43" s="20">
        <f t="shared" si="40"/>
        <v>2034</v>
      </c>
      <c r="AQ43" s="25">
        <f t="shared" si="21"/>
        <v>0.28199999998846248</v>
      </c>
      <c r="AR43" s="25">
        <f t="shared" si="22"/>
        <v>0.45835400839780621</v>
      </c>
      <c r="AS43" s="25">
        <f t="shared" si="23"/>
        <v>7.3068171790100498E-4</v>
      </c>
      <c r="AT43" s="37">
        <f t="shared" si="24"/>
        <v>0.25879999182607744</v>
      </c>
      <c r="AU43" s="24">
        <f t="shared" si="32"/>
        <v>0.99988468193024715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7.306817169027628E-4</v>
      </c>
      <c r="AZ43" s="25">
        <f t="shared" si="47"/>
        <v>0.25880000000000003</v>
      </c>
      <c r="BA43" s="24">
        <f t="shared" si="34"/>
        <v>0.80293068171690274</v>
      </c>
      <c r="BJ43" s="19"/>
      <c r="BK43" s="20" t="str">
        <f t="shared" si="44"/>
        <v>JAWA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112360.36699605831</v>
      </c>
      <c r="BQ43" s="30">
        <f t="shared" si="27"/>
        <v>31610.834818023624</v>
      </c>
      <c r="BR43" s="30">
        <f t="shared" si="36"/>
        <v>96536.078715111798</v>
      </c>
      <c r="BS43" s="30"/>
      <c r="BT43" s="30">
        <f t="shared" si="28"/>
        <v>15805.417409011812</v>
      </c>
      <c r="BU43" s="30">
        <f t="shared" si="37"/>
        <v>15805.418696839679</v>
      </c>
      <c r="BW43" s="30">
        <f t="shared" si="29"/>
        <v>19.375228539398954</v>
      </c>
      <c r="BX43" s="30">
        <f t="shared" si="38"/>
        <v>7.9408759749190105</v>
      </c>
      <c r="BZ43" s="24">
        <f t="shared" si="46"/>
        <v>0.19957710522349137</v>
      </c>
      <c r="CA43" s="24">
        <f t="shared" si="30"/>
        <v>0.19957710522345243</v>
      </c>
      <c r="CF43" s="23"/>
    </row>
    <row r="44" spans="1:84" x14ac:dyDescent="0.25">
      <c r="A44" s="19"/>
      <c r="B44" s="20" t="str">
        <f t="shared" si="31"/>
        <v>JAWA</v>
      </c>
      <c r="C44" s="20">
        <f t="shared" si="31"/>
        <v>2035</v>
      </c>
      <c r="D44" s="30">
        <f>(D20*(VLOOKUP(D$27,tech_data!$B$2:$O$15,6, FALSE)/100)*(1-(VLOOKUP(D$27,tech_data!$B$2:$O$15,7, FALSE)/100))*8760)/1000</f>
        <v>139620.05045234339</v>
      </c>
      <c r="E44" s="30">
        <f>(E20*(VLOOKUP(E$27,tech_data!$B$2:$O$15,6, FALSE)/100)*(1-(VLOOKUP(E$27,tech_data!$B$2:$O$15,7, FALSE)/100))*8760)/1000</f>
        <v>29835.455618494936</v>
      </c>
      <c r="F44" s="30">
        <f>(F20*(VLOOKUP(F$27,tech_data!$B$2:$O$15,6, FALSE)/100)*(1-(VLOOKUP(F$27,tech_data!$B$2:$O$15,7, FALSE)/100))*8760)/1000</f>
        <v>198131.94789405467</v>
      </c>
      <c r="G44" s="30">
        <f>(G20*(VLOOKUP(G$27,tech_data!$B$2:$O$15,6, FALSE)/100)*(1-(VLOOKUP(G$27,tech_data!$B$2:$O$15,7, FALSE)/100))*8760)/1000</f>
        <v>357.06236379556037</v>
      </c>
      <c r="H44" s="30">
        <f>(H20*(VLOOKUP(H$27,tech_data!$B$2:$O$15,6, FALSE)/100)*(1-(VLOOKUP(H$27,tech_data!$B$2:$O$15,7, FALSE)/100))*8760)/1000</f>
        <v>8931.5631270002068</v>
      </c>
      <c r="I44" s="30">
        <f>(I20*(VLOOKUP(I$27,tech_data!$B$2:$O$15,6, FALSE)/100)*(1-(VLOOKUP(I$27,tech_data!$B$2:$O$15,7, FALSE)/100))*8760)/1000</f>
        <v>29343.084789500968</v>
      </c>
      <c r="J44" s="30">
        <f>(J20*(VLOOKUP(J$27,tech_data!$B$2:$O$15,6, FALSE)/100)*(1-(VLOOKUP(J$27,tech_data!$B$2:$O$15,7, FALSE)/100))*8760)/1000</f>
        <v>9976.6249997505784</v>
      </c>
      <c r="K44" s="30">
        <f>(K20*(VLOOKUP(K$27,tech_data!$B$2:$O$15,6, FALSE)/100)*(1-(VLOOKUP(K$27,tech_data!$B$2:$O$15,7, FALSE)/100))*8760)/1000</f>
        <v>27388.654048357126</v>
      </c>
      <c r="L44" s="30">
        <f>(L20*(VLOOKUP(L$27,tech_data!$B$2:$O$15,6, FALSE)/100)*(1-(VLOOKUP(L$27,tech_data!$B$2:$O$15,7, FALSE)/100))*8760)/1000</f>
        <v>54739.933019671102</v>
      </c>
      <c r="M44" s="30">
        <f>(M20*(VLOOKUP(M$27,tech_data!$B$2:$O$15,6, FALSE)/100)*(1-(VLOOKUP(M$27,tech_data!$B$2:$O$15,7, FALSE)/100))*8760)/1000</f>
        <v>240.68244631529535</v>
      </c>
      <c r="N44" s="30">
        <f>(N20*(VLOOKUP(N$27,tech_data!$B$2:$O$15,6, FALSE)/100)*(1-(VLOOKUP(N$27,tech_data!$B$2:$O$15,7, FALSE)/100))*8760)/1000</f>
        <v>23.92935329785994</v>
      </c>
      <c r="O44" s="30">
        <f>(O20*(VLOOKUP(O$27,tech_data!$B$2:$O$15,6, FALSE)/100)*(1-(VLOOKUP(O$27,tech_data!$B$2:$O$15,7, FALSE)/100))*8760)/1000</f>
        <v>54.049122821756264</v>
      </c>
      <c r="P44" s="30">
        <f>(P20*(VLOOKUP(P$27,tech_data!$B$2:$O$15,6, FALSE)/100)*(1-(VLOOKUP(P$27,tech_data!$B$2:$O$15,7, FALSE)/100))*8760)/1000</f>
        <v>139.05013450103209</v>
      </c>
      <c r="Q44" s="34">
        <f t="shared" si="17"/>
        <v>498643.03723540355</v>
      </c>
      <c r="R44" s="34">
        <f>proj_rukn!D58</f>
        <v>498643</v>
      </c>
      <c r="S44" s="35"/>
      <c r="T44" s="19"/>
      <c r="U44" s="20" t="str">
        <f t="shared" si="18"/>
        <v>JAWA</v>
      </c>
      <c r="V44" s="20">
        <f t="shared" si="18"/>
        <v>2035</v>
      </c>
      <c r="W44" s="29">
        <f t="shared" si="19"/>
        <v>0.28000000005300463</v>
      </c>
      <c r="X44" s="29">
        <f t="shared" si="19"/>
        <v>5.983329434200034E-2</v>
      </c>
      <c r="Y44" s="29">
        <f t="shared" si="19"/>
        <v>0.39734225307254994</v>
      </c>
      <c r="Z44" s="29">
        <f t="shared" si="19"/>
        <v>7.1606808304232957E-4</v>
      </c>
      <c r="AA44" s="29">
        <f t="shared" si="19"/>
        <v>1.7911737375335534E-2</v>
      </c>
      <c r="AB44" s="29">
        <f t="shared" si="19"/>
        <v>5.8845872895741329E-2</v>
      </c>
      <c r="AC44" s="29">
        <f t="shared" si="19"/>
        <v>2.0007548997502057E-2</v>
      </c>
      <c r="AD44" s="29">
        <f t="shared" si="19"/>
        <v>5.4926374185843216E-2</v>
      </c>
      <c r="AE44" s="29">
        <f t="shared" si="19"/>
        <v>0.10977779479918622</v>
      </c>
      <c r="AF44" s="29">
        <f t="shared" si="19"/>
        <v>4.82674836190828E-4</v>
      </c>
      <c r="AG44" s="29">
        <f t="shared" si="19"/>
        <v>4.7988945018725236E-5</v>
      </c>
      <c r="AH44" s="29">
        <f t="shared" si="19"/>
        <v>1.0839241458462459E-4</v>
      </c>
      <c r="AI44" s="29">
        <f t="shared" si="19"/>
        <v>2.7885706631332774E-4</v>
      </c>
      <c r="AJ44" s="29">
        <f t="shared" si="20"/>
        <v>0.99999999999999978</v>
      </c>
      <c r="AM44" s="23"/>
      <c r="AO44" s="20" t="str">
        <f t="shared" si="39"/>
        <v>JAWA</v>
      </c>
      <c r="AP44" s="20">
        <f t="shared" si="40"/>
        <v>2035</v>
      </c>
      <c r="AQ44" s="25">
        <f t="shared" si="21"/>
        <v>0.28000000005300463</v>
      </c>
      <c r="AR44" s="25">
        <f t="shared" si="22"/>
        <v>0.4571755474145503</v>
      </c>
      <c r="AS44" s="25">
        <f t="shared" si="23"/>
        <v>7.1606808304232957E-4</v>
      </c>
      <c r="AT44" s="37">
        <f t="shared" si="24"/>
        <v>0.26199999203481794</v>
      </c>
      <c r="AU44" s="24">
        <f t="shared" si="32"/>
        <v>0.99989160758541529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7.160680825647075E-4</v>
      </c>
      <c r="AZ44" s="25">
        <f t="shared" si="47"/>
        <v>0.26200000000000001</v>
      </c>
      <c r="BA44" s="24">
        <f t="shared" si="34"/>
        <v>0.8087160680825648</v>
      </c>
      <c r="BJ44" s="19"/>
      <c r="BK44" s="20" t="str">
        <f t="shared" si="44"/>
        <v>JAWA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118577.94041946869</v>
      </c>
      <c r="BQ44" s="30">
        <f t="shared" si="27"/>
        <v>33401.722807596889</v>
      </c>
      <c r="BR44" s="30">
        <f t="shared" si="36"/>
        <v>101858.20814441255</v>
      </c>
      <c r="BS44" s="30"/>
      <c r="BT44" s="30">
        <f t="shared" si="28"/>
        <v>16700.861403798444</v>
      </c>
      <c r="BU44" s="30">
        <f t="shared" si="37"/>
        <v>16700.862690755483</v>
      </c>
      <c r="BW44" s="30">
        <f t="shared" si="29"/>
        <v>21.240802065682207</v>
      </c>
      <c r="BX44" s="30">
        <f t="shared" si="38"/>
        <v>7.9408759749190105</v>
      </c>
      <c r="BZ44" s="24">
        <f t="shared" si="46"/>
        <v>0.20955596048466596</v>
      </c>
      <c r="CA44" s="24">
        <f t="shared" si="30"/>
        <v>0.20955596022318854</v>
      </c>
      <c r="CF44" s="23"/>
    </row>
    <row r="45" spans="1:84" x14ac:dyDescent="0.25">
      <c r="A45" s="19"/>
      <c r="B45" s="20" t="str">
        <f t="shared" ref="B45:C47" si="50">B21</f>
        <v>JAWA</v>
      </c>
      <c r="C45" s="20">
        <f t="shared" si="50"/>
        <v>2036</v>
      </c>
      <c r="D45" s="30">
        <f>(D21*(VLOOKUP(D$27,tech_data!$B$2:$O$15,6, FALSE)/100)*(1-(VLOOKUP(D$27,tech_data!$B$2:$O$15,7, FALSE)/100))*8760)/1000</f>
        <v>145169.38646969025</v>
      </c>
      <c r="E45" s="30">
        <f>(E21*(VLOOKUP(E$27,tech_data!$B$2:$O$15,6, FALSE)/100)*(1-(VLOOKUP(E$27,tech_data!$B$2:$O$15,7, FALSE)/100))*8760)/1000</f>
        <v>32652.139177104858</v>
      </c>
      <c r="F45" s="30">
        <f>(F21*(VLOOKUP(F$27,tech_data!$B$2:$O$15,6, FALSE)/100)*(1-(VLOOKUP(F$27,tech_data!$B$2:$O$15,7, FALSE)/100))*8760)/1000</f>
        <v>205464.69212053003</v>
      </c>
      <c r="G45" s="30">
        <f>(G21*(VLOOKUP(G$27,tech_data!$B$2:$O$15,6, FALSE)/100)*(1-(VLOOKUP(G$27,tech_data!$B$2:$O$15,7, FALSE)/100))*8760)/1000</f>
        <v>366.44655227589328</v>
      </c>
      <c r="H45" s="30">
        <f>(H21*(VLOOKUP(H$27,tech_data!$B$2:$O$15,6, FALSE)/100)*(1-(VLOOKUP(H$27,tech_data!$B$2:$O$15,7, FALSE)/100))*8760)/1000</f>
        <v>8931.5631270002068</v>
      </c>
      <c r="I45" s="30">
        <f>(I21*(VLOOKUP(I$27,tech_data!$B$2:$O$15,6, FALSE)/100)*(1-(VLOOKUP(I$27,tech_data!$B$2:$O$15,7, FALSE)/100))*8760)/1000</f>
        <v>29343.084789500968</v>
      </c>
      <c r="J45" s="30">
        <f>(J21*(VLOOKUP(J$27,tech_data!$B$2:$O$15,6, FALSE)/100)*(1-(VLOOKUP(J$27,tech_data!$B$2:$O$15,7, FALSE)/100))*8760)/1000</f>
        <v>9976.6249997505784</v>
      </c>
      <c r="K45" s="30">
        <f>(K21*(VLOOKUP(K$27,tech_data!$B$2:$O$15,6, FALSE)/100)*(1-(VLOOKUP(K$27,tech_data!$B$2:$O$15,7, FALSE)/100))*8760)/1000</f>
        <v>30483.338905535133</v>
      </c>
      <c r="L45" s="30">
        <f>(L21*(VLOOKUP(L$27,tech_data!$B$2:$O$15,6, FALSE)/100)*(1-(VLOOKUP(L$27,tech_data!$B$2:$O$15,7, FALSE)/100))*8760)/1000</f>
        <v>59486.100126676298</v>
      </c>
      <c r="M45" s="30">
        <f>(M21*(VLOOKUP(M$27,tech_data!$B$2:$O$15,6, FALSE)/100)*(1-(VLOOKUP(M$27,tech_data!$B$2:$O$15,7, FALSE)/100))*8760)/1000</f>
        <v>240.68244631529535</v>
      </c>
      <c r="N45" s="30">
        <f>(N21*(VLOOKUP(N$27,tech_data!$B$2:$O$15,6, FALSE)/100)*(1-(VLOOKUP(N$27,tech_data!$B$2:$O$15,7, FALSE)/100))*8760)/1000</f>
        <v>23.92935329785994</v>
      </c>
      <c r="O45" s="30">
        <f>(O21*(VLOOKUP(O$27,tech_data!$B$2:$O$15,6, FALSE)/100)*(1-(VLOOKUP(O$27,tech_data!$B$2:$O$15,7, FALSE)/100))*8760)/1000</f>
        <v>54.049122821756264</v>
      </c>
      <c r="P45" s="30">
        <f>(P21*(VLOOKUP(P$27,tech_data!$B$2:$O$15,6, FALSE)/100)*(1-(VLOOKUP(P$27,tech_data!$B$2:$O$15,7, FALSE)/100))*8760)/1000</f>
        <v>146.40571395898911</v>
      </c>
      <c r="Q45" s="34">
        <f t="shared" si="17"/>
        <v>522192.03719049919</v>
      </c>
      <c r="R45" s="34">
        <f>proj_rukn!D59</f>
        <v>522192</v>
      </c>
      <c r="S45" s="35"/>
      <c r="T45" s="19"/>
      <c r="U45" s="20" t="str">
        <f t="shared" si="18"/>
        <v>JAWA</v>
      </c>
      <c r="V45" s="20">
        <f t="shared" si="18"/>
        <v>2036</v>
      </c>
      <c r="W45" s="29">
        <f t="shared" si="19"/>
        <v>0.27800000025035132</v>
      </c>
      <c r="X45" s="29">
        <f t="shared" si="19"/>
        <v>6.2528987138103634E-2</v>
      </c>
      <c r="Y45" s="29">
        <f t="shared" si="19"/>
        <v>0.39346577022884616</v>
      </c>
      <c r="Z45" s="29">
        <f t="shared" si="19"/>
        <v>7.0174672568247358E-4</v>
      </c>
      <c r="AA45" s="29">
        <f t="shared" si="19"/>
        <v>1.7103981851301023E-2</v>
      </c>
      <c r="AB45" s="29">
        <f t="shared" si="19"/>
        <v>5.619213373565176E-2</v>
      </c>
      <c r="AC45" s="29">
        <f t="shared" si="19"/>
        <v>1.9105279838097258E-2</v>
      </c>
      <c r="AD45" s="29">
        <f t="shared" si="19"/>
        <v>5.8375725278274601E-2</v>
      </c>
      <c r="AE45" s="29">
        <f t="shared" si="19"/>
        <v>0.11391613791493983</v>
      </c>
      <c r="AF45" s="29">
        <f t="shared" si="19"/>
        <v>4.6090792117439499E-4</v>
      </c>
      <c r="AG45" s="29">
        <f t="shared" si="19"/>
        <v>4.582481461533729E-5</v>
      </c>
      <c r="AH45" s="29">
        <f t="shared" si="19"/>
        <v>1.0350430296208975E-4</v>
      </c>
      <c r="AI45" s="29">
        <f t="shared" si="19"/>
        <v>2.8036757271650872E-4</v>
      </c>
      <c r="AJ45" s="29">
        <f t="shared" si="20"/>
        <v>1</v>
      </c>
      <c r="AM45" s="23"/>
      <c r="AO45" s="20" t="str">
        <f t="shared" si="39"/>
        <v>JAWA</v>
      </c>
      <c r="AP45" s="20">
        <f t="shared" si="40"/>
        <v>2036</v>
      </c>
      <c r="AQ45" s="25">
        <f t="shared" si="21"/>
        <v>0.27800000025035132</v>
      </c>
      <c r="AR45" s="25">
        <f t="shared" si="22"/>
        <v>0.45599475736694978</v>
      </c>
      <c r="AS45" s="25">
        <f t="shared" si="23"/>
        <v>7.0174672568247358E-4</v>
      </c>
      <c r="AT45" s="37">
        <f t="shared" si="24"/>
        <v>0.26519999135405425</v>
      </c>
      <c r="AU45" s="24">
        <f t="shared" si="32"/>
        <v>0.99989649569703787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7.0174672091341333E-4</v>
      </c>
      <c r="AZ45" s="25">
        <f t="shared" si="47"/>
        <v>0.26519999999999999</v>
      </c>
      <c r="BA45" s="24">
        <f t="shared" si="34"/>
        <v>0.81450174672091336</v>
      </c>
      <c r="BJ45" s="19"/>
      <c r="BK45" s="20" t="str">
        <f t="shared" si="44"/>
        <v>JAWA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123318.11412895856</v>
      </c>
      <c r="BQ45" s="30">
        <f t="shared" si="27"/>
        <v>35294.072204616721</v>
      </c>
      <c r="BR45" s="30">
        <f t="shared" si="36"/>
        <v>105652.20715421814</v>
      </c>
      <c r="BS45" s="30"/>
      <c r="BT45" s="30">
        <f t="shared" si="28"/>
        <v>17647.036102308361</v>
      </c>
      <c r="BU45" s="30">
        <f t="shared" si="37"/>
        <v>17647.037390439775</v>
      </c>
      <c r="BW45" s="30">
        <f t="shared" si="29"/>
        <v>22.853523701654456</v>
      </c>
      <c r="BX45" s="30">
        <f t="shared" si="38"/>
        <v>7.9408759749190105</v>
      </c>
      <c r="BZ45" s="24">
        <f t="shared" si="46"/>
        <v>0.22003375850889928</v>
      </c>
      <c r="CA45" s="24">
        <f t="shared" si="30"/>
        <v>0.22003375844599721</v>
      </c>
      <c r="CF45" s="23"/>
    </row>
    <row r="46" spans="1:84" x14ac:dyDescent="0.25">
      <c r="A46" s="19"/>
      <c r="B46" s="20" t="str">
        <f t="shared" si="50"/>
        <v>JAWA</v>
      </c>
      <c r="C46" s="20">
        <f t="shared" si="50"/>
        <v>2037</v>
      </c>
      <c r="D46" s="30">
        <f>(D22*(VLOOKUP(D$27,tech_data!$B$2:$O$15,6, FALSE)/100)*(1-(VLOOKUP(D$27,tech_data!$B$2:$O$15,7, FALSE)/100))*8760)/1000</f>
        <v>148721.5055804248</v>
      </c>
      <c r="E46" s="30">
        <f>(E22*(VLOOKUP(E$27,tech_data!$B$2:$O$15,6, FALSE)/100)*(1-(VLOOKUP(E$27,tech_data!$B$2:$O$15,7, FALSE)/100))*8760)/1000</f>
        <v>35633.924962967991</v>
      </c>
      <c r="F46" s="30">
        <f>(F22*(VLOOKUP(F$27,tech_data!$B$2:$O$15,6, FALSE)/100)*(1-(VLOOKUP(F$27,tech_data!$B$2:$O$15,7, FALSE)/100))*8760)/1000</f>
        <v>209439.71030438491</v>
      </c>
      <c r="G46" s="30">
        <f>(G22*(VLOOKUP(G$27,tech_data!$B$2:$O$15,6, FALSE)/100)*(1-(VLOOKUP(G$27,tech_data!$B$2:$O$15,7, FALSE)/100))*8760)/1000</f>
        <v>370.57077330352359</v>
      </c>
      <c r="H46" s="30">
        <f>(H22*(VLOOKUP(H$27,tech_data!$B$2:$O$15,6, FALSE)/100)*(1-(VLOOKUP(H$27,tech_data!$B$2:$O$15,7, FALSE)/100))*8760)/1000</f>
        <v>8931.5631270002068</v>
      </c>
      <c r="I46" s="30">
        <f>(I22*(VLOOKUP(I$27,tech_data!$B$2:$O$15,6, FALSE)/100)*(1-(VLOOKUP(I$27,tech_data!$B$2:$O$15,7, FALSE)/100))*8760)/1000</f>
        <v>29343.084789500968</v>
      </c>
      <c r="J46" s="30">
        <f>(J22*(VLOOKUP(J$27,tech_data!$B$2:$O$15,6, FALSE)/100)*(1-(VLOOKUP(J$27,tech_data!$B$2:$O$15,7, FALSE)/100))*8760)/1000</f>
        <v>9976.6249997505784</v>
      </c>
      <c r="K46" s="30">
        <f>(K22*(VLOOKUP(K$27,tech_data!$B$2:$O$15,6, FALSE)/100)*(1-(VLOOKUP(K$27,tech_data!$B$2:$O$15,7, FALSE)/100))*8760)/1000</f>
        <v>33426.28271313123</v>
      </c>
      <c r="L46" s="30">
        <f>(L22*(VLOOKUP(L$27,tech_data!$B$2:$O$15,6, FALSE)/100)*(1-(VLOOKUP(L$27,tech_data!$B$2:$O$15,7, FALSE)/100))*8760)/1000</f>
        <v>62684.105216630109</v>
      </c>
      <c r="M46" s="30">
        <f>(M22*(VLOOKUP(M$27,tech_data!$B$2:$O$15,6, FALSE)/100)*(1-(VLOOKUP(M$27,tech_data!$B$2:$O$15,7, FALSE)/100))*8760)/1000</f>
        <v>240.68244631529535</v>
      </c>
      <c r="N46" s="30">
        <f>(N22*(VLOOKUP(N$27,tech_data!$B$2:$O$15,6, FALSE)/100)*(1-(VLOOKUP(N$27,tech_data!$B$2:$O$15,7, FALSE)/100))*8760)/1000</f>
        <v>23.92935329785994</v>
      </c>
      <c r="O46" s="30">
        <f>(O22*(VLOOKUP(O$27,tech_data!$B$2:$O$15,6, FALSE)/100)*(1-(VLOOKUP(O$27,tech_data!$B$2:$O$15,7, FALSE)/100))*8760)/1000</f>
        <v>54.049122821756264</v>
      </c>
      <c r="P46" s="30">
        <f>(P22*(VLOOKUP(P$27,tech_data!$B$2:$O$15,6, FALSE)/100)*(1-(VLOOKUP(P$27,tech_data!$B$2:$O$15,7, FALSE)/100))*8760)/1000</f>
        <v>151.72627627308907</v>
      </c>
      <c r="Q46" s="34">
        <f t="shared" si="17"/>
        <v>538846.03338952921</v>
      </c>
      <c r="R46" s="34">
        <f>proj_rukn!D60</f>
        <v>538846</v>
      </c>
      <c r="S46" s="35"/>
      <c r="T46" s="19"/>
      <c r="U46" s="20" t="str">
        <f t="shared" si="18"/>
        <v>JAWA</v>
      </c>
      <c r="V46" s="20">
        <f t="shared" si="18"/>
        <v>2037</v>
      </c>
      <c r="W46" s="29">
        <f t="shared" si="19"/>
        <v>0.2760000006772152</v>
      </c>
      <c r="X46" s="29">
        <f t="shared" si="19"/>
        <v>6.6130068247544097E-2</v>
      </c>
      <c r="Y46" s="29">
        <f t="shared" si="19"/>
        <v>0.38868191900186438</v>
      </c>
      <c r="Z46" s="29">
        <f t="shared" si="19"/>
        <v>6.8771179583990692E-4</v>
      </c>
      <c r="AA46" s="29">
        <f t="shared" si="19"/>
        <v>1.6575352834681856E-2</v>
      </c>
      <c r="AB46" s="29">
        <f t="shared" si="19"/>
        <v>5.4455415779759472E-2</v>
      </c>
      <c r="AC46" s="29">
        <f t="shared" si="19"/>
        <v>1.8514797143432852E-2</v>
      </c>
      <c r="AD46" s="29">
        <f t="shared" si="19"/>
        <v>6.2033086711000301E-2</v>
      </c>
      <c r="AE46" s="29">
        <f t="shared" si="19"/>
        <v>0.11633027123225767</v>
      </c>
      <c r="AF46" s="29">
        <f t="shared" si="19"/>
        <v>4.4666274111979435E-4</v>
      </c>
      <c r="AG46" s="29">
        <f t="shared" si="19"/>
        <v>4.4408517118212738E-5</v>
      </c>
      <c r="AH46" s="29">
        <f t="shared" si="19"/>
        <v>1.0030531816624585E-4</v>
      </c>
      <c r="AI46" s="29">
        <f t="shared" si="19"/>
        <v>2.815763072777542E-4</v>
      </c>
      <c r="AJ46" s="29">
        <f t="shared" si="20"/>
        <v>1</v>
      </c>
      <c r="AM46" s="23"/>
      <c r="AO46" s="20" t="str">
        <f t="shared" si="39"/>
        <v>JAWA</v>
      </c>
      <c r="AP46" s="20">
        <f t="shared" si="40"/>
        <v>2037</v>
      </c>
      <c r="AQ46" s="25">
        <f t="shared" si="21"/>
        <v>0.2760000006772152</v>
      </c>
      <c r="AR46" s="25">
        <f t="shared" si="22"/>
        <v>0.45481198724940847</v>
      </c>
      <c r="AS46" s="25">
        <f t="shared" si="23"/>
        <v>6.8771179583990692E-4</v>
      </c>
      <c r="AT46" s="37">
        <f t="shared" si="24"/>
        <v>0.26839999495937023</v>
      </c>
      <c r="AU46" s="24">
        <f t="shared" si="32"/>
        <v>0.99989969468183393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6.8771178649514508E-4</v>
      </c>
      <c r="AZ46" s="25">
        <f t="shared" si="47"/>
        <v>0.26840000000000003</v>
      </c>
      <c r="BA46" s="24">
        <f t="shared" si="34"/>
        <v>0.82028771178649529</v>
      </c>
      <c r="BJ46" s="19"/>
      <c r="BK46" s="20" t="str">
        <f t="shared" si="44"/>
        <v>JAWA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126486.74633908663</v>
      </c>
      <c r="BQ46" s="30">
        <f t="shared" si="27"/>
        <v>37293.63122854798</v>
      </c>
      <c r="BR46" s="30">
        <f t="shared" si="36"/>
        <v>107821.05985097656</v>
      </c>
      <c r="BS46" s="30"/>
      <c r="BT46" s="30">
        <f t="shared" si="28"/>
        <v>18646.81561427399</v>
      </c>
      <c r="BU46" s="30">
        <f t="shared" si="37"/>
        <v>18646.816903809409</v>
      </c>
      <c r="BW46" s="30">
        <f t="shared" si="29"/>
        <v>24.173315270462808</v>
      </c>
      <c r="BX46" s="30">
        <f t="shared" si="38"/>
        <v>7.9408759749190105</v>
      </c>
      <c r="BZ46" s="24">
        <f t="shared" si="46"/>
        <v>0.23103544643434426</v>
      </c>
      <c r="CA46" s="24">
        <f t="shared" si="30"/>
        <v>0.23103544631748846</v>
      </c>
      <c r="CF46" s="23"/>
    </row>
    <row r="47" spans="1:84" x14ac:dyDescent="0.25">
      <c r="A47" s="19"/>
      <c r="B47" s="20" t="str">
        <f t="shared" si="50"/>
        <v>JAWA</v>
      </c>
      <c r="C47" s="20">
        <f t="shared" si="50"/>
        <v>2038</v>
      </c>
      <c r="D47" s="30">
        <f>(D23*(VLOOKUP(D$27,tech_data!$B$2:$O$15,6, FALSE)/100)*(1-(VLOOKUP(D$27,tech_data!$B$2:$O$15,7, FALSE)/100))*8760)/1000</f>
        <v>155971.77458477518</v>
      </c>
      <c r="E47" s="30">
        <f>(E23*(VLOOKUP(E$27,tech_data!$B$2:$O$15,6, FALSE)/100)*(1-(VLOOKUP(E$27,tech_data!$B$2:$O$15,7, FALSE)/100))*8760)/1000</f>
        <v>38776.511012185998</v>
      </c>
      <c r="F47" s="30">
        <f>(F23*(VLOOKUP(F$27,tech_data!$B$2:$O$15,6, FALSE)/100)*(1-(VLOOKUP(F$27,tech_data!$B$2:$O$15,7, FALSE)/100))*8760)/1000</f>
        <v>219448.46524111545</v>
      </c>
      <c r="G47" s="30">
        <f>(G23*(VLOOKUP(G$27,tech_data!$B$2:$O$15,6, FALSE)/100)*(1-(VLOOKUP(G$27,tech_data!$B$2:$O$15,7, FALSE)/100))*8760)/1000</f>
        <v>383.64361170557163</v>
      </c>
      <c r="H47" s="30">
        <f>(H23*(VLOOKUP(H$27,tech_data!$B$2:$O$15,6, FALSE)/100)*(1-(VLOOKUP(H$27,tech_data!$B$2:$O$15,7, FALSE)/100))*8760)/1000</f>
        <v>8931.5631270002068</v>
      </c>
      <c r="I47" s="30">
        <f>(I23*(VLOOKUP(I$27,tech_data!$B$2:$O$15,6, FALSE)/100)*(1-(VLOOKUP(I$27,tech_data!$B$2:$O$15,7, FALSE)/100))*8760)/1000</f>
        <v>29343.084789500968</v>
      </c>
      <c r="J47" s="30">
        <f>(J23*(VLOOKUP(J$27,tech_data!$B$2:$O$15,6, FALSE)/100)*(1-(VLOOKUP(J$27,tech_data!$B$2:$O$15,7, FALSE)/100))*8760)/1000</f>
        <v>11849.101716242336</v>
      </c>
      <c r="K47" s="30">
        <f>(K23*(VLOOKUP(K$27,tech_data!$B$2:$O$15,6, FALSE)/100)*(1-(VLOOKUP(K$27,tech_data!$B$2:$O$15,7, FALSE)/100))*8760)/1000</f>
        <v>37518.455722777551</v>
      </c>
      <c r="L47" s="30">
        <f>(L23*(VLOOKUP(L$27,tech_data!$B$2:$O$15,6, FALSE)/100)*(1-(VLOOKUP(L$27,tech_data!$B$2:$O$15,7, FALSE)/100))*8760)/1000</f>
        <v>66698.78941077659</v>
      </c>
      <c r="M47" s="30">
        <f>(M23*(VLOOKUP(M$27,tech_data!$B$2:$O$15,6, FALSE)/100)*(1-(VLOOKUP(M$27,tech_data!$B$2:$O$15,7, FALSE)/100))*8760)/1000</f>
        <v>240.68244643668532</v>
      </c>
      <c r="N47" s="30">
        <f>(N23*(VLOOKUP(N$27,tech_data!$B$2:$O$15,6, FALSE)/100)*(1-(VLOOKUP(N$27,tech_data!$B$2:$O$15,7, FALSE)/100))*8760)/1000</f>
        <v>23.92935329785994</v>
      </c>
      <c r="O47" s="30">
        <f>(O23*(VLOOKUP(O$27,tech_data!$B$2:$O$15,6, FALSE)/100)*(1-(VLOOKUP(O$27,tech_data!$B$2:$O$15,7, FALSE)/100))*8760)/1000</f>
        <v>54.049122821756264</v>
      </c>
      <c r="P47" s="30">
        <f>(P23*(VLOOKUP(P$27,tech_data!$B$2:$O$15,6, FALSE)/100)*(1-(VLOOKUP(P$27,tech_data!$B$2:$O$15,7, FALSE)/100))*8760)/1000</f>
        <v>160.81904154795478</v>
      </c>
      <c r="Q47" s="34">
        <f t="shared" si="17"/>
        <v>569240.05013863614</v>
      </c>
      <c r="R47" s="34">
        <f>proj_rukn!D61</f>
        <v>569240</v>
      </c>
      <c r="S47" s="35"/>
      <c r="T47" s="19"/>
      <c r="U47" s="20" t="str">
        <f t="shared" si="18"/>
        <v>JAWA</v>
      </c>
      <c r="V47" s="20">
        <f t="shared" si="18"/>
        <v>2038</v>
      </c>
      <c r="W47" s="29">
        <f t="shared" si="19"/>
        <v>0.2740000014875778</v>
      </c>
      <c r="X47" s="29">
        <f t="shared" si="19"/>
        <v>6.8119787078829278E-2</v>
      </c>
      <c r="Y47" s="29">
        <f t="shared" si="19"/>
        <v>0.38551128858145112</v>
      </c>
      <c r="Z47" s="29">
        <f t="shared" si="19"/>
        <v>6.7395751864637204E-4</v>
      </c>
      <c r="AA47" s="29">
        <f t="shared" si="19"/>
        <v>1.5690328051979056E-2</v>
      </c>
      <c r="AB47" s="29">
        <f t="shared" si="19"/>
        <v>5.154782201701124E-2</v>
      </c>
      <c r="AC47" s="29">
        <f t="shared" si="19"/>
        <v>2.0815650116952477E-2</v>
      </c>
      <c r="AD47" s="29">
        <f t="shared" si="19"/>
        <v>6.5909725982281259E-2</v>
      </c>
      <c r="AE47" s="29">
        <f t="shared" ref="AE47:AI47" si="51">L47/$Q47</f>
        <v>0.1171716385636119</v>
      </c>
      <c r="AF47" s="29">
        <f t="shared" si="51"/>
        <v>4.2281362033129622E-4</v>
      </c>
      <c r="AG47" s="29">
        <f t="shared" si="51"/>
        <v>4.2037367701081542E-5</v>
      </c>
      <c r="AH47" s="29">
        <f t="shared" si="51"/>
        <v>9.4949613627138172E-5</v>
      </c>
      <c r="AI47" s="29">
        <f t="shared" si="51"/>
        <v>2.825153316404704E-4</v>
      </c>
      <c r="AJ47" s="29">
        <f t="shared" si="20"/>
        <v>1</v>
      </c>
      <c r="AM47" s="23"/>
      <c r="AO47" s="20" t="str">
        <f t="shared" si="39"/>
        <v>JAWA</v>
      </c>
      <c r="AP47" s="20">
        <f t="shared" si="40"/>
        <v>2038</v>
      </c>
      <c r="AQ47" s="25">
        <f t="shared" si="21"/>
        <v>0.2740000014875778</v>
      </c>
      <c r="AR47" s="25">
        <f t="shared" si="22"/>
        <v>0.45363107566028038</v>
      </c>
      <c r="AS47" s="25">
        <f t="shared" si="23"/>
        <v>6.7395751864637204E-4</v>
      </c>
      <c r="AT47" s="37">
        <f t="shared" si="24"/>
        <v>0.2716000157198683</v>
      </c>
      <c r="AU47" s="24">
        <f t="shared" si="32"/>
        <v>0.9999050503863729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6.7395755076524221E-4</v>
      </c>
      <c r="AZ47" s="25">
        <f t="shared" si="47"/>
        <v>0.27160000000000001</v>
      </c>
      <c r="BA47" s="24">
        <f t="shared" si="34"/>
        <v>0.8260739575507654</v>
      </c>
      <c r="BJ47" s="19"/>
      <c r="BK47" s="20" t="str">
        <f t="shared" si="44"/>
        <v>JAWA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132654.88247054981</v>
      </c>
      <c r="BQ47" s="30">
        <f t="shared" si="27"/>
        <v>39406.473759891058</v>
      </c>
      <c r="BR47" s="30">
        <f t="shared" si="36"/>
        <v>112932.77478649991</v>
      </c>
      <c r="BS47" s="30"/>
      <c r="BT47" s="30">
        <f t="shared" si="28"/>
        <v>19703.236879945529</v>
      </c>
      <c r="BU47" s="30">
        <f t="shared" si="37"/>
        <v>19703.238099749182</v>
      </c>
      <c r="BW47" s="30">
        <f t="shared" si="29"/>
        <v>26.096407449972453</v>
      </c>
      <c r="BX47" s="30">
        <f t="shared" si="38"/>
        <v>7.9408759749190105</v>
      </c>
      <c r="BZ47" s="24">
        <f t="shared" si="46"/>
        <v>0.24258721875606148</v>
      </c>
      <c r="CA47" s="24">
        <f t="shared" si="30"/>
        <v>0.24258721872663166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JAWA</v>
      </c>
      <c r="C52" s="20">
        <f t="shared" si="52"/>
        <v>2019</v>
      </c>
      <c r="D52" s="30">
        <f>(Jawa!D28*3.6/(VLOOKUP(D$51,tech_data!$B$2:$J$15,4,FALSE)/100))/1000</f>
        <v>1040.4178597241378</v>
      </c>
      <c r="E52" s="30">
        <f>(Jawa!E28*3.6/(VLOOKUP(E$51,tech_data!$B$2:$J$15,4,FALSE)/100))/1000</f>
        <v>87.403969179474942</v>
      </c>
      <c r="F52" s="30">
        <f>(Jawa!F28*3.6/(VLOOKUP(F$51,tech_data!$B$2:$J$15,4,FALSE)/100))/1000</f>
        <v>168.41991489528266</v>
      </c>
      <c r="G52" s="30">
        <f>(Jawa!G28*3.6/(VLOOKUP(G$51,tech_data!$B$2:$J$15,4,FALSE)/100))/1000</f>
        <v>1.2956764941270904</v>
      </c>
      <c r="H52" s="30">
        <f>H28*3.6/1000</f>
        <v>28.145210466461535</v>
      </c>
      <c r="I52" s="30">
        <f>(Jawa!I28*3.6/(VLOOKUP(I$51,tech_data!$B$2:$J$15,4,FALSE)/100))/1000</f>
        <v>43.727837517473688</v>
      </c>
      <c r="J52" s="30">
        <f>(Jawa!J28*3.6/(VLOOKUP(J$51,tech_data!$B$2:$J$15,4,FALSE)/100))/1000</f>
        <v>0.46213096984615398</v>
      </c>
      <c r="K52" s="30">
        <f>K28*3.6/1000</f>
        <v>6.6225600000000004E-3</v>
      </c>
      <c r="L52" s="30">
        <f>L28*3.6/1000</f>
        <v>0</v>
      </c>
      <c r="M52" s="30">
        <f>(Jawa!M28*3.6/(VLOOKUP(M$51,tech_data!$B$2:$J$15,4,FALSE)/100))/1000</f>
        <v>0.23203609727047148</v>
      </c>
      <c r="N52" s="30">
        <f>N28*3.6/1000</f>
        <v>0</v>
      </c>
      <c r="O52" s="30">
        <f>(Jawa!O28*3.6/(VLOOKUP(O$51,tech_data!$B$2:$J$15,4,FALSE)/100))/1000</f>
        <v>0</v>
      </c>
      <c r="P52" s="30">
        <v>0</v>
      </c>
      <c r="Q52" s="30">
        <f t="shared" ref="Q52:Q71" si="53">SUM(D52:O52)</f>
        <v>1370.1112579040744</v>
      </c>
      <c r="R52" s="30"/>
      <c r="T52" s="19"/>
      <c r="U52" s="20" t="str">
        <f t="shared" ref="U52:V71" si="54">B52</f>
        <v>JAWA</v>
      </c>
      <c r="V52" s="20">
        <f t="shared" si="54"/>
        <v>2019</v>
      </c>
      <c r="W52" s="30">
        <f>D52*VLOOKUP(W$51,tech_data!$B$2:$K$15,10,FALSE)*1000</f>
        <v>103750468.97169103</v>
      </c>
      <c r="X52" s="30">
        <f>E52*VLOOKUP(X$51,tech_data!$B$2:$K$15,10,FALSE)*1000</f>
        <v>5427786.4860453941</v>
      </c>
      <c r="Y52" s="30">
        <f>F52*VLOOKUP(Y$51,tech_data!$B$2:$K$15,10,FALSE)*1000</f>
        <v>10458876.714997053</v>
      </c>
      <c r="Z52" s="30">
        <f>G52*VLOOKUP(Z$51,tech_data!$B$2:$K$15,10,FALSE)*1000</f>
        <v>97396.002063533393</v>
      </c>
      <c r="AA52" s="30">
        <f>H28*VLOOKUP(AA$51,tech_data!$B$2:$K$15,10,FALSE)/1000</f>
        <v>491.75937176123068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26071.575889310174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119761091.51005806</v>
      </c>
      <c r="AK52" s="25"/>
      <c r="AM52" s="23"/>
      <c r="AO52" s="20" t="str">
        <f t="shared" ref="AO52:AP71" si="56">U52</f>
        <v>JAWA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1066.2289493217263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65.179729584915194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224.83525821330088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0.26257266057359091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59.356487505389453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98.298776404551162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0.87386188694909572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1.0800000000000001E-2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0.34533779840644813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1515.3917733758119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JAWA</v>
      </c>
      <c r="C53" s="20">
        <f t="shared" si="52"/>
        <v>2020</v>
      </c>
      <c r="D53" s="30">
        <f>(Jawa!D29*3.6/(VLOOKUP(D$51,tech_data!$B$2:$J$15,4,FALSE)/100))/1000</f>
        <v>1110.1857738222716</v>
      </c>
      <c r="E53" s="30">
        <f>(Jawa!E29*3.6/(VLOOKUP(E$51,tech_data!$B$2:$J$15,4,FALSE)/100))/1000</f>
        <v>87.403969179474942</v>
      </c>
      <c r="F53" s="30">
        <f>(Jawa!F29*3.6/(VLOOKUP(F$51,tech_data!$B$2:$J$15,4,FALSE)/100))/1000</f>
        <v>185.59764013479793</v>
      </c>
      <c r="G53" s="30">
        <f>(Jawa!G29*3.6/(VLOOKUP(G$51,tech_data!$B$2:$J$15,4,FALSE)/100))/1000</f>
        <v>1.2956764941270904</v>
      </c>
      <c r="H53" s="30">
        <f t="shared" ref="H53:H71" si="57">H29*3.6/1000</f>
        <v>28.145210466461535</v>
      </c>
      <c r="I53" s="30">
        <f>(Jawa!I29*3.6/(VLOOKUP(I$51,tech_data!$B$2:$J$15,4,FALSE)/100))/1000</f>
        <v>79.046895161090248</v>
      </c>
      <c r="J53" s="30">
        <f>(Jawa!J29*3.6/(VLOOKUP(J$51,tech_data!$B$2:$J$15,4,FALSE)/100))/1000</f>
        <v>1.2229303723965206</v>
      </c>
      <c r="K53" s="30">
        <f t="shared" ref="K53:L53" si="58">K29*3.6/1000</f>
        <v>33.989697169355999</v>
      </c>
      <c r="L53" s="30">
        <f t="shared" si="58"/>
        <v>0.16685800044540094</v>
      </c>
      <c r="M53" s="30">
        <f>(Jawa!M29*3.6/(VLOOKUP(M$51,tech_data!$B$2:$J$15,4,FALSE)/100))/1000</f>
        <v>0.23203609727047148</v>
      </c>
      <c r="N53" s="30">
        <f t="shared" ref="N53:N71" si="59">N29*3.6/1000</f>
        <v>6.0265584516019155E-2</v>
      </c>
      <c r="O53" s="30">
        <f>(Jawa!O29*3.6/(VLOOKUP(O$51,tech_data!$B$2:$J$15,4,FALSE)/100))/1000</f>
        <v>0</v>
      </c>
      <c r="P53" s="30">
        <v>0</v>
      </c>
      <c r="Q53" s="30">
        <f t="shared" si="53"/>
        <v>1527.3469524822081</v>
      </c>
      <c r="R53" s="30"/>
      <c r="T53" s="19"/>
      <c r="U53" s="20" t="str">
        <f t="shared" si="54"/>
        <v>JAWA</v>
      </c>
      <c r="V53" s="20">
        <f t="shared" si="54"/>
        <v>2020</v>
      </c>
      <c r="W53" s="30">
        <f>D53*VLOOKUP(W$51,tech_data!$B$2:$K$15,10,FALSE)*1000</f>
        <v>110707725.36555693</v>
      </c>
      <c r="X53" s="30">
        <f>E53*VLOOKUP(X$51,tech_data!$B$2:$K$15,10,FALSE)*1000</f>
        <v>5427786.4860453941</v>
      </c>
      <c r="Y53" s="30">
        <f>F53*VLOOKUP(Y$51,tech_data!$B$2:$K$15,10,FALSE)*1000</f>
        <v>11525613.452370951</v>
      </c>
      <c r="Z53" s="30">
        <f>G53*VLOOKUP(Z$51,tech_data!$B$2:$K$15,10,FALSE)*1000</f>
        <v>97396.002063533393</v>
      </c>
      <c r="AA53" s="30">
        <f>H29*VLOOKUP(AA$51,tech_data!$B$2:$K$15,10,FALSE)/1000</f>
        <v>491.75937176123068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26071.575889310174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127785084.64129786</v>
      </c>
      <c r="AK53" s="25">
        <f>(AJ53-AJ52)/AJ52</f>
        <v>6.7000000000550355E-2</v>
      </c>
      <c r="AL53" s="24">
        <v>6.7000000000000004E-2</v>
      </c>
      <c r="AM53" s="26"/>
      <c r="AN53" s="24"/>
      <c r="AO53" s="20" t="str">
        <f t="shared" si="56"/>
        <v>JAWA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3423.1170396264861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65.179729584915194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904.86370647876288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0.26257266057359091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59.356487505389453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4537.6564388626693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75.529103975814934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5797.4785003530969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20.16493681361839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0.34533779840644813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27.592046619844403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12.267483410697702</v>
      </c>
      <c r="BD53" s="30">
        <f>SUM(AQ53:BC53)</f>
        <v>14923.813383690278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JAWA</v>
      </c>
      <c r="C54" s="20">
        <f t="shared" si="52"/>
        <v>2021</v>
      </c>
      <c r="D54" s="30">
        <f>(Jawa!D30*3.6/(VLOOKUP(D$51,tech_data!$B$2:$J$15,4,FALSE)/100))/1000</f>
        <v>1166.7975599855411</v>
      </c>
      <c r="E54" s="30">
        <f>(Jawa!E30*3.6/(VLOOKUP(E$51,tech_data!$B$2:$J$15,4,FALSE)/100))/1000</f>
        <v>87.403969179474942</v>
      </c>
      <c r="F54" s="30">
        <f>(Jawa!F30*3.6/(VLOOKUP(F$51,tech_data!$B$2:$J$15,4,FALSE)/100))/1000</f>
        <v>232.55856372200699</v>
      </c>
      <c r="G54" s="30">
        <f>(Jawa!G30*3.6/(VLOOKUP(G$51,tech_data!$B$2:$J$15,4,FALSE)/100))/1000</f>
        <v>1.2956764941270904</v>
      </c>
      <c r="H54" s="30">
        <f t="shared" si="57"/>
        <v>28.145210466461535</v>
      </c>
      <c r="I54" s="30">
        <f>(Jawa!I30*3.6/(VLOOKUP(I$51,tech_data!$B$2:$J$15,4,FALSE)/100))/1000</f>
        <v>96.706424899281942</v>
      </c>
      <c r="J54" s="30">
        <f>(Jawa!J30*3.6/(VLOOKUP(J$51,tech_data!$B$2:$J$15,4,FALSE)/100))/1000</f>
        <v>39.597606240352114</v>
      </c>
      <c r="K54" s="30">
        <f t="shared" ref="K54:L54" si="60">K30*3.6/1000</f>
        <v>37.382603163763818</v>
      </c>
      <c r="L54" s="30">
        <f t="shared" si="60"/>
        <v>19.719797681137553</v>
      </c>
      <c r="M54" s="30">
        <f>(Jawa!M30*3.6/(VLOOKUP(M$51,tech_data!$B$2:$J$15,4,FALSE)/100))/1000</f>
        <v>0.23203609727047148</v>
      </c>
      <c r="N54" s="30">
        <f t="shared" si="59"/>
        <v>8.6145671872338639E-2</v>
      </c>
      <c r="O54" s="30">
        <f>(Jawa!O30*3.6/(VLOOKUP(O$51,tech_data!$B$2:$J$15,4,FALSE)/100))/1000</f>
        <v>0</v>
      </c>
      <c r="P54" s="30">
        <v>0</v>
      </c>
      <c r="Q54" s="30">
        <f t="shared" si="53"/>
        <v>1709.9255936012901</v>
      </c>
      <c r="R54" s="30"/>
      <c r="T54" s="19"/>
      <c r="U54" s="20" t="str">
        <f t="shared" si="54"/>
        <v>JAWA</v>
      </c>
      <c r="V54" s="20">
        <f t="shared" si="54"/>
        <v>2021</v>
      </c>
      <c r="W54" s="30">
        <f>D54*VLOOKUP(W$51,tech_data!$B$2:$K$15,10,FALSE)*1000</f>
        <v>116353052.68175815</v>
      </c>
      <c r="X54" s="30">
        <f>E54*VLOOKUP(X$51,tech_data!$B$2:$K$15,10,FALSE)*1000</f>
        <v>5427786.4860453941</v>
      </c>
      <c r="Y54" s="30">
        <f>F54*VLOOKUP(Y$51,tech_data!$B$2:$K$15,10,FALSE)*1000</f>
        <v>14441886.807136634</v>
      </c>
      <c r="Z54" s="30">
        <f>G54*VLOOKUP(Z$51,tech_data!$B$2:$K$15,10,FALSE)*1000</f>
        <v>97396.002063533393</v>
      </c>
      <c r="AA54" s="30">
        <f>H30*VLOOKUP(AA$51,tech_data!$B$2:$K$15,10,FALSE)/1000</f>
        <v>491.75937176123068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26071.575889310174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136346685.3122648</v>
      </c>
      <c r="AK54" s="25">
        <f t="shared" ref="AK54:AK71" si="61">(AJ54-AJ53)/AJ53</f>
        <v>6.6999999999999851E-2</v>
      </c>
      <c r="AL54" s="24">
        <f>AL53</f>
        <v>6.7000000000000004E-2</v>
      </c>
      <c r="AM54" s="26"/>
      <c r="AN54" s="24"/>
      <c r="AO54" s="20" t="str">
        <f t="shared" si="56"/>
        <v>JAWA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3050.1776536366219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65.179729584915194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2106.8468940145444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0.26257266057359091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59.356487505389453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2397.3738317309949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3767.9183852570759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634.25532149365165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2363.7646486630192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0.34533779840644813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12.590588648505403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2.4201491012050718</v>
      </c>
      <c r="BD54" s="30">
        <f t="shared" ref="BD54:BD71" si="62">SUM(AQ54:BC54)</f>
        <v>14460.491600094902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JAWA</v>
      </c>
      <c r="C55" s="20">
        <f t="shared" si="52"/>
        <v>2022</v>
      </c>
      <c r="D55" s="30">
        <f>(Jawa!D31*3.6/(VLOOKUP(D$51,tech_data!$B$2:$J$15,4,FALSE)/100))/1000</f>
        <v>1166.7975599855411</v>
      </c>
      <c r="E55" s="30">
        <f>(Jawa!E31*3.6/(VLOOKUP(E$51,tech_data!$B$2:$J$15,4,FALSE)/100))/1000</f>
        <v>87.403969179474942</v>
      </c>
      <c r="F55" s="30">
        <f>(Jawa!F31*3.6/(VLOOKUP(F$51,tech_data!$B$2:$J$15,4,FALSE)/100))/1000</f>
        <v>333.8213816694111</v>
      </c>
      <c r="G55" s="30">
        <f>(Jawa!G31*3.6/(VLOOKUP(G$51,tech_data!$B$2:$J$15,4,FALSE)/100))/1000</f>
        <v>1.7951697284715222</v>
      </c>
      <c r="H55" s="30">
        <f t="shared" si="57"/>
        <v>28.145210710365618</v>
      </c>
      <c r="I55" s="30">
        <f>(Jawa!I31*3.6/(VLOOKUP(I$51,tech_data!$B$2:$J$15,4,FALSE)/100))/1000</f>
        <v>96.706424899281942</v>
      </c>
      <c r="J55" s="30">
        <f>(Jawa!J31*3.6/(VLOOKUP(J$51,tech_data!$B$2:$J$15,4,FALSE)/100))/1000</f>
        <v>39.597606240352114</v>
      </c>
      <c r="K55" s="30">
        <f t="shared" ref="K55:L55" si="63">K31*3.6/1000</f>
        <v>37.382603163763818</v>
      </c>
      <c r="L55" s="30">
        <f t="shared" si="63"/>
        <v>19.719797681137553</v>
      </c>
      <c r="M55" s="30">
        <f>(Jawa!M31*3.6/(VLOOKUP(M$51,tech_data!$B$2:$J$15,4,FALSE)/100))/1000</f>
        <v>0.23203609727047148</v>
      </c>
      <c r="N55" s="30">
        <f t="shared" si="59"/>
        <v>8.6145671872295798E-2</v>
      </c>
      <c r="O55" s="30">
        <f>(Jawa!O31*3.6/(VLOOKUP(O$51,tech_data!$B$2:$J$15,4,FALSE)/100))/1000</f>
        <v>0</v>
      </c>
      <c r="P55" s="30">
        <v>0</v>
      </c>
      <c r="Q55" s="30">
        <f t="shared" si="53"/>
        <v>1811.6879050269426</v>
      </c>
      <c r="R55" s="30"/>
      <c r="T55" s="19"/>
      <c r="U55" s="20" t="str">
        <f t="shared" si="54"/>
        <v>JAWA</v>
      </c>
      <c r="V55" s="20">
        <f t="shared" si="54"/>
        <v>2022</v>
      </c>
      <c r="W55" s="30">
        <f>D55*VLOOKUP(W$51,tech_data!$B$2:$K$15,10,FALSE)*1000</f>
        <v>116353052.68175815</v>
      </c>
      <c r="X55" s="30">
        <f>E55*VLOOKUP(X$51,tech_data!$B$2:$K$15,10,FALSE)*1000</f>
        <v>5427786.4860453941</v>
      </c>
      <c r="Y55" s="30">
        <f>F55*VLOOKUP(Y$51,tech_data!$B$2:$K$15,10,FALSE)*1000</f>
        <v>20730307.801670432</v>
      </c>
      <c r="Z55" s="30">
        <f>G55*VLOOKUP(Z$51,tech_data!$B$2:$K$15,10,FALSE)*1000</f>
        <v>134942.90848920433</v>
      </c>
      <c r="AA55" s="30">
        <f>H31*VLOOKUP(AA$51,tech_data!$B$2:$K$15,10,FALSE)/1000</f>
        <v>491.75937602277702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26071.575889310174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142672653.21322849</v>
      </c>
      <c r="AK55" s="25">
        <f t="shared" si="61"/>
        <v>4.639619867894694E-2</v>
      </c>
      <c r="AL55" s="24">
        <f>AL54</f>
        <v>6.7000000000000004E-2</v>
      </c>
      <c r="AM55" s="26"/>
      <c r="AN55" s="24"/>
      <c r="AO55" s="20" t="str">
        <f t="shared" si="56"/>
        <v>JAWA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1195.7439261801962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65.179729584915194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4319.2310816140935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10.496146091097176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59.356528268657314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217.39294183617886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74.876693330855687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60.963149321206487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91.545637351618524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0.34533779840644813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1.0601073446457225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1.1233865630524484</v>
      </c>
      <c r="BD55" s="30">
        <f t="shared" si="62"/>
        <v>6097.3146652849227</v>
      </c>
      <c r="BE55" s="20">
        <v>2022</v>
      </c>
      <c r="BF55" s="23"/>
      <c r="BG55" s="19"/>
      <c r="BH55" s="30"/>
      <c r="BI55" s="30">
        <f>MIN($BD$53)</f>
        <v>14923.813383690278</v>
      </c>
      <c r="BJ55" s="30">
        <f>MIN($BD$54)</f>
        <v>14460.491600094902</v>
      </c>
      <c r="BK55" s="30">
        <f t="shared" ref="BK55" si="64">MIN($BD$55)</f>
        <v>6097.3146652849227</v>
      </c>
      <c r="BL55" s="30">
        <f>MIN($BD$56)</f>
        <v>5038.2891838298183</v>
      </c>
      <c r="BM55" s="30">
        <f>MIN($BD$57)</f>
        <v>5491.264018470396</v>
      </c>
      <c r="BN55" s="30">
        <f>MIN($BD$58)</f>
        <v>6870.0265421330359</v>
      </c>
      <c r="BO55" s="30">
        <f>MIN($BD$59)</f>
        <v>4859.2753914329578</v>
      </c>
      <c r="BP55" s="30">
        <f>MIN($BD$60)</f>
        <v>8756.6173643144011</v>
      </c>
      <c r="BQ55" s="30">
        <f>MIN($BD$61)</f>
        <v>7802.5261684284633</v>
      </c>
      <c r="BR55" s="30">
        <f>MIN($BD$62)</f>
        <v>8046.5985930638599</v>
      </c>
      <c r="BS55" s="30">
        <f>MIN($BD$63)</f>
        <v>9110.3443021837902</v>
      </c>
      <c r="BT55" s="30">
        <f>MIN($BD$64)</f>
        <v>11244.365369673393</v>
      </c>
      <c r="BU55" s="30">
        <f>MIN($BD$65)</f>
        <v>12335.697832266895</v>
      </c>
      <c r="BV55" s="30">
        <f>MIN($BD$66)</f>
        <v>12241.198724233558</v>
      </c>
      <c r="BW55" s="30">
        <f>MIN($BD$67)</f>
        <v>13948.832316629796</v>
      </c>
      <c r="BX55" s="30">
        <f>MIN($BD$68)</f>
        <v>14585.817076384043</v>
      </c>
      <c r="BY55" s="30">
        <f>MIN($BD$69)</f>
        <v>12889.183011318584</v>
      </c>
      <c r="BZ55" s="30">
        <f>MIN($BD$70)</f>
        <v>10946.056057482783</v>
      </c>
      <c r="CA55" s="30">
        <f>MIN($BD$71)</f>
        <v>15673.750226601671</v>
      </c>
      <c r="CD55" s="23"/>
    </row>
    <row r="56" spans="1:82" x14ac:dyDescent="0.25">
      <c r="A56" s="19"/>
      <c r="B56" s="20" t="str">
        <f t="shared" si="52"/>
        <v>JAWA</v>
      </c>
      <c r="C56" s="20">
        <f t="shared" si="52"/>
        <v>2023</v>
      </c>
      <c r="D56" s="30">
        <f>(Jawa!D32*3.6/(VLOOKUP(D$51,tech_data!$B$2:$J$15,4,FALSE)/100))/1000</f>
        <v>1166.7975599855411</v>
      </c>
      <c r="E56" s="30">
        <f>(Jawa!E32*3.6/(VLOOKUP(E$51,tech_data!$B$2:$J$15,4,FALSE)/100))/1000</f>
        <v>87.403969179474942</v>
      </c>
      <c r="F56" s="30">
        <f>(Jawa!F32*3.6/(VLOOKUP(F$51,tech_data!$B$2:$J$15,4,FALSE)/100))/1000</f>
        <v>405.15713678902455</v>
      </c>
      <c r="G56" s="30">
        <f>(Jawa!G32*3.6/(VLOOKUP(G$51,tech_data!$B$2:$J$15,4,FALSE)/100))/1000</f>
        <v>1.8418571418168124</v>
      </c>
      <c r="H56" s="30">
        <f t="shared" si="57"/>
        <v>28.145210710365618</v>
      </c>
      <c r="I56" s="30">
        <f>(Jawa!I32*3.6/(VLOOKUP(I$51,tech_data!$B$2:$J$15,4,FALSE)/100))/1000</f>
        <v>96.706424899281942</v>
      </c>
      <c r="J56" s="30">
        <f>(Jawa!J32*3.6/(VLOOKUP(J$51,tech_data!$B$2:$J$15,4,FALSE)/100))/1000</f>
        <v>39.597606240352114</v>
      </c>
      <c r="K56" s="30">
        <f t="shared" ref="K56:L56" si="65">K32*3.6/1000</f>
        <v>37.382603163763818</v>
      </c>
      <c r="L56" s="30">
        <f t="shared" si="65"/>
        <v>19.719797681137553</v>
      </c>
      <c r="M56" s="30">
        <f>(Jawa!M32*3.6/(VLOOKUP(M$51,tech_data!$B$2:$J$15,4,FALSE)/100))/1000</f>
        <v>0.23203609727047148</v>
      </c>
      <c r="N56" s="30">
        <f t="shared" si="59"/>
        <v>8.6145671872295798E-2</v>
      </c>
      <c r="O56" s="30">
        <f>(Jawa!O32*3.6/(VLOOKUP(O$51,tech_data!$B$2:$J$15,4,FALSE)/100))/1000</f>
        <v>0</v>
      </c>
      <c r="P56" s="30">
        <v>0</v>
      </c>
      <c r="Q56" s="30">
        <f t="shared" si="53"/>
        <v>1883.0703475599014</v>
      </c>
      <c r="R56" s="30"/>
      <c r="T56" s="19"/>
      <c r="U56" s="20" t="str">
        <f t="shared" si="54"/>
        <v>JAWA</v>
      </c>
      <c r="V56" s="20">
        <f t="shared" si="54"/>
        <v>2023</v>
      </c>
      <c r="W56" s="30">
        <f>D56*VLOOKUP(W$51,tech_data!$B$2:$K$15,10,FALSE)*1000</f>
        <v>116353052.68175815</v>
      </c>
      <c r="X56" s="30">
        <f>E56*VLOOKUP(X$51,tech_data!$B$2:$K$15,10,FALSE)*1000</f>
        <v>5427786.4860453941</v>
      </c>
      <c r="Y56" s="30">
        <f>F56*VLOOKUP(Y$51,tech_data!$B$2:$K$15,10,FALSE)*1000</f>
        <v>25160258.194598425</v>
      </c>
      <c r="Z56" s="30">
        <f>G56*VLOOKUP(Z$51,tech_data!$B$2:$K$15,10,FALSE)*1000</f>
        <v>138452.40135036979</v>
      </c>
      <c r="AA56" s="30">
        <f>H32*VLOOKUP(AA$51,tech_data!$B$2:$K$15,10,FALSE)/1000</f>
        <v>491.75937602277702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26071.575889310174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147106113.09901768</v>
      </c>
      <c r="AK56" s="25">
        <f t="shared" si="61"/>
        <v>3.1074349470204699E-2</v>
      </c>
      <c r="AL56" s="24">
        <f t="shared" ref="AL56:AL70" si="66">AL55</f>
        <v>6.7000000000000004E-2</v>
      </c>
      <c r="AM56" s="26"/>
      <c r="AN56" s="24"/>
      <c r="AO56" s="20" t="str">
        <f t="shared" si="56"/>
        <v>JAWA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1195.7439261801962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65.179729584915194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3269.6669931422634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1.3203240529716802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59.356488019767895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217.39294183617886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74.876693330855687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60.963149321206487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91.545637351618524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0.34533779840644813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1.0601073446648233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0.83785586677368074</v>
      </c>
      <c r="BD56" s="30">
        <f t="shared" si="62"/>
        <v>5038.2891838298183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JAWA</v>
      </c>
      <c r="C57" s="20">
        <f t="shared" si="52"/>
        <v>2024</v>
      </c>
      <c r="D57" s="30">
        <f>(Jawa!D33*3.6/(VLOOKUP(D$51,tech_data!$B$2:$J$15,4,FALSE)/100))/1000</f>
        <v>1166.7975599855411</v>
      </c>
      <c r="E57" s="30">
        <f>(Jawa!E33*3.6/(VLOOKUP(E$51,tech_data!$B$2:$J$15,4,FALSE)/100))/1000</f>
        <v>100.7939807204327</v>
      </c>
      <c r="F57" s="30">
        <f>(Jawa!F33*3.6/(VLOOKUP(F$51,tech_data!$B$2:$J$15,4,FALSE)/100))/1000</f>
        <v>477.1251786307966</v>
      </c>
      <c r="G57" s="30">
        <f>(Jawa!G33*3.6/(VLOOKUP(G$51,tech_data!$B$2:$J$15,4,FALSE)/100))/1000</f>
        <v>1.8959672161179393</v>
      </c>
      <c r="H57" s="30">
        <f t="shared" si="57"/>
        <v>28.145210710365618</v>
      </c>
      <c r="I57" s="30">
        <f>(Jawa!I33*3.6/(VLOOKUP(I$51,tech_data!$B$2:$J$15,4,FALSE)/100))/1000</f>
        <v>96.706424899281942</v>
      </c>
      <c r="J57" s="30">
        <f>(Jawa!J33*3.6/(VLOOKUP(J$51,tech_data!$B$2:$J$15,4,FALSE)/100))/1000</f>
        <v>39.597606240352114</v>
      </c>
      <c r="K57" s="30">
        <f t="shared" ref="K57:L57" si="67">K33*3.6/1000</f>
        <v>37.382603163763818</v>
      </c>
      <c r="L57" s="30">
        <f t="shared" si="67"/>
        <v>19.719797681137553</v>
      </c>
      <c r="M57" s="30">
        <f>(Jawa!M33*3.6/(VLOOKUP(M$51,tech_data!$B$2:$J$15,4,FALSE)/100))/1000</f>
        <v>0.23203609727047148</v>
      </c>
      <c r="N57" s="30">
        <f t="shared" si="59"/>
        <v>8.6145671872295798E-2</v>
      </c>
      <c r="O57" s="30">
        <f>(Jawa!O33*3.6/(VLOOKUP(O$51,tech_data!$B$2:$J$15,4,FALSE)/100))/1000</f>
        <v>0</v>
      </c>
      <c r="P57" s="30">
        <v>0</v>
      </c>
      <c r="Q57" s="30">
        <f t="shared" si="53"/>
        <v>1968.4825110169324</v>
      </c>
      <c r="R57" s="30"/>
      <c r="T57" s="19"/>
      <c r="U57" s="20" t="str">
        <f t="shared" si="54"/>
        <v>JAWA</v>
      </c>
      <c r="V57" s="20">
        <f t="shared" si="54"/>
        <v>2024</v>
      </c>
      <c r="W57" s="30">
        <f>D57*VLOOKUP(W$51,tech_data!$B$2:$K$15,10,FALSE)*1000</f>
        <v>116353052.68175815</v>
      </c>
      <c r="X57" s="30">
        <f>E57*VLOOKUP(X$51,tech_data!$B$2:$K$15,10,FALSE)*1000</f>
        <v>6259306.2027388709</v>
      </c>
      <c r="Y57" s="30">
        <f>F57*VLOOKUP(Y$51,tech_data!$B$2:$K$15,10,FALSE)*1000</f>
        <v>29629473.592972469</v>
      </c>
      <c r="Z57" s="30">
        <f>G57*VLOOKUP(Z$51,tech_data!$B$2:$K$15,10,FALSE)*1000</f>
        <v>142519.8556355855</v>
      </c>
      <c r="AA57" s="30">
        <f>H33*VLOOKUP(AA$51,tech_data!$B$2:$K$15,10,FALSE)/1000</f>
        <v>491.75937602277702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26071.575889310174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152410915.6683704</v>
      </c>
      <c r="AK57" s="25">
        <f t="shared" si="61"/>
        <v>3.6061061349517365E-2</v>
      </c>
      <c r="AL57" s="24">
        <f t="shared" si="66"/>
        <v>6.7000000000000004E-2</v>
      </c>
      <c r="AM57" s="26"/>
      <c r="AN57" s="24"/>
      <c r="AO57" s="20" t="str">
        <f t="shared" si="56"/>
        <v>JAWA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1195.7439261801965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397.63894412030635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3389.9288133032264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1.4818602193775328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59.356488019767895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217.39294183617886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74.876693330855687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60.963149321206487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91.545637351618524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0.34533779840644813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1.0601073446648233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0.93011964459055219</v>
      </c>
      <c r="BD57" s="30">
        <f t="shared" si="62"/>
        <v>5491.264018470396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JAWA</v>
      </c>
      <c r="C58" s="20">
        <f t="shared" si="52"/>
        <v>2025</v>
      </c>
      <c r="D58" s="30">
        <f>(Jawa!D34*3.6/(VLOOKUP(D$51,tech_data!$B$2:$J$15,4,FALSE)/100))/1000</f>
        <v>1166.7975599855411</v>
      </c>
      <c r="E58" s="30">
        <f>(Jawa!E34*3.6/(VLOOKUP(E$51,tech_data!$B$2:$J$15,4,FALSE)/100))/1000</f>
        <v>113.52318578686527</v>
      </c>
      <c r="F58" s="30">
        <f>(Jawa!F34*3.6/(VLOOKUP(F$51,tech_data!$B$2:$J$15,4,FALSE)/100))/1000</f>
        <v>501.63127419760087</v>
      </c>
      <c r="G58" s="30">
        <f>(Jawa!G34*3.6/(VLOOKUP(G$51,tech_data!$B$2:$J$15,4,FALSE)/100))/1000</f>
        <v>1.9426974428120658</v>
      </c>
      <c r="H58" s="30">
        <f t="shared" si="57"/>
        <v>28.145210710365618</v>
      </c>
      <c r="I58" s="30">
        <f>(Jawa!I34*3.6/(VLOOKUP(I$51,tech_data!$B$2:$J$15,4,FALSE)/100))/1000</f>
        <v>103.80279780896768</v>
      </c>
      <c r="J58" s="30">
        <f>(Jawa!J34*3.6/(VLOOKUP(J$51,tech_data!$B$2:$J$15,4,FALSE)/100))/1000</f>
        <v>39.597606240352114</v>
      </c>
      <c r="K58" s="30">
        <f t="shared" ref="K58:L58" si="68">K34*3.6/1000</f>
        <v>37.382603163763818</v>
      </c>
      <c r="L58" s="30">
        <f t="shared" si="68"/>
        <v>38.552736509148787</v>
      </c>
      <c r="M58" s="30">
        <f>(Jawa!M34*3.6/(VLOOKUP(M$51,tech_data!$B$2:$J$15,4,FALSE)/100))/1000</f>
        <v>0.23203609727047148</v>
      </c>
      <c r="N58" s="30">
        <f t="shared" si="59"/>
        <v>8.6145671872295798E-2</v>
      </c>
      <c r="O58" s="30">
        <f>(Jawa!O34*3.6/(VLOOKUP(O$51,tech_data!$B$2:$J$15,4,FALSE)/100))/1000</f>
        <v>0</v>
      </c>
      <c r="P58" s="30">
        <v>0</v>
      </c>
      <c r="Q58" s="30">
        <f t="shared" si="53"/>
        <v>2031.6938536145603</v>
      </c>
      <c r="R58" s="30"/>
      <c r="T58" s="19"/>
      <c r="U58" s="20" t="str">
        <f t="shared" si="54"/>
        <v>JAWA</v>
      </c>
      <c r="V58" s="20">
        <f t="shared" si="54"/>
        <v>2025</v>
      </c>
      <c r="W58" s="30">
        <f>D58*VLOOKUP(W$51,tech_data!$B$2:$K$15,10,FALSE)*1000</f>
        <v>116353052.68175815</v>
      </c>
      <c r="X58" s="30">
        <f>E58*VLOOKUP(X$51,tech_data!$B$2:$K$15,10,FALSE)*1000</f>
        <v>7049789.8373643337</v>
      </c>
      <c r="Y58" s="30">
        <f>F58*VLOOKUP(Y$51,tech_data!$B$2:$K$15,10,FALSE)*1000</f>
        <v>31151302.127671015</v>
      </c>
      <c r="Z58" s="30">
        <f>G58*VLOOKUP(Z$51,tech_data!$B$2:$K$15,10,FALSE)*1000</f>
        <v>146032.566776183</v>
      </c>
      <c r="AA58" s="30">
        <f>H34*VLOOKUP(AA$51,tech_data!$B$2:$K$15,10,FALSE)/1000</f>
        <v>491.75937602277702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26071.575889310174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154726740.54883501</v>
      </c>
      <c r="AK58" s="25">
        <f t="shared" si="61"/>
        <v>1.5194612999396952E-2</v>
      </c>
      <c r="AL58" s="24">
        <f t="shared" si="66"/>
        <v>6.7000000000000004E-2</v>
      </c>
      <c r="AM58" s="26"/>
      <c r="AN58" s="24"/>
      <c r="AO58" s="20" t="str">
        <f t="shared" si="56"/>
        <v>JAWA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1195.7439261801962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391.21717671805612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1607.0895675306331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1.341628117069777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59.356488019767895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1109.3572113859143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74.876693330855687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60.963149321206487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2367.5229382174107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0.34533779840644813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1.0601073446648233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1.1523181688540598</v>
      </c>
      <c r="BD58" s="30">
        <f t="shared" si="62"/>
        <v>6870.0265421330359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JAWA</v>
      </c>
      <c r="C59" s="20">
        <f t="shared" si="52"/>
        <v>2026</v>
      </c>
      <c r="D59" s="30">
        <f>(Jawa!D35*3.6/(VLOOKUP(D$51,tech_data!$B$2:$J$15,4,FALSE)/100))/1000</f>
        <v>1168.2159682337967</v>
      </c>
      <c r="E59" s="30">
        <f>(Jawa!E35*3.6/(VLOOKUP(E$51,tech_data!$B$2:$J$15,4,FALSE)/100))/1000</f>
        <v>114.12859325249161</v>
      </c>
      <c r="F59" s="30">
        <f>(Jawa!F35*3.6/(VLOOKUP(F$51,tech_data!$B$2:$J$15,4,FALSE)/100))/1000</f>
        <v>501.94023144374086</v>
      </c>
      <c r="G59" s="30">
        <f>(Jawa!G35*3.6/(VLOOKUP(G$51,tech_data!$B$2:$J$15,4,FALSE)/100))/1000</f>
        <v>1.9426974428120658</v>
      </c>
      <c r="H59" s="30">
        <f t="shared" si="57"/>
        <v>32.153627257200746</v>
      </c>
      <c r="I59" s="30">
        <f>(Jawa!I35*3.6/(VLOOKUP(I$51,tech_data!$B$2:$J$15,4,FALSE)/100))/1000</f>
        <v>108.02389074942961</v>
      </c>
      <c r="J59" s="30">
        <f>(Jawa!J35*3.6/(VLOOKUP(J$51,tech_data!$B$2:$J$15,4,FALSE)/100))/1000</f>
        <v>44.894812498877599</v>
      </c>
      <c r="K59" s="30">
        <f t="shared" ref="K59:L59" si="69">K35*3.6/1000</f>
        <v>37.814476500268576</v>
      </c>
      <c r="L59" s="30">
        <f t="shared" si="69"/>
        <v>39.753070365934612</v>
      </c>
      <c r="M59" s="30">
        <f>(Jawa!M35*3.6/(VLOOKUP(M$51,tech_data!$B$2:$J$15,4,FALSE)/100))/1000</f>
        <v>2.7950219572098818</v>
      </c>
      <c r="N59" s="30">
        <f t="shared" si="59"/>
        <v>8.6145671872295798E-2</v>
      </c>
      <c r="O59" s="30">
        <f>(Jawa!O35*3.6/(VLOOKUP(O$51,tech_data!$B$2:$J$15,4,FALSE)/100))/1000</f>
        <v>0.67875641160333</v>
      </c>
      <c r="P59" s="30">
        <v>0</v>
      </c>
      <c r="Q59" s="30">
        <f t="shared" si="53"/>
        <v>2052.4272917852377</v>
      </c>
      <c r="R59" s="30"/>
      <c r="T59" s="19"/>
      <c r="U59" s="20" t="str">
        <f t="shared" si="54"/>
        <v>JAWA</v>
      </c>
      <c r="V59" s="20">
        <f t="shared" si="54"/>
        <v>2026</v>
      </c>
      <c r="W59" s="30">
        <f>D59*VLOOKUP(W$51,tech_data!$B$2:$K$15,10,FALSE)*1000</f>
        <v>116494496.35227421</v>
      </c>
      <c r="X59" s="30">
        <f>E59*VLOOKUP(X$51,tech_data!$B$2:$K$15,10,FALSE)*1000</f>
        <v>7087385.6409797287</v>
      </c>
      <c r="Y59" s="30">
        <f>F59*VLOOKUP(Y$51,tech_data!$B$2:$K$15,10,FALSE)*1000</f>
        <v>31170488.372656308</v>
      </c>
      <c r="Z59" s="30">
        <f>G59*VLOOKUP(Z$51,tech_data!$B$2:$K$15,10,FALSE)*1000</f>
        <v>146032.566776183</v>
      </c>
      <c r="AA59" s="30">
        <f>H35*VLOOKUP(AA$51,tech_data!$B$2:$K$15,10,FALSE)/1000</f>
        <v>561.79532068831304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314048.66711210227</v>
      </c>
      <c r="AG59" s="30">
        <f>N59*VLOOKUP(AG$51,tech_data!$B$2:$K$15,10,FALSE)*1000</f>
        <v>0</v>
      </c>
      <c r="AH59" s="30">
        <f>O59*VLOOKUP(AH$51,tech_data!$B$2:$K$15,10,FALSE)*1000</f>
        <v>18849.065550224474</v>
      </c>
      <c r="AI59" s="30"/>
      <c r="AJ59" s="30">
        <f t="shared" si="55"/>
        <v>155231862.46066946</v>
      </c>
      <c r="AK59" s="25">
        <f t="shared" si="61"/>
        <v>3.2646064283569746E-3</v>
      </c>
      <c r="AL59" s="24">
        <f t="shared" si="66"/>
        <v>6.7000000000000004E-2</v>
      </c>
      <c r="AM59" s="26"/>
      <c r="AN59" s="24"/>
      <c r="AO59" s="20" t="str">
        <f t="shared" si="56"/>
        <v>JAWA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1243.6603581205532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99.689202796387093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681.89282074312132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0.39369336293496188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729.27623278730641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763.90711784820678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594.6775952495384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134.64017083299058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324.03559831543629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163.80604629468473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1.0601073446648233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121.78431032972961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0.45213740740324837</v>
      </c>
      <c r="BD59" s="30">
        <f t="shared" si="62"/>
        <v>4859.2753914329578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1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JAWA</v>
      </c>
      <c r="C60" s="20">
        <f t="shared" si="52"/>
        <v>2027</v>
      </c>
      <c r="D60" s="30">
        <f>(Jawa!D36*3.6/(VLOOKUP(D$51,tech_data!$B$2:$J$15,4,FALSE)/100))/1000</f>
        <v>1168.2159682337967</v>
      </c>
      <c r="E60" s="30">
        <f>(Jawa!E36*3.6/(VLOOKUP(E$51,tech_data!$B$2:$J$15,4,FALSE)/100))/1000</f>
        <v>124.36882743657874</v>
      </c>
      <c r="F60" s="30">
        <f>(Jawa!F36*3.6/(VLOOKUP(F$51,tech_data!$B$2:$J$15,4,FALSE)/100))/1000</f>
        <v>606.49556544561494</v>
      </c>
      <c r="G60" s="30">
        <f>(Jawa!G36*3.6/(VLOOKUP(G$51,tech_data!$B$2:$J$15,4,FALSE)/100))/1000</f>
        <v>2.0391371701137029</v>
      </c>
      <c r="H60" s="30">
        <f t="shared" si="57"/>
        <v>32.153627257200746</v>
      </c>
      <c r="I60" s="30">
        <f>(Jawa!I36*3.6/(VLOOKUP(I$51,tech_data!$B$2:$J$15,4,FALSE)/100))/1000</f>
        <v>111.19483779911717</v>
      </c>
      <c r="J60" s="30">
        <f>(Jawa!J36*3.6/(VLOOKUP(J$51,tech_data!$B$2:$J$15,4,FALSE)/100))/1000</f>
        <v>44.894812498877599</v>
      </c>
      <c r="K60" s="30">
        <f t="shared" ref="K60:L60" si="70">K36*3.6/1000</f>
        <v>37.814476500268576</v>
      </c>
      <c r="L60" s="30">
        <f t="shared" si="70"/>
        <v>50.983098573357815</v>
      </c>
      <c r="M60" s="30">
        <f>(Jawa!M36*3.6/(VLOOKUP(M$51,tech_data!$B$2:$J$15,4,FALSE)/100))/1000</f>
        <v>2.7950219572098818</v>
      </c>
      <c r="N60" s="30">
        <f t="shared" si="59"/>
        <v>8.6145671872295798E-2</v>
      </c>
      <c r="O60" s="30">
        <f>(Jawa!O36*3.6/(VLOOKUP(O$51,tech_data!$B$2:$J$15,4,FALSE)/100))/1000</f>
        <v>0.67875641160333</v>
      </c>
      <c r="P60" s="30">
        <v>0</v>
      </c>
      <c r="Q60" s="30">
        <f t="shared" si="53"/>
        <v>2181.7202749556113</v>
      </c>
      <c r="R60" s="30"/>
      <c r="T60" s="19"/>
      <c r="U60" s="20" t="str">
        <f t="shared" si="54"/>
        <v>JAWA</v>
      </c>
      <c r="V60" s="20">
        <f t="shared" si="54"/>
        <v>2027</v>
      </c>
      <c r="W60" s="30">
        <f>D60*VLOOKUP(W$51,tech_data!$B$2:$K$15,10,FALSE)*1000</f>
        <v>116494496.35227421</v>
      </c>
      <c r="X60" s="30">
        <f>E60*VLOOKUP(X$51,tech_data!$B$2:$K$15,10,FALSE)*1000</f>
        <v>7723304.1838115398</v>
      </c>
      <c r="Y60" s="30">
        <f>F60*VLOOKUP(Y$51,tech_data!$B$2:$K$15,10,FALSE)*1000</f>
        <v>37663374.61417269</v>
      </c>
      <c r="Z60" s="30">
        <f>G60*VLOOKUP(Z$51,tech_data!$B$2:$K$15,10,FALSE)*1000</f>
        <v>153281.94107744703</v>
      </c>
      <c r="AA60" s="30">
        <f>H36*VLOOKUP(AA$51,tech_data!$B$2:$K$15,10,FALSE)/1000</f>
        <v>561.79532068831304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314048.66711210227</v>
      </c>
      <c r="AG60" s="30">
        <f>N60*VLOOKUP(AG$51,tech_data!$B$2:$K$15,10,FALSE)*1000</f>
        <v>0</v>
      </c>
      <c r="AH60" s="30">
        <f>O60*VLOOKUP(AH$51,tech_data!$B$2:$K$15,10,FALSE)*1000</f>
        <v>18849.065550224474</v>
      </c>
      <c r="AI60" s="30"/>
      <c r="AJ60" s="30">
        <f t="shared" si="55"/>
        <v>162367916.61931893</v>
      </c>
      <c r="AK60" s="25">
        <f t="shared" si="61"/>
        <v>4.5970292731993156E-2</v>
      </c>
      <c r="AL60" s="24">
        <f t="shared" si="66"/>
        <v>6.7000000000000004E-2</v>
      </c>
      <c r="AM60" s="26"/>
      <c r="AN60" s="24"/>
      <c r="AO60" s="20" t="str">
        <f t="shared" si="56"/>
        <v>JAWA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1197.1975228501417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339.3627912408482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4809.1905714599907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2.3695420093260755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67.80998766448127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641.40003128522358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84.893391969717015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61.667443738207069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1541.7053597378979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4.1598128073815666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1.0601073446648233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4.1639040401518486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1.6368981663682196</v>
      </c>
      <c r="BD60" s="30">
        <f t="shared" si="62"/>
        <v>8756.6173643144011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JAWA</v>
      </c>
      <c r="C61" s="20">
        <f t="shared" si="52"/>
        <v>2028</v>
      </c>
      <c r="D61" s="30">
        <f>(Jawa!D37*3.6/(VLOOKUP(D$51,tech_data!$B$2:$J$15,4,FALSE)/100))/1000</f>
        <v>1168.2159682337967</v>
      </c>
      <c r="E61" s="30">
        <f>(Jawa!E37*3.6/(VLOOKUP(E$51,tech_data!$B$2:$J$15,4,FALSE)/100))/1000</f>
        <v>140.84382760100945</v>
      </c>
      <c r="F61" s="30">
        <f>(Jawa!F37*3.6/(VLOOKUP(F$51,tech_data!$B$2:$J$15,4,FALSE)/100))/1000</f>
        <v>664.57007034774608</v>
      </c>
      <c r="G61" s="30">
        <f>(Jawa!G37*3.6/(VLOOKUP(G$51,tech_data!$B$2:$J$15,4,FALSE)/100))/1000</f>
        <v>2.1005741078689706</v>
      </c>
      <c r="H61" s="30">
        <f t="shared" si="57"/>
        <v>32.153627257200746</v>
      </c>
      <c r="I61" s="30">
        <f>(Jawa!I37*3.6/(VLOOKUP(I$51,tech_data!$B$2:$J$15,4,FALSE)/100))/1000</f>
        <v>111.19483779911717</v>
      </c>
      <c r="J61" s="30">
        <f>(Jawa!J37*3.6/(VLOOKUP(J$51,tech_data!$B$2:$J$15,4,FALSE)/100))/1000</f>
        <v>44.894812498877599</v>
      </c>
      <c r="K61" s="30">
        <f t="shared" ref="K61:L61" si="71">K37*3.6/1000</f>
        <v>41.829893163656706</v>
      </c>
      <c r="L61" s="30">
        <f t="shared" si="71"/>
        <v>64.192542872040704</v>
      </c>
      <c r="M61" s="30">
        <f>(Jawa!M37*3.6/(VLOOKUP(M$51,tech_data!$B$2:$J$15,4,FALSE)/100))/1000</f>
        <v>2.7950219572098818</v>
      </c>
      <c r="N61" s="30">
        <f t="shared" si="59"/>
        <v>8.6145671872295798E-2</v>
      </c>
      <c r="O61" s="30">
        <f>(Jawa!O37*3.6/(VLOOKUP(O$51,tech_data!$B$2:$J$15,4,FALSE)/100))/1000</f>
        <v>0.67875641160333</v>
      </c>
      <c r="P61" s="30">
        <v>0</v>
      </c>
      <c r="Q61" s="30">
        <f t="shared" si="53"/>
        <v>2273.5560779219995</v>
      </c>
      <c r="R61" s="30"/>
      <c r="T61" s="19"/>
      <c r="U61" s="20" t="str">
        <f t="shared" si="54"/>
        <v>JAWA</v>
      </c>
      <c r="V61" s="20">
        <f t="shared" si="54"/>
        <v>2028</v>
      </c>
      <c r="W61" s="30">
        <f>D61*VLOOKUP(W$51,tech_data!$B$2:$K$15,10,FALSE)*1000</f>
        <v>116494496.35227421</v>
      </c>
      <c r="X61" s="30">
        <f>E61*VLOOKUP(X$51,tech_data!$B$2:$K$15,10,FALSE)*1000</f>
        <v>8746401.6940226872</v>
      </c>
      <c r="Y61" s="30">
        <f>F61*VLOOKUP(Y$51,tech_data!$B$2:$K$15,10,FALSE)*1000</f>
        <v>41269801.368595034</v>
      </c>
      <c r="Z61" s="30">
        <f>G61*VLOOKUP(Z$51,tech_data!$B$2:$K$15,10,FALSE)*1000</f>
        <v>157900.15568851051</v>
      </c>
      <c r="AA61" s="30">
        <f>H37*VLOOKUP(AA$51,tech_data!$B$2:$K$15,10,FALSE)/1000</f>
        <v>561.79532068831304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314048.66711210227</v>
      </c>
      <c r="AG61" s="30">
        <f>N61*VLOOKUP(AG$51,tech_data!$B$2:$K$15,10,FALSE)*1000</f>
        <v>0</v>
      </c>
      <c r="AH61" s="30">
        <f>O61*VLOOKUP(AH$51,tech_data!$B$2:$K$15,10,FALSE)*1000</f>
        <v>18849.065550224474</v>
      </c>
      <c r="AI61" s="30"/>
      <c r="AJ61" s="30">
        <f t="shared" si="55"/>
        <v>167002059.09856349</v>
      </c>
      <c r="AK61" s="25">
        <f t="shared" si="61"/>
        <v>2.8540998589700314E-2</v>
      </c>
      <c r="AL61" s="24">
        <f t="shared" si="66"/>
        <v>6.7000000000000004E-2</v>
      </c>
      <c r="AM61" s="26"/>
      <c r="AN61" s="24"/>
      <c r="AO61" s="20" t="str">
        <f t="shared" si="56"/>
        <v>JAWA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1197.1975228501417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501.80159830954869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3108.6946058331382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1.6719517322941222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67.80998766448127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249.96242939724578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84.893391969717015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746.69222966629241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1833.0529431213042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4.1598128073815666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1.0601073446648233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4.1639040401518486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1.3656836921009228</v>
      </c>
      <c r="BD61" s="30">
        <f t="shared" si="62"/>
        <v>7802.5261684284633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0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1</v>
      </c>
      <c r="BQ61" s="20" t="b">
        <f>$AS$37&lt;=$AY$37</f>
        <v>1</v>
      </c>
      <c r="BR61" s="20" t="b">
        <f>$AS$38&lt;=$AY$38</f>
        <v>0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JAWA</v>
      </c>
      <c r="C62" s="20">
        <f t="shared" si="52"/>
        <v>2029</v>
      </c>
      <c r="D62" s="30">
        <f>(Jawa!D38*3.6/(VLOOKUP(D$51,tech_data!$B$2:$J$15,4,FALSE)/100))/1000</f>
        <v>1168.2159682337967</v>
      </c>
      <c r="E62" s="30">
        <f>(Jawa!E38*3.6/(VLOOKUP(E$51,tech_data!$B$2:$J$15,4,FALSE)/100))/1000</f>
        <v>160.16870937620411</v>
      </c>
      <c r="F62" s="30">
        <f>(Jawa!F38*3.6/(VLOOKUP(F$51,tech_data!$B$2:$J$15,4,FALSE)/100))/1000</f>
        <v>720.65732703158767</v>
      </c>
      <c r="G62" s="30">
        <f>(Jawa!G38*3.6/(VLOOKUP(G$51,tech_data!$B$2:$J$15,4,FALSE)/100))/1000</f>
        <v>2.1592503339692448</v>
      </c>
      <c r="H62" s="30">
        <f t="shared" si="57"/>
        <v>32.153627257200746</v>
      </c>
      <c r="I62" s="30">
        <f>(Jawa!I38*3.6/(VLOOKUP(I$51,tech_data!$B$2:$J$15,4,FALSE)/100))/1000</f>
        <v>111.19483779911717</v>
      </c>
      <c r="J62" s="30">
        <f>(Jawa!J38*3.6/(VLOOKUP(J$51,tech_data!$B$2:$J$15,4,FALSE)/100))/1000</f>
        <v>44.894812498877599</v>
      </c>
      <c r="K62" s="30">
        <f t="shared" ref="K62:L62" si="72">K38*3.6/1000</f>
        <v>46.683028709351838</v>
      </c>
      <c r="L62" s="30">
        <f t="shared" si="72"/>
        <v>76.999906726075679</v>
      </c>
      <c r="M62" s="30">
        <f>(Jawa!M38*3.6/(VLOOKUP(M$51,tech_data!$B$2:$J$15,4,FALSE)/100))/1000</f>
        <v>2.7950219572098818</v>
      </c>
      <c r="N62" s="30">
        <f t="shared" si="59"/>
        <v>8.6145671872295798E-2</v>
      </c>
      <c r="O62" s="30">
        <f>(Jawa!O38*3.6/(VLOOKUP(O$51,tech_data!$B$2:$J$15,4,FALSE)/100))/1000</f>
        <v>0.67875641160333</v>
      </c>
      <c r="P62" s="30">
        <v>0</v>
      </c>
      <c r="Q62" s="30">
        <f t="shared" si="53"/>
        <v>2366.6873920068656</v>
      </c>
      <c r="R62" s="30"/>
      <c r="T62" s="19"/>
      <c r="U62" s="20" t="str">
        <f t="shared" si="54"/>
        <v>JAWA</v>
      </c>
      <c r="V62" s="20">
        <f t="shared" si="54"/>
        <v>2029</v>
      </c>
      <c r="W62" s="30">
        <f>D62*VLOOKUP(W$51,tech_data!$B$2:$K$15,10,FALSE)*1000</f>
        <v>116494496.35227421</v>
      </c>
      <c r="X62" s="30">
        <f>E62*VLOOKUP(X$51,tech_data!$B$2:$K$15,10,FALSE)*1000</f>
        <v>9946476.8522622753</v>
      </c>
      <c r="Y62" s="30">
        <f>F62*VLOOKUP(Y$51,tech_data!$B$2:$K$15,10,FALSE)*1000</f>
        <v>44752820.008661598</v>
      </c>
      <c r="Z62" s="30">
        <f>G62*VLOOKUP(Z$51,tech_data!$B$2:$K$15,10,FALSE)*1000</f>
        <v>162310.84760446814</v>
      </c>
      <c r="AA62" s="30">
        <f>H38*VLOOKUP(AA$51,tech_data!$B$2:$K$15,10,FALSE)/1000</f>
        <v>561.79532068831304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314048.66711210227</v>
      </c>
      <c r="AG62" s="30">
        <f>N62*VLOOKUP(AG$51,tech_data!$B$2:$K$15,10,FALSE)*1000</f>
        <v>0</v>
      </c>
      <c r="AH62" s="30">
        <f>O62*VLOOKUP(AH$51,tech_data!$B$2:$K$15,10,FALSE)*1000</f>
        <v>18849.065550224474</v>
      </c>
      <c r="AI62" s="30"/>
      <c r="AJ62" s="30">
        <f t="shared" si="55"/>
        <v>171689563.58878556</v>
      </c>
      <c r="AK62" s="25">
        <f t="shared" si="61"/>
        <v>2.8068543079792407E-2</v>
      </c>
      <c r="AL62" s="24">
        <f t="shared" si="66"/>
        <v>6.7000000000000004E-2</v>
      </c>
      <c r="AM62" s="26"/>
      <c r="AN62" s="24"/>
      <c r="AO62" s="20" t="str">
        <f t="shared" si="56"/>
        <v>JAWA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1197.1975228501417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584.8469104547645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3107.5514363778384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1.6278408913684863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67.80998766448127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249.96242939724578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84.893391969717015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896.15426446779691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1845.7836510432028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4.1598128073815666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1.0601073446648233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4.1639040401518486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1.3873337551050391</v>
      </c>
      <c r="BD62" s="30">
        <f t="shared" si="62"/>
        <v>8046.5985930638599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JAWA</v>
      </c>
      <c r="C63" s="20">
        <f t="shared" si="52"/>
        <v>2030</v>
      </c>
      <c r="D63" s="30">
        <f>(Jawa!D39*3.6/(VLOOKUP(D$51,tech_data!$B$2:$J$15,4,FALSE)/100))/1000</f>
        <v>1168.2159682337967</v>
      </c>
      <c r="E63" s="30">
        <f>(Jawa!E39*3.6/(VLOOKUP(E$51,tech_data!$B$2:$J$15,4,FALSE)/100))/1000</f>
        <v>180.574516311765</v>
      </c>
      <c r="F63" s="30">
        <f>(Jawa!F39*3.6/(VLOOKUP(F$51,tech_data!$B$2:$J$15,4,FALSE)/100))/1000</f>
        <v>788.92852833433096</v>
      </c>
      <c r="G63" s="30">
        <f>(Jawa!G39*3.6/(VLOOKUP(G$51,tech_data!$B$2:$J$15,4,FALSE)/100))/1000</f>
        <v>2.2327059277765988</v>
      </c>
      <c r="H63" s="30">
        <f t="shared" si="57"/>
        <v>32.153627257200746</v>
      </c>
      <c r="I63" s="30">
        <f>(Jawa!I39*3.6/(VLOOKUP(I$51,tech_data!$B$2:$J$15,4,FALSE)/100))/1000</f>
        <v>111.19483779911717</v>
      </c>
      <c r="J63" s="30">
        <f>(Jawa!J39*3.6/(VLOOKUP(J$51,tech_data!$B$2:$J$15,4,FALSE)/100))/1000</f>
        <v>44.894812498877599</v>
      </c>
      <c r="K63" s="30">
        <f t="shared" ref="K63:L63" si="73">K39*3.6/1000</f>
        <v>52.398508499863176</v>
      </c>
      <c r="L63" s="30">
        <f t="shared" si="73"/>
        <v>91.878100463704598</v>
      </c>
      <c r="M63" s="30">
        <f>(Jawa!M39*3.6/(VLOOKUP(M$51,tech_data!$B$2:$J$15,4,FALSE)/100))/1000</f>
        <v>2.7950219572098818</v>
      </c>
      <c r="N63" s="30">
        <f t="shared" si="59"/>
        <v>8.6145671872295798E-2</v>
      </c>
      <c r="O63" s="30">
        <f>(Jawa!O39*3.6/(VLOOKUP(O$51,tech_data!$B$2:$J$15,4,FALSE)/100))/1000</f>
        <v>0.67875641160333</v>
      </c>
      <c r="P63" s="30">
        <v>0</v>
      </c>
      <c r="Q63" s="30">
        <f t="shared" si="53"/>
        <v>2476.0315293671174</v>
      </c>
      <c r="R63" s="30"/>
      <c r="T63" s="19"/>
      <c r="U63" s="20" t="str">
        <f t="shared" si="54"/>
        <v>JAWA</v>
      </c>
      <c r="V63" s="20">
        <f t="shared" si="54"/>
        <v>2030</v>
      </c>
      <c r="W63" s="30">
        <f>D63*VLOOKUP(W$51,tech_data!$B$2:$K$15,10,FALSE)*1000</f>
        <v>116494496.35227421</v>
      </c>
      <c r="X63" s="30">
        <f>E63*VLOOKUP(X$51,tech_data!$B$2:$K$15,10,FALSE)*1000</f>
        <v>11213677.462960606</v>
      </c>
      <c r="Y63" s="30">
        <f>F63*VLOOKUP(Y$51,tech_data!$B$2:$K$15,10,FALSE)*1000</f>
        <v>48992461.609561957</v>
      </c>
      <c r="Z63" s="30">
        <f>G63*VLOOKUP(Z$51,tech_data!$B$2:$K$15,10,FALSE)*1000</f>
        <v>167832.50459096694</v>
      </c>
      <c r="AA63" s="30">
        <f>H39*VLOOKUP(AA$51,tech_data!$B$2:$K$15,10,FALSE)/1000</f>
        <v>561.79532068831304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314048.66711210227</v>
      </c>
      <c r="AG63" s="30">
        <f>N63*VLOOKUP(AG$51,tech_data!$B$2:$K$15,10,FALSE)*1000</f>
        <v>0</v>
      </c>
      <c r="AH63" s="30">
        <f>O63*VLOOKUP(AH$51,tech_data!$B$2:$K$15,10,FALSE)*1000</f>
        <v>18849.065550224474</v>
      </c>
      <c r="AI63" s="30"/>
      <c r="AJ63" s="30">
        <f t="shared" si="55"/>
        <v>177201927.45737076</v>
      </c>
      <c r="AK63" s="25">
        <f t="shared" si="61"/>
        <v>3.2106575107779332E-2</v>
      </c>
      <c r="AL63" s="24">
        <f t="shared" si="66"/>
        <v>6.7000000000000004E-2</v>
      </c>
      <c r="AM63" s="26"/>
      <c r="AN63" s="24"/>
      <c r="AO63" s="20" t="str">
        <f t="shared" si="56"/>
        <v>JAWA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1197.1975228501417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626.09622663002801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3664.7617812664712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1.9425301865557563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67.80998766448127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249.96242939724578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84.893391969717015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1051.1834966207507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2155.5011709297069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4.1598128073815666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1.0601073446648233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4.1639040401518486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1.61194047649167</v>
      </c>
      <c r="BD63" s="30">
        <f t="shared" si="62"/>
        <v>9110.3443021837902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JAWA</v>
      </c>
      <c r="C64" s="20">
        <f t="shared" si="52"/>
        <v>2031</v>
      </c>
      <c r="D64" s="30">
        <f>(Jawa!D40*3.6/(VLOOKUP(D$51,tech_data!$B$2:$J$15,4,FALSE)/100))/1000</f>
        <v>1168.2159682337967</v>
      </c>
      <c r="E64" s="30">
        <f>(Jawa!E40*3.6/(VLOOKUP(E$51,tech_data!$B$2:$J$15,4,FALSE)/100))/1000</f>
        <v>202.10239799279853</v>
      </c>
      <c r="F64" s="30">
        <f>(Jawa!F40*3.6/(VLOOKUP(F$51,tech_data!$B$2:$J$15,4,FALSE)/100))/1000</f>
        <v>883.24962480707006</v>
      </c>
      <c r="G64" s="30">
        <f>(Jawa!G40*3.6/(VLOOKUP(G$51,tech_data!$B$2:$J$15,4,FALSE)/100))/1000</f>
        <v>2.3384248180900498</v>
      </c>
      <c r="H64" s="30">
        <f t="shared" si="57"/>
        <v>32.153627257200746</v>
      </c>
      <c r="I64" s="30">
        <f>(Jawa!I40*3.6/(VLOOKUP(I$51,tech_data!$B$2:$J$15,4,FALSE)/100))/1000</f>
        <v>111.19483779911717</v>
      </c>
      <c r="J64" s="30">
        <f>(Jawa!J40*3.6/(VLOOKUP(J$51,tech_data!$B$2:$J$15,4,FALSE)/100))/1000</f>
        <v>44.894812498877599</v>
      </c>
      <c r="K64" s="30">
        <f t="shared" ref="K64:L64" si="74">K40*3.6/1000</f>
        <v>61.995150368280676</v>
      </c>
      <c r="L64" s="30">
        <f t="shared" si="74"/>
        <v>108.6339109115579</v>
      </c>
      <c r="M64" s="30">
        <f>(Jawa!M40*3.6/(VLOOKUP(M$51,tech_data!$B$2:$J$15,4,FALSE)/100))/1000</f>
        <v>2.7950219572098818</v>
      </c>
      <c r="N64" s="30">
        <f t="shared" si="59"/>
        <v>8.6145671872295798E-2</v>
      </c>
      <c r="O64" s="30">
        <f>(Jawa!O40*3.6/(VLOOKUP(O$51,tech_data!$B$2:$J$15,4,FALSE)/100))/1000</f>
        <v>0.67875641160333</v>
      </c>
      <c r="P64" s="30">
        <v>0</v>
      </c>
      <c r="Q64" s="30">
        <f t="shared" si="53"/>
        <v>2618.3386787274744</v>
      </c>
      <c r="R64" s="30"/>
      <c r="T64" s="19"/>
      <c r="U64" s="20" t="str">
        <f t="shared" si="54"/>
        <v>JAWA</v>
      </c>
      <c r="V64" s="20">
        <f t="shared" si="54"/>
        <v>2031</v>
      </c>
      <c r="W64" s="30">
        <f>D64*VLOOKUP(W$51,tech_data!$B$2:$K$15,10,FALSE)*1000</f>
        <v>116494496.35227421</v>
      </c>
      <c r="X64" s="30">
        <f>E64*VLOOKUP(X$51,tech_data!$B$2:$K$15,10,FALSE)*1000</f>
        <v>12550558.91535279</v>
      </c>
      <c r="Y64" s="30">
        <f>F64*VLOOKUP(Y$51,tech_data!$B$2:$K$15,10,FALSE)*1000</f>
        <v>54849801.700519048</v>
      </c>
      <c r="Z64" s="30">
        <f>G64*VLOOKUP(Z$51,tech_data!$B$2:$K$15,10,FALSE)*1000</f>
        <v>175779.39357582905</v>
      </c>
      <c r="AA64" s="30">
        <f>H40*VLOOKUP(AA$51,tech_data!$B$2:$K$15,10,FALSE)/1000</f>
        <v>561.79532068831304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314048.66711210227</v>
      </c>
      <c r="AG64" s="30">
        <f>N64*VLOOKUP(AG$51,tech_data!$B$2:$K$15,10,FALSE)*1000</f>
        <v>0</v>
      </c>
      <c r="AH64" s="30">
        <f>O64*VLOOKUP(AH$51,tech_data!$B$2:$K$15,10,FALSE)*1000</f>
        <v>18849.065550224474</v>
      </c>
      <c r="AI64" s="30"/>
      <c r="AJ64" s="30">
        <f t="shared" si="55"/>
        <v>184404095.88970491</v>
      </c>
      <c r="AK64" s="25">
        <f t="shared" si="61"/>
        <v>4.064384928356251E-2</v>
      </c>
      <c r="AL64" s="24">
        <f t="shared" si="66"/>
        <v>6.7000000000000004E-2</v>
      </c>
      <c r="AM64" s="26"/>
      <c r="AN64" s="24"/>
      <c r="AO64" s="20" t="str">
        <f t="shared" si="56"/>
        <v>JAWA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1197.1975228501417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669.17331952650022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4787.1598623158079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2.6184237588437065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67.80998766448127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249.96242939724578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84.893391969717015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1722.6253706627949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2451.4821657979692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4.1598128073815666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1.0601073446648233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4.1639040401518486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2.0590715376932884</v>
      </c>
      <c r="BD64" s="30">
        <f t="shared" si="62"/>
        <v>11244.365369673393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JAWA</v>
      </c>
      <c r="C65" s="20">
        <f t="shared" si="52"/>
        <v>2032</v>
      </c>
      <c r="D65" s="30">
        <f>(Jawa!D41*3.6/(VLOOKUP(D$51,tech_data!$B$2:$J$15,4,FALSE)/100))/1000</f>
        <v>1168.2160333813956</v>
      </c>
      <c r="E65" s="30">
        <f>(Jawa!E41*3.6/(VLOOKUP(E$51,tech_data!$B$2:$J$15,4,FALSE)/100))/1000</f>
        <v>224.84407107700775</v>
      </c>
      <c r="F65" s="30">
        <f>(Jawa!F41*3.6/(VLOOKUP(F$51,tech_data!$B$2:$J$15,4,FALSE)/100))/1000</f>
        <v>987.87177352502204</v>
      </c>
      <c r="G65" s="30">
        <f>(Jawa!G41*3.6/(VLOOKUP(G$51,tech_data!$B$2:$J$15,4,FALSE)/100))/1000</f>
        <v>2.45360983880891</v>
      </c>
      <c r="H65" s="30">
        <f t="shared" si="57"/>
        <v>32.153627257200746</v>
      </c>
      <c r="I65" s="30">
        <f>(Jawa!I41*3.6/(VLOOKUP(I$51,tech_data!$B$2:$J$15,4,FALSE)/100))/1000</f>
        <v>111.1948476233721</v>
      </c>
      <c r="J65" s="30">
        <f>(Jawa!J41*3.6/(VLOOKUP(J$51,tech_data!$B$2:$J$15,4,FALSE)/100))/1000</f>
        <v>44.894812498877599</v>
      </c>
      <c r="K65" s="30">
        <f t="shared" ref="K65:L65" si="75">K41*3.6/1000</f>
        <v>72.845551123924409</v>
      </c>
      <c r="L65" s="30">
        <f t="shared" si="75"/>
        <v>127.07503871253574</v>
      </c>
      <c r="M65" s="30">
        <f>(Jawa!M41*3.6/(VLOOKUP(M$51,tech_data!$B$2:$J$15,4,FALSE)/100))/1000</f>
        <v>2.7950219572098818</v>
      </c>
      <c r="N65" s="30">
        <f t="shared" si="59"/>
        <v>8.6145671872295798E-2</v>
      </c>
      <c r="O65" s="30">
        <f>(Jawa!O41*3.6/(VLOOKUP(O$51,tech_data!$B$2:$J$15,4,FALSE)/100))/1000</f>
        <v>0.67875641160333</v>
      </c>
      <c r="P65" s="30">
        <v>0</v>
      </c>
      <c r="Q65" s="30">
        <f t="shared" si="53"/>
        <v>2775.1092890788304</v>
      </c>
      <c r="R65" s="30"/>
      <c r="T65" s="19"/>
      <c r="U65" s="20" t="str">
        <f t="shared" si="54"/>
        <v>JAWA</v>
      </c>
      <c r="V65" s="20">
        <f t="shared" si="54"/>
        <v>2032</v>
      </c>
      <c r="W65" s="30">
        <f>D65*VLOOKUP(W$51,tech_data!$B$2:$K$15,10,FALSE)*1000</f>
        <v>116494502.84879276</v>
      </c>
      <c r="X65" s="30">
        <f>E65*VLOOKUP(X$51,tech_data!$B$2:$K$15,10,FALSE)*1000</f>
        <v>13962816.813882181</v>
      </c>
      <c r="Y65" s="30">
        <f>F65*VLOOKUP(Y$51,tech_data!$B$2:$K$15,10,FALSE)*1000</f>
        <v>61346837.135903873</v>
      </c>
      <c r="Z65" s="30">
        <f>G65*VLOOKUP(Z$51,tech_data!$B$2:$K$15,10,FALSE)*1000</f>
        <v>184437.85158326576</v>
      </c>
      <c r="AA65" s="30">
        <f>H41*VLOOKUP(AA$51,tech_data!$B$2:$K$15,10,FALSE)/1000</f>
        <v>561.79532068831304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314048.66711210227</v>
      </c>
      <c r="AG65" s="30">
        <f>N65*VLOOKUP(AG$51,tech_data!$B$2:$K$15,10,FALSE)*1000</f>
        <v>0</v>
      </c>
      <c r="AH65" s="30">
        <f>O65*VLOOKUP(AH$51,tech_data!$B$2:$K$15,10,FALSE)*1000</f>
        <v>18849.065550224474</v>
      </c>
      <c r="AI65" s="30"/>
      <c r="AJ65" s="30">
        <f t="shared" si="55"/>
        <v>192322054.17814514</v>
      </c>
      <c r="AK65" s="25">
        <f t="shared" si="61"/>
        <v>4.2938082531399344E-2</v>
      </c>
      <c r="AL65" s="24">
        <f t="shared" si="66"/>
        <v>6.7000000000000004E-2</v>
      </c>
      <c r="AM65" s="26"/>
      <c r="AN65" s="24"/>
      <c r="AO65" s="20" t="str">
        <f t="shared" si="56"/>
        <v>JAWA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1197.1997236554955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715.36440023541093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5320.8715964012517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2.8337892503142039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67.80998766448127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249.96366423713982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84.893391969717015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1952.1650838503147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2732.9401135162461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4.1598128073815666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1.0601073446648233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4.1639040401518486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2.2722572943249784</v>
      </c>
      <c r="BD65" s="30">
        <f t="shared" si="62"/>
        <v>12335.697832266895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JAWA</v>
      </c>
      <c r="C66" s="20">
        <f t="shared" si="52"/>
        <v>2033</v>
      </c>
      <c r="D66" s="30">
        <f>(Jawa!D42*3.6/(VLOOKUP(D$51,tech_data!$B$2:$J$15,4,FALSE)/100))/1000</f>
        <v>1168.2160333813956</v>
      </c>
      <c r="E66" s="30">
        <f>(Jawa!E42*3.6/(VLOOKUP(E$51,tech_data!$B$2:$J$15,4,FALSE)/100))/1000</f>
        <v>248.88695285320668</v>
      </c>
      <c r="F66" s="30">
        <f>(Jawa!F42*3.6/(VLOOKUP(F$51,tech_data!$B$2:$J$15,4,FALSE)/100))/1000</f>
        <v>1089.8341874656239</v>
      </c>
      <c r="G66" s="30">
        <f>(Jawa!G42*3.6/(VLOOKUP(G$51,tech_data!$B$2:$J$15,4,FALSE)/100))/1000</f>
        <v>2.5640841443941071</v>
      </c>
      <c r="H66" s="30">
        <f t="shared" si="57"/>
        <v>32.153627257200746</v>
      </c>
      <c r="I66" s="30">
        <f>(Jawa!I42*3.6/(VLOOKUP(I$51,tech_data!$B$2:$J$15,4,FALSE)/100))/1000</f>
        <v>111.1948476233721</v>
      </c>
      <c r="J66" s="30">
        <f>(Jawa!J42*3.6/(VLOOKUP(J$51,tech_data!$B$2:$J$15,4,FALSE)/100))/1000</f>
        <v>44.894812498877599</v>
      </c>
      <c r="K66" s="30">
        <f t="shared" ref="K66:L66" si="76">K42*3.6/1000</f>
        <v>76.891641837783069</v>
      </c>
      <c r="L66" s="30">
        <f t="shared" si="76"/>
        <v>152.79309786245719</v>
      </c>
      <c r="M66" s="30">
        <f>(Jawa!M42*3.6/(VLOOKUP(M$51,tech_data!$B$2:$J$15,4,FALSE)/100))/1000</f>
        <v>2.7950219572098818</v>
      </c>
      <c r="N66" s="30">
        <f t="shared" si="59"/>
        <v>8.6145671872295798E-2</v>
      </c>
      <c r="O66" s="30">
        <f>(Jawa!O42*3.6/(VLOOKUP(O$51,tech_data!$B$2:$J$15,4,FALSE)/100))/1000</f>
        <v>0.67875641160333</v>
      </c>
      <c r="P66" s="30">
        <v>0</v>
      </c>
      <c r="Q66" s="30">
        <f t="shared" si="53"/>
        <v>2930.9892089649961</v>
      </c>
      <c r="R66" s="30"/>
      <c r="T66" s="19"/>
      <c r="U66" s="20" t="str">
        <f t="shared" si="54"/>
        <v>JAWA</v>
      </c>
      <c r="V66" s="20">
        <f t="shared" si="54"/>
        <v>2033</v>
      </c>
      <c r="W66" s="30">
        <f>D66*VLOOKUP(W$51,tech_data!$B$2:$K$15,10,FALSE)*1000</f>
        <v>116494502.84879276</v>
      </c>
      <c r="X66" s="30">
        <f>E66*VLOOKUP(X$51,tech_data!$B$2:$K$15,10,FALSE)*1000</f>
        <v>15455879.772184135</v>
      </c>
      <c r="Y66" s="30">
        <f>F66*VLOOKUP(Y$51,tech_data!$B$2:$K$15,10,FALSE)*1000</f>
        <v>67678703.041615248</v>
      </c>
      <c r="Z66" s="30">
        <f>G66*VLOOKUP(Z$51,tech_data!$B$2:$K$15,10,FALSE)*1000</f>
        <v>192742.20513410502</v>
      </c>
      <c r="AA66" s="30">
        <f>H42*VLOOKUP(AA$51,tech_data!$B$2:$K$15,10,FALSE)/1000</f>
        <v>561.79532068831304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314048.66711210227</v>
      </c>
      <c r="AG66" s="30">
        <f>N66*VLOOKUP(AG$51,tech_data!$B$2:$K$15,10,FALSE)*1000</f>
        <v>0</v>
      </c>
      <c r="AH66" s="30">
        <f>O66*VLOOKUP(AH$51,tech_data!$B$2:$K$15,10,FALSE)*1000</f>
        <v>18849.065550224474</v>
      </c>
      <c r="AI66" s="30"/>
      <c r="AJ66" s="30">
        <f t="shared" si="55"/>
        <v>200155287.39570928</v>
      </c>
      <c r="AK66" s="25">
        <f t="shared" si="61"/>
        <v>4.0729770961724053E-2</v>
      </c>
      <c r="AL66" s="24">
        <f t="shared" si="66"/>
        <v>6.7000000000000004E-2</v>
      </c>
      <c r="AM66" s="26"/>
      <c r="AN66" s="24"/>
      <c r="AO66" s="20" t="str">
        <f t="shared" si="56"/>
        <v>JAWA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1197.1975896139472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764.63111599956187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5355.2457916465755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2.7606191171516712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67.80998766448127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249.96245148185582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84.893391969717015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809.05348394818554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3697.9733388779896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4.1598128073815666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1.0601073446648233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4.1639040401518486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2.2871297218940119</v>
      </c>
      <c r="BD66" s="30">
        <f t="shared" si="62"/>
        <v>12241.198724233558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0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JAWA</v>
      </c>
      <c r="C67" s="20">
        <f t="shared" si="52"/>
        <v>2034</v>
      </c>
      <c r="D67" s="30">
        <f>(Jawa!D43*3.6/(VLOOKUP(D$51,tech_data!$B$2:$J$15,4,FALSE)/100))/1000</f>
        <v>1230.5695255814794</v>
      </c>
      <c r="E67" s="30">
        <f>(Jawa!E43*3.6/(VLOOKUP(E$51,tech_data!$B$2:$J$15,4,FALSE)/100))/1000</f>
        <v>274.29090595019835</v>
      </c>
      <c r="F67" s="30">
        <f>(Jawa!F43*3.6/(VLOOKUP(F$51,tech_data!$B$2:$J$15,4,FALSE)/100))/1000</f>
        <v>1158.0907247696189</v>
      </c>
      <c r="G67" s="30">
        <f>(Jawa!G43*3.6/(VLOOKUP(G$51,tech_data!$B$2:$J$15,4,FALSE)/100))/1000</f>
        <v>2.6801814158262238</v>
      </c>
      <c r="H67" s="30">
        <f t="shared" si="57"/>
        <v>32.153627257200746</v>
      </c>
      <c r="I67" s="30">
        <f>(Jawa!I43*3.6/(VLOOKUP(I$51,tech_data!$B$2:$J$15,4,FALSE)/100))/1000</f>
        <v>111.1948476233721</v>
      </c>
      <c r="J67" s="30">
        <f>(Jawa!J43*3.6/(VLOOKUP(J$51,tech_data!$B$2:$J$15,4,FALSE)/100))/1000</f>
        <v>44.894812498877599</v>
      </c>
      <c r="K67" s="30">
        <f t="shared" ref="K67:L67" si="77">K43*3.6/1000</f>
        <v>87.189107586820256</v>
      </c>
      <c r="L67" s="30">
        <f t="shared" si="77"/>
        <v>174.82841722675906</v>
      </c>
      <c r="M67" s="30">
        <f>(Jawa!M43*3.6/(VLOOKUP(M$51,tech_data!$B$2:$J$15,4,FALSE)/100))/1000</f>
        <v>2.7950219572098818</v>
      </c>
      <c r="N67" s="30">
        <f t="shared" si="59"/>
        <v>8.6145671872295798E-2</v>
      </c>
      <c r="O67" s="30">
        <f>(Jawa!O43*3.6/(VLOOKUP(O$51,tech_data!$B$2:$J$15,4,FALSE)/100))/1000</f>
        <v>0.67875641916110119</v>
      </c>
      <c r="P67" s="30">
        <v>0</v>
      </c>
      <c r="Q67" s="30">
        <f t="shared" si="53"/>
        <v>3119.452073958395</v>
      </c>
      <c r="R67" s="30"/>
      <c r="T67" s="19"/>
      <c r="U67" s="20" t="str">
        <f t="shared" si="54"/>
        <v>JAWA</v>
      </c>
      <c r="V67" s="20">
        <f t="shared" si="54"/>
        <v>2034</v>
      </c>
      <c r="W67" s="30">
        <f>D67*VLOOKUP(W$51,tech_data!$B$2:$K$15,10,FALSE)*1000</f>
        <v>122712393.09098512</v>
      </c>
      <c r="X67" s="30">
        <f>E67*VLOOKUP(X$51,tech_data!$B$2:$K$15,10,FALSE)*1000</f>
        <v>17033465.259507317</v>
      </c>
      <c r="Y67" s="30">
        <f>F67*VLOOKUP(Y$51,tech_data!$B$2:$K$15,10,FALSE)*1000</f>
        <v>71917434.008193329</v>
      </c>
      <c r="Z67" s="30">
        <f>G67*VLOOKUP(Z$51,tech_data!$B$2:$K$15,10,FALSE)*1000</f>
        <v>201469.23702765725</v>
      </c>
      <c r="AA67" s="30">
        <f>H43*VLOOKUP(AA$51,tech_data!$B$2:$K$15,10,FALSE)/1000</f>
        <v>561.79532068831304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314048.66711210227</v>
      </c>
      <c r="AG67" s="30">
        <f>N67*VLOOKUP(AG$51,tech_data!$B$2:$K$15,10,FALSE)*1000</f>
        <v>0</v>
      </c>
      <c r="AH67" s="30">
        <f>O67*VLOOKUP(AH$51,tech_data!$B$2:$K$15,10,FALSE)*1000</f>
        <v>18849.065760103782</v>
      </c>
      <c r="AI67" s="30"/>
      <c r="AJ67" s="30">
        <f t="shared" si="55"/>
        <v>212198221.12390634</v>
      </c>
      <c r="AK67" s="25">
        <f t="shared" si="61"/>
        <v>6.0167952018115069E-2</v>
      </c>
      <c r="AL67" s="24">
        <f t="shared" si="66"/>
        <v>6.7000000000000004E-2</v>
      </c>
      <c r="AM67" s="26"/>
      <c r="AN67" s="24"/>
      <c r="AO67" s="20" t="str">
        <f t="shared" si="56"/>
        <v>JAWA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3303.6129103956205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816.35450467194903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4157.0206950477386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2.8982098902625744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67.80998766448127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249.96245148185582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84.893391969717015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1882.1281400410523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3372.3024756827353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4.1598128073815666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1.0601073446648233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4.1639053961875954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2.4657242361478695</v>
      </c>
      <c r="BD67" s="30">
        <f t="shared" si="62"/>
        <v>13948.832316629796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8">B20</f>
        <v>JAWA</v>
      </c>
      <c r="C68" s="20">
        <f t="shared" si="78"/>
        <v>2035</v>
      </c>
      <c r="D68" s="30">
        <f>(Jawa!D44*3.6/(VLOOKUP(D$51,tech_data!$B$2:$J$15,4,FALSE)/100))/1000</f>
        <v>1299.9108145563007</v>
      </c>
      <c r="E68" s="30">
        <f>(Jawa!E44*3.6/(VLOOKUP(E$51,tech_data!$B$2:$J$15,4,FALSE)/100))/1000</f>
        <v>301.14291652312647</v>
      </c>
      <c r="F68" s="30">
        <f>(Jawa!F44*3.6/(VLOOKUP(F$51,tech_data!$B$2:$J$15,4,FALSE)/100))/1000</f>
        <v>1222.7571641461659</v>
      </c>
      <c r="G68" s="30">
        <f>(Jawa!G44*3.6/(VLOOKUP(G$51,tech_data!$B$2:$J$15,4,FALSE)/100))/1000</f>
        <v>2.7944011079652551</v>
      </c>
      <c r="H68" s="30">
        <f t="shared" si="57"/>
        <v>32.153627257200746</v>
      </c>
      <c r="I68" s="30">
        <f>(Jawa!I44*3.6/(VLOOKUP(I$51,tech_data!$B$2:$J$15,4,FALSE)/100))/1000</f>
        <v>111.1948476233721</v>
      </c>
      <c r="J68" s="30">
        <f>(Jawa!J44*3.6/(VLOOKUP(J$51,tech_data!$B$2:$J$15,4,FALSE)/100))/1000</f>
        <v>44.894812498877599</v>
      </c>
      <c r="K68" s="30">
        <f t="shared" ref="K68:L68" si="79">K44*3.6/1000</f>
        <v>98.599154574085659</v>
      </c>
      <c r="L68" s="30">
        <f t="shared" si="79"/>
        <v>197.06375887081597</v>
      </c>
      <c r="M68" s="30">
        <f>(Jawa!M44*3.6/(VLOOKUP(M$51,tech_data!$B$2:$J$15,4,FALSE)/100))/1000</f>
        <v>2.7950219572098818</v>
      </c>
      <c r="N68" s="30">
        <f t="shared" si="59"/>
        <v>8.6145671872295798E-2</v>
      </c>
      <c r="O68" s="30">
        <f>(Jawa!O44*3.6/(VLOOKUP(O$51,tech_data!$B$2:$J$15,4,FALSE)/100))/1000</f>
        <v>0.67875642613368337</v>
      </c>
      <c r="P68" s="30">
        <v>0</v>
      </c>
      <c r="Q68" s="30">
        <f t="shared" si="53"/>
        <v>3314.0714212131256</v>
      </c>
      <c r="R68" s="30"/>
      <c r="T68" s="19"/>
      <c r="U68" s="20" t="str">
        <f t="shared" si="54"/>
        <v>JAWA</v>
      </c>
      <c r="V68" s="20">
        <f t="shared" si="54"/>
        <v>2035</v>
      </c>
      <c r="W68" s="30">
        <f>D68*VLOOKUP(W$51,tech_data!$B$2:$K$15,10,FALSE)*1000</f>
        <v>129627106.42755431</v>
      </c>
      <c r="X68" s="30">
        <f>E68*VLOOKUP(X$51,tech_data!$B$2:$K$15,10,FALSE)*1000</f>
        <v>18700975.116086155</v>
      </c>
      <c r="Y68" s="30">
        <f>F68*VLOOKUP(Y$51,tech_data!$B$2:$K$15,10,FALSE)*1000</f>
        <v>75933219.893476918</v>
      </c>
      <c r="Z68" s="30">
        <f>G68*VLOOKUP(Z$51,tech_data!$B$2:$K$15,10,FALSE)*1000</f>
        <v>210055.13128574821</v>
      </c>
      <c r="AA68" s="30">
        <f>H44*VLOOKUP(AA$51,tech_data!$B$2:$K$15,10,FALSE)/1000</f>
        <v>561.79532068831304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314048.66711210227</v>
      </c>
      <c r="AG68" s="30">
        <f>N68*VLOOKUP(AG$51,tech_data!$B$2:$K$15,10,FALSE)*1000</f>
        <v>0</v>
      </c>
      <c r="AH68" s="30">
        <f>O68*VLOOKUP(AH$51,tech_data!$B$2:$K$15,10,FALSE)*1000</f>
        <v>18849.065953732385</v>
      </c>
      <c r="AI68" s="30"/>
      <c r="AJ68" s="30">
        <f t="shared" si="55"/>
        <v>224804816.09678969</v>
      </c>
      <c r="AK68" s="25">
        <f t="shared" si="61"/>
        <v>5.9409522408400056E-2</v>
      </c>
      <c r="AL68" s="24">
        <f t="shared" si="66"/>
        <v>6.7000000000000004E-2</v>
      </c>
      <c r="AM68" s="26"/>
      <c r="AN68" s="24"/>
      <c r="AO68" s="20" t="str">
        <f t="shared" si="56"/>
        <v>JAWA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3603.5738826435627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871.25265482462635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4106.0169139578375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2.8832696651856216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67.80998766448127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249.96245148185582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84.893391969717015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2088.7260286279202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3498.7703780056167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4.1598128073815666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1.0601073446648233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4.1639053375553265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2.5442920536388249</v>
      </c>
      <c r="BD68" s="30">
        <f t="shared" si="62"/>
        <v>14585.817076384043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1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8"/>
        <v>JAWA</v>
      </c>
      <c r="C69" s="20">
        <f t="shared" si="78"/>
        <v>2036</v>
      </c>
      <c r="D69" s="30">
        <f>(Jawa!D45*3.6/(VLOOKUP(D$51,tech_data!$B$2:$J$15,4,FALSE)/100))/1000</f>
        <v>1351.5770464419436</v>
      </c>
      <c r="E69" s="30">
        <f>(Jawa!E45*3.6/(VLOOKUP(E$51,tech_data!$B$2:$J$15,4,FALSE)/100))/1000</f>
        <v>329.57299356330145</v>
      </c>
      <c r="F69" s="30">
        <f>(Jawa!F45*3.6/(VLOOKUP(F$51,tech_data!$B$2:$J$15,4,FALSE)/100))/1000</f>
        <v>1268.010671372414</v>
      </c>
      <c r="G69" s="30">
        <f>(Jawa!G45*3.6/(VLOOKUP(G$51,tech_data!$B$2:$J$15,4,FALSE)/100))/1000</f>
        <v>2.8678425830287297</v>
      </c>
      <c r="H69" s="30">
        <f t="shared" si="57"/>
        <v>32.153627257200746</v>
      </c>
      <c r="I69" s="30">
        <f>(Jawa!I45*3.6/(VLOOKUP(I$51,tech_data!$B$2:$J$15,4,FALSE)/100))/1000</f>
        <v>111.1948476233721</v>
      </c>
      <c r="J69" s="30">
        <f>(Jawa!J45*3.6/(VLOOKUP(J$51,tech_data!$B$2:$J$15,4,FALSE)/100))/1000</f>
        <v>44.894812498877599</v>
      </c>
      <c r="K69" s="30">
        <f t="shared" ref="K69:L69" si="80">K45*3.6/1000</f>
        <v>109.74002005992648</v>
      </c>
      <c r="L69" s="30">
        <f t="shared" si="80"/>
        <v>214.14996045603468</v>
      </c>
      <c r="M69" s="30">
        <f>(Jawa!M45*3.6/(VLOOKUP(M$51,tech_data!$B$2:$J$15,4,FALSE)/100))/1000</f>
        <v>2.7950219572098818</v>
      </c>
      <c r="N69" s="30">
        <f t="shared" si="59"/>
        <v>8.6145671872295798E-2</v>
      </c>
      <c r="O69" s="30">
        <f>(Jawa!O45*3.6/(VLOOKUP(O$51,tech_data!$B$2:$J$15,4,FALSE)/100))/1000</f>
        <v>0.67875642613368337</v>
      </c>
      <c r="P69" s="30">
        <v>0</v>
      </c>
      <c r="Q69" s="30">
        <f t="shared" si="53"/>
        <v>3467.721745911314</v>
      </c>
      <c r="R69" s="30"/>
      <c r="T69" s="19"/>
      <c r="U69" s="20" t="str">
        <f t="shared" si="54"/>
        <v>JAWA</v>
      </c>
      <c r="V69" s="20">
        <f t="shared" si="54"/>
        <v>2036</v>
      </c>
      <c r="W69" s="30">
        <f>D69*VLOOKUP(W$51,tech_data!$B$2:$K$15,10,FALSE)*1000</f>
        <v>134779263.07119063</v>
      </c>
      <c r="X69" s="30">
        <f>E69*VLOOKUP(X$51,tech_data!$B$2:$K$15,10,FALSE)*1000</f>
        <v>20466482.900281023</v>
      </c>
      <c r="Y69" s="30">
        <f>F69*VLOOKUP(Y$51,tech_data!$B$2:$K$15,10,FALSE)*1000</f>
        <v>78743462.692226902</v>
      </c>
      <c r="Z69" s="30">
        <f>G69*VLOOKUP(Z$51,tech_data!$B$2:$K$15,10,FALSE)*1000</f>
        <v>215575.72696626963</v>
      </c>
      <c r="AA69" s="30">
        <f>H45*VLOOKUP(AA$51,tech_data!$B$2:$K$15,10,FALSE)/1000</f>
        <v>561.79532068831304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314048.66711210227</v>
      </c>
      <c r="AG69" s="30">
        <f>N69*VLOOKUP(AG$51,tech_data!$B$2:$K$15,10,FALSE)*1000</f>
        <v>0</v>
      </c>
      <c r="AH69" s="30">
        <f>O69*VLOOKUP(AH$51,tech_data!$B$2:$K$15,10,FALSE)*1000</f>
        <v>18849.065953732385</v>
      </c>
      <c r="AI69" s="30"/>
      <c r="AJ69" s="30">
        <f t="shared" si="55"/>
        <v>234538243.91905135</v>
      </c>
      <c r="AK69" s="25">
        <f t="shared" si="61"/>
        <v>4.3297238872635785E-2</v>
      </c>
      <c r="AL69" s="24">
        <f t="shared" si="66"/>
        <v>6.7000000000000004E-2</v>
      </c>
      <c r="AM69" s="26"/>
      <c r="AN69" s="24"/>
      <c r="AO69" s="20" t="str">
        <f t="shared" si="56"/>
        <v>JAWA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3077.5395732481074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930.45864416956306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3423.8291796891194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2.0709560994465832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67.80998766448127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249.96245148185582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84.893391969717015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2061.4114021319665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2979.715852113568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4.1598128073815666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1.0601073446648233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4.1639041292898602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2.1077484694241688</v>
      </c>
      <c r="BD69" s="30">
        <f t="shared" si="62"/>
        <v>12889.183011318584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8"/>
        <v>JAWA</v>
      </c>
      <c r="C70" s="20">
        <f t="shared" si="78"/>
        <v>2037</v>
      </c>
      <c r="D70" s="30">
        <f>(Jawa!D46*3.6/(VLOOKUP(D$51,tech_data!$B$2:$J$15,4,FALSE)/100))/1000</f>
        <v>1384.6485002315412</v>
      </c>
      <c r="E70" s="30">
        <f>(Jawa!E46*3.6/(VLOOKUP(E$51,tech_data!$B$2:$J$15,4,FALSE)/100))/1000</f>
        <v>359.66952299070499</v>
      </c>
      <c r="F70" s="30">
        <f>(Jawa!F46*3.6/(VLOOKUP(F$51,tech_data!$B$2:$J$15,4,FALSE)/100))/1000</f>
        <v>1292.5422121642039</v>
      </c>
      <c r="G70" s="30">
        <f>(Jawa!G46*3.6/(VLOOKUP(G$51,tech_data!$B$2:$J$15,4,FALSE)/100))/1000</f>
        <v>2.9001190954188805</v>
      </c>
      <c r="H70" s="30">
        <f t="shared" si="57"/>
        <v>32.153627257200746</v>
      </c>
      <c r="I70" s="30">
        <f>(Jawa!I46*3.6/(VLOOKUP(I$51,tech_data!$B$2:$J$15,4,FALSE)/100))/1000</f>
        <v>111.1948476233721</v>
      </c>
      <c r="J70" s="30">
        <f>(Jawa!J46*3.6/(VLOOKUP(J$51,tech_data!$B$2:$J$15,4,FALSE)/100))/1000</f>
        <v>44.894812498877599</v>
      </c>
      <c r="K70" s="30">
        <f t="shared" ref="K70:L70" si="81">K46*3.6/1000</f>
        <v>120.33461776727243</v>
      </c>
      <c r="L70" s="30">
        <f t="shared" si="81"/>
        <v>225.66277877986838</v>
      </c>
      <c r="M70" s="30">
        <f>(Jawa!M46*3.6/(VLOOKUP(M$51,tech_data!$B$2:$J$15,4,FALSE)/100))/1000</f>
        <v>2.7950219572098818</v>
      </c>
      <c r="N70" s="30">
        <f t="shared" si="59"/>
        <v>8.6145671872295798E-2</v>
      </c>
      <c r="O70" s="30">
        <f>(Jawa!O46*3.6/(VLOOKUP(O$51,tech_data!$B$2:$J$15,4,FALSE)/100))/1000</f>
        <v>0.67875642613368337</v>
      </c>
      <c r="P70" s="30">
        <v>0</v>
      </c>
      <c r="Q70" s="30">
        <f t="shared" si="53"/>
        <v>3577.5609624636754</v>
      </c>
      <c r="R70" s="30"/>
      <c r="T70" s="19"/>
      <c r="U70" s="20" t="str">
        <f t="shared" si="54"/>
        <v>JAWA</v>
      </c>
      <c r="V70" s="20">
        <f t="shared" si="54"/>
        <v>2037</v>
      </c>
      <c r="W70" s="30">
        <f>D70*VLOOKUP(W$51,tech_data!$B$2:$K$15,10,FALSE)*1000</f>
        <v>138077148.44308931</v>
      </c>
      <c r="X70" s="30">
        <f>E70*VLOOKUP(X$51,tech_data!$B$2:$K$15,10,FALSE)*1000</f>
        <v>22335477.377722781</v>
      </c>
      <c r="Y70" s="30">
        <f>F70*VLOOKUP(Y$51,tech_data!$B$2:$K$15,10,FALSE)*1000</f>
        <v>80266871.375397071</v>
      </c>
      <c r="Z70" s="30">
        <f>G70*VLOOKUP(Z$51,tech_data!$B$2:$K$15,10,FALSE)*1000</f>
        <v>218001.95240263725</v>
      </c>
      <c r="AA70" s="30">
        <f>H46*VLOOKUP(AA$51,tech_data!$B$2:$K$15,10,FALSE)/1000</f>
        <v>561.79532068831304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314048.66711210227</v>
      </c>
      <c r="AG70" s="30">
        <f>N70*VLOOKUP(AG$51,tech_data!$B$2:$K$15,10,FALSE)*1000</f>
        <v>0</v>
      </c>
      <c r="AH70" s="30">
        <f>O70*VLOOKUP(AH$51,tech_data!$B$2:$K$15,10,FALSE)*1000</f>
        <v>18849.065953732385</v>
      </c>
      <c r="AI70" s="30"/>
      <c r="AJ70" s="30">
        <f t="shared" si="55"/>
        <v>241230958.67699832</v>
      </c>
      <c r="AK70" s="25">
        <f t="shared" si="61"/>
        <v>2.8535707636051438E-2</v>
      </c>
      <c r="AL70" s="24">
        <f t="shared" si="66"/>
        <v>6.7000000000000004E-2</v>
      </c>
      <c r="AM70" s="26"/>
      <c r="AN70" s="24"/>
      <c r="AO70" s="20" t="str">
        <f t="shared" si="56"/>
        <v>JAWA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2502.3218547450347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993.03596932173059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2663.9040003233094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1.2424550980484352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67.80998766448127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249.96245148185582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84.893391969717015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1986.3872439670834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2385.4871975571837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4.1598128073815666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1.0601073446648233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4.1639041292898602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1.6276810730018185</v>
      </c>
      <c r="BD70" s="30">
        <f t="shared" si="62"/>
        <v>10946.056057482783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8"/>
        <v>JAWA</v>
      </c>
      <c r="C71" s="20">
        <f t="shared" si="78"/>
        <v>2038</v>
      </c>
      <c r="D71" s="30">
        <f>(Jawa!D47*3.6/(VLOOKUP(D$51,tech_data!$B$2:$J$15,4,FALSE)/100))/1000</f>
        <v>1452.1510047548034</v>
      </c>
      <c r="E71" s="30">
        <f>(Jawa!E47*3.6/(VLOOKUP(E$51,tech_data!$B$2:$J$15,4,FALSE)/100))/1000</f>
        <v>391.38908311365304</v>
      </c>
      <c r="F71" s="30">
        <f>(Jawa!F47*3.6/(VLOOKUP(F$51,tech_data!$B$2:$J$15,4,FALSE)/100))/1000</f>
        <v>1354.3105283451696</v>
      </c>
      <c r="G71" s="30">
        <f>(Jawa!G47*3.6/(VLOOKUP(G$51,tech_data!$B$2:$J$15,4,FALSE)/100))/1000</f>
        <v>3.002428265521865</v>
      </c>
      <c r="H71" s="30">
        <f t="shared" si="57"/>
        <v>32.153627257200746</v>
      </c>
      <c r="I71" s="30">
        <f>(Jawa!I47*3.6/(VLOOKUP(I$51,tech_data!$B$2:$J$15,4,FALSE)/100))/1000</f>
        <v>111.1948476233721</v>
      </c>
      <c r="J71" s="30">
        <f>(Jawa!J47*3.6/(VLOOKUP(J$51,tech_data!$B$2:$J$15,4,FALSE)/100))/1000</f>
        <v>53.320957723090515</v>
      </c>
      <c r="K71" s="30">
        <f t="shared" ref="K71:L71" si="82">K47*3.6/1000</f>
        <v>135.0664406019992</v>
      </c>
      <c r="L71" s="30">
        <f t="shared" si="82"/>
        <v>240.11564187879571</v>
      </c>
      <c r="M71" s="30">
        <f>(Jawa!M47*3.6/(VLOOKUP(M$51,tech_data!$B$2:$J$15,4,FALSE)/100))/1000</f>
        <v>2.7950219586195719</v>
      </c>
      <c r="N71" s="30">
        <f t="shared" si="59"/>
        <v>8.6145671872295798E-2</v>
      </c>
      <c r="O71" s="30">
        <f>(Jawa!O47*3.6/(VLOOKUP(O$51,tech_data!$B$2:$J$15,4,FALSE)/100))/1000</f>
        <v>0.67875642613368337</v>
      </c>
      <c r="P71" s="30">
        <v>0</v>
      </c>
      <c r="Q71" s="30">
        <f t="shared" si="53"/>
        <v>3776.2644836202307</v>
      </c>
      <c r="R71" s="30"/>
      <c r="T71" s="19"/>
      <c r="U71" s="20" t="str">
        <f t="shared" si="54"/>
        <v>JAWA</v>
      </c>
      <c r="V71" s="20">
        <f t="shared" si="54"/>
        <v>2038</v>
      </c>
      <c r="W71" s="30">
        <f>D71*VLOOKUP(W$51,tech_data!$B$2:$K$15,10,FALSE)*1000</f>
        <v>144808498.19414899</v>
      </c>
      <c r="X71" s="30">
        <f>E71*VLOOKUP(X$51,tech_data!$B$2:$K$15,10,FALSE)*1000</f>
        <v>24305262.061357856</v>
      </c>
      <c r="Y71" s="30">
        <f>F71*VLOOKUP(Y$51,tech_data!$B$2:$K$15,10,FALSE)*1000</f>
        <v>84102683.810235023</v>
      </c>
      <c r="Z71" s="30">
        <f>G71*VLOOKUP(Z$51,tech_data!$B$2:$K$15,10,FALSE)*1000</f>
        <v>225692.53271927859</v>
      </c>
      <c r="AA71" s="30">
        <f>H47*VLOOKUP(AA$51,tech_data!$B$2:$K$15,10,FALSE)/1000</f>
        <v>561.79532068831304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314048.66727049509</v>
      </c>
      <c r="AG71" s="30">
        <f>N71*VLOOKUP(AG$51,tech_data!$B$2:$K$15,10,FALSE)*1000</f>
        <v>0</v>
      </c>
      <c r="AH71" s="30">
        <f>O71*VLOOKUP(AH$51,tech_data!$B$2:$K$15,10,FALSE)*1000</f>
        <v>18849.065953732385</v>
      </c>
      <c r="AI71" s="30"/>
      <c r="AJ71" s="30">
        <f t="shared" si="55"/>
        <v>253775596.12700605</v>
      </c>
      <c r="AK71" s="25">
        <f t="shared" si="61"/>
        <v>5.2002601651161467E-2</v>
      </c>
      <c r="AL71" s="24">
        <f>AL70</f>
        <v>6.7000000000000004E-2</v>
      </c>
      <c r="AM71" s="26"/>
      <c r="AN71" s="24"/>
      <c r="AO71" s="20" t="str">
        <f t="shared" si="56"/>
        <v>JAWA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3699.3577971836248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1055.7779046946432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4170.7750582787221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2.683818956862055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67.80998766448127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249.96245148185582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911.72883568960174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2709.469949771817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2794.2404089206198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4.1598128972880231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1.0601073446648233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4.1639041292898602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2.5601895882016832</v>
      </c>
      <c r="BD71" s="30">
        <f t="shared" si="62"/>
        <v>15673.750226601671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3">B28</f>
        <v>JAWA</v>
      </c>
      <c r="C76" s="20">
        <f t="shared" si="83"/>
        <v>2019</v>
      </c>
      <c r="D76" s="30">
        <f>D28*3.6/1000</f>
        <v>402.29490575999995</v>
      </c>
      <c r="E76" s="30">
        <f t="shared" ref="E76:O76" si="84">E28*3.6/1000</f>
        <v>31.174082340679391</v>
      </c>
      <c r="F76" s="30">
        <f t="shared" si="84"/>
        <v>98.244950355581551</v>
      </c>
      <c r="G76" s="30">
        <f t="shared" si="84"/>
        <v>0.59601118729846159</v>
      </c>
      <c r="H76" s="30">
        <f t="shared" si="84"/>
        <v>28.145210466461535</v>
      </c>
      <c r="I76" s="30">
        <f t="shared" si="84"/>
        <v>41.541445641600006</v>
      </c>
      <c r="J76" s="30">
        <f t="shared" si="84"/>
        <v>0.36970477587692319</v>
      </c>
      <c r="K76" s="30">
        <f t="shared" si="84"/>
        <v>6.6225600000000004E-3</v>
      </c>
      <c r="L76" s="30">
        <f t="shared" si="84"/>
        <v>0</v>
      </c>
      <c r="M76" s="30">
        <f t="shared" si="84"/>
        <v>7.1931190153846164E-2</v>
      </c>
      <c r="N76" s="30">
        <f t="shared" si="84"/>
        <v>0</v>
      </c>
      <c r="O76" s="30">
        <f t="shared" si="84"/>
        <v>0</v>
      </c>
      <c r="P76" s="30">
        <f>(Jawa!P52*3.6/(VLOOKUP(P$51,tech_data!$B$2:$J$15,4,FALSE)/100))/1000</f>
        <v>0</v>
      </c>
      <c r="Q76" s="30">
        <f t="shared" ref="Q76:Q95" si="85">SUM(D76:O76)</f>
        <v>602.44486427765162</v>
      </c>
      <c r="R76" s="30"/>
      <c r="S76" s="23"/>
      <c r="T76" s="19"/>
      <c r="U76" s="20" t="str">
        <f t="shared" ref="U76:V91" si="86">U28</f>
        <v>JAWA</v>
      </c>
      <c r="V76" s="20">
        <f t="shared" si="86"/>
        <v>2019</v>
      </c>
      <c r="W76" s="30">
        <f>D52*(1-(VLOOKUP(W$75,tech_data!$B$2:$O$15,4,FALSE)/100))</f>
        <v>638.12295396413776</v>
      </c>
      <c r="X76" s="30">
        <f>E52*(1-(VLOOKUP(X$75,tech_data!$B$2:$O$15,4,FALSE)/100))</f>
        <v>56.229886838795544</v>
      </c>
      <c r="Y76" s="30">
        <f>F52*(1-(VLOOKUP(Y$75,tech_data!$B$2:$O$15,4,FALSE)/100))</f>
        <v>70.174964539701108</v>
      </c>
      <c r="Z76" s="30">
        <f>G52*(1-(VLOOKUP(Z$75,tech_data!$B$2:$O$15,4,FALSE)/100))</f>
        <v>0.69966530682862882</v>
      </c>
      <c r="AA76" s="30">
        <f>H52*(1-(VLOOKUP(AA$75,tech_data!$B$2:$O$15,4,FALSE)/100))</f>
        <v>24.345607053489228</v>
      </c>
      <c r="AB76" s="30">
        <f>I52*(1-(VLOOKUP(AB$75,tech_data!$B$2:$O$15,4,FALSE)/100))</f>
        <v>2.1863918758736864</v>
      </c>
      <c r="AC76" s="30">
        <f>J52*(1-(VLOOKUP(AC$75,tech_data!$B$2:$O$15,4,FALSE)/100))</f>
        <v>9.2426193969230783E-2</v>
      </c>
      <c r="AD76" s="30">
        <f>K52*(1-(VLOOKUP(AD$75,tech_data!$B$2:$O$15,4,FALSE)/100))</f>
        <v>5.5629503999999998E-3</v>
      </c>
      <c r="AE76" s="30">
        <f>L52*(1-(VLOOKUP(AE$75,tech_data!$B$2:$O$15,4,FALSE)/100))</f>
        <v>0</v>
      </c>
      <c r="AF76" s="30">
        <f>M52*(1-(VLOOKUP(AF$75,tech_data!$B$2:$O$15,4,FALSE)/100))</f>
        <v>0.16010490711662531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(Jawa!AI52*3.6/(VLOOKUP(AI$51,tech_data!$B$2:$J$15,4,FALSE)/100))/1000</f>
        <v>0</v>
      </c>
      <c r="AJ76" s="30">
        <f t="shared" ref="AJ76:AJ95" si="87">SUM(W76:AH76)</f>
        <v>792.01756363031177</v>
      </c>
      <c r="AK76" s="30"/>
      <c r="AL76" s="23"/>
      <c r="AR76" s="30"/>
      <c r="AS76" s="30"/>
    </row>
    <row r="77" spans="1:82" x14ac:dyDescent="0.25">
      <c r="A77" s="19"/>
      <c r="B77" s="20" t="str">
        <f t="shared" si="83"/>
        <v>JAWA</v>
      </c>
      <c r="C77" s="20">
        <f t="shared" si="83"/>
        <v>2020</v>
      </c>
      <c r="D77" s="30">
        <f t="shared" ref="D77:O92" si="88">D29*3.6/1000</f>
        <v>429.27183254461164</v>
      </c>
      <c r="E77" s="30">
        <f t="shared" si="88"/>
        <v>31.174082340679391</v>
      </c>
      <c r="F77" s="30">
        <f t="shared" si="88"/>
        <v>108.26529007863212</v>
      </c>
      <c r="G77" s="30">
        <f t="shared" si="88"/>
        <v>0.59601118729846159</v>
      </c>
      <c r="H77" s="30">
        <f t="shared" si="88"/>
        <v>28.145210466461535</v>
      </c>
      <c r="I77" s="30">
        <f t="shared" si="88"/>
        <v>75.094550403035726</v>
      </c>
      <c r="J77" s="30">
        <f t="shared" si="88"/>
        <v>0.97834429791721655</v>
      </c>
      <c r="K77" s="30">
        <f t="shared" si="88"/>
        <v>33.989697169355999</v>
      </c>
      <c r="L77" s="30">
        <f t="shared" si="88"/>
        <v>0.16685800044540094</v>
      </c>
      <c r="M77" s="30">
        <f t="shared" si="88"/>
        <v>7.1931190153846164E-2</v>
      </c>
      <c r="N77" s="30">
        <f t="shared" si="88"/>
        <v>6.0265584516019155E-2</v>
      </c>
      <c r="O77" s="30">
        <f t="shared" si="88"/>
        <v>0</v>
      </c>
      <c r="P77" s="30">
        <f>(Jawa!P53*3.6/(VLOOKUP(P$51,tech_data!$B$2:$J$15,4,FALSE)/100))/1000</f>
        <v>0</v>
      </c>
      <c r="Q77" s="30">
        <f t="shared" si="85"/>
        <v>707.81407326310739</v>
      </c>
      <c r="R77" s="30"/>
      <c r="S77" s="23"/>
      <c r="T77" s="19"/>
      <c r="U77" s="20" t="str">
        <f t="shared" si="86"/>
        <v>JAWA</v>
      </c>
      <c r="V77" s="20">
        <f t="shared" si="86"/>
        <v>2020</v>
      </c>
      <c r="W77" s="30">
        <f>D53*(1-(VLOOKUP(W$75,tech_data!$B$2:$O$15,4,FALSE)/100))</f>
        <v>680.91394127765989</v>
      </c>
      <c r="X77" s="30">
        <f>E53*(1-(VLOOKUP(X$75,tech_data!$B$2:$O$15,4,FALSE)/100))</f>
        <v>56.229886838795544</v>
      </c>
      <c r="Y77" s="30">
        <f>F53*(1-(VLOOKUP(Y$75,tech_data!$B$2:$O$15,4,FALSE)/100))</f>
        <v>77.332350056165794</v>
      </c>
      <c r="Z77" s="30">
        <f>G53*(1-(VLOOKUP(Z$75,tech_data!$B$2:$O$15,4,FALSE)/100))</f>
        <v>0.69966530682862882</v>
      </c>
      <c r="AA77" s="30">
        <f>H53*(1-(VLOOKUP(AA$75,tech_data!$B$2:$O$15,4,FALSE)/100))</f>
        <v>24.345607053489228</v>
      </c>
      <c r="AB77" s="30">
        <f>I53*(1-(VLOOKUP(AB$75,tech_data!$B$2:$O$15,4,FALSE)/100))</f>
        <v>3.9523447580545161</v>
      </c>
      <c r="AC77" s="30">
        <f>J53*(1-(VLOOKUP(AC$75,tech_data!$B$2:$O$15,4,FALSE)/100))</f>
        <v>0.24458607447930406</v>
      </c>
      <c r="AD77" s="30">
        <f>K53*(1-(VLOOKUP(AD$75,tech_data!$B$2:$O$15,4,FALSE)/100))</f>
        <v>28.551345622259038</v>
      </c>
      <c r="AE77" s="30">
        <f>L53*(1-(VLOOKUP(AE$75,tech_data!$B$2:$O$15,4,FALSE)/100))</f>
        <v>6.7911206181278189E-2</v>
      </c>
      <c r="AF77" s="30">
        <f>M53*(1-(VLOOKUP(AF$75,tech_data!$B$2:$O$15,4,FALSE)/100))</f>
        <v>0.16010490711662531</v>
      </c>
      <c r="AG77" s="30">
        <f>N53*(1-(VLOOKUP(AG$75,tech_data!$B$2:$O$15,4,FALSE)/100))</f>
        <v>5.3234599655816945E-3</v>
      </c>
      <c r="AH77" s="30">
        <f>O53*(1-(VLOOKUP(AH$75,tech_data!$B$2:$O$15,4,FALSE)/100))</f>
        <v>0</v>
      </c>
      <c r="AI77" s="30">
        <f>(Jawa!AI53*3.6/(VLOOKUP(AI$51,tech_data!$B$2:$J$15,4,FALSE)/100))/1000</f>
        <v>0</v>
      </c>
      <c r="AJ77" s="30">
        <f t="shared" si="87"/>
        <v>872.50306656099542</v>
      </c>
      <c r="AK77" s="30"/>
      <c r="AL77" s="23"/>
      <c r="AR77" s="30"/>
      <c r="AS77" s="30"/>
    </row>
    <row r="78" spans="1:82" x14ac:dyDescent="0.25">
      <c r="A78" s="19"/>
      <c r="B78" s="20" t="str">
        <f t="shared" si="83"/>
        <v>JAWA</v>
      </c>
      <c r="C78" s="20">
        <f t="shared" si="83"/>
        <v>2021</v>
      </c>
      <c r="D78" s="30">
        <f t="shared" si="88"/>
        <v>451.16172319440921</v>
      </c>
      <c r="E78" s="30">
        <f t="shared" si="88"/>
        <v>31.174082340679391</v>
      </c>
      <c r="F78" s="30">
        <f t="shared" si="88"/>
        <v>135.65916217117075</v>
      </c>
      <c r="G78" s="30">
        <f t="shared" si="88"/>
        <v>0.59601118729846159</v>
      </c>
      <c r="H78" s="30">
        <f t="shared" si="88"/>
        <v>28.145210466461535</v>
      </c>
      <c r="I78" s="30">
        <f t="shared" si="88"/>
        <v>91.871103654317849</v>
      </c>
      <c r="J78" s="30">
        <f t="shared" si="88"/>
        <v>31.678084992281693</v>
      </c>
      <c r="K78" s="30">
        <f t="shared" si="88"/>
        <v>37.382603163763818</v>
      </c>
      <c r="L78" s="30">
        <f t="shared" si="88"/>
        <v>19.719797681137553</v>
      </c>
      <c r="M78" s="30">
        <f t="shared" si="88"/>
        <v>7.1931190153846164E-2</v>
      </c>
      <c r="N78" s="30">
        <f t="shared" si="88"/>
        <v>8.6145671872338639E-2</v>
      </c>
      <c r="O78" s="30">
        <f t="shared" si="88"/>
        <v>0</v>
      </c>
      <c r="P78" s="30">
        <f>(Jawa!P54*3.6/(VLOOKUP(P$51,tech_data!$B$2:$J$15,4,FALSE)/100))/1000</f>
        <v>0</v>
      </c>
      <c r="Q78" s="30">
        <f t="shared" si="85"/>
        <v>827.54585571354653</v>
      </c>
      <c r="R78" s="30"/>
      <c r="S78" s="23"/>
      <c r="T78" s="19"/>
      <c r="U78" s="20" t="str">
        <f t="shared" si="86"/>
        <v>JAWA</v>
      </c>
      <c r="V78" s="20">
        <f t="shared" si="86"/>
        <v>2021</v>
      </c>
      <c r="W78" s="30">
        <f>D54*(1-(VLOOKUP(W$75,tech_data!$B$2:$O$15,4,FALSE)/100))</f>
        <v>715.63583679113174</v>
      </c>
      <c r="X78" s="30">
        <f>E54*(1-(VLOOKUP(X$75,tech_data!$B$2:$O$15,4,FALSE)/100))</f>
        <v>56.229886838795544</v>
      </c>
      <c r="Y78" s="30">
        <f>F54*(1-(VLOOKUP(Y$75,tech_data!$B$2:$O$15,4,FALSE)/100))</f>
        <v>96.899401550836245</v>
      </c>
      <c r="Z78" s="30">
        <f>G54*(1-(VLOOKUP(Z$75,tech_data!$B$2:$O$15,4,FALSE)/100))</f>
        <v>0.69966530682862882</v>
      </c>
      <c r="AA78" s="30">
        <f>H54*(1-(VLOOKUP(AA$75,tech_data!$B$2:$O$15,4,FALSE)/100))</f>
        <v>24.345607053489228</v>
      </c>
      <c r="AB78" s="30">
        <f>I54*(1-(VLOOKUP(AB$75,tech_data!$B$2:$O$15,4,FALSE)/100))</f>
        <v>4.835321244964101</v>
      </c>
      <c r="AC78" s="30">
        <f>J54*(1-(VLOOKUP(AC$75,tech_data!$B$2:$O$15,4,FALSE)/100))</f>
        <v>7.9195212480704207</v>
      </c>
      <c r="AD78" s="30">
        <f>K54*(1-(VLOOKUP(AD$75,tech_data!$B$2:$O$15,4,FALSE)/100))</f>
        <v>31.401386657561606</v>
      </c>
      <c r="AE78" s="30">
        <f>L54*(1-(VLOOKUP(AE$75,tech_data!$B$2:$O$15,4,FALSE)/100))</f>
        <v>8.0259576562229853</v>
      </c>
      <c r="AF78" s="30">
        <f>M54*(1-(VLOOKUP(AF$75,tech_data!$B$2:$O$15,4,FALSE)/100))</f>
        <v>0.16010490711662531</v>
      </c>
      <c r="AG78" s="30">
        <f>N54*(1-(VLOOKUP(AG$75,tech_data!$B$2:$O$15,4,FALSE)/100))</f>
        <v>7.6095343487232502E-3</v>
      </c>
      <c r="AH78" s="30">
        <f>O54*(1-(VLOOKUP(AH$75,tech_data!$B$2:$O$15,4,FALSE)/100))</f>
        <v>0</v>
      </c>
      <c r="AI78" s="30">
        <f>(Jawa!AI54*3.6/(VLOOKUP(AI$51,tech_data!$B$2:$J$15,4,FALSE)/100))/1000</f>
        <v>0</v>
      </c>
      <c r="AJ78" s="30">
        <f t="shared" si="87"/>
        <v>946.16029878936581</v>
      </c>
      <c r="AK78" s="30"/>
      <c r="AL78" s="23"/>
      <c r="AR78" s="30"/>
      <c r="AS78" s="30"/>
    </row>
    <row r="79" spans="1:82" x14ac:dyDescent="0.25">
      <c r="A79" s="19"/>
      <c r="B79" s="20" t="str">
        <f t="shared" si="83"/>
        <v>JAWA</v>
      </c>
      <c r="C79" s="20">
        <f t="shared" si="83"/>
        <v>2022</v>
      </c>
      <c r="D79" s="30">
        <f t="shared" si="88"/>
        <v>451.16172319440921</v>
      </c>
      <c r="E79" s="30">
        <f t="shared" si="88"/>
        <v>31.174082340679391</v>
      </c>
      <c r="F79" s="30">
        <f t="shared" si="88"/>
        <v>194.72913930715649</v>
      </c>
      <c r="G79" s="30">
        <f t="shared" si="88"/>
        <v>0.82577807509690027</v>
      </c>
      <c r="H79" s="30">
        <f t="shared" si="88"/>
        <v>28.145210710365618</v>
      </c>
      <c r="I79" s="30">
        <f t="shared" si="88"/>
        <v>91.871103654317849</v>
      </c>
      <c r="J79" s="30">
        <f t="shared" si="88"/>
        <v>31.678084992281693</v>
      </c>
      <c r="K79" s="30">
        <f t="shared" si="88"/>
        <v>37.382603163763818</v>
      </c>
      <c r="L79" s="30">
        <f t="shared" si="88"/>
        <v>19.719797681137553</v>
      </c>
      <c r="M79" s="30">
        <f t="shared" si="88"/>
        <v>7.1931190153846164E-2</v>
      </c>
      <c r="N79" s="30">
        <f t="shared" si="88"/>
        <v>8.6145671872295798E-2</v>
      </c>
      <c r="O79" s="30">
        <f t="shared" si="88"/>
        <v>0</v>
      </c>
      <c r="P79" s="30">
        <f>(Jawa!P55*3.6/(VLOOKUP(P$51,tech_data!$B$2:$J$15,4,FALSE)/100))/1000</f>
        <v>0</v>
      </c>
      <c r="Q79" s="30">
        <f t="shared" si="85"/>
        <v>886.84559998123461</v>
      </c>
      <c r="R79" s="30"/>
      <c r="S79" s="23"/>
      <c r="T79" s="19"/>
      <c r="U79" s="20" t="str">
        <f t="shared" si="86"/>
        <v>JAWA</v>
      </c>
      <c r="V79" s="20">
        <f t="shared" si="86"/>
        <v>2022</v>
      </c>
      <c r="W79" s="30">
        <f>D55*(1-(VLOOKUP(W$75,tech_data!$B$2:$O$15,4,FALSE)/100))</f>
        <v>715.63583679113174</v>
      </c>
      <c r="X79" s="30">
        <f>E55*(1-(VLOOKUP(X$75,tech_data!$B$2:$O$15,4,FALSE)/100))</f>
        <v>56.229886838795544</v>
      </c>
      <c r="Y79" s="30">
        <f>F55*(1-(VLOOKUP(Y$75,tech_data!$B$2:$O$15,4,FALSE)/100))</f>
        <v>139.09224236225461</v>
      </c>
      <c r="Z79" s="30">
        <f>G55*(1-(VLOOKUP(Z$75,tech_data!$B$2:$O$15,4,FALSE)/100))</f>
        <v>0.96939165337462208</v>
      </c>
      <c r="AA79" s="30">
        <f>H55*(1-(VLOOKUP(AA$75,tech_data!$B$2:$O$15,4,FALSE)/100))</f>
        <v>24.34560726446626</v>
      </c>
      <c r="AB79" s="30">
        <f>I55*(1-(VLOOKUP(AB$75,tech_data!$B$2:$O$15,4,FALSE)/100))</f>
        <v>4.835321244964101</v>
      </c>
      <c r="AC79" s="30">
        <f>J55*(1-(VLOOKUP(AC$75,tech_data!$B$2:$O$15,4,FALSE)/100))</f>
        <v>7.9195212480704207</v>
      </c>
      <c r="AD79" s="30">
        <f>K55*(1-(VLOOKUP(AD$75,tech_data!$B$2:$O$15,4,FALSE)/100))</f>
        <v>31.401386657561606</v>
      </c>
      <c r="AE79" s="30">
        <f>L55*(1-(VLOOKUP(AE$75,tech_data!$B$2:$O$15,4,FALSE)/100))</f>
        <v>8.0259576562229853</v>
      </c>
      <c r="AF79" s="30">
        <f>M55*(1-(VLOOKUP(AF$75,tech_data!$B$2:$O$15,4,FALSE)/100))</f>
        <v>0.16010490711662531</v>
      </c>
      <c r="AG79" s="30">
        <f>N55*(1-(VLOOKUP(AG$75,tech_data!$B$2:$O$15,4,FALSE)/100))</f>
        <v>7.6095343487194659E-3</v>
      </c>
      <c r="AH79" s="30">
        <f>O55*(1-(VLOOKUP(AH$75,tech_data!$B$2:$O$15,4,FALSE)/100))</f>
        <v>0</v>
      </c>
      <c r="AI79" s="30">
        <f>(Jawa!AI55*3.6/(VLOOKUP(AI$51,tech_data!$B$2:$J$15,4,FALSE)/100))/1000</f>
        <v>0</v>
      </c>
      <c r="AJ79" s="30">
        <f t="shared" si="87"/>
        <v>988.62286615830726</v>
      </c>
      <c r="AK79" s="30"/>
      <c r="AL79" s="23"/>
      <c r="AR79" s="30"/>
      <c r="AS79" s="30"/>
    </row>
    <row r="80" spans="1:82" x14ac:dyDescent="0.25">
      <c r="A80" s="19"/>
      <c r="B80" s="20" t="str">
        <f t="shared" si="83"/>
        <v>JAWA</v>
      </c>
      <c r="C80" s="20">
        <f t="shared" si="83"/>
        <v>2023</v>
      </c>
      <c r="D80" s="30">
        <f t="shared" si="88"/>
        <v>451.16172319440921</v>
      </c>
      <c r="E80" s="30">
        <f t="shared" si="88"/>
        <v>31.174082340679391</v>
      </c>
      <c r="F80" s="30">
        <f t="shared" si="88"/>
        <v>236.34166312693102</v>
      </c>
      <c r="G80" s="30">
        <f t="shared" si="88"/>
        <v>0.84725428523573376</v>
      </c>
      <c r="H80" s="30">
        <f t="shared" si="88"/>
        <v>28.145210710365618</v>
      </c>
      <c r="I80" s="30">
        <f t="shared" si="88"/>
        <v>91.871103654317849</v>
      </c>
      <c r="J80" s="30">
        <f t="shared" si="88"/>
        <v>31.678084992281693</v>
      </c>
      <c r="K80" s="30">
        <f t="shared" si="88"/>
        <v>37.382603163763818</v>
      </c>
      <c r="L80" s="30">
        <f t="shared" si="88"/>
        <v>19.719797681137553</v>
      </c>
      <c r="M80" s="30">
        <f t="shared" si="88"/>
        <v>7.1931190153846164E-2</v>
      </c>
      <c r="N80" s="30">
        <f t="shared" si="88"/>
        <v>8.6145671872295798E-2</v>
      </c>
      <c r="O80" s="30">
        <f t="shared" si="88"/>
        <v>0</v>
      </c>
      <c r="P80" s="30">
        <f>(Jawa!P56*3.6/(VLOOKUP(P$51,tech_data!$B$2:$J$15,4,FALSE)/100))/1000</f>
        <v>0</v>
      </c>
      <c r="Q80" s="30">
        <f t="shared" si="85"/>
        <v>928.47960001114802</v>
      </c>
      <c r="R80" s="30"/>
      <c r="S80" s="23"/>
      <c r="T80" s="19"/>
      <c r="U80" s="20" t="str">
        <f t="shared" si="86"/>
        <v>JAWA</v>
      </c>
      <c r="V80" s="20">
        <f t="shared" si="86"/>
        <v>2023</v>
      </c>
      <c r="W80" s="30">
        <f>D56*(1-(VLOOKUP(W$75,tech_data!$B$2:$O$15,4,FALSE)/100))</f>
        <v>715.63583679113174</v>
      </c>
      <c r="X80" s="30">
        <f>E56*(1-(VLOOKUP(X$75,tech_data!$B$2:$O$15,4,FALSE)/100))</f>
        <v>56.229886838795544</v>
      </c>
      <c r="Y80" s="30">
        <f>F56*(1-(VLOOKUP(Y$75,tech_data!$B$2:$O$15,4,FALSE)/100))</f>
        <v>168.81547366209355</v>
      </c>
      <c r="Z80" s="30">
        <f>G56*(1-(VLOOKUP(Z$75,tech_data!$B$2:$O$15,4,FALSE)/100))</f>
        <v>0.99460285658107872</v>
      </c>
      <c r="AA80" s="30">
        <f>H56*(1-(VLOOKUP(AA$75,tech_data!$B$2:$O$15,4,FALSE)/100))</f>
        <v>24.34560726446626</v>
      </c>
      <c r="AB80" s="30">
        <f>I56*(1-(VLOOKUP(AB$75,tech_data!$B$2:$O$15,4,FALSE)/100))</f>
        <v>4.835321244964101</v>
      </c>
      <c r="AC80" s="30">
        <f>J56*(1-(VLOOKUP(AC$75,tech_data!$B$2:$O$15,4,FALSE)/100))</f>
        <v>7.9195212480704207</v>
      </c>
      <c r="AD80" s="30">
        <f>K56*(1-(VLOOKUP(AD$75,tech_data!$B$2:$O$15,4,FALSE)/100))</f>
        <v>31.401386657561606</v>
      </c>
      <c r="AE80" s="30">
        <f>L56*(1-(VLOOKUP(AE$75,tech_data!$B$2:$O$15,4,FALSE)/100))</f>
        <v>8.0259576562229853</v>
      </c>
      <c r="AF80" s="30">
        <f>M56*(1-(VLOOKUP(AF$75,tech_data!$B$2:$O$15,4,FALSE)/100))</f>
        <v>0.16010490711662531</v>
      </c>
      <c r="AG80" s="30">
        <f>N56*(1-(VLOOKUP(AG$75,tech_data!$B$2:$O$15,4,FALSE)/100))</f>
        <v>7.6095343487194659E-3</v>
      </c>
      <c r="AH80" s="30">
        <f>O56*(1-(VLOOKUP(AH$75,tech_data!$B$2:$O$15,4,FALSE)/100))</f>
        <v>0</v>
      </c>
      <c r="AI80" s="30">
        <f>(Jawa!AI56*3.6/(VLOOKUP(AI$51,tech_data!$B$2:$J$15,4,FALSE)/100))/1000</f>
        <v>0</v>
      </c>
      <c r="AJ80" s="30">
        <f t="shared" si="87"/>
        <v>1018.3713086613527</v>
      </c>
      <c r="AK80" s="30"/>
      <c r="AL80" s="23"/>
      <c r="AR80" s="30"/>
      <c r="AS80" s="30"/>
    </row>
    <row r="81" spans="1:38" x14ac:dyDescent="0.25">
      <c r="A81" s="19"/>
      <c r="B81" s="20" t="str">
        <f t="shared" si="83"/>
        <v>JAWA</v>
      </c>
      <c r="C81" s="20">
        <f t="shared" si="83"/>
        <v>2024</v>
      </c>
      <c r="D81" s="30">
        <f t="shared" si="88"/>
        <v>451.16172319440921</v>
      </c>
      <c r="E81" s="30">
        <f t="shared" si="88"/>
        <v>35.94985312362099</v>
      </c>
      <c r="F81" s="30">
        <f t="shared" si="88"/>
        <v>278.32302086796471</v>
      </c>
      <c r="G81" s="30">
        <f t="shared" si="88"/>
        <v>0.8721449194142521</v>
      </c>
      <c r="H81" s="30">
        <f t="shared" si="88"/>
        <v>28.145210710365618</v>
      </c>
      <c r="I81" s="30">
        <f t="shared" si="88"/>
        <v>91.871103654317849</v>
      </c>
      <c r="J81" s="30">
        <f t="shared" si="88"/>
        <v>31.678084992281693</v>
      </c>
      <c r="K81" s="30">
        <f t="shared" si="88"/>
        <v>37.382603163763818</v>
      </c>
      <c r="L81" s="30">
        <f t="shared" si="88"/>
        <v>19.719797681137553</v>
      </c>
      <c r="M81" s="30">
        <f t="shared" si="88"/>
        <v>7.1931190153846164E-2</v>
      </c>
      <c r="N81" s="30">
        <f t="shared" si="88"/>
        <v>8.6145671872295798E-2</v>
      </c>
      <c r="O81" s="30">
        <f t="shared" si="88"/>
        <v>0</v>
      </c>
      <c r="P81" s="30">
        <f>(Jawa!P57*3.6/(VLOOKUP(P$51,tech_data!$B$2:$J$15,4,FALSE)/100))/1000</f>
        <v>0</v>
      </c>
      <c r="Q81" s="30">
        <f t="shared" si="85"/>
        <v>975.26161916930187</v>
      </c>
      <c r="R81" s="30"/>
      <c r="S81" s="23"/>
      <c r="T81" s="19"/>
      <c r="U81" s="20" t="str">
        <f t="shared" si="86"/>
        <v>JAWA</v>
      </c>
      <c r="V81" s="20">
        <f t="shared" si="86"/>
        <v>2024</v>
      </c>
      <c r="W81" s="30">
        <f>D57*(1-(VLOOKUP(W$75,tech_data!$B$2:$O$15,4,FALSE)/100))</f>
        <v>715.63583679113174</v>
      </c>
      <c r="X81" s="30">
        <f>E57*(1-(VLOOKUP(X$75,tech_data!$B$2:$O$15,4,FALSE)/100))</f>
        <v>64.844127596811703</v>
      </c>
      <c r="Y81" s="30">
        <f>F57*(1-(VLOOKUP(Y$75,tech_data!$B$2:$O$15,4,FALSE)/100))</f>
        <v>198.80215776283191</v>
      </c>
      <c r="Z81" s="30">
        <f>G57*(1-(VLOOKUP(Z$75,tech_data!$B$2:$O$15,4,FALSE)/100))</f>
        <v>1.0238222967036872</v>
      </c>
      <c r="AA81" s="30">
        <f>H57*(1-(VLOOKUP(AA$75,tech_data!$B$2:$O$15,4,FALSE)/100))</f>
        <v>24.34560726446626</v>
      </c>
      <c r="AB81" s="30">
        <f>I57*(1-(VLOOKUP(AB$75,tech_data!$B$2:$O$15,4,FALSE)/100))</f>
        <v>4.835321244964101</v>
      </c>
      <c r="AC81" s="30">
        <f>J57*(1-(VLOOKUP(AC$75,tech_data!$B$2:$O$15,4,FALSE)/100))</f>
        <v>7.9195212480704207</v>
      </c>
      <c r="AD81" s="30">
        <f>K57*(1-(VLOOKUP(AD$75,tech_data!$B$2:$O$15,4,FALSE)/100))</f>
        <v>31.401386657561606</v>
      </c>
      <c r="AE81" s="30">
        <f>L57*(1-(VLOOKUP(AE$75,tech_data!$B$2:$O$15,4,FALSE)/100))</f>
        <v>8.0259576562229853</v>
      </c>
      <c r="AF81" s="30">
        <f>M57*(1-(VLOOKUP(AF$75,tech_data!$B$2:$O$15,4,FALSE)/100))</f>
        <v>0.16010490711662531</v>
      </c>
      <c r="AG81" s="30">
        <f>N57*(1-(VLOOKUP(AG$75,tech_data!$B$2:$O$15,4,FALSE)/100))</f>
        <v>7.6095343487194659E-3</v>
      </c>
      <c r="AH81" s="30">
        <f>O57*(1-(VLOOKUP(AH$75,tech_data!$B$2:$O$15,4,FALSE)/100))</f>
        <v>0</v>
      </c>
      <c r="AI81" s="30">
        <f>(Jawa!AI57*3.6/(VLOOKUP(AI$51,tech_data!$B$2:$J$15,4,FALSE)/100))/1000</f>
        <v>0</v>
      </c>
      <c r="AJ81" s="30">
        <f t="shared" si="87"/>
        <v>1057.0014529602299</v>
      </c>
      <c r="AK81" s="30"/>
      <c r="AL81" s="23"/>
    </row>
    <row r="82" spans="1:38" x14ac:dyDescent="0.25">
      <c r="A82" s="19"/>
      <c r="B82" s="20" t="str">
        <f t="shared" si="83"/>
        <v>JAWA</v>
      </c>
      <c r="C82" s="20">
        <f t="shared" si="83"/>
        <v>2025</v>
      </c>
      <c r="D82" s="30">
        <f t="shared" si="88"/>
        <v>451.16172319440921</v>
      </c>
      <c r="E82" s="30">
        <f t="shared" si="88"/>
        <v>40.489936263981946</v>
      </c>
      <c r="F82" s="30">
        <f t="shared" si="88"/>
        <v>292.61824328193387</v>
      </c>
      <c r="G82" s="30">
        <f t="shared" si="88"/>
        <v>0.89364082369355036</v>
      </c>
      <c r="H82" s="30">
        <f t="shared" si="88"/>
        <v>28.145210710365618</v>
      </c>
      <c r="I82" s="30">
        <f t="shared" si="88"/>
        <v>98.612657918519275</v>
      </c>
      <c r="J82" s="30">
        <f t="shared" si="88"/>
        <v>31.678084992281693</v>
      </c>
      <c r="K82" s="30">
        <f t="shared" si="88"/>
        <v>37.382603163763818</v>
      </c>
      <c r="L82" s="30">
        <f t="shared" si="88"/>
        <v>38.552736509148787</v>
      </c>
      <c r="M82" s="30">
        <f t="shared" si="88"/>
        <v>7.1931190153846164E-2</v>
      </c>
      <c r="N82" s="30">
        <f t="shared" si="88"/>
        <v>8.6145671872295798E-2</v>
      </c>
      <c r="O82" s="30">
        <f t="shared" si="88"/>
        <v>0</v>
      </c>
      <c r="P82" s="30">
        <f>(Jawa!P58*3.6/(VLOOKUP(P$51,tech_data!$B$2:$J$15,4,FALSE)/100))/1000</f>
        <v>0</v>
      </c>
      <c r="Q82" s="30">
        <f t="shared" si="85"/>
        <v>1019.6929137201239</v>
      </c>
      <c r="R82" s="30"/>
      <c r="S82" s="23"/>
      <c r="T82" s="19"/>
      <c r="U82" s="20" t="str">
        <f t="shared" si="86"/>
        <v>JAWA</v>
      </c>
      <c r="V82" s="20">
        <f t="shared" si="86"/>
        <v>2025</v>
      </c>
      <c r="W82" s="30">
        <f>D58*(1-(VLOOKUP(W$75,tech_data!$B$2:$O$15,4,FALSE)/100))</f>
        <v>715.63583679113174</v>
      </c>
      <c r="X82" s="30">
        <f>E58*(1-(VLOOKUP(X$75,tech_data!$B$2:$O$15,4,FALSE)/100))</f>
        <v>73.033249522883324</v>
      </c>
      <c r="Y82" s="30">
        <f>F58*(1-(VLOOKUP(Y$75,tech_data!$B$2:$O$15,4,FALSE)/100))</f>
        <v>209.013030915667</v>
      </c>
      <c r="Z82" s="30">
        <f>G58*(1-(VLOOKUP(Z$75,tech_data!$B$2:$O$15,4,FALSE)/100))</f>
        <v>1.0490566191185156</v>
      </c>
      <c r="AA82" s="30">
        <f>H58*(1-(VLOOKUP(AA$75,tech_data!$B$2:$O$15,4,FALSE)/100))</f>
        <v>24.34560726446626</v>
      </c>
      <c r="AB82" s="30">
        <f>I58*(1-(VLOOKUP(AB$75,tech_data!$B$2:$O$15,4,FALSE)/100))</f>
        <v>5.1901398904483891</v>
      </c>
      <c r="AC82" s="30">
        <f>J58*(1-(VLOOKUP(AC$75,tech_data!$B$2:$O$15,4,FALSE)/100))</f>
        <v>7.9195212480704207</v>
      </c>
      <c r="AD82" s="30">
        <f>K58*(1-(VLOOKUP(AD$75,tech_data!$B$2:$O$15,4,FALSE)/100))</f>
        <v>31.401386657561606</v>
      </c>
      <c r="AE82" s="30">
        <f>L58*(1-(VLOOKUP(AE$75,tech_data!$B$2:$O$15,4,FALSE)/100))</f>
        <v>15.690963759223557</v>
      </c>
      <c r="AF82" s="30">
        <f>M58*(1-(VLOOKUP(AF$75,tech_data!$B$2:$O$15,4,FALSE)/100))</f>
        <v>0.16010490711662531</v>
      </c>
      <c r="AG82" s="30">
        <f>N58*(1-(VLOOKUP(AG$75,tech_data!$B$2:$O$15,4,FALSE)/100))</f>
        <v>7.6095343487194659E-3</v>
      </c>
      <c r="AH82" s="30">
        <f>O58*(1-(VLOOKUP(AH$75,tech_data!$B$2:$O$15,4,FALSE)/100))</f>
        <v>0</v>
      </c>
      <c r="AI82" s="30">
        <f>(Jawa!AI58*3.6/(VLOOKUP(AI$51,tech_data!$B$2:$J$15,4,FALSE)/100))/1000</f>
        <v>0</v>
      </c>
      <c r="AJ82" s="30">
        <f t="shared" si="87"/>
        <v>1083.4465071100362</v>
      </c>
      <c r="AK82" s="30"/>
      <c r="AL82" s="23"/>
    </row>
    <row r="83" spans="1:38" x14ac:dyDescent="0.25">
      <c r="A83" s="19"/>
      <c r="B83" s="20" t="str">
        <f t="shared" si="83"/>
        <v>JAWA</v>
      </c>
      <c r="C83" s="20">
        <f t="shared" si="83"/>
        <v>2026</v>
      </c>
      <c r="D83" s="30">
        <f t="shared" si="88"/>
        <v>451.71017438373474</v>
      </c>
      <c r="E83" s="30">
        <f t="shared" si="88"/>
        <v>40.705864926722001</v>
      </c>
      <c r="F83" s="30">
        <f t="shared" si="88"/>
        <v>292.79846834218216</v>
      </c>
      <c r="G83" s="30">
        <f t="shared" si="88"/>
        <v>0.89364082369355036</v>
      </c>
      <c r="H83" s="30">
        <f t="shared" si="88"/>
        <v>32.153627257200746</v>
      </c>
      <c r="I83" s="30">
        <f t="shared" si="88"/>
        <v>102.62269621195813</v>
      </c>
      <c r="J83" s="30">
        <f t="shared" si="88"/>
        <v>35.915849999102079</v>
      </c>
      <c r="K83" s="30">
        <f t="shared" si="88"/>
        <v>37.814476500268576</v>
      </c>
      <c r="L83" s="30">
        <f t="shared" si="88"/>
        <v>39.753070365934612</v>
      </c>
      <c r="M83" s="30">
        <f t="shared" si="88"/>
        <v>0.86645680673506331</v>
      </c>
      <c r="N83" s="30">
        <f t="shared" si="88"/>
        <v>8.6145671872295798E-2</v>
      </c>
      <c r="O83" s="30">
        <f t="shared" si="88"/>
        <v>0.19457683799295461</v>
      </c>
      <c r="P83" s="30">
        <f>(Jawa!P59*3.6/(VLOOKUP(P$51,tech_data!$B$2:$J$15,4,FALSE)/100))/1000</f>
        <v>0</v>
      </c>
      <c r="Q83" s="30">
        <f t="shared" si="85"/>
        <v>1035.515048127397</v>
      </c>
      <c r="R83" s="30"/>
      <c r="S83" s="23"/>
      <c r="T83" s="19"/>
      <c r="U83" s="20" t="str">
        <f t="shared" si="86"/>
        <v>JAWA</v>
      </c>
      <c r="V83" s="20">
        <f t="shared" si="86"/>
        <v>2026</v>
      </c>
      <c r="W83" s="30">
        <f>D59*(1-(VLOOKUP(W$75,tech_data!$B$2:$O$15,4,FALSE)/100))</f>
        <v>716.50579385006199</v>
      </c>
      <c r="X83" s="30">
        <f>E59*(1-(VLOOKUP(X$75,tech_data!$B$2:$O$15,4,FALSE)/100))</f>
        <v>73.422728325769597</v>
      </c>
      <c r="Y83" s="30">
        <f>F59*(1-(VLOOKUP(Y$75,tech_data!$B$2:$O$15,4,FALSE)/100))</f>
        <v>209.14176310155867</v>
      </c>
      <c r="Z83" s="30">
        <f>G59*(1-(VLOOKUP(Z$75,tech_data!$B$2:$O$15,4,FALSE)/100))</f>
        <v>1.0490566191185156</v>
      </c>
      <c r="AA83" s="30">
        <f>H59*(1-(VLOOKUP(AA$75,tech_data!$B$2:$O$15,4,FALSE)/100))</f>
        <v>27.812887577478644</v>
      </c>
      <c r="AB83" s="30">
        <f>I59*(1-(VLOOKUP(AB$75,tech_data!$B$2:$O$15,4,FALSE)/100))</f>
        <v>5.4011945374714854</v>
      </c>
      <c r="AC83" s="30">
        <f>J59*(1-(VLOOKUP(AC$75,tech_data!$B$2:$O$15,4,FALSE)/100))</f>
        <v>8.978962499775518</v>
      </c>
      <c r="AD83" s="30">
        <f>K59*(1-(VLOOKUP(AD$75,tech_data!$B$2:$O$15,4,FALSE)/100))</f>
        <v>31.764160260225601</v>
      </c>
      <c r="AE83" s="30">
        <f>L59*(1-(VLOOKUP(AE$75,tech_data!$B$2:$O$15,4,FALSE)/100))</f>
        <v>16.17949963893539</v>
      </c>
      <c r="AF83" s="30">
        <f>M59*(1-(VLOOKUP(AF$75,tech_data!$B$2:$O$15,4,FALSE)/100))</f>
        <v>1.9285651504748182</v>
      </c>
      <c r="AG83" s="30">
        <f>N59*(1-(VLOOKUP(AG$75,tech_data!$B$2:$O$15,4,FALSE)/100))</f>
        <v>7.6095343487194659E-3</v>
      </c>
      <c r="AH83" s="30">
        <f>O59*(1-(VLOOKUP(AH$75,tech_data!$B$2:$O$15,4,FALSE)/100))</f>
        <v>0.48417957361037545</v>
      </c>
      <c r="AI83" s="30">
        <f>(Jawa!AI59*3.6/(VLOOKUP(AI$51,tech_data!$B$2:$J$15,4,FALSE)/100))/1000</f>
        <v>0</v>
      </c>
      <c r="AJ83" s="30">
        <f t="shared" si="87"/>
        <v>1092.6764006688295</v>
      </c>
      <c r="AK83" s="30"/>
      <c r="AL83" s="23"/>
    </row>
    <row r="84" spans="1:38" x14ac:dyDescent="0.25">
      <c r="A84" s="19"/>
      <c r="B84" s="20" t="str">
        <f t="shared" si="83"/>
        <v>JAWA</v>
      </c>
      <c r="C84" s="20">
        <f t="shared" si="83"/>
        <v>2027</v>
      </c>
      <c r="D84" s="30">
        <f t="shared" si="88"/>
        <v>451.71017438373474</v>
      </c>
      <c r="E84" s="30">
        <f t="shared" si="88"/>
        <v>44.358215119046413</v>
      </c>
      <c r="F84" s="30">
        <f t="shared" si="88"/>
        <v>353.78907984327543</v>
      </c>
      <c r="G84" s="30">
        <f t="shared" si="88"/>
        <v>0.93800309825230332</v>
      </c>
      <c r="H84" s="30">
        <f t="shared" si="88"/>
        <v>32.153627257200746</v>
      </c>
      <c r="I84" s="30">
        <f t="shared" si="88"/>
        <v>105.63509590916131</v>
      </c>
      <c r="J84" s="30">
        <f t="shared" si="88"/>
        <v>35.915849999102079</v>
      </c>
      <c r="K84" s="30">
        <f t="shared" si="88"/>
        <v>37.814476500268576</v>
      </c>
      <c r="L84" s="30">
        <f t="shared" si="88"/>
        <v>50.983098573357815</v>
      </c>
      <c r="M84" s="30">
        <f t="shared" si="88"/>
        <v>0.86645680673506331</v>
      </c>
      <c r="N84" s="30">
        <f t="shared" si="88"/>
        <v>8.6145671872295798E-2</v>
      </c>
      <c r="O84" s="30">
        <f t="shared" si="88"/>
        <v>0.19457683799295461</v>
      </c>
      <c r="P84" s="30">
        <f>(Jawa!P60*3.6/(VLOOKUP(P$51,tech_data!$B$2:$J$15,4,FALSE)/100))/1000</f>
        <v>0</v>
      </c>
      <c r="Q84" s="30">
        <f t="shared" si="85"/>
        <v>1114.4448</v>
      </c>
      <c r="R84" s="30"/>
      <c r="S84" s="23"/>
      <c r="T84" s="19"/>
      <c r="U84" s="20" t="str">
        <f t="shared" si="86"/>
        <v>JAWA</v>
      </c>
      <c r="V84" s="20">
        <f t="shared" si="86"/>
        <v>2027</v>
      </c>
      <c r="W84" s="30">
        <f>D60*(1-(VLOOKUP(W$75,tech_data!$B$2:$O$15,4,FALSE)/100))</f>
        <v>716.50579385006199</v>
      </c>
      <c r="X84" s="30">
        <f>E60*(1-(VLOOKUP(X$75,tech_data!$B$2:$O$15,4,FALSE)/100))</f>
        <v>80.010612317532321</v>
      </c>
      <c r="Y84" s="30">
        <f>F60*(1-(VLOOKUP(Y$75,tech_data!$B$2:$O$15,4,FALSE)/100))</f>
        <v>252.70648560233954</v>
      </c>
      <c r="Z84" s="30">
        <f>G60*(1-(VLOOKUP(Z$75,tech_data!$B$2:$O$15,4,FALSE)/100))</f>
        <v>1.1011340718613996</v>
      </c>
      <c r="AA84" s="30">
        <f>H60*(1-(VLOOKUP(AA$75,tech_data!$B$2:$O$15,4,FALSE)/100))</f>
        <v>27.812887577478644</v>
      </c>
      <c r="AB84" s="30">
        <f>I60*(1-(VLOOKUP(AB$75,tech_data!$B$2:$O$15,4,FALSE)/100))</f>
        <v>5.5597418899558635</v>
      </c>
      <c r="AC84" s="30">
        <f>J60*(1-(VLOOKUP(AC$75,tech_data!$B$2:$O$15,4,FALSE)/100))</f>
        <v>8.978962499775518</v>
      </c>
      <c r="AD84" s="30">
        <f>K60*(1-(VLOOKUP(AD$75,tech_data!$B$2:$O$15,4,FALSE)/100))</f>
        <v>31.764160260225601</v>
      </c>
      <c r="AE84" s="30">
        <f>L60*(1-(VLOOKUP(AE$75,tech_data!$B$2:$O$15,4,FALSE)/100))</f>
        <v>20.750121119356631</v>
      </c>
      <c r="AF84" s="30">
        <f>M60*(1-(VLOOKUP(AF$75,tech_data!$B$2:$O$15,4,FALSE)/100))</f>
        <v>1.9285651504748182</v>
      </c>
      <c r="AG84" s="30">
        <f>N60*(1-(VLOOKUP(AG$75,tech_data!$B$2:$O$15,4,FALSE)/100))</f>
        <v>7.6095343487194659E-3</v>
      </c>
      <c r="AH84" s="30">
        <f>O60*(1-(VLOOKUP(AH$75,tech_data!$B$2:$O$15,4,FALSE)/100))</f>
        <v>0.48417957361037545</v>
      </c>
      <c r="AI84" s="30">
        <f>(Jawa!AI60*3.6/(VLOOKUP(AI$51,tech_data!$B$2:$J$15,4,FALSE)/100))/1000</f>
        <v>0</v>
      </c>
      <c r="AJ84" s="30">
        <f t="shared" si="87"/>
        <v>1147.6102534470219</v>
      </c>
      <c r="AK84" s="30"/>
      <c r="AL84" s="23"/>
    </row>
    <row r="85" spans="1:38" x14ac:dyDescent="0.25">
      <c r="A85" s="19"/>
      <c r="B85" s="20" t="str">
        <f t="shared" si="83"/>
        <v>JAWA</v>
      </c>
      <c r="C85" s="20">
        <f t="shared" si="83"/>
        <v>2028</v>
      </c>
      <c r="D85" s="30">
        <f t="shared" si="88"/>
        <v>451.71017438373474</v>
      </c>
      <c r="E85" s="30">
        <f t="shared" si="88"/>
        <v>50.234298511026701</v>
      </c>
      <c r="F85" s="30">
        <f t="shared" si="88"/>
        <v>387.66587436951858</v>
      </c>
      <c r="G85" s="30">
        <f t="shared" si="88"/>
        <v>0.96626408961972654</v>
      </c>
      <c r="H85" s="30">
        <f t="shared" si="88"/>
        <v>32.153627257200746</v>
      </c>
      <c r="I85" s="30">
        <f t="shared" si="88"/>
        <v>105.63509590916131</v>
      </c>
      <c r="J85" s="30">
        <f t="shared" si="88"/>
        <v>35.915849999102079</v>
      </c>
      <c r="K85" s="30">
        <f t="shared" si="88"/>
        <v>41.829893163656706</v>
      </c>
      <c r="L85" s="30">
        <f t="shared" si="88"/>
        <v>64.192542872040704</v>
      </c>
      <c r="M85" s="30">
        <f t="shared" si="88"/>
        <v>0.86645680673506331</v>
      </c>
      <c r="N85" s="30">
        <f t="shared" si="88"/>
        <v>8.6145671872295798E-2</v>
      </c>
      <c r="O85" s="30">
        <f t="shared" si="88"/>
        <v>0.19457683799295461</v>
      </c>
      <c r="P85" s="30">
        <f>(Jawa!P61*3.6/(VLOOKUP(P$51,tech_data!$B$2:$J$15,4,FALSE)/100))/1000</f>
        <v>0</v>
      </c>
      <c r="Q85" s="30">
        <f t="shared" si="85"/>
        <v>1171.4507998716615</v>
      </c>
      <c r="R85" s="30"/>
      <c r="S85" s="23"/>
      <c r="T85" s="19"/>
      <c r="U85" s="20" t="str">
        <f t="shared" si="86"/>
        <v>JAWA</v>
      </c>
      <c r="V85" s="20">
        <f t="shared" si="86"/>
        <v>2028</v>
      </c>
      <c r="W85" s="30">
        <f>D61*(1-(VLOOKUP(W$75,tech_data!$B$2:$O$15,4,FALSE)/100))</f>
        <v>716.50579385006199</v>
      </c>
      <c r="X85" s="30">
        <f>E61*(1-(VLOOKUP(X$75,tech_data!$B$2:$O$15,4,FALSE)/100))</f>
        <v>90.609529089982743</v>
      </c>
      <c r="Y85" s="30">
        <f>F61*(1-(VLOOKUP(Y$75,tech_data!$B$2:$O$15,4,FALSE)/100))</f>
        <v>276.90419597822751</v>
      </c>
      <c r="Z85" s="30">
        <f>G61*(1-(VLOOKUP(Z$75,tech_data!$B$2:$O$15,4,FALSE)/100))</f>
        <v>1.1343100182492443</v>
      </c>
      <c r="AA85" s="30">
        <f>H61*(1-(VLOOKUP(AA$75,tech_data!$B$2:$O$15,4,FALSE)/100))</f>
        <v>27.812887577478644</v>
      </c>
      <c r="AB85" s="30">
        <f>I61*(1-(VLOOKUP(AB$75,tech_data!$B$2:$O$15,4,FALSE)/100))</f>
        <v>5.5597418899558635</v>
      </c>
      <c r="AC85" s="30">
        <f>J61*(1-(VLOOKUP(AC$75,tech_data!$B$2:$O$15,4,FALSE)/100))</f>
        <v>8.978962499775518</v>
      </c>
      <c r="AD85" s="30">
        <f>K61*(1-(VLOOKUP(AD$75,tech_data!$B$2:$O$15,4,FALSE)/100))</f>
        <v>35.137110257471633</v>
      </c>
      <c r="AE85" s="30">
        <f>L61*(1-(VLOOKUP(AE$75,tech_data!$B$2:$O$15,4,FALSE)/100))</f>
        <v>26.126364948920568</v>
      </c>
      <c r="AF85" s="30">
        <f>M61*(1-(VLOOKUP(AF$75,tech_data!$B$2:$O$15,4,FALSE)/100))</f>
        <v>1.9285651504748182</v>
      </c>
      <c r="AG85" s="30">
        <f>N61*(1-(VLOOKUP(AG$75,tech_data!$B$2:$O$15,4,FALSE)/100))</f>
        <v>7.6095343487194659E-3</v>
      </c>
      <c r="AH85" s="30">
        <f>O61*(1-(VLOOKUP(AH$75,tech_data!$B$2:$O$15,4,FALSE)/100))</f>
        <v>0.48417957361037545</v>
      </c>
      <c r="AI85" s="30">
        <f>(Jawa!AI61*3.6/(VLOOKUP(AI$51,tech_data!$B$2:$J$15,4,FALSE)/100))/1000</f>
        <v>0</v>
      </c>
      <c r="AJ85" s="30">
        <f t="shared" si="87"/>
        <v>1191.1892503685579</v>
      </c>
      <c r="AK85" s="30"/>
      <c r="AL85" s="23"/>
    </row>
    <row r="86" spans="1:38" x14ac:dyDescent="0.25">
      <c r="A86" s="19"/>
      <c r="B86" s="20" t="str">
        <f t="shared" si="83"/>
        <v>JAWA</v>
      </c>
      <c r="C86" s="20">
        <f t="shared" si="83"/>
        <v>2029</v>
      </c>
      <c r="D86" s="30">
        <f t="shared" si="88"/>
        <v>451.71017438373474</v>
      </c>
      <c r="E86" s="30">
        <f t="shared" si="88"/>
        <v>57.126839677512798</v>
      </c>
      <c r="F86" s="30">
        <f t="shared" si="88"/>
        <v>420.38344076842617</v>
      </c>
      <c r="G86" s="30">
        <f t="shared" si="88"/>
        <v>0.9932551536258527</v>
      </c>
      <c r="H86" s="30">
        <f t="shared" si="88"/>
        <v>32.153627257200746</v>
      </c>
      <c r="I86" s="30">
        <f t="shared" si="88"/>
        <v>105.63509590916131</v>
      </c>
      <c r="J86" s="30">
        <f t="shared" si="88"/>
        <v>35.915849999102079</v>
      </c>
      <c r="K86" s="30">
        <f t="shared" si="88"/>
        <v>46.683028709351838</v>
      </c>
      <c r="L86" s="30">
        <f t="shared" si="88"/>
        <v>76.999906726075679</v>
      </c>
      <c r="M86" s="30">
        <f t="shared" si="88"/>
        <v>0.86645680673506331</v>
      </c>
      <c r="N86" s="30">
        <f t="shared" si="88"/>
        <v>8.6145671872295798E-2</v>
      </c>
      <c r="O86" s="30">
        <f t="shared" si="88"/>
        <v>0.19457683799295461</v>
      </c>
      <c r="P86" s="30">
        <f>(Jawa!P62*3.6/(VLOOKUP(P$51,tech_data!$B$2:$J$15,4,FALSE)/100))/1000</f>
        <v>0</v>
      </c>
      <c r="Q86" s="30">
        <f t="shared" si="85"/>
        <v>1228.7483979007918</v>
      </c>
      <c r="R86" s="30"/>
      <c r="S86" s="23"/>
      <c r="T86" s="19"/>
      <c r="U86" s="20" t="str">
        <f t="shared" si="86"/>
        <v>JAWA</v>
      </c>
      <c r="V86" s="20">
        <f t="shared" si="86"/>
        <v>2029</v>
      </c>
      <c r="W86" s="30">
        <f>D62*(1-(VLOOKUP(W$75,tech_data!$B$2:$O$15,4,FALSE)/100))</f>
        <v>716.50579385006199</v>
      </c>
      <c r="X86" s="30">
        <f>E62*(1-(VLOOKUP(X$75,tech_data!$B$2:$O$15,4,FALSE)/100))</f>
        <v>103.0418696986913</v>
      </c>
      <c r="Y86" s="30">
        <f>F62*(1-(VLOOKUP(Y$75,tech_data!$B$2:$O$15,4,FALSE)/100))</f>
        <v>300.2738862631615</v>
      </c>
      <c r="Z86" s="30">
        <f>G62*(1-(VLOOKUP(Z$75,tech_data!$B$2:$O$15,4,FALSE)/100))</f>
        <v>1.1659951803433923</v>
      </c>
      <c r="AA86" s="30">
        <f>H62*(1-(VLOOKUP(AA$75,tech_data!$B$2:$O$15,4,FALSE)/100))</f>
        <v>27.812887577478644</v>
      </c>
      <c r="AB86" s="30">
        <f>I62*(1-(VLOOKUP(AB$75,tech_data!$B$2:$O$15,4,FALSE)/100))</f>
        <v>5.5597418899558635</v>
      </c>
      <c r="AC86" s="30">
        <f>J62*(1-(VLOOKUP(AC$75,tech_data!$B$2:$O$15,4,FALSE)/100))</f>
        <v>8.978962499775518</v>
      </c>
      <c r="AD86" s="30">
        <f>K62*(1-(VLOOKUP(AD$75,tech_data!$B$2:$O$15,4,FALSE)/100))</f>
        <v>39.21374411585554</v>
      </c>
      <c r="AE86" s="30">
        <f>L62*(1-(VLOOKUP(AE$75,tech_data!$B$2:$O$15,4,FALSE)/100))</f>
        <v>31.338962037512804</v>
      </c>
      <c r="AF86" s="30">
        <f>M62*(1-(VLOOKUP(AF$75,tech_data!$B$2:$O$15,4,FALSE)/100))</f>
        <v>1.9285651504748182</v>
      </c>
      <c r="AG86" s="30">
        <f>N62*(1-(VLOOKUP(AG$75,tech_data!$B$2:$O$15,4,FALSE)/100))</f>
        <v>7.6095343487194659E-3</v>
      </c>
      <c r="AH86" s="30">
        <f>O62*(1-(VLOOKUP(AH$75,tech_data!$B$2:$O$15,4,FALSE)/100))</f>
        <v>0.48417957361037545</v>
      </c>
      <c r="AI86" s="30">
        <f>(Jawa!AI62*3.6/(VLOOKUP(AI$51,tech_data!$B$2:$J$15,4,FALSE)/100))/1000</f>
        <v>0</v>
      </c>
      <c r="AJ86" s="30">
        <f t="shared" si="87"/>
        <v>1236.3121973712705</v>
      </c>
      <c r="AK86" s="30"/>
      <c r="AL86" s="23"/>
    </row>
    <row r="87" spans="1:38" x14ac:dyDescent="0.25">
      <c r="A87" s="19"/>
      <c r="B87" s="20" t="str">
        <f t="shared" si="83"/>
        <v>JAWA</v>
      </c>
      <c r="C87" s="20">
        <f t="shared" si="83"/>
        <v>2030</v>
      </c>
      <c r="D87" s="30">
        <f t="shared" si="88"/>
        <v>451.71017438373474</v>
      </c>
      <c r="E87" s="30">
        <f t="shared" si="88"/>
        <v>64.404910817862842</v>
      </c>
      <c r="F87" s="30">
        <f t="shared" si="88"/>
        <v>460.20830819502646</v>
      </c>
      <c r="G87" s="30">
        <f t="shared" si="88"/>
        <v>1.0270447267772356</v>
      </c>
      <c r="H87" s="30">
        <f t="shared" si="88"/>
        <v>32.153627257200746</v>
      </c>
      <c r="I87" s="30">
        <f t="shared" si="88"/>
        <v>105.63509590916131</v>
      </c>
      <c r="J87" s="30">
        <f t="shared" si="88"/>
        <v>35.915849999102079</v>
      </c>
      <c r="K87" s="30">
        <f t="shared" si="88"/>
        <v>52.398508499863176</v>
      </c>
      <c r="L87" s="30">
        <f t="shared" si="88"/>
        <v>91.878100463704598</v>
      </c>
      <c r="M87" s="30">
        <f t="shared" si="88"/>
        <v>0.86645680673506331</v>
      </c>
      <c r="N87" s="30">
        <f t="shared" si="88"/>
        <v>8.6145671872295798E-2</v>
      </c>
      <c r="O87" s="30">
        <f t="shared" si="88"/>
        <v>0.19457683799295461</v>
      </c>
      <c r="P87" s="30">
        <f>(Jawa!P63*3.6/(VLOOKUP(P$51,tech_data!$B$2:$J$15,4,FALSE)/100))/1000</f>
        <v>0</v>
      </c>
      <c r="Q87" s="30">
        <f t="shared" si="85"/>
        <v>1296.4787995690338</v>
      </c>
      <c r="R87" s="30"/>
      <c r="S87" s="23"/>
      <c r="T87" s="19"/>
      <c r="U87" s="20" t="str">
        <f t="shared" si="86"/>
        <v>JAWA</v>
      </c>
      <c r="V87" s="20">
        <f t="shared" si="86"/>
        <v>2030</v>
      </c>
      <c r="W87" s="30">
        <f>D63*(1-(VLOOKUP(W$75,tech_data!$B$2:$O$15,4,FALSE)/100))</f>
        <v>716.50579385006199</v>
      </c>
      <c r="X87" s="30">
        <f>E63*(1-(VLOOKUP(X$75,tech_data!$B$2:$O$15,4,FALSE)/100))</f>
        <v>116.16960549390214</v>
      </c>
      <c r="Y87" s="30">
        <f>F63*(1-(VLOOKUP(Y$75,tech_data!$B$2:$O$15,4,FALSE)/100))</f>
        <v>328.72022013930456</v>
      </c>
      <c r="Z87" s="30">
        <f>G63*(1-(VLOOKUP(Z$75,tech_data!$B$2:$O$15,4,FALSE)/100))</f>
        <v>1.2056612009993635</v>
      </c>
      <c r="AA87" s="30">
        <f>H63*(1-(VLOOKUP(AA$75,tech_data!$B$2:$O$15,4,FALSE)/100))</f>
        <v>27.812887577478644</v>
      </c>
      <c r="AB87" s="30">
        <f>I63*(1-(VLOOKUP(AB$75,tech_data!$B$2:$O$15,4,FALSE)/100))</f>
        <v>5.5597418899558635</v>
      </c>
      <c r="AC87" s="30">
        <f>J63*(1-(VLOOKUP(AC$75,tech_data!$B$2:$O$15,4,FALSE)/100))</f>
        <v>8.978962499775518</v>
      </c>
      <c r="AD87" s="30">
        <f>K63*(1-(VLOOKUP(AD$75,tech_data!$B$2:$O$15,4,FALSE)/100))</f>
        <v>44.014747139885067</v>
      </c>
      <c r="AE87" s="30">
        <f>L63*(1-(VLOOKUP(AE$75,tech_data!$B$2:$O$15,4,FALSE)/100))</f>
        <v>37.394386888727773</v>
      </c>
      <c r="AF87" s="30">
        <f>M63*(1-(VLOOKUP(AF$75,tech_data!$B$2:$O$15,4,FALSE)/100))</f>
        <v>1.9285651504748182</v>
      </c>
      <c r="AG87" s="30">
        <f>N63*(1-(VLOOKUP(AG$75,tech_data!$B$2:$O$15,4,FALSE)/100))</f>
        <v>7.6095343487194659E-3</v>
      </c>
      <c r="AH87" s="30">
        <f>O63*(1-(VLOOKUP(AH$75,tech_data!$B$2:$O$15,4,FALSE)/100))</f>
        <v>0.48417957361037545</v>
      </c>
      <c r="AI87" s="30">
        <f>(Jawa!AI63*3.6/(VLOOKUP(AI$51,tech_data!$B$2:$J$15,4,FALSE)/100))/1000</f>
        <v>0</v>
      </c>
      <c r="AJ87" s="30">
        <f t="shared" si="87"/>
        <v>1288.782360938525</v>
      </c>
      <c r="AK87" s="30"/>
      <c r="AL87" s="23"/>
    </row>
    <row r="88" spans="1:38" x14ac:dyDescent="0.25">
      <c r="A88" s="19"/>
      <c r="B88" s="20" t="str">
        <f t="shared" si="83"/>
        <v>JAWA</v>
      </c>
      <c r="C88" s="20">
        <f t="shared" si="83"/>
        <v>2031</v>
      </c>
      <c r="D88" s="30">
        <f t="shared" si="88"/>
        <v>451.71017438373474</v>
      </c>
      <c r="E88" s="30">
        <f t="shared" si="88"/>
        <v>72.083188617431475</v>
      </c>
      <c r="F88" s="30">
        <f t="shared" si="88"/>
        <v>515.22894780412423</v>
      </c>
      <c r="G88" s="30">
        <f t="shared" si="88"/>
        <v>1.0756754163214231</v>
      </c>
      <c r="H88" s="30">
        <f t="shared" si="88"/>
        <v>32.153627257200746</v>
      </c>
      <c r="I88" s="30">
        <f t="shared" si="88"/>
        <v>105.63509590916131</v>
      </c>
      <c r="J88" s="30">
        <f t="shared" si="88"/>
        <v>35.915849999102079</v>
      </c>
      <c r="K88" s="30">
        <f t="shared" si="88"/>
        <v>61.995150368280676</v>
      </c>
      <c r="L88" s="30">
        <f t="shared" si="88"/>
        <v>108.6339109115579</v>
      </c>
      <c r="M88" s="30">
        <f t="shared" si="88"/>
        <v>0.86645680673506331</v>
      </c>
      <c r="N88" s="30">
        <f t="shared" si="88"/>
        <v>8.6145671872295798E-2</v>
      </c>
      <c r="O88" s="30">
        <f t="shared" si="88"/>
        <v>0.19457683799295461</v>
      </c>
      <c r="P88" s="30">
        <f>(Jawa!P64*3.6/(VLOOKUP(P$51,tech_data!$B$2:$J$15,4,FALSE)/100))/1000</f>
        <v>0</v>
      </c>
      <c r="Q88" s="30">
        <f t="shared" si="85"/>
        <v>1385.5787999835152</v>
      </c>
      <c r="R88" s="30"/>
      <c r="S88" s="23"/>
      <c r="T88" s="19"/>
      <c r="U88" s="20" t="str">
        <f t="shared" si="86"/>
        <v>JAWA</v>
      </c>
      <c r="V88" s="20">
        <f t="shared" si="86"/>
        <v>2031</v>
      </c>
      <c r="W88" s="30">
        <f>D64*(1-(VLOOKUP(W$75,tech_data!$B$2:$O$15,4,FALSE)/100))</f>
        <v>716.50579385006199</v>
      </c>
      <c r="X88" s="30">
        <f>E64*(1-(VLOOKUP(X$75,tech_data!$B$2:$O$15,4,FALSE)/100))</f>
        <v>130.01920937536704</v>
      </c>
      <c r="Y88" s="30">
        <f>F64*(1-(VLOOKUP(Y$75,tech_data!$B$2:$O$15,4,FALSE)/100))</f>
        <v>368.02067700294583</v>
      </c>
      <c r="Z88" s="30">
        <f>G64*(1-(VLOOKUP(Z$75,tech_data!$B$2:$O$15,4,FALSE)/100))</f>
        <v>1.2627494017686269</v>
      </c>
      <c r="AA88" s="30">
        <f>H64*(1-(VLOOKUP(AA$75,tech_data!$B$2:$O$15,4,FALSE)/100))</f>
        <v>27.812887577478644</v>
      </c>
      <c r="AB88" s="30">
        <f>I64*(1-(VLOOKUP(AB$75,tech_data!$B$2:$O$15,4,FALSE)/100))</f>
        <v>5.5597418899558635</v>
      </c>
      <c r="AC88" s="30">
        <f>J64*(1-(VLOOKUP(AC$75,tech_data!$B$2:$O$15,4,FALSE)/100))</f>
        <v>8.978962499775518</v>
      </c>
      <c r="AD88" s="30">
        <f>K64*(1-(VLOOKUP(AD$75,tech_data!$B$2:$O$15,4,FALSE)/100))</f>
        <v>52.075926309355765</v>
      </c>
      <c r="AE88" s="30">
        <f>L64*(1-(VLOOKUP(AE$75,tech_data!$B$2:$O$15,4,FALSE)/100))</f>
        <v>44.214001741004068</v>
      </c>
      <c r="AF88" s="30">
        <f>M64*(1-(VLOOKUP(AF$75,tech_data!$B$2:$O$15,4,FALSE)/100))</f>
        <v>1.9285651504748182</v>
      </c>
      <c r="AG88" s="30">
        <f>N64*(1-(VLOOKUP(AG$75,tech_data!$B$2:$O$15,4,FALSE)/100))</f>
        <v>7.6095343487194659E-3</v>
      </c>
      <c r="AH88" s="30">
        <f>O64*(1-(VLOOKUP(AH$75,tech_data!$B$2:$O$15,4,FALSE)/100))</f>
        <v>0.48417957361037545</v>
      </c>
      <c r="AI88" s="30">
        <f>(Jawa!AI64*3.6/(VLOOKUP(AI$51,tech_data!$B$2:$J$15,4,FALSE)/100))/1000</f>
        <v>0</v>
      </c>
      <c r="AJ88" s="30">
        <f t="shared" si="87"/>
        <v>1356.8703039061472</v>
      </c>
      <c r="AK88" s="30"/>
      <c r="AL88" s="23"/>
    </row>
    <row r="89" spans="1:38" x14ac:dyDescent="0.25">
      <c r="A89" s="19"/>
      <c r="B89" s="20" t="str">
        <f t="shared" si="83"/>
        <v>JAWA</v>
      </c>
      <c r="C89" s="20">
        <f t="shared" si="83"/>
        <v>2032</v>
      </c>
      <c r="D89" s="30">
        <f t="shared" si="88"/>
        <v>451.71019957413955</v>
      </c>
      <c r="E89" s="30">
        <f t="shared" si="88"/>
        <v>80.194385350799422</v>
      </c>
      <c r="F89" s="30">
        <f t="shared" si="88"/>
        <v>576.25853455626293</v>
      </c>
      <c r="G89" s="30">
        <f t="shared" si="88"/>
        <v>1.1286605258520985</v>
      </c>
      <c r="H89" s="30">
        <f t="shared" si="88"/>
        <v>32.153627257200746</v>
      </c>
      <c r="I89" s="30">
        <f t="shared" si="88"/>
        <v>105.63510524220348</v>
      </c>
      <c r="J89" s="30">
        <f t="shared" si="88"/>
        <v>35.915849999102079</v>
      </c>
      <c r="K89" s="30">
        <f t="shared" si="88"/>
        <v>72.845551123924409</v>
      </c>
      <c r="L89" s="30">
        <f t="shared" si="88"/>
        <v>127.07503871253574</v>
      </c>
      <c r="M89" s="30">
        <f t="shared" si="88"/>
        <v>0.86645680673506331</v>
      </c>
      <c r="N89" s="30">
        <f t="shared" si="88"/>
        <v>8.6145671872295798E-2</v>
      </c>
      <c r="O89" s="30">
        <f t="shared" si="88"/>
        <v>0.19457683799295461</v>
      </c>
      <c r="P89" s="30">
        <f>(Jawa!P65*3.6/(VLOOKUP(P$51,tech_data!$B$2:$J$15,4,FALSE)/100))/1000</f>
        <v>0</v>
      </c>
      <c r="Q89" s="30">
        <f t="shared" si="85"/>
        <v>1484.0641316586209</v>
      </c>
      <c r="R89" s="30"/>
      <c r="S89" s="23"/>
      <c r="T89" s="19"/>
      <c r="U89" s="20" t="str">
        <f t="shared" si="86"/>
        <v>JAWA</v>
      </c>
      <c r="V89" s="20">
        <f t="shared" si="86"/>
        <v>2032</v>
      </c>
      <c r="W89" s="30">
        <f>D65*(1-(VLOOKUP(W$75,tech_data!$B$2:$O$15,4,FALSE)/100))</f>
        <v>716.50583380725595</v>
      </c>
      <c r="X89" s="30">
        <f>E65*(1-(VLOOKUP(X$75,tech_data!$B$2:$O$15,4,FALSE)/100))</f>
        <v>144.6496857262083</v>
      </c>
      <c r="Y89" s="30">
        <f>F65*(1-(VLOOKUP(Y$75,tech_data!$B$2:$O$15,4,FALSE)/100))</f>
        <v>411.61323896875916</v>
      </c>
      <c r="Z89" s="30">
        <f>G65*(1-(VLOOKUP(Z$75,tech_data!$B$2:$O$15,4,FALSE)/100))</f>
        <v>1.3249493129568115</v>
      </c>
      <c r="AA89" s="30">
        <f>H65*(1-(VLOOKUP(AA$75,tech_data!$B$2:$O$15,4,FALSE)/100))</f>
        <v>27.812887577478644</v>
      </c>
      <c r="AB89" s="30">
        <f>I65*(1-(VLOOKUP(AB$75,tech_data!$B$2:$O$15,4,FALSE)/100))</f>
        <v>5.5597423811686095</v>
      </c>
      <c r="AC89" s="30">
        <f>J65*(1-(VLOOKUP(AC$75,tech_data!$B$2:$O$15,4,FALSE)/100))</f>
        <v>8.978962499775518</v>
      </c>
      <c r="AD89" s="30">
        <f>K65*(1-(VLOOKUP(AD$75,tech_data!$B$2:$O$15,4,FALSE)/100))</f>
        <v>61.190262944096503</v>
      </c>
      <c r="AE89" s="30">
        <f>L65*(1-(VLOOKUP(AE$75,tech_data!$B$2:$O$15,4,FALSE)/100))</f>
        <v>51.719540756002054</v>
      </c>
      <c r="AF89" s="30">
        <f>M65*(1-(VLOOKUP(AF$75,tech_data!$B$2:$O$15,4,FALSE)/100))</f>
        <v>1.9285651504748182</v>
      </c>
      <c r="AG89" s="30">
        <f>N65*(1-(VLOOKUP(AG$75,tech_data!$B$2:$O$15,4,FALSE)/100))</f>
        <v>7.6095343487194659E-3</v>
      </c>
      <c r="AH89" s="30">
        <f>O65*(1-(VLOOKUP(AH$75,tech_data!$B$2:$O$15,4,FALSE)/100))</f>
        <v>0.48417957361037545</v>
      </c>
      <c r="AI89" s="30">
        <f>(Jawa!AI65*3.6/(VLOOKUP(AI$51,tech_data!$B$2:$J$15,4,FALSE)/100))/1000</f>
        <v>0</v>
      </c>
      <c r="AJ89" s="30">
        <f t="shared" si="87"/>
        <v>1431.7754582321356</v>
      </c>
      <c r="AK89" s="30"/>
      <c r="AL89" s="23"/>
    </row>
    <row r="90" spans="1:38" x14ac:dyDescent="0.25">
      <c r="A90" s="19"/>
      <c r="B90" s="20" t="str">
        <f t="shared" si="83"/>
        <v>JAWA</v>
      </c>
      <c r="C90" s="20">
        <f t="shared" si="83"/>
        <v>2033</v>
      </c>
      <c r="D90" s="30">
        <f t="shared" si="88"/>
        <v>451.71019957413955</v>
      </c>
      <c r="E90" s="30">
        <f t="shared" si="88"/>
        <v>88.769679850977042</v>
      </c>
      <c r="F90" s="30">
        <f t="shared" si="88"/>
        <v>635.73660935494729</v>
      </c>
      <c r="G90" s="30">
        <f t="shared" si="88"/>
        <v>1.1794787064212895</v>
      </c>
      <c r="H90" s="30">
        <f t="shared" si="88"/>
        <v>32.153627257200746</v>
      </c>
      <c r="I90" s="30">
        <f t="shared" si="88"/>
        <v>105.63510524220348</v>
      </c>
      <c r="J90" s="30">
        <f t="shared" si="88"/>
        <v>35.915849999102079</v>
      </c>
      <c r="K90" s="30">
        <f t="shared" si="88"/>
        <v>76.891641837783069</v>
      </c>
      <c r="L90" s="30">
        <f t="shared" si="88"/>
        <v>152.79309786245719</v>
      </c>
      <c r="M90" s="30">
        <f t="shared" si="88"/>
        <v>0.86645680673506331</v>
      </c>
      <c r="N90" s="30">
        <f t="shared" si="88"/>
        <v>8.6145671872295798E-2</v>
      </c>
      <c r="O90" s="30">
        <f t="shared" si="88"/>
        <v>0.19457683799295461</v>
      </c>
      <c r="P90" s="30">
        <f>(Jawa!P66*3.6/(VLOOKUP(P$51,tech_data!$B$2:$J$15,4,FALSE)/100))/1000</f>
        <v>0</v>
      </c>
      <c r="Q90" s="30">
        <f t="shared" si="85"/>
        <v>1581.9324690018323</v>
      </c>
      <c r="R90" s="30"/>
      <c r="S90" s="23"/>
      <c r="T90" s="19"/>
      <c r="U90" s="20" t="str">
        <f t="shared" si="86"/>
        <v>JAWA</v>
      </c>
      <c r="V90" s="20">
        <f t="shared" si="86"/>
        <v>2033</v>
      </c>
      <c r="W90" s="30">
        <f>D66*(1-(VLOOKUP(W$75,tech_data!$B$2:$O$15,4,FALSE)/100))</f>
        <v>716.50583380725595</v>
      </c>
      <c r="X90" s="30">
        <f>E66*(1-(VLOOKUP(X$75,tech_data!$B$2:$O$15,4,FALSE)/100))</f>
        <v>160.11727300222964</v>
      </c>
      <c r="Y90" s="30">
        <f>F66*(1-(VLOOKUP(Y$75,tech_data!$B$2:$O$15,4,FALSE)/100))</f>
        <v>454.09757811067658</v>
      </c>
      <c r="Z90" s="30">
        <f>G66*(1-(VLOOKUP(Z$75,tech_data!$B$2:$O$15,4,FALSE)/100))</f>
        <v>1.3846054379728179</v>
      </c>
      <c r="AA90" s="30">
        <f>H66*(1-(VLOOKUP(AA$75,tech_data!$B$2:$O$15,4,FALSE)/100))</f>
        <v>27.812887577478644</v>
      </c>
      <c r="AB90" s="30">
        <f>I66*(1-(VLOOKUP(AB$75,tech_data!$B$2:$O$15,4,FALSE)/100))</f>
        <v>5.5597423811686095</v>
      </c>
      <c r="AC90" s="30">
        <f>J66*(1-(VLOOKUP(AC$75,tech_data!$B$2:$O$15,4,FALSE)/100))</f>
        <v>8.978962499775518</v>
      </c>
      <c r="AD90" s="30">
        <f>K66*(1-(VLOOKUP(AD$75,tech_data!$B$2:$O$15,4,FALSE)/100))</f>
        <v>64.588979143737774</v>
      </c>
      <c r="AE90" s="30">
        <f>L66*(1-(VLOOKUP(AE$75,tech_data!$B$2:$O$15,4,FALSE)/100))</f>
        <v>62.18679083002008</v>
      </c>
      <c r="AF90" s="30">
        <f>M66*(1-(VLOOKUP(AF$75,tech_data!$B$2:$O$15,4,FALSE)/100))</f>
        <v>1.9285651504748182</v>
      </c>
      <c r="AG90" s="30">
        <f>N66*(1-(VLOOKUP(AG$75,tech_data!$B$2:$O$15,4,FALSE)/100))</f>
        <v>7.6095343487194659E-3</v>
      </c>
      <c r="AH90" s="30">
        <f>O66*(1-(VLOOKUP(AH$75,tech_data!$B$2:$O$15,4,FALSE)/100))</f>
        <v>0.48417957361037545</v>
      </c>
      <c r="AI90" s="30">
        <f>(Jawa!AI66*3.6/(VLOOKUP(AI$51,tech_data!$B$2:$J$15,4,FALSE)/100))/1000</f>
        <v>0</v>
      </c>
      <c r="AJ90" s="30">
        <f t="shared" si="87"/>
        <v>1503.6530070487497</v>
      </c>
      <c r="AK90" s="30"/>
      <c r="AL90" s="23"/>
    </row>
    <row r="91" spans="1:38" x14ac:dyDescent="0.25">
      <c r="A91" s="19"/>
      <c r="B91" s="20" t="str">
        <f t="shared" si="83"/>
        <v>JAWA</v>
      </c>
      <c r="C91" s="20">
        <f t="shared" si="83"/>
        <v>2034</v>
      </c>
      <c r="D91" s="30">
        <f t="shared" si="88"/>
        <v>475.82021655817198</v>
      </c>
      <c r="E91" s="30">
        <f t="shared" si="88"/>
        <v>97.830423122237406</v>
      </c>
      <c r="F91" s="30">
        <f t="shared" si="88"/>
        <v>675.55292278227773</v>
      </c>
      <c r="G91" s="30">
        <f t="shared" si="88"/>
        <v>1.2328834512800628</v>
      </c>
      <c r="H91" s="30">
        <f t="shared" si="88"/>
        <v>32.153627257200746</v>
      </c>
      <c r="I91" s="30">
        <f t="shared" si="88"/>
        <v>105.63510524220348</v>
      </c>
      <c r="J91" s="30">
        <f t="shared" si="88"/>
        <v>35.915849999102079</v>
      </c>
      <c r="K91" s="30">
        <f t="shared" si="88"/>
        <v>87.189107586820256</v>
      </c>
      <c r="L91" s="30">
        <f t="shared" si="88"/>
        <v>174.82841722675906</v>
      </c>
      <c r="M91" s="30">
        <f t="shared" si="88"/>
        <v>0.86645680673506331</v>
      </c>
      <c r="N91" s="30">
        <f t="shared" si="88"/>
        <v>8.6145671872295798E-2</v>
      </c>
      <c r="O91" s="30">
        <f t="shared" si="88"/>
        <v>0.19457684015951568</v>
      </c>
      <c r="P91" s="30">
        <f>(Jawa!P67*3.6/(VLOOKUP(P$51,tech_data!$B$2:$J$15,4,FALSE)/100))/1000</f>
        <v>0</v>
      </c>
      <c r="Q91" s="30">
        <f t="shared" si="85"/>
        <v>1687.3057325448196</v>
      </c>
      <c r="R91" s="30"/>
      <c r="S91" s="23"/>
      <c r="T91" s="19"/>
      <c r="U91" s="20" t="str">
        <f t="shared" si="86"/>
        <v>JAWA</v>
      </c>
      <c r="V91" s="20">
        <f t="shared" si="86"/>
        <v>2034</v>
      </c>
      <c r="W91" s="30">
        <f>D67*(1-(VLOOKUP(W$75,tech_data!$B$2:$O$15,4,FALSE)/100))</f>
        <v>754.74930902330732</v>
      </c>
      <c r="X91" s="30">
        <f>E67*(1-(VLOOKUP(X$75,tech_data!$B$2:$O$15,4,FALSE)/100))</f>
        <v>176.46048282796093</v>
      </c>
      <c r="Y91" s="30">
        <f>F67*(1-(VLOOKUP(Y$75,tech_data!$B$2:$O$15,4,FALSE)/100))</f>
        <v>482.53780198734114</v>
      </c>
      <c r="Z91" s="30">
        <f>G67*(1-(VLOOKUP(Z$75,tech_data!$B$2:$O$15,4,FALSE)/100))</f>
        <v>1.447297964546161</v>
      </c>
      <c r="AA91" s="30">
        <f>H67*(1-(VLOOKUP(AA$75,tech_data!$B$2:$O$15,4,FALSE)/100))</f>
        <v>27.812887577478644</v>
      </c>
      <c r="AB91" s="30">
        <f>I67*(1-(VLOOKUP(AB$75,tech_data!$B$2:$O$15,4,FALSE)/100))</f>
        <v>5.5597423811686095</v>
      </c>
      <c r="AC91" s="30">
        <f>J67*(1-(VLOOKUP(AC$75,tech_data!$B$2:$O$15,4,FALSE)/100))</f>
        <v>8.978962499775518</v>
      </c>
      <c r="AD91" s="30">
        <f>K67*(1-(VLOOKUP(AD$75,tech_data!$B$2:$O$15,4,FALSE)/100))</f>
        <v>73.238850372929008</v>
      </c>
      <c r="AE91" s="30">
        <f>L67*(1-(VLOOKUP(AE$75,tech_data!$B$2:$O$15,4,FALSE)/100))</f>
        <v>71.155165811290942</v>
      </c>
      <c r="AF91" s="30">
        <f>M67*(1-(VLOOKUP(AF$75,tech_data!$B$2:$O$15,4,FALSE)/100))</f>
        <v>1.9285651504748182</v>
      </c>
      <c r="AG91" s="30">
        <f>N67*(1-(VLOOKUP(AG$75,tech_data!$B$2:$O$15,4,FALSE)/100))</f>
        <v>7.6095343487194659E-3</v>
      </c>
      <c r="AH91" s="30">
        <f>O67*(1-(VLOOKUP(AH$75,tech_data!$B$2:$O$15,4,FALSE)/100))</f>
        <v>0.48417957900158554</v>
      </c>
      <c r="AI91" s="30">
        <f>(Jawa!AI67*3.6/(VLOOKUP(AI$51,tech_data!$B$2:$J$15,4,FALSE)/100))/1000</f>
        <v>0</v>
      </c>
      <c r="AJ91" s="30">
        <f t="shared" si="87"/>
        <v>1604.3608547096237</v>
      </c>
      <c r="AK91" s="30"/>
      <c r="AL91" s="23"/>
    </row>
    <row r="92" spans="1:38" x14ac:dyDescent="0.25">
      <c r="A92" s="19"/>
      <c r="B92" s="20" t="str">
        <f t="shared" ref="B92:C95" si="89">B44</f>
        <v>JAWA</v>
      </c>
      <c r="C92" s="20">
        <f t="shared" si="89"/>
        <v>2035</v>
      </c>
      <c r="D92" s="30">
        <f t="shared" si="88"/>
        <v>502.63218162843617</v>
      </c>
      <c r="E92" s="30">
        <f t="shared" si="88"/>
        <v>107.40764022658178</v>
      </c>
      <c r="F92" s="30">
        <f t="shared" si="88"/>
        <v>713.27501241859682</v>
      </c>
      <c r="G92" s="30">
        <f t="shared" si="88"/>
        <v>1.2854245096640176</v>
      </c>
      <c r="H92" s="30">
        <f t="shared" si="88"/>
        <v>32.153627257200746</v>
      </c>
      <c r="I92" s="30">
        <f t="shared" si="88"/>
        <v>105.63510524220348</v>
      </c>
      <c r="J92" s="30">
        <f t="shared" si="88"/>
        <v>35.915849999102079</v>
      </c>
      <c r="K92" s="30">
        <f t="shared" si="88"/>
        <v>98.599154574085659</v>
      </c>
      <c r="L92" s="30">
        <f t="shared" si="88"/>
        <v>197.06375887081597</v>
      </c>
      <c r="M92" s="30">
        <f t="shared" si="88"/>
        <v>0.86645680673506331</v>
      </c>
      <c r="N92" s="30">
        <f t="shared" si="88"/>
        <v>8.6145671872295798E-2</v>
      </c>
      <c r="O92" s="30">
        <f t="shared" si="88"/>
        <v>0.19457684215832255</v>
      </c>
      <c r="P92" s="30">
        <f>(Jawa!P68*3.6/(VLOOKUP(P$51,tech_data!$B$2:$J$15,4,FALSE)/100))/1000</f>
        <v>0</v>
      </c>
      <c r="Q92" s="30">
        <f t="shared" si="85"/>
        <v>1795.1149340474524</v>
      </c>
      <c r="R92" s="30"/>
      <c r="S92" s="23"/>
      <c r="T92" s="19"/>
      <c r="U92" s="20" t="str">
        <f t="shared" ref="U92:V95" si="90">U44</f>
        <v>JAWA</v>
      </c>
      <c r="V92" s="20">
        <f t="shared" si="90"/>
        <v>2035</v>
      </c>
      <c r="W92" s="30">
        <f>D68*(1-(VLOOKUP(W$75,tech_data!$B$2:$O$15,4,FALSE)/100))</f>
        <v>797.27863292786435</v>
      </c>
      <c r="X92" s="30">
        <f>E68*(1-(VLOOKUP(X$75,tech_data!$B$2:$O$15,4,FALSE)/100))</f>
        <v>193.7352762965447</v>
      </c>
      <c r="Y92" s="30">
        <f>F68*(1-(VLOOKUP(Y$75,tech_data!$B$2:$O$15,4,FALSE)/100))</f>
        <v>509.48215172756909</v>
      </c>
      <c r="Z92" s="30">
        <f>G68*(1-(VLOOKUP(Z$75,tech_data!$B$2:$O$15,4,FALSE)/100))</f>
        <v>1.5089765983012378</v>
      </c>
      <c r="AA92" s="30">
        <f>H68*(1-(VLOOKUP(AA$75,tech_data!$B$2:$O$15,4,FALSE)/100))</f>
        <v>27.812887577478644</v>
      </c>
      <c r="AB92" s="30">
        <f>I68*(1-(VLOOKUP(AB$75,tech_data!$B$2:$O$15,4,FALSE)/100))</f>
        <v>5.5597423811686095</v>
      </c>
      <c r="AC92" s="30">
        <f>J68*(1-(VLOOKUP(AC$75,tech_data!$B$2:$O$15,4,FALSE)/100))</f>
        <v>8.978962499775518</v>
      </c>
      <c r="AD92" s="30">
        <f>K68*(1-(VLOOKUP(AD$75,tech_data!$B$2:$O$15,4,FALSE)/100))</f>
        <v>82.823289842231958</v>
      </c>
      <c r="AE92" s="30">
        <f>L68*(1-(VLOOKUP(AE$75,tech_data!$B$2:$O$15,4,FALSE)/100))</f>
        <v>80.204949860422104</v>
      </c>
      <c r="AF92" s="30">
        <f>M68*(1-(VLOOKUP(AF$75,tech_data!$B$2:$O$15,4,FALSE)/100))</f>
        <v>1.9285651504748182</v>
      </c>
      <c r="AG92" s="30">
        <f>N68*(1-(VLOOKUP(AG$75,tech_data!$B$2:$O$15,4,FALSE)/100))</f>
        <v>7.6095343487194659E-3</v>
      </c>
      <c r="AH92" s="30">
        <f>O68*(1-(VLOOKUP(AH$75,tech_data!$B$2:$O$15,4,FALSE)/100))</f>
        <v>0.48417958397536082</v>
      </c>
      <c r="AI92" s="30">
        <f>(Jawa!AI68*3.6/(VLOOKUP(AI$51,tech_data!$B$2:$J$15,4,FALSE)/100))/1000</f>
        <v>0</v>
      </c>
      <c r="AJ92" s="30">
        <f t="shared" si="87"/>
        <v>1709.8052239801555</v>
      </c>
      <c r="AK92" s="30"/>
      <c r="AL92" s="23"/>
    </row>
    <row r="93" spans="1:38" x14ac:dyDescent="0.25">
      <c r="A93" s="19"/>
      <c r="B93" s="20" t="str">
        <f t="shared" si="89"/>
        <v>JAWA</v>
      </c>
      <c r="C93" s="20">
        <f t="shared" si="89"/>
        <v>2036</v>
      </c>
      <c r="D93" s="30">
        <f t="shared" ref="D93:O95" si="91">D45*3.6/1000</f>
        <v>522.60979129088491</v>
      </c>
      <c r="E93" s="30">
        <f t="shared" si="91"/>
        <v>117.5477010375775</v>
      </c>
      <c r="F93" s="30">
        <f t="shared" si="91"/>
        <v>739.67289163390819</v>
      </c>
      <c r="G93" s="30">
        <f t="shared" si="91"/>
        <v>1.3192075881932157</v>
      </c>
      <c r="H93" s="30">
        <f t="shared" si="91"/>
        <v>32.153627257200746</v>
      </c>
      <c r="I93" s="30">
        <f t="shared" si="91"/>
        <v>105.63510524220348</v>
      </c>
      <c r="J93" s="30">
        <f t="shared" si="91"/>
        <v>35.915849999102079</v>
      </c>
      <c r="K93" s="30">
        <f t="shared" si="91"/>
        <v>109.74002005992648</v>
      </c>
      <c r="L93" s="30">
        <f t="shared" si="91"/>
        <v>214.14996045603468</v>
      </c>
      <c r="M93" s="30">
        <f t="shared" si="91"/>
        <v>0.86645680673506331</v>
      </c>
      <c r="N93" s="30">
        <f t="shared" si="91"/>
        <v>8.6145671872295798E-2</v>
      </c>
      <c r="O93" s="30">
        <f t="shared" si="91"/>
        <v>0.19457684215832255</v>
      </c>
      <c r="P93" s="30">
        <f>(Jawa!P69*3.6/(VLOOKUP(P$51,tech_data!$B$2:$J$15,4,FALSE)/100))/1000</f>
        <v>0</v>
      </c>
      <c r="Q93" s="30">
        <f t="shared" si="85"/>
        <v>1879.8913338857969</v>
      </c>
      <c r="R93" s="30"/>
      <c r="S93" s="23"/>
      <c r="T93" s="19"/>
      <c r="U93" s="20" t="str">
        <f t="shared" si="90"/>
        <v>JAWA</v>
      </c>
      <c r="V93" s="20">
        <f t="shared" si="90"/>
        <v>2036</v>
      </c>
      <c r="W93" s="30">
        <f>D69*(1-(VLOOKUP(W$75,tech_data!$B$2:$O$15,4,FALSE)/100))</f>
        <v>828.96725515105868</v>
      </c>
      <c r="X93" s="30">
        <f>E69*(1-(VLOOKUP(X$75,tech_data!$B$2:$O$15,4,FALSE)/100))</f>
        <v>212.02529252572393</v>
      </c>
      <c r="Y93" s="30">
        <f>F69*(1-(VLOOKUP(Y$75,tech_data!$B$2:$O$15,4,FALSE)/100))</f>
        <v>528.33777973850579</v>
      </c>
      <c r="Z93" s="30">
        <f>G69*(1-(VLOOKUP(Z$75,tech_data!$B$2:$O$15,4,FALSE)/100))</f>
        <v>1.5486349948355143</v>
      </c>
      <c r="AA93" s="30">
        <f>H69*(1-(VLOOKUP(AA$75,tech_data!$B$2:$O$15,4,FALSE)/100))</f>
        <v>27.812887577478644</v>
      </c>
      <c r="AB93" s="30">
        <f>I69*(1-(VLOOKUP(AB$75,tech_data!$B$2:$O$15,4,FALSE)/100))</f>
        <v>5.5597423811686095</v>
      </c>
      <c r="AC93" s="30">
        <f>J69*(1-(VLOOKUP(AC$75,tech_data!$B$2:$O$15,4,FALSE)/100))</f>
        <v>8.978962499775518</v>
      </c>
      <c r="AD93" s="30">
        <f>K69*(1-(VLOOKUP(AD$75,tech_data!$B$2:$O$15,4,FALSE)/100))</f>
        <v>92.181616850338244</v>
      </c>
      <c r="AE93" s="30">
        <f>L69*(1-(VLOOKUP(AE$75,tech_data!$B$2:$O$15,4,FALSE)/100))</f>
        <v>87.159033905606123</v>
      </c>
      <c r="AF93" s="30">
        <f>M69*(1-(VLOOKUP(AF$75,tech_data!$B$2:$O$15,4,FALSE)/100))</f>
        <v>1.9285651504748182</v>
      </c>
      <c r="AG93" s="30">
        <f>N69*(1-(VLOOKUP(AG$75,tech_data!$B$2:$O$15,4,FALSE)/100))</f>
        <v>7.6095343487194659E-3</v>
      </c>
      <c r="AH93" s="30">
        <f>O69*(1-(VLOOKUP(AH$75,tech_data!$B$2:$O$15,4,FALSE)/100))</f>
        <v>0.48417958397536082</v>
      </c>
      <c r="AI93" s="30">
        <f>(Jawa!AI69*3.6/(VLOOKUP(AI$51,tech_data!$B$2:$J$15,4,FALSE)/100))/1000</f>
        <v>0</v>
      </c>
      <c r="AJ93" s="30">
        <f t="shared" si="87"/>
        <v>1794.9915598932903</v>
      </c>
      <c r="AK93" s="30"/>
      <c r="AL93" s="23"/>
    </row>
    <row r="94" spans="1:38" x14ac:dyDescent="0.25">
      <c r="A94" s="19"/>
      <c r="B94" s="20" t="str">
        <f t="shared" si="89"/>
        <v>JAWA</v>
      </c>
      <c r="C94" s="20">
        <f t="shared" si="89"/>
        <v>2037</v>
      </c>
      <c r="D94" s="30">
        <f t="shared" si="91"/>
        <v>535.39742008952919</v>
      </c>
      <c r="E94" s="30">
        <f t="shared" si="91"/>
        <v>128.28212986668478</v>
      </c>
      <c r="F94" s="30">
        <f t="shared" si="91"/>
        <v>753.98295709578565</v>
      </c>
      <c r="G94" s="30">
        <f t="shared" si="91"/>
        <v>1.3340547838926851</v>
      </c>
      <c r="H94" s="30">
        <f t="shared" si="91"/>
        <v>32.153627257200746</v>
      </c>
      <c r="I94" s="30">
        <f t="shared" si="91"/>
        <v>105.63510524220348</v>
      </c>
      <c r="J94" s="30">
        <f t="shared" si="91"/>
        <v>35.915849999102079</v>
      </c>
      <c r="K94" s="30">
        <f t="shared" si="91"/>
        <v>120.33461776727243</v>
      </c>
      <c r="L94" s="30">
        <f t="shared" si="91"/>
        <v>225.66277877986838</v>
      </c>
      <c r="M94" s="30">
        <f t="shared" si="91"/>
        <v>0.86645680673506331</v>
      </c>
      <c r="N94" s="30">
        <f t="shared" si="91"/>
        <v>8.6145671872295798E-2</v>
      </c>
      <c r="O94" s="30">
        <f t="shared" si="91"/>
        <v>0.19457684215832255</v>
      </c>
      <c r="P94" s="30">
        <f>(Jawa!P70*3.6/(VLOOKUP(P$51,tech_data!$B$2:$J$15,4,FALSE)/100))/1000</f>
        <v>0</v>
      </c>
      <c r="Q94" s="30">
        <f t="shared" si="85"/>
        <v>1939.8457202023051</v>
      </c>
      <c r="R94" s="30"/>
      <c r="S94" s="23"/>
      <c r="T94" s="19"/>
      <c r="U94" s="20" t="str">
        <f t="shared" si="90"/>
        <v>JAWA</v>
      </c>
      <c r="V94" s="20">
        <f t="shared" si="90"/>
        <v>2037</v>
      </c>
      <c r="W94" s="30">
        <f>D70*(1-(VLOOKUP(W$75,tech_data!$B$2:$O$15,4,FALSE)/100))</f>
        <v>849.25108014201192</v>
      </c>
      <c r="X94" s="30">
        <f>E70*(1-(VLOOKUP(X$75,tech_data!$B$2:$O$15,4,FALSE)/100))</f>
        <v>231.38739312402021</v>
      </c>
      <c r="Y94" s="30">
        <f>F70*(1-(VLOOKUP(Y$75,tech_data!$B$2:$O$15,4,FALSE)/100))</f>
        <v>538.55925506841822</v>
      </c>
      <c r="Z94" s="30">
        <f>G70*(1-(VLOOKUP(Z$75,tech_data!$B$2:$O$15,4,FALSE)/100))</f>
        <v>1.5660643115261956</v>
      </c>
      <c r="AA94" s="30">
        <f>H70*(1-(VLOOKUP(AA$75,tech_data!$B$2:$O$15,4,FALSE)/100))</f>
        <v>27.812887577478644</v>
      </c>
      <c r="AB94" s="30">
        <f>I70*(1-(VLOOKUP(AB$75,tech_data!$B$2:$O$15,4,FALSE)/100))</f>
        <v>5.5597423811686095</v>
      </c>
      <c r="AC94" s="30">
        <f>J70*(1-(VLOOKUP(AC$75,tech_data!$B$2:$O$15,4,FALSE)/100))</f>
        <v>8.978962499775518</v>
      </c>
      <c r="AD94" s="30">
        <f>K70*(1-(VLOOKUP(AD$75,tech_data!$B$2:$O$15,4,FALSE)/100))</f>
        <v>101.08107892450884</v>
      </c>
      <c r="AE94" s="30">
        <f>L70*(1-(VLOOKUP(AE$75,tech_data!$B$2:$O$15,4,FALSE)/100))</f>
        <v>91.84475096340644</v>
      </c>
      <c r="AF94" s="30">
        <f>M70*(1-(VLOOKUP(AF$75,tech_data!$B$2:$O$15,4,FALSE)/100))</f>
        <v>1.9285651504748182</v>
      </c>
      <c r="AG94" s="30">
        <f>N70*(1-(VLOOKUP(AG$75,tech_data!$B$2:$O$15,4,FALSE)/100))</f>
        <v>7.6095343487194659E-3</v>
      </c>
      <c r="AH94" s="30">
        <f>O70*(1-(VLOOKUP(AH$75,tech_data!$B$2:$O$15,4,FALSE)/100))</f>
        <v>0.48417958397536082</v>
      </c>
      <c r="AI94" s="30">
        <f>(Jawa!AI70*3.6/(VLOOKUP(AI$51,tech_data!$B$2:$J$15,4,FALSE)/100))/1000</f>
        <v>0</v>
      </c>
      <c r="AJ94" s="30">
        <f t="shared" si="87"/>
        <v>1858.4615692611137</v>
      </c>
      <c r="AK94" s="30"/>
      <c r="AL94" s="23"/>
    </row>
    <row r="95" spans="1:38" x14ac:dyDescent="0.25">
      <c r="A95" s="19"/>
      <c r="B95" s="20" t="str">
        <f t="shared" si="89"/>
        <v>JAWA</v>
      </c>
      <c r="C95" s="20">
        <f t="shared" si="89"/>
        <v>2038</v>
      </c>
      <c r="D95" s="30">
        <f t="shared" si="91"/>
        <v>561.49838850519063</v>
      </c>
      <c r="E95" s="30">
        <f t="shared" si="91"/>
        <v>139.59543964386958</v>
      </c>
      <c r="F95" s="30">
        <f t="shared" si="91"/>
        <v>790.01447486801567</v>
      </c>
      <c r="G95" s="30">
        <f t="shared" si="91"/>
        <v>1.3811170021400578</v>
      </c>
      <c r="H95" s="30">
        <f t="shared" si="91"/>
        <v>32.153627257200746</v>
      </c>
      <c r="I95" s="30">
        <f t="shared" si="91"/>
        <v>105.63510524220348</v>
      </c>
      <c r="J95" s="30">
        <f t="shared" si="91"/>
        <v>42.656766178472409</v>
      </c>
      <c r="K95" s="30">
        <f t="shared" si="91"/>
        <v>135.0664406019992</v>
      </c>
      <c r="L95" s="30">
        <f t="shared" si="91"/>
        <v>240.11564187879571</v>
      </c>
      <c r="M95" s="30">
        <f t="shared" si="91"/>
        <v>0.86645680717206719</v>
      </c>
      <c r="N95" s="30">
        <f t="shared" si="91"/>
        <v>8.6145671872295798E-2</v>
      </c>
      <c r="O95" s="30">
        <f t="shared" si="91"/>
        <v>0.19457684215832255</v>
      </c>
      <c r="P95" s="30">
        <f>(Jawa!P71*3.6/(VLOOKUP(P$51,tech_data!$B$2:$J$15,4,FALSE)/100))/1000</f>
        <v>0</v>
      </c>
      <c r="Q95" s="30">
        <f t="shared" si="85"/>
        <v>2049.2641804990899</v>
      </c>
      <c r="R95" s="30"/>
      <c r="S95" s="23"/>
      <c r="T95" s="19"/>
      <c r="U95" s="20" t="str">
        <f t="shared" si="90"/>
        <v>JAWA</v>
      </c>
      <c r="V95" s="20">
        <f t="shared" si="90"/>
        <v>2038</v>
      </c>
      <c r="W95" s="30">
        <f>D71*(1-(VLOOKUP(W$75,tech_data!$B$2:$O$15,4,FALSE)/100))</f>
        <v>890.65261624961261</v>
      </c>
      <c r="X95" s="30">
        <f>E71*(1-(VLOOKUP(X$75,tech_data!$B$2:$O$15,4,FALSE)/100))</f>
        <v>251.79364346978346</v>
      </c>
      <c r="Y95" s="30">
        <f>F71*(1-(VLOOKUP(Y$75,tech_data!$B$2:$O$15,4,FALSE)/100))</f>
        <v>564.29605347715392</v>
      </c>
      <c r="Z95" s="30">
        <f>G71*(1-(VLOOKUP(Z$75,tech_data!$B$2:$O$15,4,FALSE)/100))</f>
        <v>1.6213112633818072</v>
      </c>
      <c r="AA95" s="30">
        <f>H71*(1-(VLOOKUP(AA$75,tech_data!$B$2:$O$15,4,FALSE)/100))</f>
        <v>27.812887577478644</v>
      </c>
      <c r="AB95" s="30">
        <f>I71*(1-(VLOOKUP(AB$75,tech_data!$B$2:$O$15,4,FALSE)/100))</f>
        <v>5.5597423811686095</v>
      </c>
      <c r="AC95" s="30">
        <f>J71*(1-(VLOOKUP(AC$75,tech_data!$B$2:$O$15,4,FALSE)/100))</f>
        <v>10.664191544618101</v>
      </c>
      <c r="AD95" s="30">
        <f>K71*(1-(VLOOKUP(AD$75,tech_data!$B$2:$O$15,4,FALSE)/100))</f>
        <v>113.45581010567933</v>
      </c>
      <c r="AE95" s="30">
        <f>L71*(1-(VLOOKUP(AE$75,tech_data!$B$2:$O$15,4,FALSE)/100))</f>
        <v>97.727066244669857</v>
      </c>
      <c r="AF95" s="30">
        <f>M71*(1-(VLOOKUP(AF$75,tech_data!$B$2:$O$15,4,FALSE)/100))</f>
        <v>1.9285651514475044</v>
      </c>
      <c r="AG95" s="30">
        <f>N71*(1-(VLOOKUP(AG$75,tech_data!$B$2:$O$15,4,FALSE)/100))</f>
        <v>7.6095343487194659E-3</v>
      </c>
      <c r="AH95" s="30">
        <f>O71*(1-(VLOOKUP(AH$75,tech_data!$B$2:$O$15,4,FALSE)/100))</f>
        <v>0.48417958397536082</v>
      </c>
      <c r="AI95" s="30">
        <f>(Jawa!AI71*3.6/(VLOOKUP(AI$51,tech_data!$B$2:$J$15,4,FALSE)/100))/1000</f>
        <v>0</v>
      </c>
      <c r="AJ95" s="30">
        <f t="shared" si="87"/>
        <v>1966.0036765833181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1B88-9F63-4AAC-9B3D-4AA12B557E3A}">
  <sheetPr codeName="Sheet10"/>
  <dimension ref="A1:CF96"/>
  <sheetViews>
    <sheetView topLeftCell="A45" zoomScale="85" zoomScaleNormal="85" workbookViewId="0">
      <selection activeCell="N54" sqref="N5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proj_rukn!A62</f>
        <v>BALI_NT</v>
      </c>
      <c r="C4" s="20">
        <f>proj_rukn!B62</f>
        <v>2019</v>
      </c>
      <c r="D4" s="30">
        <f>existing_capacity!C5</f>
        <v>519.33999999999992</v>
      </c>
      <c r="E4" s="30">
        <f>existing_capacity!D5</f>
        <v>660.53</v>
      </c>
      <c r="F4" s="30">
        <f>existing_capacity!E5</f>
        <v>0</v>
      </c>
      <c r="G4" s="30">
        <f>existing_capacity!F5</f>
        <v>582.04999999999995</v>
      </c>
      <c r="H4" s="30">
        <f>existing_capacity!G5</f>
        <v>24.6</v>
      </c>
      <c r="I4" s="30">
        <f>existing_capacity!H5</f>
        <v>7.3000000000000007</v>
      </c>
      <c r="J4" s="30">
        <f>existing_capacity!I5</f>
        <v>16</v>
      </c>
      <c r="K4" s="30">
        <f>existing_capacity!J5</f>
        <v>4.13</v>
      </c>
      <c r="L4" s="30">
        <f>existing_capacity!K5</f>
        <v>0</v>
      </c>
      <c r="M4" s="30">
        <f>existing_capacity!L5</f>
        <v>0</v>
      </c>
      <c r="N4" s="30">
        <f>existing_capacity!M5</f>
        <v>0</v>
      </c>
      <c r="O4" s="30">
        <f>existing_capacity!N5</f>
        <v>0</v>
      </c>
      <c r="P4" s="30">
        <v>0</v>
      </c>
      <c r="Q4" s="30">
        <f>SUM(D4:O4)</f>
        <v>1813.9499999999998</v>
      </c>
      <c r="R4" s="30"/>
      <c r="S4" s="36"/>
      <c r="T4" s="19"/>
      <c r="U4" s="20" t="str">
        <f t="shared" ref="U4:V23" si="0">B4</f>
        <v>BALI_NT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BALI_NT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potential!G5</f>
        <v>1698.8</v>
      </c>
      <c r="AV4" s="30">
        <f>potential!H5</f>
        <v>624</v>
      </c>
      <c r="AW4" s="30">
        <f>potential!I5</f>
        <v>141</v>
      </c>
      <c r="AX4" s="30">
        <f>potential!J5</f>
        <v>18457</v>
      </c>
      <c r="AY4" s="30">
        <f>potential!K5</f>
        <v>13812</v>
      </c>
      <c r="AZ4" s="30">
        <f>potential!L5</f>
        <v>635</v>
      </c>
      <c r="BA4" s="30">
        <f>potential!M5</f>
        <v>9297</v>
      </c>
      <c r="BB4" s="30">
        <v>999</v>
      </c>
      <c r="BC4" s="30">
        <v>999</v>
      </c>
      <c r="BD4" s="30">
        <f t="shared" ref="BD4:BD23" si="3">SUM(AU4:BA4)</f>
        <v>44664.800000000003</v>
      </c>
      <c r="BF4" s="23"/>
      <c r="BG4" s="19"/>
      <c r="BH4" s="20" t="str">
        <f>AO4</f>
        <v>BALI_NT</v>
      </c>
      <c r="BI4" s="20">
        <f>AP4</f>
        <v>2019</v>
      </c>
      <c r="BJ4" s="25">
        <f t="shared" ref="BJ4:BJ22" si="4">SUM(K28:L28,N28)/Q28</f>
        <v>9.8721750920653531E-4</v>
      </c>
      <c r="BK4" s="43">
        <f t="shared" ref="BK4:BK23" si="5">$BO$5+((BJ4-$BN$5)*($BO$6-$BO$5)/($BN$6-$BN$5))</f>
        <v>2.7290752386410077E-4</v>
      </c>
      <c r="BL4" s="34">
        <f>BK4*Q28*1000</f>
        <v>2100.2747548360899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BALI_NT</v>
      </c>
      <c r="C5" s="20">
        <f>C4+1</f>
        <v>2020</v>
      </c>
      <c r="D5" s="30">
        <f>D4+W5</f>
        <v>526.98181339487712</v>
      </c>
      <c r="E5" s="30">
        <f t="shared" ref="E5:O20" si="6">E4+X5</f>
        <v>660.53</v>
      </c>
      <c r="F5" s="30">
        <f t="shared" si="6"/>
        <v>0</v>
      </c>
      <c r="G5" s="30">
        <f t="shared" si="6"/>
        <v>582.04999999999995</v>
      </c>
      <c r="H5" s="30">
        <f t="shared" si="6"/>
        <v>24.6</v>
      </c>
      <c r="I5" s="30">
        <f t="shared" si="6"/>
        <v>7.3000000000000007</v>
      </c>
      <c r="J5" s="30">
        <f t="shared" si="6"/>
        <v>16</v>
      </c>
      <c r="K5" s="30">
        <f t="shared" si="6"/>
        <v>13.265126724862792</v>
      </c>
      <c r="L5" s="30">
        <f t="shared" si="6"/>
        <v>0</v>
      </c>
      <c r="M5" s="30">
        <f t="shared" si="6"/>
        <v>67.751832013396978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0.54916660682686425</v>
      </c>
      <c r="Q5" s="30">
        <f t="shared" ref="Q5:Q23" si="7">SUM(D5:O5)</f>
        <v>1898.4787721331368</v>
      </c>
      <c r="R5" s="30"/>
      <c r="S5" s="36"/>
      <c r="T5" s="19"/>
      <c r="U5" s="20" t="str">
        <f t="shared" si="0"/>
        <v>BALI_NT</v>
      </c>
      <c r="V5" s="20">
        <f t="shared" si="0"/>
        <v>2020</v>
      </c>
      <c r="W5" s="30">
        <v>7.6418133948772029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  <c r="AD5" s="30">
        <v>9.1351267248627934</v>
      </c>
      <c r="AE5" s="30">
        <v>0</v>
      </c>
      <c r="AF5" s="30">
        <v>67.751832013396978</v>
      </c>
      <c r="AG5" s="30">
        <v>0</v>
      </c>
      <c r="AH5" s="30">
        <v>0</v>
      </c>
      <c r="AI5" s="30">
        <f t="shared" ref="AI5:AI23" si="8">IF(P5&gt;=P4, P5-P4, 0)</f>
        <v>0.54916660682686425</v>
      </c>
      <c r="AJ5" s="34">
        <f t="shared" si="1"/>
        <v>85.077938739963841</v>
      </c>
      <c r="AM5" s="23"/>
      <c r="AO5" s="20" t="str">
        <f t="shared" si="2"/>
        <v>BALI_NT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1698.8</v>
      </c>
      <c r="AV5" s="30">
        <f t="shared" si="9"/>
        <v>624</v>
      </c>
      <c r="AW5" s="30">
        <f t="shared" si="9"/>
        <v>141</v>
      </c>
      <c r="AX5" s="30">
        <f t="shared" si="9"/>
        <v>18447.864873275139</v>
      </c>
      <c r="AY5" s="30">
        <f t="shared" si="9"/>
        <v>13812</v>
      </c>
      <c r="AZ5" s="30">
        <f t="shared" si="9"/>
        <v>567.24816798660299</v>
      </c>
      <c r="BA5" s="30">
        <f t="shared" si="9"/>
        <v>9297</v>
      </c>
      <c r="BB5" s="30">
        <v>999</v>
      </c>
      <c r="BC5" s="30">
        <v>999</v>
      </c>
      <c r="BD5" s="30">
        <f t="shared" si="3"/>
        <v>44587.913041261738</v>
      </c>
      <c r="BF5" s="23"/>
      <c r="BG5" s="19"/>
      <c r="BH5" s="20" t="str">
        <f t="shared" ref="BH5:BI23" si="10">AO5</f>
        <v>BALI_NT</v>
      </c>
      <c r="BI5" s="20">
        <f t="shared" si="10"/>
        <v>2020</v>
      </c>
      <c r="BJ5" s="25">
        <f t="shared" si="4"/>
        <v>3.0815162430421726E-3</v>
      </c>
      <c r="BK5" s="43">
        <f t="shared" si="5"/>
        <v>2.7336971392949899E-4</v>
      </c>
      <c r="BL5" s="34">
        <f t="shared" ref="BL5:BL23" si="11">BK5*Q29*1000</f>
        <v>2164.8147641114992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BALI_NT</v>
      </c>
      <c r="C6" s="20">
        <f t="shared" ref="C6:C23" si="13">C5+1</f>
        <v>2021</v>
      </c>
      <c r="D6" s="30">
        <f t="shared" ref="D6:O21" si="14">D5+W6</f>
        <v>609.44679347290753</v>
      </c>
      <c r="E6" s="30">
        <f t="shared" si="6"/>
        <v>660.53</v>
      </c>
      <c r="F6" s="30">
        <f t="shared" si="6"/>
        <v>0</v>
      </c>
      <c r="G6" s="30">
        <f t="shared" si="6"/>
        <v>582.04999999999995</v>
      </c>
      <c r="H6" s="30">
        <f t="shared" si="6"/>
        <v>165.91549048654986</v>
      </c>
      <c r="I6" s="30">
        <f t="shared" si="6"/>
        <v>7.3000000000000007</v>
      </c>
      <c r="J6" s="30">
        <f t="shared" si="6"/>
        <v>16</v>
      </c>
      <c r="K6" s="30">
        <f t="shared" si="6"/>
        <v>42.053193959489889</v>
      </c>
      <c r="L6" s="30">
        <f t="shared" si="6"/>
        <v>0</v>
      </c>
      <c r="M6" s="30">
        <f t="shared" si="6"/>
        <v>67.751831013396981</v>
      </c>
      <c r="N6" s="30">
        <f t="shared" si="6"/>
        <v>-3.3184666028279741E-7</v>
      </c>
      <c r="O6" s="30">
        <f t="shared" si="6"/>
        <v>0</v>
      </c>
      <c r="P6" s="30">
        <f>BL6/((VLOOKUP(P$3,tech_data!$B$2:$G$15,6,FALSE)/100)*24*365)</f>
        <v>0.64689207684542227</v>
      </c>
      <c r="Q6" s="30">
        <f t="shared" si="7"/>
        <v>2151.0473086004972</v>
      </c>
      <c r="R6" s="30"/>
      <c r="S6" s="36"/>
      <c r="T6" s="19"/>
      <c r="U6" s="20" t="str">
        <f t="shared" si="0"/>
        <v>BALI_NT</v>
      </c>
      <c r="V6" s="20">
        <f t="shared" si="0"/>
        <v>2021</v>
      </c>
      <c r="W6" s="30">
        <v>82.464980078030464</v>
      </c>
      <c r="X6" s="30">
        <v>0</v>
      </c>
      <c r="Y6" s="30">
        <v>0</v>
      </c>
      <c r="Z6" s="30">
        <v>0</v>
      </c>
      <c r="AA6" s="30">
        <v>141.31549048654986</v>
      </c>
      <c r="AB6" s="30">
        <v>0</v>
      </c>
      <c r="AC6" s="30">
        <v>0</v>
      </c>
      <c r="AD6" s="30">
        <v>28.788067234627096</v>
      </c>
      <c r="AE6" s="30">
        <v>0</v>
      </c>
      <c r="AF6" s="30">
        <v>-9.9999999991773336E-7</v>
      </c>
      <c r="AG6" s="30">
        <v>-3.3184666028279741E-7</v>
      </c>
      <c r="AH6" s="30">
        <v>0</v>
      </c>
      <c r="AI6" s="30">
        <f t="shared" si="8"/>
        <v>9.7725470018558025E-2</v>
      </c>
      <c r="AJ6" s="34">
        <f t="shared" si="1"/>
        <v>252.66626193737935</v>
      </c>
      <c r="AM6" s="23"/>
      <c r="AO6" s="20" t="str">
        <f t="shared" si="2"/>
        <v>BALI_NT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1557.4845095134501</v>
      </c>
      <c r="AV6" s="30">
        <f t="shared" si="9"/>
        <v>624</v>
      </c>
      <c r="AW6" s="30">
        <f t="shared" si="9"/>
        <v>141</v>
      </c>
      <c r="AX6" s="30">
        <f t="shared" si="9"/>
        <v>18419.076806040513</v>
      </c>
      <c r="AY6" s="30">
        <f t="shared" si="9"/>
        <v>13812</v>
      </c>
      <c r="AZ6" s="30">
        <f t="shared" si="9"/>
        <v>567.24816898660299</v>
      </c>
      <c r="BA6" s="30">
        <f t="shared" si="9"/>
        <v>9297.0000003318473</v>
      </c>
      <c r="BB6" s="30">
        <v>999</v>
      </c>
      <c r="BC6" s="30">
        <v>999</v>
      </c>
      <c r="BD6" s="30">
        <f t="shared" si="3"/>
        <v>44417.809484872414</v>
      </c>
      <c r="BF6" s="23"/>
      <c r="BG6" s="19"/>
      <c r="BH6" s="20" t="str">
        <f t="shared" si="10"/>
        <v>BALI_NT</v>
      </c>
      <c r="BI6" s="20">
        <f t="shared" si="10"/>
        <v>2021</v>
      </c>
      <c r="BJ6" s="25">
        <f t="shared" si="4"/>
        <v>8.3283699160807047E-3</v>
      </c>
      <c r="BK6" s="43">
        <f t="shared" si="5"/>
        <v>2.7452764025734199E-4</v>
      </c>
      <c r="BL6" s="34">
        <f t="shared" si="11"/>
        <v>2550.048566924655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BALI_NT</v>
      </c>
      <c r="C7" s="20">
        <f t="shared" si="13"/>
        <v>2022</v>
      </c>
      <c r="D7" s="30">
        <f t="shared" si="14"/>
        <v>665.56556924556082</v>
      </c>
      <c r="E7" s="30">
        <f t="shared" si="6"/>
        <v>660.53</v>
      </c>
      <c r="F7" s="30">
        <f t="shared" si="6"/>
        <v>135.34349871081264</v>
      </c>
      <c r="G7" s="30">
        <f t="shared" si="6"/>
        <v>582.04999899999996</v>
      </c>
      <c r="H7" s="30">
        <f t="shared" si="6"/>
        <v>165.91549048654986</v>
      </c>
      <c r="I7" s="30">
        <f t="shared" si="6"/>
        <v>82.013520341653106</v>
      </c>
      <c r="J7" s="30">
        <f t="shared" si="6"/>
        <v>16</v>
      </c>
      <c r="K7" s="30">
        <f t="shared" si="6"/>
        <v>54.97767017918968</v>
      </c>
      <c r="L7" s="30">
        <f t="shared" si="6"/>
        <v>0</v>
      </c>
      <c r="M7" s="30">
        <f t="shared" si="6"/>
        <v>67.751830013396983</v>
      </c>
      <c r="N7" s="30">
        <f t="shared" si="6"/>
        <v>1.170350923641468E-14</v>
      </c>
      <c r="O7" s="30">
        <f t="shared" si="6"/>
        <v>0</v>
      </c>
      <c r="P7" s="30">
        <f>BL7/((VLOOKUP(P$3,tech_data!$B$2:$G$15,6,FALSE)/100)*24*365)</f>
        <v>0.71754670569109402</v>
      </c>
      <c r="Q7" s="30">
        <f t="shared" si="7"/>
        <v>2430.1475779771631</v>
      </c>
      <c r="R7" s="30"/>
      <c r="S7" s="36"/>
      <c r="T7" s="19"/>
      <c r="U7" s="20" t="str">
        <f t="shared" si="0"/>
        <v>BALI_NT</v>
      </c>
      <c r="V7" s="20">
        <f t="shared" si="0"/>
        <v>2022</v>
      </c>
      <c r="W7" s="30">
        <v>56.118775772653258</v>
      </c>
      <c r="X7" s="30">
        <v>0</v>
      </c>
      <c r="Y7" s="30">
        <v>135.34349871081264</v>
      </c>
      <c r="Z7" s="30">
        <v>-9.9999999991773336E-7</v>
      </c>
      <c r="AA7" s="30">
        <v>0</v>
      </c>
      <c r="AB7" s="30">
        <v>74.713520341653108</v>
      </c>
      <c r="AC7" s="30">
        <v>0</v>
      </c>
      <c r="AD7" s="30">
        <v>12.924476219699791</v>
      </c>
      <c r="AE7" s="30">
        <v>0</v>
      </c>
      <c r="AF7" s="30">
        <v>-9.9999999997324451E-7</v>
      </c>
      <c r="AG7" s="30">
        <v>3.3184667198630665E-7</v>
      </c>
      <c r="AH7" s="30">
        <v>0</v>
      </c>
      <c r="AI7" s="30">
        <f t="shared" si="8"/>
        <v>7.0654628845671752E-2</v>
      </c>
      <c r="AJ7" s="34">
        <f t="shared" si="1"/>
        <v>279.1709240055111</v>
      </c>
      <c r="AM7" s="23"/>
      <c r="AO7" s="20" t="str">
        <f t="shared" si="2"/>
        <v>BALI_NT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1557.4845095134501</v>
      </c>
      <c r="AV7" s="30">
        <f t="shared" si="9"/>
        <v>549.28647965834693</v>
      </c>
      <c r="AW7" s="30">
        <f t="shared" si="9"/>
        <v>141</v>
      </c>
      <c r="AX7" s="30">
        <f t="shared" si="9"/>
        <v>18406.152329820812</v>
      </c>
      <c r="AY7" s="30">
        <f t="shared" si="9"/>
        <v>13812</v>
      </c>
      <c r="AZ7" s="30">
        <f t="shared" si="9"/>
        <v>567.24816998660299</v>
      </c>
      <c r="BA7" s="30">
        <f t="shared" si="9"/>
        <v>9297</v>
      </c>
      <c r="BB7" s="30">
        <v>999</v>
      </c>
      <c r="BC7" s="30">
        <v>999</v>
      </c>
      <c r="BD7" s="30">
        <f t="shared" si="3"/>
        <v>44330.171488979213</v>
      </c>
      <c r="BF7" s="23"/>
      <c r="BG7" s="19"/>
      <c r="BH7" s="20" t="str">
        <f t="shared" si="10"/>
        <v>BALI_NT</v>
      </c>
      <c r="BI7" s="20">
        <f t="shared" si="10"/>
        <v>2022</v>
      </c>
      <c r="BJ7" s="25">
        <f t="shared" si="4"/>
        <v>9.8277059626506007E-3</v>
      </c>
      <c r="BK7" s="43">
        <f t="shared" si="5"/>
        <v>2.7485852821244704E-4</v>
      </c>
      <c r="BL7" s="34">
        <f t="shared" si="11"/>
        <v>2828.5691138342931</v>
      </c>
      <c r="BP7" s="23"/>
    </row>
    <row r="8" spans="1:68" x14ac:dyDescent="0.25">
      <c r="A8" s="19"/>
      <c r="B8" s="20" t="str">
        <f t="shared" si="12"/>
        <v>BALI_NT</v>
      </c>
      <c r="C8" s="20">
        <f t="shared" si="13"/>
        <v>2023</v>
      </c>
      <c r="D8" s="30">
        <f t="shared" si="14"/>
        <v>667.10882560586492</v>
      </c>
      <c r="E8" s="30">
        <f t="shared" si="6"/>
        <v>661.83779435485474</v>
      </c>
      <c r="F8" s="30">
        <f t="shared" si="6"/>
        <v>136.88657022738687</v>
      </c>
      <c r="G8" s="30">
        <f t="shared" si="6"/>
        <v>583.35797209917132</v>
      </c>
      <c r="H8" s="30">
        <f t="shared" si="6"/>
        <v>167.45891044851896</v>
      </c>
      <c r="I8" s="30">
        <f t="shared" si="6"/>
        <v>83.321448215029463</v>
      </c>
      <c r="J8" s="30">
        <f t="shared" si="6"/>
        <v>16.000533454215024</v>
      </c>
      <c r="K8" s="30">
        <f t="shared" si="6"/>
        <v>75.162201149851171</v>
      </c>
      <c r="L8" s="30">
        <f t="shared" si="6"/>
        <v>5.2035956722422984E-5</v>
      </c>
      <c r="M8" s="30">
        <f t="shared" si="6"/>
        <v>69.294879825318858</v>
      </c>
      <c r="N8" s="30">
        <f t="shared" si="6"/>
        <v>5.317879380142801E-5</v>
      </c>
      <c r="O8" s="30">
        <f t="shared" si="6"/>
        <v>0</v>
      </c>
      <c r="P8" s="30">
        <f>BL8/((VLOOKUP(P$3,tech_data!$B$2:$G$15,6,FALSE)/100)*24*365)</f>
        <v>0.72509107136756912</v>
      </c>
      <c r="Q8" s="30">
        <f t="shared" si="7"/>
        <v>2460.4292405949614</v>
      </c>
      <c r="R8" s="30"/>
      <c r="S8" s="36"/>
      <c r="T8" s="19"/>
      <c r="U8" s="20" t="str">
        <f t="shared" si="0"/>
        <v>BALI_NT</v>
      </c>
      <c r="V8" s="20">
        <f t="shared" si="0"/>
        <v>2023</v>
      </c>
      <c r="W8" s="30">
        <v>1.5432563603040625</v>
      </c>
      <c r="X8" s="30">
        <v>1.3077943548547384</v>
      </c>
      <c r="Y8" s="30">
        <v>1.5430715165742366</v>
      </c>
      <c r="Z8" s="30">
        <v>1.3079730991713328</v>
      </c>
      <c r="AA8" s="30">
        <v>1.5434199619690934</v>
      </c>
      <c r="AB8" s="30">
        <v>1.3079278733763637</v>
      </c>
      <c r="AC8" s="30">
        <v>5.3345421502303816E-4</v>
      </c>
      <c r="AD8" s="30">
        <v>20.184530970661488</v>
      </c>
      <c r="AE8" s="30">
        <v>5.2035956722422984E-5</v>
      </c>
      <c r="AF8" s="30">
        <v>1.5430498119218783</v>
      </c>
      <c r="AG8" s="30">
        <v>5.3178793789724501E-5</v>
      </c>
      <c r="AH8" s="30">
        <v>0</v>
      </c>
      <c r="AI8" s="30">
        <f t="shared" si="8"/>
        <v>7.5443656764750955E-3</v>
      </c>
      <c r="AJ8" s="34">
        <f t="shared" si="1"/>
        <v>30.289206983475204</v>
      </c>
      <c r="AM8" s="23"/>
      <c r="AO8" s="20" t="str">
        <f t="shared" si="2"/>
        <v>BALI_NT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1555.9410895514811</v>
      </c>
      <c r="AV8" s="30">
        <f t="shared" si="9"/>
        <v>547.97855178497059</v>
      </c>
      <c r="AW8" s="30">
        <f t="shared" si="9"/>
        <v>140.99946654578497</v>
      </c>
      <c r="AX8" s="30">
        <f t="shared" si="9"/>
        <v>18385.96779885015</v>
      </c>
      <c r="AY8" s="30">
        <f t="shared" si="9"/>
        <v>13811.999947964043</v>
      </c>
      <c r="AZ8" s="30">
        <f t="shared" si="9"/>
        <v>565.70512017468116</v>
      </c>
      <c r="BA8" s="30">
        <f t="shared" si="9"/>
        <v>9296.9999468212063</v>
      </c>
      <c r="BB8" s="30">
        <v>999</v>
      </c>
      <c r="BC8" s="30">
        <v>999</v>
      </c>
      <c r="BD8" s="30">
        <f t="shared" si="3"/>
        <v>44305.591921692314</v>
      </c>
      <c r="BF8" s="23"/>
      <c r="BG8" s="19"/>
      <c r="BH8" s="20" t="str">
        <f t="shared" si="10"/>
        <v>BALI_NT</v>
      </c>
      <c r="BI8" s="20">
        <f t="shared" si="10"/>
        <v>2023</v>
      </c>
      <c r="BJ8" s="25">
        <f t="shared" si="4"/>
        <v>1.3333516712758486E-2</v>
      </c>
      <c r="BK8" s="43">
        <f t="shared" si="5"/>
        <v>2.7563222437798808E-4</v>
      </c>
      <c r="BL8" s="34">
        <f t="shared" si="11"/>
        <v>2858.3090033309577</v>
      </c>
      <c r="BP8" s="23"/>
    </row>
    <row r="9" spans="1:68" x14ac:dyDescent="0.25">
      <c r="A9" s="19"/>
      <c r="B9" s="20" t="str">
        <f t="shared" si="12"/>
        <v>BALI_NT</v>
      </c>
      <c r="C9" s="20">
        <f t="shared" si="13"/>
        <v>2024</v>
      </c>
      <c r="D9" s="30">
        <f t="shared" si="14"/>
        <v>667.10882560586492</v>
      </c>
      <c r="E9" s="30">
        <f t="shared" si="6"/>
        <v>661.83779435485474</v>
      </c>
      <c r="F9" s="30">
        <f t="shared" si="6"/>
        <v>136.88657022738687</v>
      </c>
      <c r="G9" s="30">
        <f t="shared" si="6"/>
        <v>583.35797209917132</v>
      </c>
      <c r="H9" s="30">
        <f t="shared" si="6"/>
        <v>167.45891044851896</v>
      </c>
      <c r="I9" s="30">
        <f t="shared" si="6"/>
        <v>83.321447215029465</v>
      </c>
      <c r="J9" s="30">
        <f t="shared" si="6"/>
        <v>16.000533454215024</v>
      </c>
      <c r="K9" s="30">
        <f t="shared" si="6"/>
        <v>75.162201149851171</v>
      </c>
      <c r="L9" s="30">
        <f t="shared" si="6"/>
        <v>5.2035956722422984E-5</v>
      </c>
      <c r="M9" s="30">
        <f t="shared" si="6"/>
        <v>159.37685585258927</v>
      </c>
      <c r="N9" s="30">
        <f t="shared" si="6"/>
        <v>5.317879380142801E-5</v>
      </c>
      <c r="O9" s="30">
        <f t="shared" si="6"/>
        <v>0</v>
      </c>
      <c r="P9" s="30">
        <f>BL9/((VLOOKUP(P$3,tech_data!$B$2:$G$15,6,FALSE)/100)*24*365)</f>
        <v>0.74065483751788674</v>
      </c>
      <c r="Q9" s="30">
        <f t="shared" si="7"/>
        <v>2550.5112156222322</v>
      </c>
      <c r="R9" s="30"/>
      <c r="S9" s="36"/>
      <c r="T9" s="19"/>
      <c r="U9" s="20" t="str">
        <f t="shared" si="0"/>
        <v>BALI_NT</v>
      </c>
      <c r="V9" s="20">
        <f t="shared" si="0"/>
        <v>2024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-9.9999999925159955E-7</v>
      </c>
      <c r="AC9" s="30">
        <v>0</v>
      </c>
      <c r="AD9" s="30">
        <v>0</v>
      </c>
      <c r="AE9" s="30">
        <v>0</v>
      </c>
      <c r="AF9" s="30">
        <v>90.081976027270414</v>
      </c>
      <c r="AG9" s="30">
        <v>0</v>
      </c>
      <c r="AH9" s="30">
        <v>0</v>
      </c>
      <c r="AI9" s="30">
        <f t="shared" si="8"/>
        <v>1.5563766150317626E-2</v>
      </c>
      <c r="AJ9" s="34">
        <f t="shared" si="1"/>
        <v>90.097538793420739</v>
      </c>
      <c r="AM9" s="23"/>
      <c r="AO9" s="20" t="str">
        <f t="shared" si="2"/>
        <v>BALI_NT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1555.9410895514811</v>
      </c>
      <c r="AV9" s="30">
        <f t="shared" si="9"/>
        <v>547.97855278497059</v>
      </c>
      <c r="AW9" s="30">
        <f t="shared" si="9"/>
        <v>140.99946654578497</v>
      </c>
      <c r="AX9" s="30">
        <f t="shared" si="9"/>
        <v>18385.96779885015</v>
      </c>
      <c r="AY9" s="30">
        <f t="shared" si="9"/>
        <v>13811.999947964043</v>
      </c>
      <c r="AZ9" s="30">
        <f t="shared" si="9"/>
        <v>475.62314414741076</v>
      </c>
      <c r="BA9" s="30">
        <f t="shared" si="9"/>
        <v>9296.9999468212063</v>
      </c>
      <c r="BB9" s="30">
        <v>999</v>
      </c>
      <c r="BC9" s="30">
        <v>999</v>
      </c>
      <c r="BD9" s="30">
        <f t="shared" si="3"/>
        <v>44215.509946665043</v>
      </c>
      <c r="BF9" s="23"/>
      <c r="BG9" s="19"/>
      <c r="BH9" s="20" t="str">
        <f t="shared" si="10"/>
        <v>BALI_NT</v>
      </c>
      <c r="BI9" s="20">
        <f t="shared" si="10"/>
        <v>2024</v>
      </c>
      <c r="BJ9" s="25">
        <f t="shared" si="4"/>
        <v>1.3050373338983103E-2</v>
      </c>
      <c r="BK9" s="43">
        <f t="shared" si="5"/>
        <v>2.7556973756446526E-4</v>
      </c>
      <c r="BL9" s="34">
        <f t="shared" si="11"/>
        <v>2919.6613694955099</v>
      </c>
      <c r="BN9" s="38"/>
      <c r="BP9" s="23"/>
    </row>
    <row r="10" spans="1:68" x14ac:dyDescent="0.25">
      <c r="A10" s="19"/>
      <c r="B10" s="20" t="str">
        <f t="shared" si="12"/>
        <v>BALI_NT</v>
      </c>
      <c r="C10" s="20">
        <f t="shared" si="13"/>
        <v>2025</v>
      </c>
      <c r="D10" s="30">
        <f t="shared" si="14"/>
        <v>668.34439598994732</v>
      </c>
      <c r="E10" s="30">
        <f t="shared" si="6"/>
        <v>661.83779435485474</v>
      </c>
      <c r="F10" s="30">
        <f t="shared" si="6"/>
        <v>143.87529637658335</v>
      </c>
      <c r="G10" s="30">
        <f t="shared" si="6"/>
        <v>583.35797209917132</v>
      </c>
      <c r="H10" s="30">
        <f t="shared" si="6"/>
        <v>167.45891044851896</v>
      </c>
      <c r="I10" s="30">
        <f t="shared" si="6"/>
        <v>83.321447215029465</v>
      </c>
      <c r="J10" s="30">
        <f t="shared" si="6"/>
        <v>16.000533454215024</v>
      </c>
      <c r="K10" s="30">
        <f t="shared" si="6"/>
        <v>80.013284880550501</v>
      </c>
      <c r="L10" s="30">
        <f t="shared" si="6"/>
        <v>5.2035956722422984E-5</v>
      </c>
      <c r="M10" s="30">
        <f t="shared" si="6"/>
        <v>228.94065003905723</v>
      </c>
      <c r="N10" s="30">
        <f t="shared" si="6"/>
        <v>5.317879380142801E-5</v>
      </c>
      <c r="O10" s="30">
        <f t="shared" si="6"/>
        <v>0</v>
      </c>
      <c r="P10" s="30">
        <f>BL10/((VLOOKUP(P$3,tech_data!$B$2:$G$15,6,FALSE)/100)*24*365)</f>
        <v>0.75554293863265753</v>
      </c>
      <c r="Q10" s="30">
        <f t="shared" si="7"/>
        <v>2633.1503900726784</v>
      </c>
      <c r="R10" s="30"/>
      <c r="S10" s="36"/>
      <c r="T10" s="19"/>
      <c r="U10" s="20" t="str">
        <f t="shared" si="0"/>
        <v>BALI_NT</v>
      </c>
      <c r="V10" s="20">
        <f t="shared" si="0"/>
        <v>2025</v>
      </c>
      <c r="W10" s="30">
        <v>1.2355703840824475</v>
      </c>
      <c r="X10" s="30">
        <v>0</v>
      </c>
      <c r="Y10" s="30">
        <v>6.9887261491964852</v>
      </c>
      <c r="Z10" s="30">
        <v>0</v>
      </c>
      <c r="AA10" s="30">
        <v>0</v>
      </c>
      <c r="AB10" s="30">
        <v>0</v>
      </c>
      <c r="AC10" s="30">
        <v>0</v>
      </c>
      <c r="AD10" s="30">
        <v>4.8510837306993242</v>
      </c>
      <c r="AE10" s="30">
        <v>0</v>
      </c>
      <c r="AF10" s="30">
        <v>69.563794186467973</v>
      </c>
      <c r="AG10" s="30">
        <v>0</v>
      </c>
      <c r="AH10" s="30">
        <v>0</v>
      </c>
      <c r="AI10" s="30">
        <f t="shared" si="8"/>
        <v>1.4888101114770791E-2</v>
      </c>
      <c r="AJ10" s="34">
        <f t="shared" si="1"/>
        <v>82.654062551560997</v>
      </c>
      <c r="AM10" s="23"/>
      <c r="AO10" s="20" t="str">
        <f t="shared" si="2"/>
        <v>BALI_NT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1555.9410895514811</v>
      </c>
      <c r="AV10" s="30">
        <f t="shared" si="9"/>
        <v>547.97855278497059</v>
      </c>
      <c r="AW10" s="30">
        <f t="shared" si="9"/>
        <v>140.99946654578497</v>
      </c>
      <c r="AX10" s="30">
        <f t="shared" si="9"/>
        <v>18381.11671511945</v>
      </c>
      <c r="AY10" s="30">
        <f t="shared" si="9"/>
        <v>13811.999947964043</v>
      </c>
      <c r="AZ10" s="30">
        <f t="shared" si="9"/>
        <v>406.05934996094277</v>
      </c>
      <c r="BA10" s="30">
        <f t="shared" si="9"/>
        <v>9296.9999468212063</v>
      </c>
      <c r="BB10" s="30">
        <v>999</v>
      </c>
      <c r="BC10" s="30">
        <v>999</v>
      </c>
      <c r="BD10" s="30">
        <f t="shared" si="3"/>
        <v>44141.095068747883</v>
      </c>
      <c r="BF10" s="23"/>
      <c r="BG10" s="19"/>
      <c r="BH10" s="20" t="str">
        <f t="shared" si="10"/>
        <v>BALI_NT</v>
      </c>
      <c r="BI10" s="20">
        <f t="shared" si="10"/>
        <v>2025</v>
      </c>
      <c r="BJ10" s="25">
        <f t="shared" si="4"/>
        <v>1.3625174410582287E-2</v>
      </c>
      <c r="BK10" s="43">
        <f t="shared" si="5"/>
        <v>2.7569659021474922E-4</v>
      </c>
      <c r="BL10" s="34">
        <f t="shared" si="11"/>
        <v>2978.3502640899364</v>
      </c>
      <c r="BP10" s="23"/>
    </row>
    <row r="11" spans="1:68" x14ac:dyDescent="0.25">
      <c r="A11" s="19"/>
      <c r="B11" s="20" t="str">
        <f t="shared" si="12"/>
        <v>BALI_NT</v>
      </c>
      <c r="C11" s="20">
        <f t="shared" si="13"/>
        <v>2026</v>
      </c>
      <c r="D11" s="30">
        <f t="shared" si="14"/>
        <v>670.52581068130507</v>
      </c>
      <c r="E11" s="30">
        <f t="shared" si="6"/>
        <v>661.83779435485474</v>
      </c>
      <c r="F11" s="30">
        <f t="shared" si="6"/>
        <v>143.87529537658335</v>
      </c>
      <c r="G11" s="30">
        <f t="shared" si="6"/>
        <v>583.35797209917132</v>
      </c>
      <c r="H11" s="30">
        <f t="shared" si="6"/>
        <v>167.45890944851897</v>
      </c>
      <c r="I11" s="30">
        <f t="shared" si="6"/>
        <v>83.321447215029465</v>
      </c>
      <c r="J11" s="30">
        <f t="shared" si="6"/>
        <v>16.000533454215024</v>
      </c>
      <c r="K11" s="30">
        <f t="shared" si="6"/>
        <v>87.619180459110837</v>
      </c>
      <c r="L11" s="30">
        <f t="shared" si="6"/>
        <v>5.2038182450900788E-5</v>
      </c>
      <c r="M11" s="30">
        <f t="shared" si="6"/>
        <v>262.34465515129455</v>
      </c>
      <c r="N11" s="30">
        <f t="shared" si="6"/>
        <v>5.3180980141599158E-5</v>
      </c>
      <c r="O11" s="30">
        <f t="shared" si="6"/>
        <v>0</v>
      </c>
      <c r="P11" s="30">
        <f>BL11/((VLOOKUP(P$3,tech_data!$B$2:$G$15,6,FALSE)/100)*24*365)</f>
        <v>0.76379720783778904</v>
      </c>
      <c r="Q11" s="30">
        <f t="shared" si="7"/>
        <v>2676.3417034592458</v>
      </c>
      <c r="R11" s="30"/>
      <c r="S11" s="36"/>
      <c r="T11" s="19"/>
      <c r="U11" s="20" t="str">
        <f t="shared" si="0"/>
        <v>BALI_NT</v>
      </c>
      <c r="V11" s="20">
        <f t="shared" si="0"/>
        <v>2026</v>
      </c>
      <c r="W11" s="30">
        <v>2.1814146913577273</v>
      </c>
      <c r="X11" s="30">
        <v>0</v>
      </c>
      <c r="Y11" s="30">
        <v>-9.9999999997324451E-7</v>
      </c>
      <c r="Z11" s="30">
        <v>0</v>
      </c>
      <c r="AA11" s="30">
        <v>-9.9999999999753064E-7</v>
      </c>
      <c r="AB11" s="30">
        <v>0</v>
      </c>
      <c r="AC11" s="30">
        <v>0</v>
      </c>
      <c r="AD11" s="30">
        <v>7.6058955785603342</v>
      </c>
      <c r="AE11" s="30">
        <v>2.2257284778027115E-9</v>
      </c>
      <c r="AF11" s="30">
        <v>33.404005112237314</v>
      </c>
      <c r="AG11" s="30">
        <v>2.1863401711461368E-9</v>
      </c>
      <c r="AH11" s="30">
        <v>0</v>
      </c>
      <c r="AI11" s="30">
        <f t="shared" si="8"/>
        <v>8.2542692051315036E-3</v>
      </c>
      <c r="AJ11" s="34">
        <f t="shared" si="1"/>
        <v>43.199567655772576</v>
      </c>
      <c r="AM11" s="23"/>
      <c r="AO11" s="20" t="str">
        <f t="shared" si="2"/>
        <v>BALI_NT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1555.9410905514812</v>
      </c>
      <c r="AV11" s="30">
        <f t="shared" si="9"/>
        <v>547.97855278497059</v>
      </c>
      <c r="AW11" s="30">
        <f t="shared" si="9"/>
        <v>140.99946654578497</v>
      </c>
      <c r="AX11" s="30">
        <f t="shared" si="9"/>
        <v>18373.51081954089</v>
      </c>
      <c r="AY11" s="30">
        <f t="shared" si="9"/>
        <v>13811.999947961816</v>
      </c>
      <c r="AZ11" s="30">
        <f t="shared" si="9"/>
        <v>372.65534484870545</v>
      </c>
      <c r="BA11" s="30">
        <f t="shared" si="9"/>
        <v>9296.9999468190199</v>
      </c>
      <c r="BB11" s="30">
        <v>999</v>
      </c>
      <c r="BC11" s="30">
        <v>999</v>
      </c>
      <c r="BD11" s="30">
        <f t="shared" si="3"/>
        <v>44100.085169052669</v>
      </c>
      <c r="BF11" s="23"/>
      <c r="BG11" s="19"/>
      <c r="BH11" s="20" t="str">
        <f t="shared" si="10"/>
        <v>BALI_NT</v>
      </c>
      <c r="BI11" s="20">
        <f t="shared" si="10"/>
        <v>2026</v>
      </c>
      <c r="BJ11" s="25">
        <f t="shared" si="4"/>
        <v>1.4772666546864873E-2</v>
      </c>
      <c r="BK11" s="43">
        <f t="shared" si="5"/>
        <v>2.7594982985861845E-4</v>
      </c>
      <c r="BL11" s="34">
        <f t="shared" si="11"/>
        <v>3010.8885932965645</v>
      </c>
      <c r="BP11" s="23"/>
    </row>
    <row r="12" spans="1:68" x14ac:dyDescent="0.25">
      <c r="A12" s="19"/>
      <c r="B12" s="20" t="str">
        <f t="shared" si="12"/>
        <v>BALI_NT</v>
      </c>
      <c r="C12" s="20">
        <f t="shared" si="13"/>
        <v>2027</v>
      </c>
      <c r="D12" s="30">
        <f t="shared" si="14"/>
        <v>676.95209603889077</v>
      </c>
      <c r="E12" s="30">
        <f t="shared" si="6"/>
        <v>661.83779435485474</v>
      </c>
      <c r="F12" s="30">
        <f t="shared" si="6"/>
        <v>143.87529537658335</v>
      </c>
      <c r="G12" s="30">
        <f t="shared" si="6"/>
        <v>583.35797209917132</v>
      </c>
      <c r="H12" s="30">
        <f t="shared" si="6"/>
        <v>167.45890944851897</v>
      </c>
      <c r="I12" s="30">
        <f t="shared" si="6"/>
        <v>83.321447215029465</v>
      </c>
      <c r="J12" s="30">
        <f t="shared" si="6"/>
        <v>16.000533454215024</v>
      </c>
      <c r="K12" s="30">
        <f t="shared" si="6"/>
        <v>97.744629749294646</v>
      </c>
      <c r="L12" s="30">
        <f t="shared" si="6"/>
        <v>5.2052906467852625E-5</v>
      </c>
      <c r="M12" s="30">
        <f t="shared" si="6"/>
        <v>314.07858656359127</v>
      </c>
      <c r="N12" s="30">
        <f t="shared" si="6"/>
        <v>5.3195448399464987E-5</v>
      </c>
      <c r="O12" s="30">
        <f t="shared" si="6"/>
        <v>0</v>
      </c>
      <c r="P12" s="30">
        <f>BL12/((VLOOKUP(P$3,tech_data!$B$2:$G$15,6,FALSE)/100)*24*365)</f>
        <v>0.77722241977811379</v>
      </c>
      <c r="Q12" s="30">
        <f t="shared" si="7"/>
        <v>2744.6273695485047</v>
      </c>
      <c r="R12" s="30"/>
      <c r="S12" s="36"/>
      <c r="T12" s="19"/>
      <c r="U12" s="20" t="str">
        <f t="shared" si="0"/>
        <v>BALI_NT</v>
      </c>
      <c r="V12" s="20">
        <f t="shared" si="0"/>
        <v>2027</v>
      </c>
      <c r="W12" s="30">
        <v>6.4262853575856917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  <c r="AD12" s="30">
        <v>10.125449290183804</v>
      </c>
      <c r="AE12" s="30">
        <v>1.4724016951840488E-8</v>
      </c>
      <c r="AF12" s="30">
        <v>51.733931412296727</v>
      </c>
      <c r="AG12" s="30">
        <v>1.4468257865825194E-8</v>
      </c>
      <c r="AH12" s="30">
        <v>0</v>
      </c>
      <c r="AI12" s="30">
        <f t="shared" si="8"/>
        <v>1.3425211940324755E-2</v>
      </c>
      <c r="AJ12" s="34">
        <f t="shared" si="1"/>
        <v>68.299091301198828</v>
      </c>
      <c r="AM12" s="23"/>
      <c r="AO12" s="20" t="str">
        <f t="shared" si="2"/>
        <v>BALI_NT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1555.9410905514812</v>
      </c>
      <c r="AV12" s="30">
        <f t="shared" si="9"/>
        <v>547.97855278497059</v>
      </c>
      <c r="AW12" s="30">
        <f t="shared" si="9"/>
        <v>140.99946654578497</v>
      </c>
      <c r="AX12" s="30">
        <f t="shared" si="9"/>
        <v>18363.385370250708</v>
      </c>
      <c r="AY12" s="30">
        <f t="shared" si="9"/>
        <v>13811.999947947092</v>
      </c>
      <c r="AZ12" s="30">
        <f t="shared" si="9"/>
        <v>320.92141343640873</v>
      </c>
      <c r="BA12" s="30">
        <f t="shared" si="9"/>
        <v>9296.9999468045517</v>
      </c>
      <c r="BB12" s="30">
        <v>999</v>
      </c>
      <c r="BC12" s="30">
        <v>999</v>
      </c>
      <c r="BD12" s="30">
        <f t="shared" si="3"/>
        <v>44038.225788320997</v>
      </c>
      <c r="BF12" s="23"/>
      <c r="BG12" s="19"/>
      <c r="BH12" s="20" t="str">
        <f t="shared" si="10"/>
        <v>BALI_NT</v>
      </c>
      <c r="BI12" s="20">
        <f t="shared" si="10"/>
        <v>2027</v>
      </c>
      <c r="BJ12" s="25">
        <f t="shared" si="4"/>
        <v>1.6213826986508563E-2</v>
      </c>
      <c r="BK12" s="43">
        <f t="shared" si="5"/>
        <v>2.7626787905909154E-4</v>
      </c>
      <c r="BL12" s="34">
        <f t="shared" si="11"/>
        <v>3063.8107787653248</v>
      </c>
      <c r="BP12" s="23"/>
    </row>
    <row r="13" spans="1:68" x14ac:dyDescent="0.25">
      <c r="A13" s="19"/>
      <c r="B13" s="20" t="str">
        <f t="shared" si="12"/>
        <v>BALI_NT</v>
      </c>
      <c r="C13" s="20">
        <f t="shared" si="13"/>
        <v>2028</v>
      </c>
      <c r="D13" s="30">
        <f t="shared" si="14"/>
        <v>691.35504298344108</v>
      </c>
      <c r="E13" s="30">
        <f t="shared" si="6"/>
        <v>661.83779335485474</v>
      </c>
      <c r="F13" s="30">
        <f t="shared" si="6"/>
        <v>228.22546145589365</v>
      </c>
      <c r="G13" s="30">
        <f t="shared" si="6"/>
        <v>583.35797209917132</v>
      </c>
      <c r="H13" s="30">
        <f t="shared" si="6"/>
        <v>167.45890944851897</v>
      </c>
      <c r="I13" s="30">
        <f t="shared" si="6"/>
        <v>83.321447215029465</v>
      </c>
      <c r="J13" s="30">
        <f t="shared" si="6"/>
        <v>16.000533454215024</v>
      </c>
      <c r="K13" s="30">
        <f t="shared" si="6"/>
        <v>103.02843603759182</v>
      </c>
      <c r="L13" s="30">
        <f t="shared" si="6"/>
        <v>5.2091339198897594E-5</v>
      </c>
      <c r="M13" s="30">
        <f t="shared" si="6"/>
        <v>314.07858656359127</v>
      </c>
      <c r="N13" s="30">
        <f t="shared" si="6"/>
        <v>5.3233198038977954E-5</v>
      </c>
      <c r="O13" s="30">
        <f t="shared" si="6"/>
        <v>0</v>
      </c>
      <c r="P13" s="30">
        <f>BL13/((VLOOKUP(P$3,tech_data!$B$2:$G$15,6,FALSE)/100)*24*365)</f>
        <v>0.79941850986430285</v>
      </c>
      <c r="Q13" s="30">
        <f t="shared" si="7"/>
        <v>2848.6642879368446</v>
      </c>
      <c r="R13" s="30"/>
      <c r="S13" s="36"/>
      <c r="T13" s="19"/>
      <c r="U13" s="20" t="str">
        <f t="shared" si="0"/>
        <v>BALI_NT</v>
      </c>
      <c r="V13" s="20">
        <f t="shared" si="0"/>
        <v>2028</v>
      </c>
      <c r="W13" s="30">
        <v>14.402946944550282</v>
      </c>
      <c r="X13" s="30">
        <v>-9.9999999925159955E-7</v>
      </c>
      <c r="Y13" s="30">
        <v>84.350166079310313</v>
      </c>
      <c r="Z13" s="30">
        <v>0</v>
      </c>
      <c r="AA13" s="30">
        <v>0</v>
      </c>
      <c r="AB13" s="30">
        <v>0</v>
      </c>
      <c r="AC13" s="30">
        <v>0</v>
      </c>
      <c r="AD13" s="30">
        <v>5.2838062882971748</v>
      </c>
      <c r="AE13" s="30">
        <v>3.8432731044968729E-8</v>
      </c>
      <c r="AF13" s="30">
        <v>0</v>
      </c>
      <c r="AG13" s="30">
        <v>3.7749639512967221E-8</v>
      </c>
      <c r="AH13" s="30">
        <v>0</v>
      </c>
      <c r="AI13" s="30">
        <f t="shared" si="8"/>
        <v>2.2196090086189058E-2</v>
      </c>
      <c r="AJ13" s="34">
        <f t="shared" si="1"/>
        <v>104.05911447842632</v>
      </c>
      <c r="AM13" s="23"/>
      <c r="AO13" s="20" t="str">
        <f t="shared" si="2"/>
        <v>BALI_NT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1555.9410905514812</v>
      </c>
      <c r="AV13" s="30">
        <f t="shared" si="9"/>
        <v>547.97855278497059</v>
      </c>
      <c r="AW13" s="30">
        <f t="shared" si="9"/>
        <v>140.99946654578497</v>
      </c>
      <c r="AX13" s="30">
        <f t="shared" si="9"/>
        <v>18358.101563962409</v>
      </c>
      <c r="AY13" s="30">
        <f t="shared" si="9"/>
        <v>13811.999947908658</v>
      </c>
      <c r="AZ13" s="30">
        <f t="shared" si="9"/>
        <v>320.92141343640873</v>
      </c>
      <c r="BA13" s="30">
        <f t="shared" si="9"/>
        <v>9296.9999467668022</v>
      </c>
      <c r="BB13" s="30">
        <v>999</v>
      </c>
      <c r="BC13" s="30">
        <v>999</v>
      </c>
      <c r="BD13" s="30">
        <f t="shared" si="3"/>
        <v>44032.941981956516</v>
      </c>
      <c r="BF13" s="23"/>
      <c r="BG13" s="19"/>
      <c r="BH13" s="20" t="str">
        <f t="shared" si="10"/>
        <v>BALI_NT</v>
      </c>
      <c r="BI13" s="20">
        <f t="shared" si="10"/>
        <v>2028</v>
      </c>
      <c r="BJ13" s="25">
        <f t="shared" si="4"/>
        <v>1.6621190165567869E-2</v>
      </c>
      <c r="BK13" s="43">
        <f t="shared" si="5"/>
        <v>2.7635777989860812E-4</v>
      </c>
      <c r="BL13" s="34">
        <f t="shared" si="11"/>
        <v>3151.3077658850821</v>
      </c>
      <c r="BP13" s="23"/>
    </row>
    <row r="14" spans="1:68" x14ac:dyDescent="0.25">
      <c r="A14" s="19"/>
      <c r="B14" s="20" t="str">
        <f t="shared" si="12"/>
        <v>BALI_NT</v>
      </c>
      <c r="C14" s="20">
        <f t="shared" si="13"/>
        <v>2029</v>
      </c>
      <c r="D14" s="30">
        <f t="shared" si="14"/>
        <v>707.72782015254938</v>
      </c>
      <c r="E14" s="30">
        <f t="shared" si="6"/>
        <v>661.83779235485474</v>
      </c>
      <c r="F14" s="30">
        <f t="shared" si="6"/>
        <v>228.22546145589365</v>
      </c>
      <c r="G14" s="30">
        <f t="shared" si="6"/>
        <v>583.35797209917132</v>
      </c>
      <c r="H14" s="30">
        <f t="shared" si="6"/>
        <v>167.45890944851897</v>
      </c>
      <c r="I14" s="30">
        <f t="shared" si="6"/>
        <v>83.321447215029465</v>
      </c>
      <c r="J14" s="30">
        <f t="shared" si="6"/>
        <v>16.000533454215024</v>
      </c>
      <c r="K14" s="30">
        <f t="shared" si="6"/>
        <v>119.77247299531615</v>
      </c>
      <c r="L14" s="30">
        <f t="shared" si="6"/>
        <v>5.2139130109608373E-5</v>
      </c>
      <c r="M14" s="30">
        <f t="shared" si="6"/>
        <v>410.09181299509174</v>
      </c>
      <c r="N14" s="30">
        <f t="shared" si="6"/>
        <v>5.3280128434109801E-5</v>
      </c>
      <c r="O14" s="30">
        <f t="shared" si="6"/>
        <v>0</v>
      </c>
      <c r="P14" s="30">
        <f>BL14/((VLOOKUP(P$3,tech_data!$B$2:$G$15,6,FALSE)/100)*24*365)</f>
        <v>0.82535436307765364</v>
      </c>
      <c r="Q14" s="30">
        <f t="shared" si="7"/>
        <v>2977.7943275898992</v>
      </c>
      <c r="R14" s="30"/>
      <c r="S14" s="36"/>
      <c r="T14" s="19"/>
      <c r="U14" s="20" t="str">
        <f t="shared" si="0"/>
        <v>BALI_NT</v>
      </c>
      <c r="V14" s="20">
        <f t="shared" si="0"/>
        <v>2029</v>
      </c>
      <c r="W14" s="30">
        <v>16.372777169108289</v>
      </c>
      <c r="X14" s="30">
        <v>-9.9999999925159955E-7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16.74403695772433</v>
      </c>
      <c r="AE14" s="30">
        <v>4.7790910710779279E-8</v>
      </c>
      <c r="AF14" s="30">
        <v>96.013226431500456</v>
      </c>
      <c r="AG14" s="30">
        <v>4.6930395131847204E-8</v>
      </c>
      <c r="AH14" s="30">
        <v>0</v>
      </c>
      <c r="AI14" s="30">
        <f t="shared" si="8"/>
        <v>2.593585321335079E-2</v>
      </c>
      <c r="AJ14" s="34">
        <f t="shared" si="1"/>
        <v>129.15597550626774</v>
      </c>
      <c r="AM14" s="23"/>
      <c r="AO14" s="20" t="str">
        <f t="shared" si="2"/>
        <v>BALI_NT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1555.9410905514812</v>
      </c>
      <c r="AV14" s="30">
        <f t="shared" si="9"/>
        <v>547.97855278497059</v>
      </c>
      <c r="AW14" s="30">
        <f t="shared" si="9"/>
        <v>140.99946654578497</v>
      </c>
      <c r="AX14" s="30">
        <f t="shared" si="9"/>
        <v>18341.357527004686</v>
      </c>
      <c r="AY14" s="30">
        <f t="shared" si="9"/>
        <v>13811.999947860868</v>
      </c>
      <c r="AZ14" s="30">
        <f t="shared" si="9"/>
        <v>224.90818700490826</v>
      </c>
      <c r="BA14" s="30">
        <f t="shared" si="9"/>
        <v>9296.9999467198722</v>
      </c>
      <c r="BB14" s="30">
        <v>999</v>
      </c>
      <c r="BC14" s="30">
        <v>999</v>
      </c>
      <c r="BD14" s="30">
        <f t="shared" si="3"/>
        <v>43920.18471847257</v>
      </c>
      <c r="BF14" s="23"/>
      <c r="BG14" s="19"/>
      <c r="BH14" s="20" t="str">
        <f t="shared" si="10"/>
        <v>BALI_NT</v>
      </c>
      <c r="BI14" s="20">
        <f t="shared" si="10"/>
        <v>2029</v>
      </c>
      <c r="BJ14" s="25">
        <f t="shared" si="4"/>
        <v>1.8747023078033352E-2</v>
      </c>
      <c r="BK14" s="43">
        <f t="shared" si="5"/>
        <v>2.7682692923101427E-4</v>
      </c>
      <c r="BL14" s="34">
        <f t="shared" si="11"/>
        <v>3253.546899252111</v>
      </c>
      <c r="BP14" s="23"/>
    </row>
    <row r="15" spans="1:68" x14ac:dyDescent="0.25">
      <c r="A15" s="19"/>
      <c r="B15" s="20" t="str">
        <f t="shared" si="12"/>
        <v>BALI_NT</v>
      </c>
      <c r="C15" s="20">
        <f t="shared" si="13"/>
        <v>2030</v>
      </c>
      <c r="D15" s="30">
        <f t="shared" si="14"/>
        <v>778.67546995955411</v>
      </c>
      <c r="E15" s="30">
        <f t="shared" si="6"/>
        <v>661.83779135485474</v>
      </c>
      <c r="F15" s="30">
        <f t="shared" si="6"/>
        <v>414.74093947909591</v>
      </c>
      <c r="G15" s="30">
        <f t="shared" si="6"/>
        <v>583.35797209917132</v>
      </c>
      <c r="H15" s="30">
        <f t="shared" si="6"/>
        <v>167.45890944851897</v>
      </c>
      <c r="I15" s="30">
        <f t="shared" si="6"/>
        <v>164.96970948045194</v>
      </c>
      <c r="J15" s="30">
        <f t="shared" si="6"/>
        <v>16.000533454215024</v>
      </c>
      <c r="K15" s="30">
        <f t="shared" si="6"/>
        <v>144.07619316335166</v>
      </c>
      <c r="L15" s="30">
        <f t="shared" si="6"/>
        <v>5.2139130109608373E-5</v>
      </c>
      <c r="M15" s="30">
        <f t="shared" si="6"/>
        <v>410.09181299509174</v>
      </c>
      <c r="N15" s="30">
        <f t="shared" si="6"/>
        <v>5.3280128434109801E-5</v>
      </c>
      <c r="O15" s="30">
        <f t="shared" si="6"/>
        <v>0</v>
      </c>
      <c r="P15" s="30">
        <f>BL15/((VLOOKUP(P$3,tech_data!$B$2:$G$15,6,FALSE)/100)*24*365)</f>
        <v>0.9155292830834989</v>
      </c>
      <c r="Q15" s="30">
        <f t="shared" si="7"/>
        <v>3341.2094368535641</v>
      </c>
      <c r="R15" s="30"/>
      <c r="S15" s="36"/>
      <c r="T15" s="19"/>
      <c r="U15" s="20" t="str">
        <f t="shared" si="0"/>
        <v>BALI_NT</v>
      </c>
      <c r="V15" s="20">
        <f t="shared" si="0"/>
        <v>2030</v>
      </c>
      <c r="W15" s="30">
        <v>70.947649807004709</v>
      </c>
      <c r="X15" s="30">
        <v>-9.9999999925159955E-7</v>
      </c>
      <c r="Y15" s="30">
        <v>186.51547802320226</v>
      </c>
      <c r="Z15" s="30">
        <v>0</v>
      </c>
      <c r="AA15" s="30">
        <v>0</v>
      </c>
      <c r="AB15" s="30">
        <v>81.648262265422474</v>
      </c>
      <c r="AC15" s="30">
        <v>0</v>
      </c>
      <c r="AD15" s="30">
        <v>24.303720168035504</v>
      </c>
      <c r="AE15" s="30">
        <v>0</v>
      </c>
      <c r="AF15" s="30">
        <v>0</v>
      </c>
      <c r="AG15" s="30">
        <v>0</v>
      </c>
      <c r="AH15" s="30">
        <v>0</v>
      </c>
      <c r="AI15" s="30">
        <f t="shared" si="8"/>
        <v>9.017492000584526E-2</v>
      </c>
      <c r="AJ15" s="34">
        <f t="shared" si="1"/>
        <v>363.50528418367082</v>
      </c>
      <c r="AM15" s="23"/>
      <c r="AO15" s="20" t="str">
        <f t="shared" si="2"/>
        <v>BALI_NT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1555.9410905514812</v>
      </c>
      <c r="AV15" s="30">
        <f t="shared" si="9"/>
        <v>466.3302905195481</v>
      </c>
      <c r="AW15" s="30">
        <f t="shared" si="9"/>
        <v>140.99946654578497</v>
      </c>
      <c r="AX15" s="30">
        <f t="shared" si="9"/>
        <v>18317.053806836651</v>
      </c>
      <c r="AY15" s="30">
        <f t="shared" si="9"/>
        <v>13811.999947860868</v>
      </c>
      <c r="AZ15" s="30">
        <f t="shared" si="9"/>
        <v>224.90818700490826</v>
      </c>
      <c r="BA15" s="30">
        <f t="shared" si="9"/>
        <v>9296.9999467198722</v>
      </c>
      <c r="BB15" s="30">
        <v>999</v>
      </c>
      <c r="BC15" s="30">
        <v>999</v>
      </c>
      <c r="BD15" s="30">
        <f t="shared" si="3"/>
        <v>43814.232736039114</v>
      </c>
      <c r="BF15" s="23"/>
      <c r="BG15" s="19"/>
      <c r="BH15" s="20" t="str">
        <f t="shared" si="10"/>
        <v>BALI_NT</v>
      </c>
      <c r="BI15" s="20">
        <f t="shared" si="10"/>
        <v>2030</v>
      </c>
      <c r="BJ15" s="25">
        <f t="shared" si="4"/>
        <v>2.0355995018952359E-2</v>
      </c>
      <c r="BK15" s="43">
        <f t="shared" si="5"/>
        <v>2.7718201269383779E-4</v>
      </c>
      <c r="BL15" s="34">
        <f t="shared" si="11"/>
        <v>3609.0164339151529</v>
      </c>
      <c r="BP15" s="23"/>
    </row>
    <row r="16" spans="1:68" x14ac:dyDescent="0.25">
      <c r="A16" s="19"/>
      <c r="B16" s="20" t="str">
        <f t="shared" si="12"/>
        <v>BALI_NT</v>
      </c>
      <c r="C16" s="20">
        <f t="shared" si="13"/>
        <v>2031</v>
      </c>
      <c r="D16" s="30">
        <f t="shared" si="14"/>
        <v>861.61534671684569</v>
      </c>
      <c r="E16" s="30">
        <f t="shared" si="6"/>
        <v>661.83779035485475</v>
      </c>
      <c r="F16" s="30">
        <f t="shared" si="6"/>
        <v>583.02644715457564</v>
      </c>
      <c r="G16" s="30">
        <f t="shared" si="6"/>
        <v>583.35797109917132</v>
      </c>
      <c r="H16" s="30">
        <f t="shared" si="6"/>
        <v>167.45890844851897</v>
      </c>
      <c r="I16" s="30">
        <f t="shared" si="6"/>
        <v>289.3036830031856</v>
      </c>
      <c r="J16" s="30">
        <f t="shared" si="6"/>
        <v>16.000533454215024</v>
      </c>
      <c r="K16" s="30">
        <f t="shared" si="6"/>
        <v>180.51515357858528</v>
      </c>
      <c r="L16" s="30">
        <f t="shared" si="6"/>
        <v>5.2139130109608373E-5</v>
      </c>
      <c r="M16" s="30">
        <f t="shared" si="6"/>
        <v>410.09181299509174</v>
      </c>
      <c r="N16" s="30">
        <f t="shared" si="6"/>
        <v>5.3280128434109801E-5</v>
      </c>
      <c r="O16" s="30">
        <f t="shared" si="6"/>
        <v>0</v>
      </c>
      <c r="P16" s="30">
        <f>BL16/((VLOOKUP(P$3,tech_data!$B$2:$G$15,6,FALSE)/100)*24*365)</f>
        <v>1.0221393529078284</v>
      </c>
      <c r="Q16" s="30">
        <f t="shared" si="7"/>
        <v>3753.2077522243026</v>
      </c>
      <c r="R16" s="30"/>
      <c r="S16" s="36"/>
      <c r="T16" s="19"/>
      <c r="U16" s="20" t="str">
        <f t="shared" si="0"/>
        <v>BALI_NT</v>
      </c>
      <c r="V16" s="20">
        <f t="shared" si="0"/>
        <v>2031</v>
      </c>
      <c r="W16" s="30">
        <v>82.939876757291614</v>
      </c>
      <c r="X16" s="30">
        <v>-9.9999999925159955E-7</v>
      </c>
      <c r="Y16" s="30">
        <v>168.28550767547975</v>
      </c>
      <c r="Z16" s="30">
        <v>-9.9999999991773336E-7</v>
      </c>
      <c r="AA16" s="30">
        <v>-9.9999999925159955E-7</v>
      </c>
      <c r="AB16" s="30">
        <v>124.33397352273367</v>
      </c>
      <c r="AC16" s="30">
        <v>0</v>
      </c>
      <c r="AD16" s="30">
        <v>36.438960415233637</v>
      </c>
      <c r="AE16" s="30">
        <v>0</v>
      </c>
      <c r="AF16" s="30">
        <v>0</v>
      </c>
      <c r="AG16" s="30">
        <v>0</v>
      </c>
      <c r="AH16" s="30">
        <v>0</v>
      </c>
      <c r="AI16" s="30">
        <f t="shared" si="8"/>
        <v>0.10661006982432952</v>
      </c>
      <c r="AJ16" s="34">
        <f t="shared" si="1"/>
        <v>412.10492544056302</v>
      </c>
      <c r="AM16" s="23"/>
      <c r="AO16" s="20" t="str">
        <f t="shared" si="2"/>
        <v>BALI_NT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1555.9410915514813</v>
      </c>
      <c r="AV16" s="30">
        <f t="shared" si="9"/>
        <v>341.99631699681441</v>
      </c>
      <c r="AW16" s="30">
        <f t="shared" si="9"/>
        <v>140.99946654578497</v>
      </c>
      <c r="AX16" s="30">
        <f t="shared" si="9"/>
        <v>18280.614846421417</v>
      </c>
      <c r="AY16" s="30">
        <f t="shared" si="9"/>
        <v>13811.999947860868</v>
      </c>
      <c r="AZ16" s="30">
        <f t="shared" si="9"/>
        <v>224.90818700490826</v>
      </c>
      <c r="BA16" s="30">
        <f t="shared" si="9"/>
        <v>9296.9999467198722</v>
      </c>
      <c r="BB16" s="30">
        <v>999</v>
      </c>
      <c r="BC16" s="30">
        <v>999</v>
      </c>
      <c r="BD16" s="30">
        <f t="shared" si="3"/>
        <v>43653.459803101141</v>
      </c>
      <c r="BF16" s="23"/>
      <c r="BG16" s="19"/>
      <c r="BH16" s="20" t="str">
        <f t="shared" si="10"/>
        <v>BALI_NT</v>
      </c>
      <c r="BI16" s="20">
        <f t="shared" si="10"/>
        <v>2031</v>
      </c>
      <c r="BJ16" s="25">
        <f t="shared" si="4"/>
        <v>2.2890286465995013E-2</v>
      </c>
      <c r="BK16" s="43">
        <f t="shared" si="5"/>
        <v>2.7774130459939201E-4</v>
      </c>
      <c r="BL16" s="34">
        <f t="shared" si="11"/>
        <v>4029.2733291626605</v>
      </c>
      <c r="BP16" s="23"/>
    </row>
    <row r="17" spans="1:84" x14ac:dyDescent="0.25">
      <c r="A17" s="19"/>
      <c r="B17" s="20" t="str">
        <f t="shared" si="12"/>
        <v>BALI_NT</v>
      </c>
      <c r="C17" s="20">
        <f t="shared" si="13"/>
        <v>2032</v>
      </c>
      <c r="D17" s="30">
        <f t="shared" si="14"/>
        <v>900.43925229137517</v>
      </c>
      <c r="E17" s="30">
        <f t="shared" si="6"/>
        <v>842.49874955332814</v>
      </c>
      <c r="F17" s="30">
        <f t="shared" si="6"/>
        <v>583.02644715457564</v>
      </c>
      <c r="G17" s="30">
        <f t="shared" si="6"/>
        <v>583.35797009917133</v>
      </c>
      <c r="H17" s="30">
        <f t="shared" si="6"/>
        <v>167.45890844851897</v>
      </c>
      <c r="I17" s="30">
        <f t="shared" si="6"/>
        <v>289.3036830031856</v>
      </c>
      <c r="J17" s="30">
        <f t="shared" si="6"/>
        <v>16.000533454215024</v>
      </c>
      <c r="K17" s="30">
        <f t="shared" si="6"/>
        <v>191.09727433806026</v>
      </c>
      <c r="L17" s="30">
        <f t="shared" si="6"/>
        <v>5.2139130109608373E-5</v>
      </c>
      <c r="M17" s="30">
        <f t="shared" si="6"/>
        <v>414.86299431813438</v>
      </c>
      <c r="N17" s="30">
        <f t="shared" si="6"/>
        <v>5.3280128434109801E-5</v>
      </c>
      <c r="O17" s="30">
        <f t="shared" si="6"/>
        <v>0</v>
      </c>
      <c r="P17" s="30">
        <f>BL17/((VLOOKUP(P$3,tech_data!$B$2:$G$15,6,FALSE)/100)*24*365)</f>
        <v>1.0757825568100983</v>
      </c>
      <c r="Q17" s="30">
        <f t="shared" si="7"/>
        <v>3988.045918079823</v>
      </c>
      <c r="R17" s="30"/>
      <c r="S17" s="36"/>
      <c r="T17" s="19"/>
      <c r="U17" s="20" t="str">
        <f t="shared" si="0"/>
        <v>BALI_NT</v>
      </c>
      <c r="V17" s="20">
        <f t="shared" si="0"/>
        <v>2032</v>
      </c>
      <c r="W17" s="30">
        <v>38.823905574529434</v>
      </c>
      <c r="X17" s="30">
        <v>180.66095919847339</v>
      </c>
      <c r="Y17" s="30">
        <v>0</v>
      </c>
      <c r="Z17" s="30">
        <v>-9.9999999991773336E-7</v>
      </c>
      <c r="AA17" s="30">
        <v>0</v>
      </c>
      <c r="AB17" s="30">
        <v>0</v>
      </c>
      <c r="AC17" s="30">
        <v>0</v>
      </c>
      <c r="AD17" s="30">
        <v>10.582120759474988</v>
      </c>
      <c r="AE17" s="30">
        <v>0</v>
      </c>
      <c r="AF17" s="30">
        <v>4.7711813230426641</v>
      </c>
      <c r="AG17" s="30">
        <v>0</v>
      </c>
      <c r="AH17" s="30">
        <v>0</v>
      </c>
      <c r="AI17" s="30">
        <f t="shared" si="8"/>
        <v>5.3643203902269843E-2</v>
      </c>
      <c r="AJ17" s="34">
        <f t="shared" si="1"/>
        <v>234.89180905942274</v>
      </c>
      <c r="AM17" s="23"/>
      <c r="AO17" s="20" t="str">
        <f t="shared" si="2"/>
        <v>BALI_NT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1555.9410915514813</v>
      </c>
      <c r="AV17" s="30">
        <f t="shared" si="9"/>
        <v>341.99631699681441</v>
      </c>
      <c r="AW17" s="30">
        <f t="shared" si="9"/>
        <v>140.99946654578497</v>
      </c>
      <c r="AX17" s="30">
        <f t="shared" si="9"/>
        <v>18270.032725661942</v>
      </c>
      <c r="AY17" s="30">
        <f t="shared" si="9"/>
        <v>13811.999947860868</v>
      </c>
      <c r="AZ17" s="30">
        <f t="shared" si="9"/>
        <v>220.13700568186559</v>
      </c>
      <c r="BA17" s="30">
        <f t="shared" si="9"/>
        <v>9296.9999467198722</v>
      </c>
      <c r="BB17" s="30">
        <v>999</v>
      </c>
      <c r="BC17" s="30">
        <v>999</v>
      </c>
      <c r="BD17" s="30">
        <f t="shared" si="3"/>
        <v>43638.106501018628</v>
      </c>
      <c r="BF17" s="23"/>
      <c r="BG17" s="19"/>
      <c r="BH17" s="20" t="str">
        <f t="shared" si="10"/>
        <v>BALI_NT</v>
      </c>
      <c r="BI17" s="20">
        <f t="shared" si="10"/>
        <v>2032</v>
      </c>
      <c r="BJ17" s="25">
        <f t="shared" si="4"/>
        <v>2.3026322580644142E-2</v>
      </c>
      <c r="BK17" s="43">
        <f t="shared" si="5"/>
        <v>2.7777132636262492E-4</v>
      </c>
      <c r="BL17" s="34">
        <f t="shared" si="11"/>
        <v>4240.7348389454082</v>
      </c>
      <c r="BP17" s="23"/>
    </row>
    <row r="18" spans="1:84" x14ac:dyDescent="0.25">
      <c r="A18" s="19"/>
      <c r="B18" s="20" t="str">
        <f t="shared" si="12"/>
        <v>BALI_NT</v>
      </c>
      <c r="C18" s="20">
        <f t="shared" si="13"/>
        <v>2033</v>
      </c>
      <c r="D18" s="30">
        <f t="shared" si="14"/>
        <v>911.53687542546015</v>
      </c>
      <c r="E18" s="30">
        <f t="shared" si="6"/>
        <v>882.11038590792498</v>
      </c>
      <c r="F18" s="30">
        <f t="shared" si="6"/>
        <v>583.02644715457564</v>
      </c>
      <c r="G18" s="30">
        <f t="shared" si="6"/>
        <v>583.35797009917133</v>
      </c>
      <c r="H18" s="30">
        <f t="shared" si="6"/>
        <v>167.45890844851897</v>
      </c>
      <c r="I18" s="30">
        <f t="shared" si="6"/>
        <v>289.3036830031856</v>
      </c>
      <c r="J18" s="30">
        <f t="shared" si="6"/>
        <v>16.000533454215024</v>
      </c>
      <c r="K18" s="30">
        <f t="shared" si="6"/>
        <v>207.14920501312872</v>
      </c>
      <c r="L18" s="30">
        <f t="shared" si="6"/>
        <v>5.2139130109608373E-5</v>
      </c>
      <c r="M18" s="30">
        <f t="shared" si="6"/>
        <v>452.99643395457781</v>
      </c>
      <c r="N18" s="30">
        <f t="shared" si="6"/>
        <v>5.3280128434109801E-5</v>
      </c>
      <c r="O18" s="30">
        <f t="shared" si="6"/>
        <v>0</v>
      </c>
      <c r="P18" s="30">
        <f>BL18/((VLOOKUP(P$3,tech_data!$B$2:$G$15,6,FALSE)/100)*24*365)</f>
        <v>1.0979808323884659</v>
      </c>
      <c r="Q18" s="30">
        <f t="shared" si="7"/>
        <v>4092.9405478800163</v>
      </c>
      <c r="R18" s="30"/>
      <c r="S18" s="36"/>
      <c r="T18" s="19"/>
      <c r="U18" s="20" t="str">
        <f t="shared" si="0"/>
        <v>BALI_NT</v>
      </c>
      <c r="V18" s="20">
        <f t="shared" si="0"/>
        <v>2033</v>
      </c>
      <c r="W18" s="30">
        <v>11.097623134084992</v>
      </c>
      <c r="X18" s="30">
        <v>39.611636354596811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16.051930675068466</v>
      </c>
      <c r="AE18" s="30">
        <v>0</v>
      </c>
      <c r="AF18" s="30">
        <v>38.133439636443434</v>
      </c>
      <c r="AG18" s="30">
        <v>0</v>
      </c>
      <c r="AH18" s="30">
        <v>0</v>
      </c>
      <c r="AI18" s="30">
        <f t="shared" si="8"/>
        <v>2.2198275578367621E-2</v>
      </c>
      <c r="AJ18" s="34">
        <f t="shared" si="1"/>
        <v>104.91682807577207</v>
      </c>
      <c r="AM18" s="23"/>
      <c r="AO18" s="20" t="str">
        <f t="shared" si="2"/>
        <v>BALI_NT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1555.9410915514813</v>
      </c>
      <c r="AV18" s="30">
        <f t="shared" si="9"/>
        <v>341.99631699681441</v>
      </c>
      <c r="AW18" s="30">
        <f t="shared" si="9"/>
        <v>140.99946654578497</v>
      </c>
      <c r="AX18" s="30">
        <f t="shared" si="9"/>
        <v>18253.980794986874</v>
      </c>
      <c r="AY18" s="30">
        <f t="shared" si="9"/>
        <v>13811.999947860868</v>
      </c>
      <c r="AZ18" s="30">
        <f t="shared" si="9"/>
        <v>182.00356604542216</v>
      </c>
      <c r="BA18" s="30">
        <f t="shared" si="9"/>
        <v>9296.9999467198722</v>
      </c>
      <c r="BB18" s="30">
        <v>999</v>
      </c>
      <c r="BC18" s="30">
        <v>999</v>
      </c>
      <c r="BD18" s="30">
        <f t="shared" si="3"/>
        <v>43583.921130707116</v>
      </c>
      <c r="BF18" s="23"/>
      <c r="BG18" s="19"/>
      <c r="BH18" s="20" t="str">
        <f t="shared" si="10"/>
        <v>BALI_NT</v>
      </c>
      <c r="BI18" s="20">
        <f t="shared" si="10"/>
        <v>2033</v>
      </c>
      <c r="BJ18" s="25">
        <f t="shared" si="4"/>
        <v>2.4484194193962805E-2</v>
      </c>
      <c r="BK18" s="43">
        <f t="shared" si="5"/>
        <v>2.7809306354625385E-4</v>
      </c>
      <c r="BL18" s="34">
        <f t="shared" si="11"/>
        <v>4328.2404412753331</v>
      </c>
      <c r="BP18" s="23"/>
    </row>
    <row r="19" spans="1:84" x14ac:dyDescent="0.25">
      <c r="A19" s="19"/>
      <c r="B19" s="20" t="str">
        <f t="shared" si="12"/>
        <v>BALI_NT</v>
      </c>
      <c r="C19" s="20">
        <f t="shared" si="13"/>
        <v>2034</v>
      </c>
      <c r="D19" s="30">
        <f t="shared" si="14"/>
        <v>954.14189684335497</v>
      </c>
      <c r="E19" s="30">
        <f t="shared" si="6"/>
        <v>907.2568609640756</v>
      </c>
      <c r="F19" s="30">
        <f t="shared" si="6"/>
        <v>688.99132783722177</v>
      </c>
      <c r="G19" s="30">
        <f t="shared" si="6"/>
        <v>583.35796909917133</v>
      </c>
      <c r="H19" s="30">
        <f t="shared" si="6"/>
        <v>167.45890744851897</v>
      </c>
      <c r="I19" s="30">
        <f t="shared" si="6"/>
        <v>289.3036820031856</v>
      </c>
      <c r="J19" s="30">
        <f t="shared" si="6"/>
        <v>16.000533454215024</v>
      </c>
      <c r="K19" s="30">
        <f t="shared" si="6"/>
        <v>232.15815735711266</v>
      </c>
      <c r="L19" s="30">
        <f t="shared" si="6"/>
        <v>5.2139130109608373E-5</v>
      </c>
      <c r="M19" s="30">
        <f t="shared" si="6"/>
        <v>541.86806371671446</v>
      </c>
      <c r="N19" s="30">
        <f t="shared" si="6"/>
        <v>5.3310995262677424E-5</v>
      </c>
      <c r="O19" s="30">
        <f t="shared" si="6"/>
        <v>0</v>
      </c>
      <c r="P19" s="30">
        <f>BL19/((VLOOKUP(P$3,tech_data!$B$2:$G$15,6,FALSE)/100)*24*365)</f>
        <v>1.158871377551562</v>
      </c>
      <c r="Q19" s="30">
        <f t="shared" si="7"/>
        <v>4380.5375041736961</v>
      </c>
      <c r="R19" s="30"/>
      <c r="S19" s="36"/>
      <c r="T19" s="19"/>
      <c r="U19" s="20" t="str">
        <f t="shared" si="0"/>
        <v>BALI_NT</v>
      </c>
      <c r="V19" s="20">
        <f t="shared" si="0"/>
        <v>2034</v>
      </c>
      <c r="W19" s="30">
        <v>42.605021417894832</v>
      </c>
      <c r="X19" s="30">
        <v>25.14647505615067</v>
      </c>
      <c r="Y19" s="30">
        <v>105.96488068264614</v>
      </c>
      <c r="Z19" s="30">
        <v>-9.9999999991773336E-7</v>
      </c>
      <c r="AA19" s="30">
        <v>-9.9999999925159955E-7</v>
      </c>
      <c r="AB19" s="30">
        <v>-9.9999999991773336E-7</v>
      </c>
      <c r="AC19" s="30">
        <v>0</v>
      </c>
      <c r="AD19" s="30">
        <v>25.008952343983943</v>
      </c>
      <c r="AE19" s="30">
        <v>0</v>
      </c>
      <c r="AF19" s="30">
        <v>88.871629762136649</v>
      </c>
      <c r="AG19" s="30">
        <v>3.0866828567622552E-8</v>
      </c>
      <c r="AH19" s="30">
        <v>0</v>
      </c>
      <c r="AI19" s="30">
        <f t="shared" si="8"/>
        <v>6.089054516309611E-2</v>
      </c>
      <c r="AJ19" s="34">
        <f t="shared" si="1"/>
        <v>287.65784683884215</v>
      </c>
      <c r="AM19" s="23"/>
      <c r="AO19" s="20" t="str">
        <f t="shared" si="2"/>
        <v>BALI_NT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1555.9410925514815</v>
      </c>
      <c r="AV19" s="30">
        <f t="shared" si="9"/>
        <v>341.99631799681441</v>
      </c>
      <c r="AW19" s="30">
        <f t="shared" si="9"/>
        <v>140.99946654578497</v>
      </c>
      <c r="AX19" s="30">
        <f t="shared" si="9"/>
        <v>18228.971842642888</v>
      </c>
      <c r="AY19" s="30">
        <f t="shared" si="9"/>
        <v>13811.999947860868</v>
      </c>
      <c r="AZ19" s="30">
        <f t="shared" si="9"/>
        <v>93.131936283285512</v>
      </c>
      <c r="BA19" s="30">
        <f t="shared" si="9"/>
        <v>9296.9999466890058</v>
      </c>
      <c r="BB19" s="30">
        <v>999</v>
      </c>
      <c r="BC19" s="30">
        <v>999</v>
      </c>
      <c r="BD19" s="30">
        <f t="shared" si="3"/>
        <v>43470.040550570135</v>
      </c>
      <c r="BF19" s="23"/>
      <c r="BG19" s="19"/>
      <c r="BH19" s="20" t="str">
        <f t="shared" si="10"/>
        <v>BALI_NT</v>
      </c>
      <c r="BI19" s="20">
        <f t="shared" si="10"/>
        <v>2034</v>
      </c>
      <c r="BJ19" s="25">
        <f t="shared" si="4"/>
        <v>2.603025948992178E-2</v>
      </c>
      <c r="BK19" s="43">
        <f t="shared" si="5"/>
        <v>2.7843426416329311E-4</v>
      </c>
      <c r="BL19" s="34">
        <f t="shared" si="11"/>
        <v>4568.2709703082583</v>
      </c>
      <c r="BP19" s="23"/>
    </row>
    <row r="20" spans="1:84" x14ac:dyDescent="0.25">
      <c r="A20" s="19"/>
      <c r="B20" s="20" t="str">
        <f t="shared" si="12"/>
        <v>BALI_NT</v>
      </c>
      <c r="C20" s="20">
        <f t="shared" si="13"/>
        <v>2035</v>
      </c>
      <c r="D20" s="30">
        <f t="shared" si="14"/>
        <v>964.69756841837636</v>
      </c>
      <c r="E20" s="30">
        <f t="shared" si="6"/>
        <v>946.63485250340818</v>
      </c>
      <c r="F20" s="30">
        <f t="shared" si="6"/>
        <v>688.99132783722177</v>
      </c>
      <c r="G20" s="30">
        <f t="shared" si="6"/>
        <v>583.35796909917133</v>
      </c>
      <c r="H20" s="30">
        <f t="shared" si="6"/>
        <v>167.45890644851897</v>
      </c>
      <c r="I20" s="30">
        <f t="shared" si="6"/>
        <v>289.3036810031856</v>
      </c>
      <c r="J20" s="30">
        <f t="shared" si="6"/>
        <v>16.000533454215024</v>
      </c>
      <c r="K20" s="30">
        <f t="shared" si="6"/>
        <v>251.2922697260895</v>
      </c>
      <c r="L20" s="30">
        <f t="shared" si="6"/>
        <v>5.2139130109608373E-5</v>
      </c>
      <c r="M20" s="30">
        <f t="shared" si="6"/>
        <v>580.26434952605416</v>
      </c>
      <c r="N20" s="30">
        <f t="shared" si="6"/>
        <v>5.3310995262677424E-5</v>
      </c>
      <c r="O20" s="30">
        <f t="shared" si="6"/>
        <v>0</v>
      </c>
      <c r="P20" s="30">
        <f>BL20/((VLOOKUP(P$3,tech_data!$B$2:$G$15,6,FALSE)/100)*24*365)</f>
        <v>1.1815946088842875</v>
      </c>
      <c r="Q20" s="30">
        <f t="shared" si="7"/>
        <v>4488.0015634663669</v>
      </c>
      <c r="R20" s="30"/>
      <c r="S20" s="36"/>
      <c r="T20" s="19"/>
      <c r="U20" s="20" t="str">
        <f t="shared" si="0"/>
        <v>BALI_NT</v>
      </c>
      <c r="V20" s="20">
        <f t="shared" si="0"/>
        <v>2035</v>
      </c>
      <c r="W20" s="30">
        <v>10.555671575021391</v>
      </c>
      <c r="X20" s="30">
        <v>39.377991539332626</v>
      </c>
      <c r="Y20" s="30">
        <v>0</v>
      </c>
      <c r="Z20" s="30">
        <v>0</v>
      </c>
      <c r="AA20" s="30">
        <v>-9.9999999991773336E-7</v>
      </c>
      <c r="AB20" s="30">
        <v>-9.9999999991773336E-7</v>
      </c>
      <c r="AC20" s="30">
        <v>0</v>
      </c>
      <c r="AD20" s="30">
        <v>19.134112368976844</v>
      </c>
      <c r="AE20" s="30">
        <v>0</v>
      </c>
      <c r="AF20" s="30">
        <v>38.396285809339666</v>
      </c>
      <c r="AG20" s="30">
        <v>0</v>
      </c>
      <c r="AH20" s="30">
        <v>0</v>
      </c>
      <c r="AI20" s="30">
        <f t="shared" si="8"/>
        <v>2.2723231332725469E-2</v>
      </c>
      <c r="AJ20" s="34">
        <f t="shared" si="1"/>
        <v>107.48678252400325</v>
      </c>
      <c r="AM20" s="23"/>
      <c r="AO20" s="20" t="str">
        <f t="shared" si="2"/>
        <v>BALI_NT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1555.9410935514816</v>
      </c>
      <c r="AV20" s="30">
        <f t="shared" si="9"/>
        <v>341.99631899681441</v>
      </c>
      <c r="AW20" s="30">
        <f t="shared" si="9"/>
        <v>140.99946654578497</v>
      </c>
      <c r="AX20" s="30">
        <f t="shared" si="9"/>
        <v>18209.83773027391</v>
      </c>
      <c r="AY20" s="30">
        <f t="shared" si="9"/>
        <v>13811.999947860868</v>
      </c>
      <c r="AZ20" s="30">
        <f t="shared" si="9"/>
        <v>54.735650473945846</v>
      </c>
      <c r="BA20" s="30">
        <f t="shared" si="9"/>
        <v>9296.9999466890058</v>
      </c>
      <c r="BB20" s="30">
        <v>999</v>
      </c>
      <c r="BC20" s="30">
        <v>999</v>
      </c>
      <c r="BD20" s="30">
        <f t="shared" si="3"/>
        <v>43412.510154391814</v>
      </c>
      <c r="BF20" s="23"/>
      <c r="BG20" s="19"/>
      <c r="BH20" s="20" t="str">
        <f t="shared" si="10"/>
        <v>BALI_NT</v>
      </c>
      <c r="BI20" s="20">
        <f t="shared" si="10"/>
        <v>2035</v>
      </c>
      <c r="BJ20" s="25">
        <f t="shared" si="4"/>
        <v>2.7669694167198527E-2</v>
      </c>
      <c r="BK20" s="43">
        <f t="shared" si="5"/>
        <v>2.7879607043689898E-4</v>
      </c>
      <c r="BL20" s="34">
        <f t="shared" si="11"/>
        <v>4657.8459482218614</v>
      </c>
      <c r="BP20" s="23"/>
    </row>
    <row r="21" spans="1:84" x14ac:dyDescent="0.25">
      <c r="A21" s="19"/>
      <c r="B21" s="20" t="str">
        <f t="shared" si="12"/>
        <v>BALI_NT</v>
      </c>
      <c r="C21" s="20">
        <f t="shared" si="13"/>
        <v>2036</v>
      </c>
      <c r="D21" s="30">
        <f t="shared" si="14"/>
        <v>1086.7992209014856</v>
      </c>
      <c r="E21" s="30">
        <f t="shared" si="14"/>
        <v>946.63485150340819</v>
      </c>
      <c r="F21" s="30">
        <f t="shared" si="14"/>
        <v>831.04739483844855</v>
      </c>
      <c r="G21" s="30">
        <f t="shared" si="14"/>
        <v>583.35796809917133</v>
      </c>
      <c r="H21" s="30">
        <f t="shared" si="14"/>
        <v>220.20944823053446</v>
      </c>
      <c r="I21" s="30">
        <f t="shared" si="14"/>
        <v>460.30184050159176</v>
      </c>
      <c r="J21" s="30">
        <f t="shared" si="14"/>
        <v>16.000533454215024</v>
      </c>
      <c r="K21" s="30">
        <f t="shared" si="14"/>
        <v>340.09728461065691</v>
      </c>
      <c r="L21" s="30">
        <f t="shared" si="14"/>
        <v>5.2139130109608373E-5</v>
      </c>
      <c r="M21" s="30">
        <f t="shared" si="14"/>
        <v>580.26434952605416</v>
      </c>
      <c r="N21" s="30">
        <f t="shared" si="14"/>
        <v>5.2310995262704179E-5</v>
      </c>
      <c r="O21" s="30">
        <f t="shared" si="14"/>
        <v>0</v>
      </c>
      <c r="P21" s="30">
        <f>BL21/((VLOOKUP(P$3,tech_data!$B$2:$G$15,6,FALSE)/100)*24*365)</f>
        <v>1.3463859869778416</v>
      </c>
      <c r="Q21" s="30">
        <f t="shared" si="7"/>
        <v>5064.7129961156925</v>
      </c>
      <c r="R21" s="30"/>
      <c r="S21" s="36"/>
      <c r="T21" s="19"/>
      <c r="U21" s="20" t="str">
        <f t="shared" si="0"/>
        <v>BALI_NT</v>
      </c>
      <c r="V21" s="20">
        <f t="shared" si="0"/>
        <v>2036</v>
      </c>
      <c r="W21" s="30">
        <v>122.10165248310923</v>
      </c>
      <c r="X21" s="30">
        <v>-9.9999999991773336E-7</v>
      </c>
      <c r="Y21" s="30">
        <v>142.05606700122681</v>
      </c>
      <c r="Z21" s="30">
        <v>-9.9999999997324451E-7</v>
      </c>
      <c r="AA21" s="30">
        <v>52.750541782015475</v>
      </c>
      <c r="AB21" s="30">
        <v>170.99815949840615</v>
      </c>
      <c r="AC21" s="30">
        <v>0</v>
      </c>
      <c r="AD21" s="30">
        <v>88.805014884567427</v>
      </c>
      <c r="AE21" s="30">
        <v>0</v>
      </c>
      <c r="AF21" s="30">
        <v>0</v>
      </c>
      <c r="AG21" s="30">
        <v>-9.9999999997324451E-7</v>
      </c>
      <c r="AH21" s="30">
        <v>0</v>
      </c>
      <c r="AI21" s="30">
        <f t="shared" si="8"/>
        <v>0.16479137809355415</v>
      </c>
      <c r="AJ21" s="34">
        <f t="shared" si="1"/>
        <v>576.87622402741874</v>
      </c>
      <c r="AM21" s="23"/>
      <c r="AO21" s="20" t="str">
        <f t="shared" si="2"/>
        <v>BALI_NT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1503.1905517694661</v>
      </c>
      <c r="AV21" s="30">
        <f t="shared" si="15"/>
        <v>170.99815949840826</v>
      </c>
      <c r="AW21" s="30">
        <f t="shared" si="15"/>
        <v>140.99946654578497</v>
      </c>
      <c r="AX21" s="30">
        <f t="shared" si="15"/>
        <v>18121.032715389341</v>
      </c>
      <c r="AY21" s="30">
        <f t="shared" si="15"/>
        <v>13811.999947860868</v>
      </c>
      <c r="AZ21" s="30">
        <f t="shared" si="15"/>
        <v>54.735650473945846</v>
      </c>
      <c r="BA21" s="30">
        <f t="shared" si="15"/>
        <v>9296.9999476890061</v>
      </c>
      <c r="BB21" s="30">
        <v>999</v>
      </c>
      <c r="BC21" s="30">
        <v>999</v>
      </c>
      <c r="BD21" s="30">
        <f t="shared" si="3"/>
        <v>43099.956439226822</v>
      </c>
      <c r="BF21" s="23"/>
      <c r="BG21" s="19"/>
      <c r="BH21" s="20" t="str">
        <f t="shared" si="10"/>
        <v>BALI_NT</v>
      </c>
      <c r="BI21" s="20">
        <f t="shared" si="10"/>
        <v>2036</v>
      </c>
      <c r="BJ21" s="25">
        <f t="shared" si="4"/>
        <v>3.3003267808682409E-2</v>
      </c>
      <c r="BK21" s="43">
        <f t="shared" si="5"/>
        <v>2.7997313496467473E-4</v>
      </c>
      <c r="BL21" s="34">
        <f t="shared" si="11"/>
        <v>5307.4535606666523</v>
      </c>
      <c r="BP21" s="23"/>
    </row>
    <row r="22" spans="1:84" x14ac:dyDescent="0.25">
      <c r="A22" s="19"/>
      <c r="B22" s="20" t="str">
        <f t="shared" si="12"/>
        <v>BALI_NT</v>
      </c>
      <c r="C22" s="20">
        <f t="shared" si="13"/>
        <v>2037</v>
      </c>
      <c r="D22" s="30">
        <f t="shared" ref="D22:O23" si="16">D21+W22</f>
        <v>1196.8519804466505</v>
      </c>
      <c r="E22" s="30">
        <f t="shared" si="16"/>
        <v>946.63485150340819</v>
      </c>
      <c r="F22" s="30">
        <f t="shared" si="16"/>
        <v>1068.4908574703591</v>
      </c>
      <c r="G22" s="30">
        <f t="shared" si="16"/>
        <v>583.35796709917133</v>
      </c>
      <c r="H22" s="30">
        <f t="shared" si="16"/>
        <v>276.73880144377438</v>
      </c>
      <c r="I22" s="30">
        <f t="shared" si="16"/>
        <v>545.80092025079534</v>
      </c>
      <c r="J22" s="30">
        <f t="shared" si="16"/>
        <v>16.000533454215024</v>
      </c>
      <c r="K22" s="30">
        <f t="shared" si="16"/>
        <v>412.80945399061636</v>
      </c>
      <c r="L22" s="30">
        <f t="shared" si="16"/>
        <v>5.2139130109608373E-5</v>
      </c>
      <c r="M22" s="30">
        <f t="shared" si="16"/>
        <v>580.26434952605416</v>
      </c>
      <c r="N22" s="30">
        <f t="shared" si="16"/>
        <v>5.2310995262704179E-5</v>
      </c>
      <c r="O22" s="30">
        <f t="shared" si="16"/>
        <v>0</v>
      </c>
      <c r="P22" s="30">
        <f>BL22/((VLOOKUP(P$3,tech_data!$B$2:$G$15,6,FALSE)/100)*24*365)</f>
        <v>1.4971318629761103</v>
      </c>
      <c r="Q22" s="30">
        <f t="shared" si="7"/>
        <v>5626.9498196351697</v>
      </c>
      <c r="R22" s="30"/>
      <c r="S22" s="36"/>
      <c r="T22" s="19"/>
      <c r="U22" s="20" t="str">
        <f t="shared" si="0"/>
        <v>BALI_NT</v>
      </c>
      <c r="V22" s="20">
        <f t="shared" si="0"/>
        <v>2037</v>
      </c>
      <c r="W22" s="30">
        <v>110.05275954516492</v>
      </c>
      <c r="X22" s="30">
        <v>0</v>
      </c>
      <c r="Y22" s="30">
        <v>237.44346263191059</v>
      </c>
      <c r="Z22" s="30">
        <v>-9.9999999925159955E-7</v>
      </c>
      <c r="AA22" s="30">
        <v>56.529353213239901</v>
      </c>
      <c r="AB22" s="30">
        <v>85.499079749203617</v>
      </c>
      <c r="AC22" s="30">
        <v>0</v>
      </c>
      <c r="AD22" s="30">
        <v>72.71216937995942</v>
      </c>
      <c r="AE22" s="30">
        <v>0</v>
      </c>
      <c r="AF22" s="30">
        <v>0</v>
      </c>
      <c r="AG22" s="30">
        <v>0</v>
      </c>
      <c r="AH22" s="30">
        <v>0</v>
      </c>
      <c r="AI22" s="30">
        <f t="shared" si="8"/>
        <v>0.15074587599826872</v>
      </c>
      <c r="AJ22" s="34">
        <f t="shared" si="1"/>
        <v>562.3875693954767</v>
      </c>
      <c r="AM22" s="23"/>
      <c r="AO22" s="20" t="str">
        <f t="shared" si="2"/>
        <v>BALI_NT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1446.6611985562263</v>
      </c>
      <c r="AV22" s="30">
        <f t="shared" si="15"/>
        <v>85.49907974920464</v>
      </c>
      <c r="AW22" s="30">
        <f t="shared" si="15"/>
        <v>140.99946654578497</v>
      </c>
      <c r="AX22" s="30">
        <f t="shared" si="15"/>
        <v>18048.320546009381</v>
      </c>
      <c r="AY22" s="30">
        <f t="shared" si="15"/>
        <v>13811.999947860868</v>
      </c>
      <c r="AZ22" s="30">
        <f t="shared" si="15"/>
        <v>54.735650473945846</v>
      </c>
      <c r="BA22" s="30">
        <f t="shared" si="15"/>
        <v>9296.9999476890061</v>
      </c>
      <c r="BB22" s="30">
        <v>999</v>
      </c>
      <c r="BC22" s="30">
        <v>999</v>
      </c>
      <c r="BD22" s="30">
        <f t="shared" si="3"/>
        <v>42885.215836884418</v>
      </c>
      <c r="BF22" s="23"/>
      <c r="BG22" s="19"/>
      <c r="BH22" s="20" t="str">
        <f t="shared" si="10"/>
        <v>BALI_NT</v>
      </c>
      <c r="BI22" s="20">
        <f t="shared" si="10"/>
        <v>2037</v>
      </c>
      <c r="BJ22" s="25">
        <f t="shared" si="4"/>
        <v>3.6114078431458016E-2</v>
      </c>
      <c r="BK22" s="43">
        <f t="shared" si="5"/>
        <v>2.8065965868832177E-4</v>
      </c>
      <c r="BL22" s="34">
        <f t="shared" si="11"/>
        <v>5901.6938038518274</v>
      </c>
      <c r="BP22" s="23"/>
    </row>
    <row r="23" spans="1:84" x14ac:dyDescent="0.25">
      <c r="A23" s="19"/>
      <c r="B23" s="20" t="str">
        <f t="shared" si="12"/>
        <v>BALI_NT</v>
      </c>
      <c r="C23" s="20">
        <f t="shared" si="13"/>
        <v>2038</v>
      </c>
      <c r="D23" s="30">
        <f t="shared" si="16"/>
        <v>1313.0788502751313</v>
      </c>
      <c r="E23" s="30">
        <f t="shared" si="16"/>
        <v>946.63485050340819</v>
      </c>
      <c r="F23" s="30">
        <f t="shared" si="16"/>
        <v>1326.9224995024756</v>
      </c>
      <c r="G23" s="30">
        <f t="shared" si="16"/>
        <v>583.35796609917134</v>
      </c>
      <c r="H23" s="30">
        <f t="shared" si="16"/>
        <v>367.65617345570899</v>
      </c>
      <c r="I23" s="30">
        <f t="shared" si="16"/>
        <v>588.55046012539765</v>
      </c>
      <c r="J23" s="30">
        <f t="shared" si="16"/>
        <v>16.000533454215024</v>
      </c>
      <c r="K23" s="30">
        <f t="shared" si="16"/>
        <v>495.36357741744956</v>
      </c>
      <c r="L23" s="30">
        <f t="shared" si="16"/>
        <v>5.2139130109608373E-5</v>
      </c>
      <c r="M23" s="30">
        <f t="shared" si="16"/>
        <v>580.26434952605416</v>
      </c>
      <c r="N23" s="30">
        <f t="shared" si="16"/>
        <v>5.2310995262704179E-5</v>
      </c>
      <c r="O23" s="30">
        <f t="shared" si="16"/>
        <v>0</v>
      </c>
      <c r="P23" s="30">
        <f>BL23/((VLOOKUP(P$3,tech_data!$B$2:$G$15,6,FALSE)/100)*24*365)</f>
        <v>1.6585412935208683</v>
      </c>
      <c r="Q23" s="30">
        <f t="shared" si="7"/>
        <v>6217.8293648091385</v>
      </c>
      <c r="R23" s="30"/>
      <c r="S23" s="36"/>
      <c r="T23" s="19"/>
      <c r="U23" s="20" t="str">
        <f t="shared" si="0"/>
        <v>BALI_NT</v>
      </c>
      <c r="V23" s="20">
        <f t="shared" si="0"/>
        <v>2038</v>
      </c>
      <c r="W23" s="30">
        <v>116.2268698284809</v>
      </c>
      <c r="X23" s="30">
        <v>-9.9999999925159955E-7</v>
      </c>
      <c r="Y23" s="30">
        <v>258.43164203211654</v>
      </c>
      <c r="Z23" s="30">
        <v>-9.9999999925159955E-7</v>
      </c>
      <c r="AA23" s="30">
        <v>90.917372011934589</v>
      </c>
      <c r="AB23" s="30">
        <v>42.74953987460232</v>
      </c>
      <c r="AC23" s="30">
        <v>0</v>
      </c>
      <c r="AD23" s="30">
        <v>82.5541234268332</v>
      </c>
      <c r="AE23" s="30">
        <v>0</v>
      </c>
      <c r="AF23" s="30">
        <v>0</v>
      </c>
      <c r="AG23" s="30">
        <v>0</v>
      </c>
      <c r="AH23" s="30">
        <v>0</v>
      </c>
      <c r="AI23" s="30">
        <f t="shared" si="8"/>
        <v>0.16140943054475798</v>
      </c>
      <c r="AJ23" s="34">
        <f t="shared" si="1"/>
        <v>591.04095460451219</v>
      </c>
      <c r="AM23" s="23"/>
      <c r="AO23" s="20" t="str">
        <f t="shared" si="2"/>
        <v>BALI_NT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1355.7438265442918</v>
      </c>
      <c r="AV23" s="30">
        <f t="shared" si="15"/>
        <v>42.74953987460232</v>
      </c>
      <c r="AW23" s="30">
        <f t="shared" si="15"/>
        <v>140.99946654578497</v>
      </c>
      <c r="AX23" s="30">
        <f t="shared" si="15"/>
        <v>17965.766422582547</v>
      </c>
      <c r="AY23" s="30">
        <f t="shared" si="15"/>
        <v>13811.999947860868</v>
      </c>
      <c r="AZ23" s="30">
        <f t="shared" si="15"/>
        <v>54.735650473945846</v>
      </c>
      <c r="BA23" s="30">
        <f t="shared" si="15"/>
        <v>9296.9999476890061</v>
      </c>
      <c r="BB23" s="30">
        <v>999</v>
      </c>
      <c r="BC23" s="30">
        <v>999</v>
      </c>
      <c r="BD23" s="30">
        <f t="shared" si="3"/>
        <v>42668.994801571047</v>
      </c>
      <c r="BF23" s="23"/>
      <c r="BG23" s="19"/>
      <c r="BH23" s="20" t="str">
        <f t="shared" si="10"/>
        <v>BALI_NT</v>
      </c>
      <c r="BI23" s="20">
        <f t="shared" si="10"/>
        <v>2038</v>
      </c>
      <c r="BJ23" s="25">
        <f>SUM(K47:L47,N47)/Q47</f>
        <v>3.9214082660976285E-2</v>
      </c>
      <c r="BK23" s="43">
        <f t="shared" si="5"/>
        <v>2.8134379755276719E-4</v>
      </c>
      <c r="BL23" s="34">
        <f t="shared" si="11"/>
        <v>6537.9697790592636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BALI_NT</v>
      </c>
      <c r="C28" s="20">
        <f>C4</f>
        <v>2019</v>
      </c>
      <c r="D28" s="30">
        <f>(D4*(VLOOKUP(D$27,tech_data!$B$2:$O$15,6, FALSE)/100)*(1-(VLOOKUP(D$27,tech_data!$B$2:$O$15,7, FALSE)/100))*8760)/1000</f>
        <v>2518.3558298666662</v>
      </c>
      <c r="E28" s="30">
        <f>(E4*(VLOOKUP(E$27,tech_data!$B$2:$O$15,6, FALSE)/100)*(1-(VLOOKUP(E$27,tech_data!$B$2:$O$15,7, FALSE)/100))*8760)/1000</f>
        <v>1974.5776102799998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2908.6453329230771</v>
      </c>
      <c r="H28" s="30">
        <f>(H4*(VLOOKUP(H$27,tech_data!$B$2:$O$15,6, FALSE)/100)*(1-(VLOOKUP(H$27,tech_data!$B$2:$O$15,7, FALSE)/100))*8760)/1000</f>
        <v>159.63280615384616</v>
      </c>
      <c r="I28" s="30">
        <f>(I4*(VLOOKUP(I$27,tech_data!$B$2:$O$15,6, FALSE)/100)*(1-(VLOOKUP(I$27,tech_data!$B$2:$O$15,7, FALSE)/100))*8760)/1000</f>
        <v>32.406878769230765</v>
      </c>
      <c r="J28" s="30">
        <f>(J4*(VLOOKUP(J$27,tech_data!$B$2:$O$15,6, FALSE)/100)*(1-(VLOOKUP(J$27,tech_data!$B$2:$O$15,7, FALSE)/100))*8760)/1000</f>
        <v>94.705033846153867</v>
      </c>
      <c r="K28" s="30">
        <f>(K4*(VLOOKUP(K$27,tech_data!$B$2:$O$15,6, FALSE)/100)*(1-(VLOOKUP(K$27,tech_data!$B$2:$O$15,7, FALSE)/100))*8760)/1000</f>
        <v>7.5975479999999997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7695.9210398389732</v>
      </c>
      <c r="R28" s="34">
        <f>proj_rukn!D62</f>
        <v>7544</v>
      </c>
      <c r="S28" s="35"/>
      <c r="T28" s="19"/>
      <c r="U28" s="20" t="str">
        <f t="shared" ref="U28:V47" si="18">B28</f>
        <v>BALI_NT</v>
      </c>
      <c r="V28" s="20">
        <f t="shared" si="18"/>
        <v>2019</v>
      </c>
      <c r="W28" s="29">
        <f t="shared" ref="W28:AI47" si="19">D28/$Q28</f>
        <v>0.32723254524442985</v>
      </c>
      <c r="X28" s="29">
        <f t="shared" si="19"/>
        <v>0.25657456723611538</v>
      </c>
      <c r="Y28" s="29">
        <f t="shared" si="19"/>
        <v>0</v>
      </c>
      <c r="Z28" s="29">
        <f t="shared" si="19"/>
        <v>0.37794635857957509</v>
      </c>
      <c r="AA28" s="29">
        <f t="shared" si="19"/>
        <v>2.0742521308039077E-2</v>
      </c>
      <c r="AB28" s="29">
        <f t="shared" si="19"/>
        <v>4.2109162245132434E-3</v>
      </c>
      <c r="AC28" s="29">
        <f t="shared" si="19"/>
        <v>1.2305873898120899E-2</v>
      </c>
      <c r="AD28" s="29">
        <f t="shared" si="19"/>
        <v>9.8721750920653531E-4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BALI_NT</v>
      </c>
      <c r="AP28" s="20">
        <f>C28</f>
        <v>2019</v>
      </c>
      <c r="AQ28" s="25">
        <f t="shared" ref="AQ28:AQ47" si="21">D28/Q28</f>
        <v>0.32723254524442985</v>
      </c>
      <c r="AR28" s="25">
        <f t="shared" ref="AR28:AR47" si="22">SUM(E28:F28)/Q28</f>
        <v>0.25657456723611538</v>
      </c>
      <c r="AS28" s="25">
        <f t="shared" ref="AS28:AS47" si="23">G28/Q28</f>
        <v>0.37794635857957509</v>
      </c>
      <c r="AT28" s="37">
        <f t="shared" ref="AT28:AT47" si="24">SUM(H28:N28)/Q28</f>
        <v>3.8246528939879752E-2</v>
      </c>
      <c r="AU28" s="24">
        <f>SUM(AQ28:AT28)</f>
        <v>1</v>
      </c>
      <c r="AW28" s="24">
        <f>$BD$29+((AP28-$BC$29)*($BD$30-$BD$29)/($BC$30-$BC$29))</f>
        <v>0.32723254524442985</v>
      </c>
      <c r="AX28" s="24">
        <f t="shared" ref="AX28:AX47" si="25">$BE$29+((AP28-$BC$29)*($BE$30-$BE$29)/($BC$30-$BC$29))</f>
        <v>0.19239999999999999</v>
      </c>
      <c r="AY28" s="24">
        <f>BF29</f>
        <v>0.37794635857957509</v>
      </c>
      <c r="AZ28" s="25">
        <f>$BG$29+((AP28-$BC$29)*($BG$30-$BG$29)/($BC$30-$BC$29))</f>
        <v>0.1166</v>
      </c>
      <c r="BA28" s="24">
        <f>SUM(AW28:AZ28)</f>
        <v>1.014178903824005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BALI_NT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1793.8199999999997</v>
      </c>
      <c r="BQ28" s="30">
        <f t="shared" ref="BQ28:BQ47" si="27">BN28*$CD$30</f>
        <v>13830.82</v>
      </c>
      <c r="BR28" s="30">
        <f>SUM(D4,F4,H4,M4)</f>
        <v>543.93999999999994</v>
      </c>
      <c r="BS28" s="30"/>
      <c r="BT28" s="30">
        <f t="shared" ref="BT28:BT47" si="28">BN28*$CD$31</f>
        <v>6915.41</v>
      </c>
      <c r="BU28" s="30">
        <f>SUM(E4,G4,P4,I4)</f>
        <v>1249.8799999999999</v>
      </c>
      <c r="BW28" s="30">
        <f t="shared" ref="BW28:BW47" si="29">$CD$32*SUM(H4:O4)</f>
        <v>2.6015000000000003E-2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2.5811950432374036E-2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BALI_NT</v>
      </c>
      <c r="C29" s="20">
        <f t="shared" si="31"/>
        <v>2020</v>
      </c>
      <c r="D29" s="30">
        <f>(D5*(VLOOKUP(D$27,tech_data!$B$2:$O$15,6, FALSE)/100)*(1-(VLOOKUP(D$27,tech_data!$B$2:$O$15,7, FALSE)/100))*8760)/1000</f>
        <v>2555.4121038177236</v>
      </c>
      <c r="E29" s="30">
        <f>(E5*(VLOOKUP(E$27,tech_data!$B$2:$O$15,6, FALSE)/100)*(1-(VLOOKUP(E$27,tech_data!$B$2:$O$15,7, FALSE)/100))*8760)/1000</f>
        <v>1974.5776102799998</v>
      </c>
      <c r="F29" s="30">
        <f>(F5*(VLOOKUP(F$27,tech_data!$B$2:$O$15,6, FALSE)/100)*(1-(VLOOKUP(F$27,tech_data!$B$2:$O$15,7, FALSE)/100))*8760)/1000</f>
        <v>0</v>
      </c>
      <c r="G29" s="30">
        <f>(G5*(VLOOKUP(G$27,tech_data!$B$2:$O$15,6, FALSE)/100)*(1-(VLOOKUP(G$27,tech_data!$B$2:$O$15,7, FALSE)/100))*8760)/1000</f>
        <v>2908.6453329230771</v>
      </c>
      <c r="H29" s="30">
        <f>(H5*(VLOOKUP(H$27,tech_data!$B$2:$O$15,6, FALSE)/100)*(1-(VLOOKUP(H$27,tech_data!$B$2:$O$15,7, FALSE)/100))*8760)/1000</f>
        <v>159.63280615384616</v>
      </c>
      <c r="I29" s="30">
        <f>(I5*(VLOOKUP(I$27,tech_data!$B$2:$O$15,6, FALSE)/100)*(1-(VLOOKUP(I$27,tech_data!$B$2:$O$15,7, FALSE)/100))*8760)/1000</f>
        <v>32.406878769230765</v>
      </c>
      <c r="J29" s="30">
        <f>(J5*(VLOOKUP(J$27,tech_data!$B$2:$O$15,6, FALSE)/100)*(1-(VLOOKUP(J$27,tech_data!$B$2:$O$15,7, FALSE)/100))*8760)/1000</f>
        <v>94.705033846153867</v>
      </c>
      <c r="K29" s="30">
        <f>(K5*(VLOOKUP(K$27,tech_data!$B$2:$O$15,6, FALSE)/100)*(1-(VLOOKUP(K$27,tech_data!$B$2:$O$15,7, FALSE)/100))*8760)/1000</f>
        <v>24.402527123057592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169.21770527177429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1.9533290140790678</v>
      </c>
      <c r="Q29" s="34">
        <f t="shared" si="17"/>
        <v>7918.9999981848632</v>
      </c>
      <c r="R29" s="34">
        <f>proj_rukn!D63</f>
        <v>7919</v>
      </c>
      <c r="S29" s="35"/>
      <c r="T29" s="19"/>
      <c r="U29" s="20" t="str">
        <f t="shared" si="18"/>
        <v>BALI_NT</v>
      </c>
      <c r="V29" s="20">
        <f t="shared" si="18"/>
        <v>2020</v>
      </c>
      <c r="W29" s="29">
        <f t="shared" si="19"/>
        <v>0.32269378765039236</v>
      </c>
      <c r="X29" s="29">
        <f t="shared" si="19"/>
        <v>0.2493468380771055</v>
      </c>
      <c r="Y29" s="29">
        <f t="shared" si="19"/>
        <v>0</v>
      </c>
      <c r="Z29" s="29">
        <f t="shared" si="19"/>
        <v>0.36729957489452913</v>
      </c>
      <c r="AA29" s="29">
        <f t="shared" si="19"/>
        <v>2.0158202574875116E-2</v>
      </c>
      <c r="AB29" s="29">
        <f t="shared" si="19"/>
        <v>4.0922943271446948E-3</v>
      </c>
      <c r="AC29" s="29">
        <f t="shared" si="19"/>
        <v>1.1959216298505049E-2</v>
      </c>
      <c r="AD29" s="29">
        <f t="shared" si="19"/>
        <v>3.0815162430421726E-3</v>
      </c>
      <c r="AE29" s="29">
        <f t="shared" si="19"/>
        <v>0</v>
      </c>
      <c r="AF29" s="29">
        <f t="shared" si="19"/>
        <v>2.1368569934406008E-2</v>
      </c>
      <c r="AG29" s="29">
        <f t="shared" si="19"/>
        <v>0</v>
      </c>
      <c r="AH29" s="29">
        <f t="shared" si="19"/>
        <v>0</v>
      </c>
      <c r="AI29" s="29">
        <f t="shared" si="19"/>
        <v>2.4666359572254019E-4</v>
      </c>
      <c r="AJ29" s="29">
        <f t="shared" si="20"/>
        <v>1</v>
      </c>
      <c r="AM29" s="23"/>
      <c r="AO29" s="20" t="str">
        <f>AO28</f>
        <v>BALI_NT</v>
      </c>
      <c r="AP29" s="20">
        <f>AP28+1</f>
        <v>2020</v>
      </c>
      <c r="AQ29" s="25">
        <f t="shared" si="21"/>
        <v>0.32269378765039236</v>
      </c>
      <c r="AR29" s="25">
        <f t="shared" si="22"/>
        <v>0.2493468380771055</v>
      </c>
      <c r="AS29" s="25">
        <f t="shared" si="23"/>
        <v>0.36729957489452913</v>
      </c>
      <c r="AT29" s="37">
        <f t="shared" si="24"/>
        <v>6.0659799377973035E-2</v>
      </c>
      <c r="AU29" s="24">
        <f t="shared" ref="AU29:AU47" si="32">SUM(AQ29:AT29)</f>
        <v>1</v>
      </c>
      <c r="AW29" s="24">
        <f>$BD$29+((AP29-$BC$29)*($BD$30-$BD$29)/($BC$30-$BC$29))</f>
        <v>0.32269378770369156</v>
      </c>
      <c r="AX29" s="24">
        <f t="shared" si="25"/>
        <v>0.19699999999999998</v>
      </c>
      <c r="AY29" s="24">
        <f>AY28*0.98</f>
        <v>0.37038743140798358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1.0255812191116751</v>
      </c>
      <c r="BC29" s="20">
        <v>2019</v>
      </c>
      <c r="BD29" s="25">
        <f>AQ28</f>
        <v>0.32723254524442985</v>
      </c>
      <c r="BE29" s="25">
        <v>0.19239999999999999</v>
      </c>
      <c r="BF29" s="25">
        <f>AS28</f>
        <v>0.37794635857957509</v>
      </c>
      <c r="BG29" s="25">
        <v>0.1166</v>
      </c>
      <c r="BH29" s="24">
        <f>SUM(BD29:BG29)</f>
        <v>1.014178903824005</v>
      </c>
      <c r="BJ29" s="19"/>
      <c r="BK29" s="20" t="str">
        <f>BK28</f>
        <v>BALI_NT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1869.762812015101</v>
      </c>
      <c r="BQ29" s="30">
        <f t="shared" si="27"/>
        <v>14643.64</v>
      </c>
      <c r="BR29" s="30">
        <f t="shared" ref="BR29:BR47" si="36">SUM(D5,F5,H5,M5)</f>
        <v>619.33364540827415</v>
      </c>
      <c r="BS29" s="30"/>
      <c r="BT29" s="30">
        <f t="shared" si="28"/>
        <v>7321.82</v>
      </c>
      <c r="BU29" s="30">
        <f t="shared" ref="BU29:BU47" si="37">SUM(E5,G5,P5,I5)</f>
        <v>1250.4291666068268</v>
      </c>
      <c r="BW29" s="30">
        <f t="shared" si="29"/>
        <v>6.4458479369129892E-2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5.0799974194460355E-2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BALI_NT</v>
      </c>
      <c r="C30" s="20">
        <f t="shared" si="31"/>
        <v>2021</v>
      </c>
      <c r="D30" s="30">
        <f>(D6*(VLOOKUP(D$27,tech_data!$B$2:$O$15,6, FALSE)/100)*(1-(VLOOKUP(D$27,tech_data!$B$2:$O$15,7, FALSE)/100))*8760)/1000</f>
        <v>2955.2968870798381</v>
      </c>
      <c r="E30" s="30">
        <f>(E6*(VLOOKUP(E$27,tech_data!$B$2:$O$15,6, FALSE)/100)*(1-(VLOOKUP(E$27,tech_data!$B$2:$O$15,7, FALSE)/100))*8760)/1000</f>
        <v>1974.5776102799998</v>
      </c>
      <c r="F30" s="30">
        <f>(F6*(VLOOKUP(F$27,tech_data!$B$2:$O$15,6, FALSE)/100)*(1-(VLOOKUP(F$27,tech_data!$B$2:$O$15,7, FALSE)/100))*8760)/1000</f>
        <v>0</v>
      </c>
      <c r="G30" s="30">
        <f>(G6*(VLOOKUP(G$27,tech_data!$B$2:$O$15,6, FALSE)/100)*(1-(VLOOKUP(G$27,tech_data!$B$2:$O$15,7, FALSE)/100))*8760)/1000</f>
        <v>2908.6453329230771</v>
      </c>
      <c r="H30" s="30">
        <f>(H6*(VLOOKUP(H$27,tech_data!$B$2:$O$15,6, FALSE)/100)*(1-(VLOOKUP(H$27,tech_data!$B$2:$O$15,7, FALSE)/100))*8760)/1000</f>
        <v>1076.6485906812895</v>
      </c>
      <c r="I30" s="30">
        <f>(I6*(VLOOKUP(I$27,tech_data!$B$2:$O$15,6, FALSE)/100)*(1-(VLOOKUP(I$27,tech_data!$B$2:$O$15,7, FALSE)/100))*8760)/1000</f>
        <v>32.406878769230765</v>
      </c>
      <c r="J30" s="30">
        <f>(J6*(VLOOKUP(J$27,tech_data!$B$2:$O$15,6, FALSE)/100)*(1-(VLOOKUP(J$27,tech_data!$B$2:$O$15,7, FALSE)/100))*8760)/1000</f>
        <v>94.705033846153867</v>
      </c>
      <c r="K30" s="30">
        <f>(K6*(VLOOKUP(K$27,tech_data!$B$2:$O$15,6, FALSE)/100)*(1-(VLOOKUP(K$27,tech_data!$B$2:$O$15,7, FALSE)/100))*8760)/1000</f>
        <v>77.361055607877603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169.21770277416348</v>
      </c>
      <c r="N30" s="30">
        <f>(N6*(VLOOKUP(N$27,tech_data!$B$2:$O$15,6, FALSE)/100)*(1-(VLOOKUP(N$27,tech_data!$B$2:$O$15,7, FALSE)/100))*8760)/1000</f>
        <v>-9.9999999996259286E-7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2.3009284376943229</v>
      </c>
      <c r="Q30" s="34">
        <f t="shared" si="17"/>
        <v>9288.8590909616305</v>
      </c>
      <c r="R30" s="34">
        <f>proj_rukn!D64</f>
        <v>10148</v>
      </c>
      <c r="S30" s="35"/>
      <c r="T30" s="19"/>
      <c r="U30" s="20" t="str">
        <f t="shared" si="18"/>
        <v>BALI_NT</v>
      </c>
      <c r="V30" s="20">
        <f t="shared" si="18"/>
        <v>2021</v>
      </c>
      <c r="W30" s="29">
        <f t="shared" si="19"/>
        <v>0.31815499170995504</v>
      </c>
      <c r="X30" s="29">
        <f t="shared" si="19"/>
        <v>0.21257482656845658</v>
      </c>
      <c r="Y30" s="29">
        <f t="shared" si="19"/>
        <v>0</v>
      </c>
      <c r="Z30" s="29">
        <f t="shared" si="19"/>
        <v>0.31313267909869424</v>
      </c>
      <c r="AA30" s="29">
        <f t="shared" si="19"/>
        <v>0.11590751675078208</v>
      </c>
      <c r="AB30" s="29">
        <f t="shared" si="19"/>
        <v>3.4887900065965838E-3</v>
      </c>
      <c r="AC30" s="29">
        <f t="shared" si="19"/>
        <v>1.0195550704209199E-2</v>
      </c>
      <c r="AD30" s="29">
        <f t="shared" si="19"/>
        <v>8.3283700237365525E-3</v>
      </c>
      <c r="AE30" s="29">
        <f t="shared" si="19"/>
        <v>0</v>
      </c>
      <c r="AF30" s="29">
        <f t="shared" si="19"/>
        <v>1.8217275245225536E-2</v>
      </c>
      <c r="AG30" s="29">
        <f t="shared" si="19"/>
        <v>-1.076558477386772E-10</v>
      </c>
      <c r="AH30" s="29">
        <f t="shared" si="19"/>
        <v>0</v>
      </c>
      <c r="AI30" s="29">
        <f t="shared" si="19"/>
        <v>2.4770840155527852E-4</v>
      </c>
      <c r="AJ30" s="29">
        <f t="shared" si="20"/>
        <v>0.99999999999999978</v>
      </c>
      <c r="AM30" s="23"/>
      <c r="AO30" s="20" t="str">
        <f t="shared" ref="AO30:AO47" si="39">AO29</f>
        <v>BALI_NT</v>
      </c>
      <c r="AP30" s="20">
        <f t="shared" ref="AP30:AP47" si="40">AP29+1</f>
        <v>2021</v>
      </c>
      <c r="AQ30" s="25">
        <f t="shared" si="21"/>
        <v>0.31815499170995504</v>
      </c>
      <c r="AR30" s="25">
        <f t="shared" si="22"/>
        <v>0.21257482656845658</v>
      </c>
      <c r="AS30" s="25">
        <f t="shared" si="23"/>
        <v>0.31313267909869424</v>
      </c>
      <c r="AT30" s="37">
        <f t="shared" si="24"/>
        <v>0.15613750262289408</v>
      </c>
      <c r="AU30" s="24">
        <f t="shared" si="32"/>
        <v>0.99999999999999989</v>
      </c>
      <c r="AW30" s="24">
        <f t="shared" ref="AW30:AW34" si="41">$BD$29+((AP30-$BC$29)*($BD$30-$BD$29)/($BC$30-$BC$29))</f>
        <v>0.31815503016295321</v>
      </c>
      <c r="AX30" s="24">
        <f t="shared" si="25"/>
        <v>0.2016</v>
      </c>
      <c r="AY30" s="24">
        <f t="shared" ref="AY30:AY47" si="42">AY29*0.98</f>
        <v>0.3629796827798239</v>
      </c>
      <c r="AZ30" s="25">
        <f t="shared" si="33"/>
        <v>0.15440000000000001</v>
      </c>
      <c r="BA30" s="24">
        <f t="shared" si="34"/>
        <v>1.0371347129427773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BALI_NT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2093.6410070496995</v>
      </c>
      <c r="BQ30" s="30">
        <f t="shared" si="27"/>
        <v>15499.24</v>
      </c>
      <c r="BR30" s="30">
        <f t="shared" si="36"/>
        <v>843.1141149728544</v>
      </c>
      <c r="BS30" s="30"/>
      <c r="BT30" s="30">
        <f t="shared" si="28"/>
        <v>7749.62</v>
      </c>
      <c r="BU30" s="30">
        <f t="shared" si="37"/>
        <v>1250.5268920768453</v>
      </c>
      <c r="BW30" s="30">
        <f t="shared" si="29"/>
        <v>0.14951025756379505</v>
      </c>
      <c r="BX30" s="30">
        <f t="shared" si="38"/>
        <v>-3.3184666028279741E-7</v>
      </c>
      <c r="BZ30" s="24">
        <f t="shared" ref="BZ30:BZ47" si="46">BZ29*1.05</f>
        <v>5.3340000000000005E-2</v>
      </c>
      <c r="CA30" s="24">
        <f t="shared" si="30"/>
        <v>5.333997203638751E-2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BALI_NT</v>
      </c>
      <c r="C31" s="20">
        <f t="shared" si="31"/>
        <v>2022</v>
      </c>
      <c r="D31" s="30">
        <f>(D7*(VLOOKUP(D$27,tech_data!$B$2:$O$15,6, FALSE)/100)*(1-(VLOOKUP(D$27,tech_data!$B$2:$O$15,7, FALSE)/100))*8760)/1000</f>
        <v>3227.4250615552132</v>
      </c>
      <c r="E31" s="30">
        <f>(E7*(VLOOKUP(E$27,tech_data!$B$2:$O$15,6, FALSE)/100)*(1-(VLOOKUP(E$27,tech_data!$B$2:$O$15,7, FALSE)/100))*8760)/1000</f>
        <v>1974.5776102799998</v>
      </c>
      <c r="F31" s="30">
        <f>(F7*(VLOOKUP(F$27,tech_data!$B$2:$O$15,6, FALSE)/100)*(1-(VLOOKUP(F$27,tech_data!$B$2:$O$15,7, FALSE)/100))*8760)/1000</f>
        <v>374.56125869526869</v>
      </c>
      <c r="G31" s="30">
        <f>(G7*(VLOOKUP(G$27,tech_data!$B$2:$O$15,6, FALSE)/100)*(1-(VLOOKUP(G$27,tech_data!$B$2:$O$15,7, FALSE)/100))*8760)/1000</f>
        <v>2908.6453279258335</v>
      </c>
      <c r="H31" s="30">
        <f>(H7*(VLOOKUP(H$27,tech_data!$B$2:$O$15,6, FALSE)/100)*(1-(VLOOKUP(H$27,tech_data!$B$2:$O$15,7, FALSE)/100))*8760)/1000</f>
        <v>1076.6485906812895</v>
      </c>
      <c r="I31" s="30">
        <f>(I7*(VLOOKUP(I$27,tech_data!$B$2:$O$15,6, FALSE)/100)*(1-(VLOOKUP(I$27,tech_data!$B$2:$O$15,7, FALSE)/100))*8760)/1000</f>
        <v>364.08249467805393</v>
      </c>
      <c r="J31" s="30">
        <f>(J7*(VLOOKUP(J$27,tech_data!$B$2:$O$15,6, FALSE)/100)*(1-(VLOOKUP(J$27,tech_data!$B$2:$O$15,7, FALSE)/100))*8760)/1000</f>
        <v>94.705033846153867</v>
      </c>
      <c r="K31" s="30">
        <f>(K7*(VLOOKUP(K$27,tech_data!$B$2:$O$15,6, FALSE)/100)*(1-(VLOOKUP(K$27,tech_data!$B$2:$O$15,7, FALSE)/100))*8760)/1000</f>
        <v>101.13692206163732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169.21770027655276</v>
      </c>
      <c r="N31" s="30">
        <f>(N7*(VLOOKUP(N$27,tech_data!$B$2:$O$15,6, FALSE)/100)*(1-(VLOOKUP(N$27,tech_data!$B$2:$O$15,7, FALSE)/100))*8760)/1000</f>
        <v>3.5267822873381449E-14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2.5522396696366352</v>
      </c>
      <c r="Q31" s="34">
        <f t="shared" si="17"/>
        <v>10291.000000000002</v>
      </c>
      <c r="R31" s="34">
        <f>proj_rukn!D65</f>
        <v>10291</v>
      </c>
      <c r="S31" s="35"/>
      <c r="T31" s="19"/>
      <c r="U31" s="20" t="str">
        <f t="shared" si="18"/>
        <v>BALI_NT</v>
      </c>
      <c r="V31" s="20">
        <f t="shared" si="18"/>
        <v>2022</v>
      </c>
      <c r="W31" s="29">
        <f t="shared" si="19"/>
        <v>0.31361627262221481</v>
      </c>
      <c r="X31" s="29">
        <f t="shared" si="19"/>
        <v>0.19187422119133218</v>
      </c>
      <c r="Y31" s="29">
        <f t="shared" si="19"/>
        <v>3.6396973928215781E-2</v>
      </c>
      <c r="Z31" s="29">
        <f t="shared" si="19"/>
        <v>0.28263971702709484</v>
      </c>
      <c r="AA31" s="29">
        <f t="shared" si="19"/>
        <v>0.10462040527463699</v>
      </c>
      <c r="AB31" s="29">
        <f t="shared" si="19"/>
        <v>3.5378728469347379E-2</v>
      </c>
      <c r="AC31" s="29">
        <f t="shared" si="19"/>
        <v>9.2027046784718541E-3</v>
      </c>
      <c r="AD31" s="29">
        <f t="shared" si="19"/>
        <v>9.8277059626505972E-3</v>
      </c>
      <c r="AE31" s="29">
        <f t="shared" si="19"/>
        <v>0</v>
      </c>
      <c r="AF31" s="29">
        <f t="shared" si="19"/>
        <v>1.6443270846035637E-2</v>
      </c>
      <c r="AG31" s="29">
        <f t="shared" si="19"/>
        <v>3.4270549872103238E-18</v>
      </c>
      <c r="AH31" s="29">
        <f t="shared" si="19"/>
        <v>0</v>
      </c>
      <c r="AI31" s="29">
        <f t="shared" si="19"/>
        <v>2.4800696430246183E-4</v>
      </c>
      <c r="AJ31" s="29">
        <f t="shared" si="20"/>
        <v>1</v>
      </c>
      <c r="AM31" s="23"/>
      <c r="AO31" s="20" t="str">
        <f t="shared" si="39"/>
        <v>BALI_NT</v>
      </c>
      <c r="AP31" s="20">
        <f t="shared" si="40"/>
        <v>2022</v>
      </c>
      <c r="AQ31" s="25">
        <f t="shared" si="21"/>
        <v>0.31361627262221481</v>
      </c>
      <c r="AR31" s="25">
        <f t="shared" si="22"/>
        <v>0.22827119511954796</v>
      </c>
      <c r="AS31" s="25">
        <f t="shared" si="23"/>
        <v>0.28263971702709484</v>
      </c>
      <c r="AT31" s="37">
        <f t="shared" si="24"/>
        <v>0.17547281523114244</v>
      </c>
      <c r="AU31" s="24">
        <f t="shared" si="32"/>
        <v>1</v>
      </c>
      <c r="AW31" s="24">
        <f t="shared" si="41"/>
        <v>0.31361627262221492</v>
      </c>
      <c r="AX31" s="24">
        <f t="shared" si="25"/>
        <v>0.20619999999999999</v>
      </c>
      <c r="AY31" s="24">
        <f t="shared" si="42"/>
        <v>0.35572008912422742</v>
      </c>
      <c r="AZ31" s="25">
        <f t="shared" si="33"/>
        <v>0.17330000000000001</v>
      </c>
      <c r="BA31" s="24">
        <f t="shared" si="34"/>
        <v>1.0488363617464422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BALI_NT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2359.8874545036642</v>
      </c>
      <c r="BQ31" s="30">
        <f t="shared" si="27"/>
        <v>16423.84</v>
      </c>
      <c r="BR31" s="30">
        <f t="shared" si="36"/>
        <v>1034.5763884563203</v>
      </c>
      <c r="BS31" s="30"/>
      <c r="BT31" s="30">
        <f t="shared" si="28"/>
        <v>8211.92</v>
      </c>
      <c r="BU31" s="30">
        <f t="shared" si="37"/>
        <v>1325.3110660473442</v>
      </c>
      <c r="BW31" s="30">
        <f t="shared" si="29"/>
        <v>0.19332925551039484</v>
      </c>
      <c r="BX31" s="30">
        <f t="shared" si="38"/>
        <v>1.170350923641468E-14</v>
      </c>
      <c r="BZ31" s="24">
        <f t="shared" si="46"/>
        <v>5.6007000000000008E-2</v>
      </c>
      <c r="CA31" s="24">
        <f t="shared" si="30"/>
        <v>5.6007000000000015E-2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BALI_NT</v>
      </c>
      <c r="C32" s="20">
        <f t="shared" si="31"/>
        <v>2023</v>
      </c>
      <c r="D32" s="30">
        <f>(D8*(VLOOKUP(D$27,tech_data!$B$2:$O$15,6, FALSE)/100)*(1-(VLOOKUP(D$27,tech_data!$B$2:$O$15,7, FALSE)/100))*8760)/1000</f>
        <v>3234.9085379905941</v>
      </c>
      <c r="E32" s="30">
        <f>(E8*(VLOOKUP(E$27,tech_data!$B$2:$O$15,6, FALSE)/100)*(1-(VLOOKUP(E$27,tech_data!$B$2:$O$15,7, FALSE)/100))*8760)/1000</f>
        <v>1978.4871093972947</v>
      </c>
      <c r="F32" s="30">
        <f>(F8*(VLOOKUP(F$27,tech_data!$B$2:$O$15,6, FALSE)/100)*(1-(VLOOKUP(F$27,tech_data!$B$2:$O$15,7, FALSE)/100))*8760)/1000</f>
        <v>378.83168775178228</v>
      </c>
      <c r="G32" s="30">
        <f>(G8*(VLOOKUP(G$27,tech_data!$B$2:$O$15,6, FALSE)/100)*(1-(VLOOKUP(G$27,tech_data!$B$2:$O$15,7, FALSE)/100))*8760)/1000</f>
        <v>2915.1815874404692</v>
      </c>
      <c r="H32" s="30">
        <f>(H8*(VLOOKUP(H$27,tech_data!$B$2:$O$15,6, FALSE)/100)*(1-(VLOOKUP(H$27,tech_data!$B$2:$O$15,7, FALSE)/100))*8760)/1000</f>
        <v>1086.6640565188095</v>
      </c>
      <c r="I32" s="30">
        <f>(I8*(VLOOKUP(I$27,tech_data!$B$2:$O$15,6, FALSE)/100)*(1-(VLOOKUP(I$27,tech_data!$B$2:$O$15,7, FALSE)/100))*8760)/1000</f>
        <v>369.88877687413685</v>
      </c>
      <c r="J32" s="30">
        <f>(J8*(VLOOKUP(J$27,tech_data!$B$2:$O$15,6, FALSE)/100)*(1-(VLOOKUP(J$27,tech_data!$B$2:$O$15,7, FALSE)/100))*8760)/1000</f>
        <v>94.708191396121919</v>
      </c>
      <c r="K32" s="30">
        <f>(K8*(VLOOKUP(K$27,tech_data!$B$2:$O$15,6, FALSE)/100)*(1-(VLOOKUP(K$27,tech_data!$B$2:$O$15,7, FALSE)/100))*8760)/1000</f>
        <v>138.26838523526621</v>
      </c>
      <c r="L32" s="30">
        <f>(L8*(VLOOKUP(L$27,tech_data!$B$2:$O$15,6, FALSE)/100)*(1-(VLOOKUP(L$27,tech_data!$B$2:$O$15,7, FALSE)/100))*8760)/1000</f>
        <v>1.6004015536699622E-4</v>
      </c>
      <c r="M32" s="30">
        <f>(M8*(VLOOKUP(M$27,tech_data!$B$2:$O$15,6, FALSE)/100)*(1-(VLOOKUP(M$27,tech_data!$B$2:$O$15,7, FALSE)/100))*8760)/1000</f>
        <v>173.07163810426835</v>
      </c>
      <c r="N32" s="30">
        <f>(N8*(VLOOKUP(N$27,tech_data!$B$2:$O$15,6, FALSE)/100)*(1-(VLOOKUP(N$27,tech_data!$B$2:$O$15,7, FALSE)/100))*8760)/1000</f>
        <v>1.6025110439297517E-4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2.5790742006978569</v>
      </c>
      <c r="Q32" s="34">
        <f t="shared" si="17"/>
        <v>10370.010291000001</v>
      </c>
      <c r="R32" s="34">
        <f>proj_rukn!D66</f>
        <v>10370</v>
      </c>
      <c r="S32" s="35"/>
      <c r="T32" s="19"/>
      <c r="U32" s="20" t="str">
        <f t="shared" si="18"/>
        <v>BALI_NT</v>
      </c>
      <c r="V32" s="20">
        <f t="shared" si="18"/>
        <v>2023</v>
      </c>
      <c r="W32" s="29">
        <f t="shared" si="19"/>
        <v>0.31194844047533205</v>
      </c>
      <c r="X32" s="29">
        <f t="shared" si="19"/>
        <v>0.19078931012386732</v>
      </c>
      <c r="Y32" s="29">
        <f t="shared" si="19"/>
        <v>3.6531466905154901E-2</v>
      </c>
      <c r="Z32" s="29">
        <f t="shared" si="19"/>
        <v>0.28111655684377845</v>
      </c>
      <c r="AA32" s="29">
        <f t="shared" si="19"/>
        <v>0.10478910107369048</v>
      </c>
      <c r="AB32" s="29">
        <f t="shared" si="19"/>
        <v>3.5669084841232858E-2</v>
      </c>
      <c r="AC32" s="29">
        <f t="shared" si="19"/>
        <v>9.1328927106579579E-3</v>
      </c>
      <c r="AD32" s="29">
        <f t="shared" si="19"/>
        <v>1.3333485826457431E-2</v>
      </c>
      <c r="AE32" s="29">
        <f t="shared" si="19"/>
        <v>1.543297941622035E-8</v>
      </c>
      <c r="AF32" s="29">
        <f t="shared" si="19"/>
        <v>1.6689630313527753E-2</v>
      </c>
      <c r="AG32" s="29">
        <f t="shared" si="19"/>
        <v>1.5453321635761062E-8</v>
      </c>
      <c r="AH32" s="29">
        <f t="shared" si="19"/>
        <v>0</v>
      </c>
      <c r="AI32" s="29">
        <f t="shared" si="19"/>
        <v>2.4870507630413852E-4</v>
      </c>
      <c r="AJ32" s="29">
        <f t="shared" si="20"/>
        <v>1.0000000000000002</v>
      </c>
      <c r="AM32" s="23"/>
      <c r="AO32" s="20" t="str">
        <f t="shared" si="39"/>
        <v>BALI_NT</v>
      </c>
      <c r="AP32" s="20">
        <f t="shared" si="40"/>
        <v>2023</v>
      </c>
      <c r="AQ32" s="25">
        <f t="shared" si="21"/>
        <v>0.31194844047533205</v>
      </c>
      <c r="AR32" s="25">
        <f t="shared" si="22"/>
        <v>0.22732077702902223</v>
      </c>
      <c r="AS32" s="25">
        <f t="shared" si="23"/>
        <v>0.28111655684377845</v>
      </c>
      <c r="AT32" s="37">
        <f t="shared" si="24"/>
        <v>0.17961422565186755</v>
      </c>
      <c r="AU32" s="24">
        <f t="shared" si="32"/>
        <v>1.0000000000000002</v>
      </c>
      <c r="AW32" s="24">
        <f t="shared" si="41"/>
        <v>0.30907751508147663</v>
      </c>
      <c r="AX32" s="24">
        <f t="shared" si="25"/>
        <v>0.21079999999999999</v>
      </c>
      <c r="AY32" s="24">
        <f t="shared" si="42"/>
        <v>0.34860568734174285</v>
      </c>
      <c r="AZ32" s="25">
        <f t="shared" si="33"/>
        <v>0.19220000000000001</v>
      </c>
      <c r="BA32" s="24">
        <f t="shared" si="34"/>
        <v>1.0606832024232193</v>
      </c>
      <c r="BJ32" s="19"/>
      <c r="BK32" s="20" t="str">
        <f t="shared" si="44"/>
        <v>BALI_NT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2369.991491847512</v>
      </c>
      <c r="BQ32" s="30">
        <f t="shared" si="27"/>
        <v>17349.359999999997</v>
      </c>
      <c r="BR32" s="30">
        <f t="shared" si="36"/>
        <v>1040.7491861070896</v>
      </c>
      <c r="BS32" s="30"/>
      <c r="BT32" s="30">
        <f t="shared" si="28"/>
        <v>8674.6799999999985</v>
      </c>
      <c r="BU32" s="30">
        <f t="shared" si="37"/>
        <v>1329.242305740423</v>
      </c>
      <c r="BW32" s="30">
        <f t="shared" si="29"/>
        <v>0.20561903915384203</v>
      </c>
      <c r="BX32" s="30">
        <f t="shared" si="38"/>
        <v>5.317879380142801E-5</v>
      </c>
      <c r="BZ32" s="24">
        <f t="shared" si="46"/>
        <v>5.8807350000000008E-2</v>
      </c>
      <c r="CA32" s="24">
        <f t="shared" si="30"/>
        <v>7.4234018926210801E-2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BALI_NT</v>
      </c>
      <c r="C33" s="20">
        <f t="shared" si="31"/>
        <v>2024</v>
      </c>
      <c r="D33" s="30">
        <f>(D9*(VLOOKUP(D$27,tech_data!$B$2:$O$15,6, FALSE)/100)*(1-(VLOOKUP(D$27,tech_data!$B$2:$O$15,7, FALSE)/100))*8760)/1000</f>
        <v>3234.9085379905941</v>
      </c>
      <c r="E33" s="30">
        <f>(E9*(VLOOKUP(E$27,tech_data!$B$2:$O$15,6, FALSE)/100)*(1-(VLOOKUP(E$27,tech_data!$B$2:$O$15,7, FALSE)/100))*8760)/1000</f>
        <v>1978.4871093972947</v>
      </c>
      <c r="F33" s="30">
        <f>(F9*(VLOOKUP(F$27,tech_data!$B$2:$O$15,6, FALSE)/100)*(1-(VLOOKUP(F$27,tech_data!$B$2:$O$15,7, FALSE)/100))*8760)/1000</f>
        <v>378.83168775178228</v>
      </c>
      <c r="G33" s="30">
        <f>(G9*(VLOOKUP(G$27,tech_data!$B$2:$O$15,6, FALSE)/100)*(1-(VLOOKUP(G$27,tech_data!$B$2:$O$15,7, FALSE)/100))*8760)/1000</f>
        <v>2915.1815874404692</v>
      </c>
      <c r="H33" s="30">
        <f>(H9*(VLOOKUP(H$27,tech_data!$B$2:$O$15,6, FALSE)/100)*(1-(VLOOKUP(H$27,tech_data!$B$2:$O$15,7, FALSE)/100))*8760)/1000</f>
        <v>1086.6640565188095</v>
      </c>
      <c r="I33" s="30">
        <f>(I9*(VLOOKUP(I$27,tech_data!$B$2:$O$15,6, FALSE)/100)*(1-(VLOOKUP(I$27,tech_data!$B$2:$O$15,7, FALSE)/100))*8760)/1000</f>
        <v>369.88877243483842</v>
      </c>
      <c r="J33" s="30">
        <f>(J9*(VLOOKUP(J$27,tech_data!$B$2:$O$15,6, FALSE)/100)*(1-(VLOOKUP(J$27,tech_data!$B$2:$O$15,7, FALSE)/100))*8760)/1000</f>
        <v>94.708191396121919</v>
      </c>
      <c r="K33" s="30">
        <f>(K9*(VLOOKUP(K$27,tech_data!$B$2:$O$15,6, FALSE)/100)*(1-(VLOOKUP(K$27,tech_data!$B$2:$O$15,7, FALSE)/100))*8760)/1000</f>
        <v>138.26838523526621</v>
      </c>
      <c r="L33" s="30">
        <f>(L9*(VLOOKUP(L$27,tech_data!$B$2:$O$15,6, FALSE)/100)*(1-(VLOOKUP(L$27,tech_data!$B$2:$O$15,7, FALSE)/100))*8760)/1000</f>
        <v>1.6004015536699622E-4</v>
      </c>
      <c r="M33" s="30">
        <f>(M9*(VLOOKUP(M$27,tech_data!$B$2:$O$15,6, FALSE)/100)*(1-(VLOOKUP(M$27,tech_data!$B$2:$O$15,7, FALSE)/100))*8760)/1000</f>
        <v>398.0613515435669</v>
      </c>
      <c r="N33" s="30">
        <f>(N9*(VLOOKUP(N$27,tech_data!$B$2:$O$15,6, FALSE)/100)*(1-(VLOOKUP(N$27,tech_data!$B$2:$O$15,7, FALSE)/100))*8760)/1000</f>
        <v>1.6025110439297517E-4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2.6344329126294097</v>
      </c>
      <c r="Q33" s="34">
        <f t="shared" si="17"/>
        <v>10595.000000000002</v>
      </c>
      <c r="R33" s="34">
        <f>proj_rukn!D67</f>
        <v>10595</v>
      </c>
      <c r="S33" s="35"/>
      <c r="T33" s="19"/>
      <c r="U33" s="20" t="str">
        <f t="shared" si="18"/>
        <v>BALI_NT</v>
      </c>
      <c r="V33" s="20">
        <f t="shared" si="18"/>
        <v>2024</v>
      </c>
      <c r="W33" s="29">
        <f t="shared" si="19"/>
        <v>0.30532407154229291</v>
      </c>
      <c r="X33" s="29">
        <f t="shared" si="19"/>
        <v>0.18673781117482721</v>
      </c>
      <c r="Y33" s="29">
        <f t="shared" si="19"/>
        <v>3.5755704365434848E-2</v>
      </c>
      <c r="Z33" s="29">
        <f t="shared" si="19"/>
        <v>0.27514691717229528</v>
      </c>
      <c r="AA33" s="29">
        <f t="shared" si="19"/>
        <v>0.10256385620753274</v>
      </c>
      <c r="AB33" s="29">
        <f t="shared" si="19"/>
        <v>3.4911634963174926E-2</v>
      </c>
      <c r="AC33" s="29">
        <f t="shared" si="19"/>
        <v>8.9389515239378867E-3</v>
      </c>
      <c r="AD33" s="29">
        <f t="shared" si="19"/>
        <v>1.3050343108566889E-2</v>
      </c>
      <c r="AE33" s="29">
        <f t="shared" si="19"/>
        <v>1.5105252984143106E-8</v>
      </c>
      <c r="AF33" s="29">
        <f t="shared" si="19"/>
        <v>3.7570679711521171E-2</v>
      </c>
      <c r="AG33" s="29">
        <f t="shared" si="19"/>
        <v>1.5125163227274673E-8</v>
      </c>
      <c r="AH33" s="29">
        <f t="shared" si="19"/>
        <v>0</v>
      </c>
      <c r="AI33" s="29">
        <f t="shared" si="19"/>
        <v>2.4864869397162899E-4</v>
      </c>
      <c r="AJ33" s="29">
        <f t="shared" si="20"/>
        <v>1</v>
      </c>
      <c r="AM33" s="23"/>
      <c r="AO33" s="20" t="str">
        <f t="shared" si="39"/>
        <v>BALI_NT</v>
      </c>
      <c r="AP33" s="20">
        <f t="shared" si="40"/>
        <v>2024</v>
      </c>
      <c r="AQ33" s="25">
        <f t="shared" si="21"/>
        <v>0.30532407154229291</v>
      </c>
      <c r="AR33" s="25">
        <f t="shared" si="22"/>
        <v>0.22249351554026206</v>
      </c>
      <c r="AS33" s="25">
        <f t="shared" si="23"/>
        <v>0.27514691717229528</v>
      </c>
      <c r="AT33" s="37">
        <f t="shared" si="24"/>
        <v>0.19703549574514978</v>
      </c>
      <c r="AU33" s="24">
        <f t="shared" si="32"/>
        <v>1</v>
      </c>
      <c r="AW33" s="24">
        <f t="shared" si="41"/>
        <v>0.30453875754073828</v>
      </c>
      <c r="AX33" s="24">
        <f t="shared" si="25"/>
        <v>0.21540000000000001</v>
      </c>
      <c r="AY33" s="24">
        <f t="shared" si="42"/>
        <v>0.34163357359490798</v>
      </c>
      <c r="AZ33" s="25">
        <f t="shared" si="33"/>
        <v>0.21110000000000001</v>
      </c>
      <c r="BA33" s="24">
        <f t="shared" si="34"/>
        <v>1.0726723311356463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BALI_NT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2460.0890306409333</v>
      </c>
      <c r="BQ33" s="30">
        <f t="shared" si="27"/>
        <v>18314.439999999999</v>
      </c>
      <c r="BR33" s="30">
        <f t="shared" si="36"/>
        <v>1130.8311621343601</v>
      </c>
      <c r="BS33" s="30"/>
      <c r="BT33" s="30">
        <f t="shared" si="28"/>
        <v>9157.2199999999993</v>
      </c>
      <c r="BU33" s="30">
        <f t="shared" si="37"/>
        <v>1329.2578685065732</v>
      </c>
      <c r="BW33" s="30">
        <f t="shared" si="29"/>
        <v>0.25066002666747722</v>
      </c>
      <c r="BX33" s="30">
        <f t="shared" si="38"/>
        <v>5.317879380142801E-5</v>
      </c>
      <c r="BZ33" s="24">
        <f t="shared" si="46"/>
        <v>6.1747717500000014E-2</v>
      </c>
      <c r="CA33" s="24">
        <f t="shared" si="30"/>
        <v>6.6233462449052843E-2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BALI_NT</v>
      </c>
      <c r="C34" s="20">
        <f t="shared" si="31"/>
        <v>2025</v>
      </c>
      <c r="D34" s="30">
        <f>(D10*(VLOOKUP(D$27,tech_data!$B$2:$O$15,6, FALSE)/100)*(1-(VLOOKUP(D$27,tech_data!$B$2:$O$15,7, FALSE)/100))*8760)/1000</f>
        <v>3240.8999999999996</v>
      </c>
      <c r="E34" s="30">
        <f>(E10*(VLOOKUP(E$27,tech_data!$B$2:$O$15,6, FALSE)/100)*(1-(VLOOKUP(E$27,tech_data!$B$2:$O$15,7, FALSE)/100))*8760)/1000</f>
        <v>1978.4871093972947</v>
      </c>
      <c r="F34" s="30">
        <f>(F10*(VLOOKUP(F$27,tech_data!$B$2:$O$15,6, FALSE)/100)*(1-(VLOOKUP(F$27,tech_data!$B$2:$O$15,7, FALSE)/100))*8760)/1000</f>
        <v>398.1728906027061</v>
      </c>
      <c r="G34" s="30">
        <f>(G10*(VLOOKUP(G$27,tech_data!$B$2:$O$15,6, FALSE)/100)*(1-(VLOOKUP(G$27,tech_data!$B$2:$O$15,7, FALSE)/100))*8760)/1000</f>
        <v>2915.1815874404692</v>
      </c>
      <c r="H34" s="30">
        <f>(H10*(VLOOKUP(H$27,tech_data!$B$2:$O$15,6, FALSE)/100)*(1-(VLOOKUP(H$27,tech_data!$B$2:$O$15,7, FALSE)/100))*8760)/1000</f>
        <v>1086.6640565188095</v>
      </c>
      <c r="I34" s="30">
        <f>(I10*(VLOOKUP(I$27,tech_data!$B$2:$O$15,6, FALSE)/100)*(1-(VLOOKUP(I$27,tech_data!$B$2:$O$15,7, FALSE)/100))*8760)/1000</f>
        <v>369.88877243483842</v>
      </c>
      <c r="J34" s="30">
        <f>(J10*(VLOOKUP(J$27,tech_data!$B$2:$O$15,6, FALSE)/100)*(1-(VLOOKUP(J$27,tech_data!$B$2:$O$15,7, FALSE)/100))*8760)/1000</f>
        <v>94.708191396121919</v>
      </c>
      <c r="K34" s="30">
        <f>(K10*(VLOOKUP(K$27,tech_data!$B$2:$O$15,6, FALSE)/100)*(1-(VLOOKUP(K$27,tech_data!$B$2:$O$15,7, FALSE)/100))*8760)/1000</f>
        <v>147.19243886626069</v>
      </c>
      <c r="L34" s="30">
        <f>(L10*(VLOOKUP(L$27,tech_data!$B$2:$O$15,6, FALSE)/100)*(1-(VLOOKUP(L$27,tech_data!$B$2:$O$15,7, FALSE)/100))*8760)/1000</f>
        <v>1.6004015536699622E-4</v>
      </c>
      <c r="M34" s="30">
        <f>(M10*(VLOOKUP(M$27,tech_data!$B$2:$O$15,6, FALSE)/100)*(1-(VLOOKUP(M$27,tech_data!$B$2:$O$15,7, FALSE)/100))*8760)/1000</f>
        <v>571.80463305224214</v>
      </c>
      <c r="N34" s="30">
        <f>(N10*(VLOOKUP(N$27,tech_data!$B$2:$O$15,6, FALSE)/100)*(1-(VLOOKUP(N$27,tech_data!$B$2:$O$15,7, FALSE)/100))*8760)/1000</f>
        <v>1.6025110439297517E-4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2.6873883536749958</v>
      </c>
      <c r="Q34" s="34">
        <f t="shared" si="17"/>
        <v>10803.000000000002</v>
      </c>
      <c r="R34" s="34">
        <f>proj_rukn!D68</f>
        <v>10803</v>
      </c>
      <c r="S34" s="35"/>
      <c r="T34" s="19"/>
      <c r="U34" s="20" t="str">
        <f t="shared" si="18"/>
        <v>BALI_NT</v>
      </c>
      <c r="V34" s="20">
        <f t="shared" si="18"/>
        <v>2025</v>
      </c>
      <c r="W34" s="29">
        <f t="shared" si="19"/>
        <v>0.29999999999999993</v>
      </c>
      <c r="X34" s="29">
        <f t="shared" si="19"/>
        <v>0.18314237798734559</v>
      </c>
      <c r="Y34" s="29">
        <f t="shared" si="19"/>
        <v>3.6857622012654453E-2</v>
      </c>
      <c r="Z34" s="29">
        <f t="shared" si="19"/>
        <v>0.26984926293071082</v>
      </c>
      <c r="AA34" s="29">
        <f t="shared" si="19"/>
        <v>0.10058910085335641</v>
      </c>
      <c r="AB34" s="29">
        <f t="shared" si="19"/>
        <v>3.4239449452451942E-2</v>
      </c>
      <c r="AC34" s="29">
        <f t="shared" si="19"/>
        <v>8.7668417473037025E-3</v>
      </c>
      <c r="AD34" s="29">
        <f t="shared" si="19"/>
        <v>1.3625144762219816E-2</v>
      </c>
      <c r="AE34" s="29">
        <f t="shared" si="19"/>
        <v>1.4814417788299195E-8</v>
      </c>
      <c r="AF34" s="29">
        <f t="shared" si="19"/>
        <v>5.2930170605594934E-2</v>
      </c>
      <c r="AG34" s="29">
        <f t="shared" si="19"/>
        <v>1.48339446813825E-8</v>
      </c>
      <c r="AH34" s="29">
        <f t="shared" si="19"/>
        <v>0</v>
      </c>
      <c r="AI34" s="29">
        <f t="shared" si="19"/>
        <v>2.487631540937698E-4</v>
      </c>
      <c r="AJ34" s="29">
        <f t="shared" si="20"/>
        <v>0.99999999999999989</v>
      </c>
      <c r="AM34" s="23"/>
      <c r="AO34" s="20" t="str">
        <f t="shared" si="39"/>
        <v>BALI_NT</v>
      </c>
      <c r="AP34" s="20">
        <f t="shared" si="40"/>
        <v>2025</v>
      </c>
      <c r="AQ34" s="25">
        <f t="shared" si="21"/>
        <v>0.29999999999999993</v>
      </c>
      <c r="AR34" s="25">
        <f t="shared" si="22"/>
        <v>0.22000000000000003</v>
      </c>
      <c r="AS34" s="25">
        <f t="shared" si="23"/>
        <v>0.26984926293071082</v>
      </c>
      <c r="AT34" s="37">
        <f t="shared" si="24"/>
        <v>0.21015073706928925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0.33480090212300984</v>
      </c>
      <c r="AZ34" s="25">
        <f t="shared" si="33"/>
        <v>0.23</v>
      </c>
      <c r="BA34" s="24">
        <f t="shared" si="34"/>
        <v>1.0848009021230098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BALI_NT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2537.8920094617947</v>
      </c>
      <c r="BQ34" s="30">
        <f t="shared" si="27"/>
        <v>19330.12</v>
      </c>
      <c r="BR34" s="30">
        <f t="shared" si="36"/>
        <v>1208.6192528541069</v>
      </c>
      <c r="BS34" s="30"/>
      <c r="BT34" s="30">
        <f t="shared" si="28"/>
        <v>9665.06</v>
      </c>
      <c r="BU34" s="30">
        <f t="shared" si="37"/>
        <v>1329.2727566076881</v>
      </c>
      <c r="BW34" s="30">
        <f t="shared" si="29"/>
        <v>0.28786746562606091</v>
      </c>
      <c r="BX34" s="30">
        <f t="shared" si="38"/>
        <v>5.317879380142801E-5</v>
      </c>
      <c r="BZ34" s="24">
        <f t="shared" si="46"/>
        <v>6.4835103375000022E-2</v>
      </c>
      <c r="CA34" s="24">
        <f t="shared" si="30"/>
        <v>6.4835103375000008E-2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BALI_NT</v>
      </c>
      <c r="C35" s="20">
        <f t="shared" si="31"/>
        <v>2026</v>
      </c>
      <c r="D35" s="30">
        <f>(D11*(VLOOKUP(D$27,tech_data!$B$2:$O$15,6, FALSE)/100)*(1-(VLOOKUP(D$27,tech_data!$B$2:$O$15,7, FALSE)/100))*8760)/1000</f>
        <v>3251.4779997792148</v>
      </c>
      <c r="E35" s="30">
        <f>(E11*(VLOOKUP(E$27,tech_data!$B$2:$O$15,6, FALSE)/100)*(1-(VLOOKUP(E$27,tech_data!$B$2:$O$15,7, FALSE)/100))*8760)/1000</f>
        <v>1978.4871093972947</v>
      </c>
      <c r="F35" s="30">
        <f>(F11*(VLOOKUP(F$27,tech_data!$B$2:$O$15,6, FALSE)/100)*(1-(VLOOKUP(F$27,tech_data!$B$2:$O$15,7, FALSE)/100))*8760)/1000</f>
        <v>398.17288783521997</v>
      </c>
      <c r="G35" s="30">
        <f>(G11*(VLOOKUP(G$27,tech_data!$B$2:$O$15,6, FALSE)/100)*(1-(VLOOKUP(G$27,tech_data!$B$2:$O$15,7, FALSE)/100))*8760)/1000</f>
        <v>2915.1815874404692</v>
      </c>
      <c r="H35" s="30">
        <f>(H11*(VLOOKUP(H$27,tech_data!$B$2:$O$15,6, FALSE)/100)*(1-(VLOOKUP(H$27,tech_data!$B$2:$O$15,7, FALSE)/100))*8760)/1000</f>
        <v>1086.664050029671</v>
      </c>
      <c r="I35" s="30">
        <f>(I11*(VLOOKUP(I$27,tech_data!$B$2:$O$15,6, FALSE)/100)*(1-(VLOOKUP(I$27,tech_data!$B$2:$O$15,7, FALSE)/100))*8760)/1000</f>
        <v>369.88877243483842</v>
      </c>
      <c r="J35" s="30">
        <f>(J11*(VLOOKUP(J$27,tech_data!$B$2:$O$15,6, FALSE)/100)*(1-(VLOOKUP(J$27,tech_data!$B$2:$O$15,7, FALSE)/100))*8760)/1000</f>
        <v>94.708191396121919</v>
      </c>
      <c r="K35" s="30">
        <f>(K11*(VLOOKUP(K$27,tech_data!$B$2:$O$15,6, FALSE)/100)*(1-(VLOOKUP(K$27,tech_data!$B$2:$O$15,7, FALSE)/100))*8760)/1000</f>
        <v>161.18424437258028</v>
      </c>
      <c r="L35" s="30">
        <f>(L11*(VLOOKUP(L$27,tech_data!$B$2:$O$15,6, FALSE)/100)*(1-(VLOOKUP(L$27,tech_data!$B$2:$O$15,7, FALSE)/100))*8760)/1000</f>
        <v>1.6004700074764893E-4</v>
      </c>
      <c r="M35" s="30">
        <f>(M11*(VLOOKUP(M$27,tech_data!$B$2:$O$15,6, FALSE)/100)*(1-(VLOOKUP(M$27,tech_data!$B$2:$O$15,7, FALSE)/100))*8760)/1000</f>
        <v>655.23483595600544</v>
      </c>
      <c r="N35" s="30">
        <f>(N11*(VLOOKUP(N$27,tech_data!$B$2:$O$15,6, FALSE)/100)*(1-(VLOOKUP(N$27,tech_data!$B$2:$O$15,7, FALSE)/100))*8760)/1000</f>
        <v>1.6025769279790056E-4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2.7167479384129769</v>
      </c>
      <c r="Q35" s="34">
        <f t="shared" si="17"/>
        <v>10910.999998946107</v>
      </c>
      <c r="R35" s="34">
        <f>proj_rukn!D69</f>
        <v>10911</v>
      </c>
      <c r="S35" s="35"/>
      <c r="T35" s="19"/>
      <c r="U35" s="20" t="str">
        <f t="shared" si="18"/>
        <v>BALI_NT</v>
      </c>
      <c r="V35" s="20">
        <f t="shared" si="18"/>
        <v>2026</v>
      </c>
      <c r="W35" s="29">
        <f t="shared" si="19"/>
        <v>0.2980000000085487</v>
      </c>
      <c r="X35" s="29">
        <f t="shared" si="19"/>
        <v>0.18132958570143862</v>
      </c>
      <c r="Y35" s="29">
        <f t="shared" si="19"/>
        <v>3.6492795149269494E-2</v>
      </c>
      <c r="Z35" s="29">
        <f t="shared" si="19"/>
        <v>0.26717822268555097</v>
      </c>
      <c r="AA35" s="29">
        <f t="shared" si="19"/>
        <v>9.9593442409919519E-2</v>
      </c>
      <c r="AB35" s="29">
        <f t="shared" si="19"/>
        <v>3.3900538215614145E-2</v>
      </c>
      <c r="AC35" s="29">
        <f t="shared" si="19"/>
        <v>8.680065200739601E-3</v>
      </c>
      <c r="AD35" s="29">
        <f t="shared" si="19"/>
        <v>1.4772637190738618E-2</v>
      </c>
      <c r="AE35" s="29">
        <f t="shared" si="19"/>
        <v>1.4668408098534311E-8</v>
      </c>
      <c r="AF35" s="29">
        <f t="shared" si="19"/>
        <v>6.005268408205431E-2</v>
      </c>
      <c r="AG35" s="29">
        <f t="shared" si="19"/>
        <v>1.468771815721564E-8</v>
      </c>
      <c r="AH35" s="29">
        <f t="shared" si="19"/>
        <v>0</v>
      </c>
      <c r="AI35" s="29">
        <f t="shared" si="19"/>
        <v>2.4899165417243037E-4</v>
      </c>
      <c r="AJ35" s="29">
        <f t="shared" si="20"/>
        <v>1.0000000000000002</v>
      </c>
      <c r="AM35" s="23"/>
      <c r="AO35" s="20" t="str">
        <f t="shared" si="39"/>
        <v>BALI_NT</v>
      </c>
      <c r="AP35" s="20">
        <f t="shared" si="40"/>
        <v>2026</v>
      </c>
      <c r="AQ35" s="25">
        <f t="shared" si="21"/>
        <v>0.2980000000085487</v>
      </c>
      <c r="AR35" s="25">
        <f t="shared" si="22"/>
        <v>0.21782238085070812</v>
      </c>
      <c r="AS35" s="25">
        <f t="shared" si="23"/>
        <v>0.26717822268555097</v>
      </c>
      <c r="AT35" s="37">
        <f t="shared" si="24"/>
        <v>0.21699939645519245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0.32810488408054961</v>
      </c>
      <c r="AZ35" s="25">
        <f t="shared" ref="AZ35:AZ47" si="47">$BG$30+((AP35-$BC$30)*($BG$31-$BG$30)/($BC$31-$BC$30))</f>
        <v>0.23320000000000002</v>
      </c>
      <c r="BA35" s="24">
        <f t="shared" si="34"/>
        <v>1.0839048840805496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BALI_NT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2573.4856815345952</v>
      </c>
      <c r="BQ35" s="30">
        <f t="shared" si="27"/>
        <v>20423.080000000002</v>
      </c>
      <c r="BR35" s="30">
        <f t="shared" si="36"/>
        <v>1244.2046706577021</v>
      </c>
      <c r="BS35" s="30"/>
      <c r="BT35" s="30">
        <f t="shared" si="28"/>
        <v>10211.540000000001</v>
      </c>
      <c r="BU35" s="30">
        <f t="shared" si="37"/>
        <v>1329.2810108768931</v>
      </c>
      <c r="BW35" s="30">
        <f t="shared" si="29"/>
        <v>0.30837241547366567</v>
      </c>
      <c r="BX35" s="30">
        <f t="shared" si="38"/>
        <v>5.3180980141599158E-5</v>
      </c>
      <c r="BZ35" s="24">
        <f t="shared" si="46"/>
        <v>6.8076858543750021E-2</v>
      </c>
      <c r="CA35" s="24">
        <f t="shared" si="30"/>
        <v>6.8076858424760536E-2</v>
      </c>
      <c r="CF35" s="23"/>
    </row>
    <row r="36" spans="1:84" x14ac:dyDescent="0.25">
      <c r="A36" s="19"/>
      <c r="B36" s="20" t="str">
        <f t="shared" si="31"/>
        <v>BALI_NT</v>
      </c>
      <c r="C36" s="20">
        <f t="shared" si="31"/>
        <v>2027</v>
      </c>
      <c r="D36" s="30">
        <f>(D12*(VLOOKUP(D$27,tech_data!$B$2:$O$15,6, FALSE)/100)*(1-(VLOOKUP(D$27,tech_data!$B$2:$O$15,7, FALSE)/100))*8760)/1000</f>
        <v>3282.64</v>
      </c>
      <c r="E36" s="30">
        <f>(E12*(VLOOKUP(E$27,tech_data!$B$2:$O$15,6, FALSE)/100)*(1-(VLOOKUP(E$27,tech_data!$B$2:$O$15,7, FALSE)/100))*8760)/1000</f>
        <v>1978.4871093972947</v>
      </c>
      <c r="F36" s="30">
        <f>(F12*(VLOOKUP(F$27,tech_data!$B$2:$O$15,6, FALSE)/100)*(1-(VLOOKUP(F$27,tech_data!$B$2:$O$15,7, FALSE)/100))*8760)/1000</f>
        <v>398.17288783521997</v>
      </c>
      <c r="G36" s="30">
        <f>(G12*(VLOOKUP(G$27,tech_data!$B$2:$O$15,6, FALSE)/100)*(1-(VLOOKUP(G$27,tech_data!$B$2:$O$15,7, FALSE)/100))*8760)/1000</f>
        <v>2915.1815874404692</v>
      </c>
      <c r="H36" s="30">
        <f>(H12*(VLOOKUP(H$27,tech_data!$B$2:$O$15,6, FALSE)/100)*(1-(VLOOKUP(H$27,tech_data!$B$2:$O$15,7, FALSE)/100))*8760)/1000</f>
        <v>1086.664050029671</v>
      </c>
      <c r="I36" s="30">
        <f>(I12*(VLOOKUP(I$27,tech_data!$B$2:$O$15,6, FALSE)/100)*(1-(VLOOKUP(I$27,tech_data!$B$2:$O$15,7, FALSE)/100))*8760)/1000</f>
        <v>369.88877243483842</v>
      </c>
      <c r="J36" s="30">
        <f>(J12*(VLOOKUP(J$27,tech_data!$B$2:$O$15,6, FALSE)/100)*(1-(VLOOKUP(J$27,tech_data!$B$2:$O$15,7, FALSE)/100))*8760)/1000</f>
        <v>94.708191396121919</v>
      </c>
      <c r="K36" s="30">
        <f>(K12*(VLOOKUP(K$27,tech_data!$B$2:$O$15,6, FALSE)/100)*(1-(VLOOKUP(K$27,tech_data!$B$2:$O$15,7, FALSE)/100))*8760)/1000</f>
        <v>179.81102088680242</v>
      </c>
      <c r="L36" s="30">
        <f>(L12*(VLOOKUP(L$27,tech_data!$B$2:$O$15,6, FALSE)/100)*(1-(VLOOKUP(L$27,tech_data!$B$2:$O$15,7, FALSE)/100))*8760)/1000</f>
        <v>1.6009228547207837E-4</v>
      </c>
      <c r="M36" s="30">
        <f>(M12*(VLOOKUP(M$27,tech_data!$B$2:$O$15,6, FALSE)/100)*(1-(VLOOKUP(M$27,tech_data!$B$2:$O$15,7, FALSE)/100))*8760)/1000</f>
        <v>784.44606018600393</v>
      </c>
      <c r="N36" s="30">
        <f>(N12*(VLOOKUP(N$27,tech_data!$B$2:$O$15,6, FALSE)/100)*(1-(VLOOKUP(N$27,tech_data!$B$2:$O$15,7, FALSE)/100))*8760)/1000</f>
        <v>1.6030129202488375E-4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2.7645000334551733</v>
      </c>
      <c r="Q36" s="34">
        <f t="shared" si="17"/>
        <v>11089.999999999998</v>
      </c>
      <c r="R36" s="34">
        <f>proj_rukn!D70</f>
        <v>11090</v>
      </c>
      <c r="S36" s="35"/>
      <c r="T36" s="19"/>
      <c r="U36" s="20" t="str">
        <f t="shared" si="18"/>
        <v>BALI_NT</v>
      </c>
      <c r="V36" s="20">
        <f t="shared" si="18"/>
        <v>2027</v>
      </c>
      <c r="W36" s="29">
        <f t="shared" si="19"/>
        <v>0.29600000000000004</v>
      </c>
      <c r="X36" s="29">
        <f t="shared" si="19"/>
        <v>0.17840280517559018</v>
      </c>
      <c r="Y36" s="29">
        <f t="shared" si="19"/>
        <v>3.5903777081624892E-2</v>
      </c>
      <c r="Z36" s="29">
        <f t="shared" si="19"/>
        <v>0.26286578786658882</v>
      </c>
      <c r="AA36" s="29">
        <f t="shared" si="19"/>
        <v>9.798593778446088E-2</v>
      </c>
      <c r="AB36" s="29">
        <f t="shared" si="19"/>
        <v>3.335336090485469E-2</v>
      </c>
      <c r="AC36" s="29">
        <f t="shared" si="19"/>
        <v>8.5399631556467032E-3</v>
      </c>
      <c r="AD36" s="29">
        <f t="shared" si="19"/>
        <v>1.6213798096194991E-2</v>
      </c>
      <c r="AE36" s="29">
        <f t="shared" si="19"/>
        <v>1.4435733586301028E-8</v>
      </c>
      <c r="AF36" s="29">
        <f t="shared" si="19"/>
        <v>7.0734541044725346E-2</v>
      </c>
      <c r="AG36" s="29">
        <f t="shared" si="19"/>
        <v>1.4454579984209539E-8</v>
      </c>
      <c r="AH36" s="29">
        <f t="shared" si="19"/>
        <v>0</v>
      </c>
      <c r="AI36" s="29">
        <f t="shared" si="19"/>
        <v>2.4927863241254949E-4</v>
      </c>
      <c r="AJ36" s="29">
        <f t="shared" si="20"/>
        <v>1</v>
      </c>
      <c r="AM36" s="23"/>
      <c r="AO36" s="20" t="str">
        <f t="shared" si="39"/>
        <v>BALI_NT</v>
      </c>
      <c r="AP36" s="20">
        <f t="shared" si="40"/>
        <v>2027</v>
      </c>
      <c r="AQ36" s="25">
        <f t="shared" si="21"/>
        <v>0.29600000000000004</v>
      </c>
      <c r="AR36" s="25">
        <f t="shared" si="22"/>
        <v>0.21430658225721508</v>
      </c>
      <c r="AS36" s="25">
        <f t="shared" si="23"/>
        <v>0.26286578786658882</v>
      </c>
      <c r="AT36" s="37">
        <f t="shared" si="24"/>
        <v>0.22682762987619617</v>
      </c>
      <c r="AU36" s="24">
        <f t="shared" si="32"/>
        <v>1.0000000000000002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0.32154278639893863</v>
      </c>
      <c r="AZ36" s="25">
        <f t="shared" si="47"/>
        <v>0.2364</v>
      </c>
      <c r="BA36" s="24">
        <f t="shared" si="34"/>
        <v>1.0831427863989387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BALI_NT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2631.6593235164178</v>
      </c>
      <c r="BQ36" s="30">
        <f t="shared" si="27"/>
        <v>21533.98</v>
      </c>
      <c r="BR36" s="30">
        <f t="shared" si="36"/>
        <v>1302.3648874275843</v>
      </c>
      <c r="BS36" s="30"/>
      <c r="BT36" s="30">
        <f t="shared" si="28"/>
        <v>10766.99</v>
      </c>
      <c r="BU36" s="30">
        <f t="shared" si="37"/>
        <v>1329.2944360888334</v>
      </c>
      <c r="BW36" s="30">
        <f t="shared" si="29"/>
        <v>0.33930210583950215</v>
      </c>
      <c r="BX36" s="30">
        <f t="shared" si="38"/>
        <v>5.3195448399464987E-5</v>
      </c>
      <c r="BZ36" s="24">
        <f t="shared" si="46"/>
        <v>7.1480701470937519E-2</v>
      </c>
      <c r="CA36" s="24">
        <f t="shared" si="30"/>
        <v>7.1480701469413474E-2</v>
      </c>
      <c r="CF36" s="23"/>
    </row>
    <row r="37" spans="1:84" x14ac:dyDescent="0.25">
      <c r="A37" s="19"/>
      <c r="B37" s="20" t="str">
        <f t="shared" si="31"/>
        <v>BALI_NT</v>
      </c>
      <c r="C37" s="20">
        <f t="shared" si="31"/>
        <v>2028</v>
      </c>
      <c r="D37" s="30">
        <f>(D13*(VLOOKUP(D$27,tech_data!$B$2:$O$15,6, FALSE)/100)*(1-(VLOOKUP(D$27,tech_data!$B$2:$O$15,7, FALSE)/100))*8760)/1000</f>
        <v>3352.482002166344</v>
      </c>
      <c r="E37" s="30">
        <f>(E13*(VLOOKUP(E$27,tech_data!$B$2:$O$15,6, FALSE)/100)*(1-(VLOOKUP(E$27,tech_data!$B$2:$O$15,7, FALSE)/100))*8760)/1000</f>
        <v>1978.4871064079109</v>
      </c>
      <c r="F37" s="30">
        <f>(F13*(VLOOKUP(F$27,tech_data!$B$2:$O$15,6, FALSE)/100)*(1-(VLOOKUP(F$27,tech_data!$B$2:$O$15,7, FALSE)/100))*8760)/1000</f>
        <v>631.61080453433465</v>
      </c>
      <c r="G37" s="30">
        <f>(G13*(VLOOKUP(G$27,tech_data!$B$2:$O$15,6, FALSE)/100)*(1-(VLOOKUP(G$27,tech_data!$B$2:$O$15,7, FALSE)/100))*8760)/1000</f>
        <v>2915.1815874404692</v>
      </c>
      <c r="H37" s="30">
        <f>(H13*(VLOOKUP(H$27,tech_data!$B$2:$O$15,6, FALSE)/100)*(1-(VLOOKUP(H$27,tech_data!$B$2:$O$15,7, FALSE)/100))*8760)/1000</f>
        <v>1086.664050029671</v>
      </c>
      <c r="I37" s="30">
        <f>(I13*(VLOOKUP(I$27,tech_data!$B$2:$O$15,6, FALSE)/100)*(1-(VLOOKUP(I$27,tech_data!$B$2:$O$15,7, FALSE)/100))*8760)/1000</f>
        <v>369.88877243483842</v>
      </c>
      <c r="J37" s="30">
        <f>(J13*(VLOOKUP(J$27,tech_data!$B$2:$O$15,6, FALSE)/100)*(1-(VLOOKUP(J$27,tech_data!$B$2:$O$15,7, FALSE)/100))*8760)/1000</f>
        <v>94.708191396121919</v>
      </c>
      <c r="K37" s="30">
        <f>(K13*(VLOOKUP(K$27,tech_data!$B$2:$O$15,6, FALSE)/100)*(1-(VLOOKUP(K$27,tech_data!$B$2:$O$15,7, FALSE)/100))*8760)/1000</f>
        <v>189.53111093475391</v>
      </c>
      <c r="L37" s="30">
        <f>(L13*(VLOOKUP(L$27,tech_data!$B$2:$O$15,6, FALSE)/100)*(1-(VLOOKUP(L$27,tech_data!$B$2:$O$15,7, FALSE)/100))*8760)/1000</f>
        <v>1.6021048797348382E-4</v>
      </c>
      <c r="M37" s="30">
        <f>(M13*(VLOOKUP(M$27,tech_data!$B$2:$O$15,6, FALSE)/100)*(1-(VLOOKUP(M$27,tech_data!$B$2:$O$15,7, FALSE)/100))*8760)/1000</f>
        <v>784.44606018600393</v>
      </c>
      <c r="N37" s="30">
        <f>(N13*(VLOOKUP(N$27,tech_data!$B$2:$O$15,6, FALSE)/100)*(1-(VLOOKUP(N$27,tech_data!$B$2:$O$15,7, FALSE)/100))*8760)/1000</f>
        <v>1.6041504829857769E-4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2.8434492379870782</v>
      </c>
      <c r="Q37" s="34">
        <f t="shared" si="17"/>
        <v>11403.000006155982</v>
      </c>
      <c r="R37" s="34">
        <f>proj_rukn!D71</f>
        <v>11403</v>
      </c>
      <c r="S37" s="35"/>
      <c r="T37" s="19"/>
      <c r="U37" s="20" t="str">
        <f t="shared" si="18"/>
        <v>BALI_NT</v>
      </c>
      <c r="V37" s="20">
        <f t="shared" si="18"/>
        <v>2028</v>
      </c>
      <c r="W37" s="29">
        <f t="shared" si="19"/>
        <v>0.29400000003126242</v>
      </c>
      <c r="X37" s="29">
        <f t="shared" si="19"/>
        <v>0.17350584103655284</v>
      </c>
      <c r="Y37" s="29">
        <f t="shared" si="19"/>
        <v>5.5389880223919628E-2</v>
      </c>
      <c r="Z37" s="29">
        <f t="shared" si="19"/>
        <v>0.25565040654798649</v>
      </c>
      <c r="AA37" s="29">
        <f t="shared" si="19"/>
        <v>9.5296329864336449E-2</v>
      </c>
      <c r="AB37" s="29">
        <f t="shared" si="19"/>
        <v>3.2437847253806155E-2</v>
      </c>
      <c r="AC37" s="29">
        <f t="shared" si="19"/>
        <v>8.3055504117331494E-3</v>
      </c>
      <c r="AD37" s="29">
        <f t="shared" si="19"/>
        <v>1.6621162047920225E-2</v>
      </c>
      <c r="AE37" s="29">
        <f t="shared" si="19"/>
        <v>1.40498542389716E-8</v>
      </c>
      <c r="AF37" s="29">
        <f t="shared" si="19"/>
        <v>6.8792954464835201E-2</v>
      </c>
      <c r="AG37" s="29">
        <f t="shared" si="19"/>
        <v>1.4067793406294538E-8</v>
      </c>
      <c r="AH37" s="29">
        <f t="shared" si="19"/>
        <v>0</v>
      </c>
      <c r="AI37" s="29">
        <f t="shared" si="19"/>
        <v>2.493597506315903E-4</v>
      </c>
      <c r="AJ37" s="29">
        <f t="shared" si="20"/>
        <v>1.0000000000000004</v>
      </c>
      <c r="AM37" s="23"/>
      <c r="AO37" s="20" t="str">
        <f t="shared" si="39"/>
        <v>BALI_NT</v>
      </c>
      <c r="AP37" s="20">
        <f t="shared" si="40"/>
        <v>2028</v>
      </c>
      <c r="AQ37" s="25">
        <f t="shared" si="21"/>
        <v>0.29400000003126242</v>
      </c>
      <c r="AR37" s="25">
        <f t="shared" si="22"/>
        <v>0.22889572126047247</v>
      </c>
      <c r="AS37" s="25">
        <f t="shared" si="23"/>
        <v>0.25565040654798649</v>
      </c>
      <c r="AT37" s="37">
        <f t="shared" si="24"/>
        <v>0.22145387216027887</v>
      </c>
      <c r="AU37" s="24">
        <f t="shared" si="32"/>
        <v>1.0000000000000002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0.31511193067095983</v>
      </c>
      <c r="AZ37" s="25">
        <f t="shared" si="47"/>
        <v>0.23960000000000001</v>
      </c>
      <c r="BA37" s="24">
        <f t="shared" si="34"/>
        <v>1.0825119306709599</v>
      </c>
      <c r="BJ37" s="19"/>
      <c r="BK37" s="20" t="str">
        <f t="shared" si="44"/>
        <v>BALI_NT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2730.4346316303649</v>
      </c>
      <c r="BQ37" s="30">
        <f t="shared" si="27"/>
        <v>22711.119999999999</v>
      </c>
      <c r="BR37" s="30">
        <f t="shared" si="36"/>
        <v>1401.1180004514449</v>
      </c>
      <c r="BS37" s="30"/>
      <c r="BT37" s="30">
        <f t="shared" si="28"/>
        <v>11355.56</v>
      </c>
      <c r="BU37" s="30">
        <f t="shared" si="37"/>
        <v>1329.3166311789198</v>
      </c>
      <c r="BW37" s="30">
        <f t="shared" si="29"/>
        <v>0.34194400902174188</v>
      </c>
      <c r="BX37" s="30">
        <f t="shared" si="38"/>
        <v>5.3233198038977954E-5</v>
      </c>
      <c r="BZ37" s="24">
        <f t="shared" si="46"/>
        <v>7.5054736544484399E-2</v>
      </c>
      <c r="CA37" s="24">
        <f t="shared" si="30"/>
        <v>7.5054736617522488E-2</v>
      </c>
      <c r="CF37" s="23"/>
    </row>
    <row r="38" spans="1:84" x14ac:dyDescent="0.25">
      <c r="A38" s="19"/>
      <c r="B38" s="20" t="str">
        <f t="shared" si="31"/>
        <v>BALI_NT</v>
      </c>
      <c r="C38" s="20">
        <f t="shared" si="31"/>
        <v>2029</v>
      </c>
      <c r="D38" s="30">
        <f>(D14*(VLOOKUP(D$27,tech_data!$B$2:$O$15,6, FALSE)/100)*(1-(VLOOKUP(D$27,tech_data!$B$2:$O$15,7, FALSE)/100))*8760)/1000</f>
        <v>3431.8760000000011</v>
      </c>
      <c r="E38" s="30">
        <f>(E14*(VLOOKUP(E$27,tech_data!$B$2:$O$15,6, FALSE)/100)*(1-(VLOOKUP(E$27,tech_data!$B$2:$O$15,7, FALSE)/100))*8760)/1000</f>
        <v>1978.4871034185273</v>
      </c>
      <c r="F38" s="30">
        <f>(F14*(VLOOKUP(F$27,tech_data!$B$2:$O$15,6, FALSE)/100)*(1-(VLOOKUP(F$27,tech_data!$B$2:$O$15,7, FALSE)/100))*8760)/1000</f>
        <v>631.61080453433465</v>
      </c>
      <c r="G38" s="30">
        <f>(G14*(VLOOKUP(G$27,tech_data!$B$2:$O$15,6, FALSE)/100)*(1-(VLOOKUP(G$27,tech_data!$B$2:$O$15,7, FALSE)/100))*8760)/1000</f>
        <v>2915.1815874404692</v>
      </c>
      <c r="H38" s="30">
        <f>(H14*(VLOOKUP(H$27,tech_data!$B$2:$O$15,6, FALSE)/100)*(1-(VLOOKUP(H$27,tech_data!$B$2:$O$15,7, FALSE)/100))*8760)/1000</f>
        <v>1086.664050029671</v>
      </c>
      <c r="I38" s="30">
        <f>(I14*(VLOOKUP(I$27,tech_data!$B$2:$O$15,6, FALSE)/100)*(1-(VLOOKUP(I$27,tech_data!$B$2:$O$15,7, FALSE)/100))*8760)/1000</f>
        <v>369.88877243483842</v>
      </c>
      <c r="J38" s="30">
        <f>(J14*(VLOOKUP(J$27,tech_data!$B$2:$O$15,6, FALSE)/100)*(1-(VLOOKUP(J$27,tech_data!$B$2:$O$15,7, FALSE)/100))*8760)/1000</f>
        <v>94.708191396121919</v>
      </c>
      <c r="K38" s="30">
        <f>(K14*(VLOOKUP(K$27,tech_data!$B$2:$O$15,6, FALSE)/100)*(1-(VLOOKUP(K$27,tech_data!$B$2:$O$15,7, FALSE)/100))*8760)/1000</f>
        <v>220.33344132218357</v>
      </c>
      <c r="L38" s="30">
        <f>(L14*(VLOOKUP(L$27,tech_data!$B$2:$O$15,6, FALSE)/100)*(1-(VLOOKUP(L$27,tech_data!$B$2:$O$15,7, FALSE)/100))*8760)/1000</f>
        <v>1.6035747219856651E-4</v>
      </c>
      <c r="M38" s="30">
        <f>(M14*(VLOOKUP(M$27,tech_data!$B$2:$O$15,6, FALSE)/100)*(1-(VLOOKUP(M$27,tech_data!$B$2:$O$15,7, FALSE)/100))*8760)/1000</f>
        <v>1024.2497285099118</v>
      </c>
      <c r="N38" s="30">
        <f>(N14*(VLOOKUP(N$27,tech_data!$B$2:$O$15,6, FALSE)/100)*(1-(VLOOKUP(N$27,tech_data!$B$2:$O$15,7, FALSE)/100))*8760)/1000</f>
        <v>1.6055647022848382E-4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2.9357003944790194</v>
      </c>
      <c r="Q38" s="34">
        <f t="shared" si="17"/>
        <v>11753.000000000002</v>
      </c>
      <c r="R38" s="34">
        <f>proj_rukn!D72</f>
        <v>11753</v>
      </c>
      <c r="S38" s="35"/>
      <c r="T38" s="19"/>
      <c r="U38" s="20" t="str">
        <f t="shared" si="18"/>
        <v>BALI_NT</v>
      </c>
      <c r="V38" s="20">
        <f t="shared" si="18"/>
        <v>2029</v>
      </c>
      <c r="W38" s="29">
        <f t="shared" si="19"/>
        <v>0.29200000000000004</v>
      </c>
      <c r="X38" s="29">
        <f t="shared" si="19"/>
        <v>0.16833890099706689</v>
      </c>
      <c r="Y38" s="29">
        <f t="shared" si="19"/>
        <v>5.3740390073541609E-2</v>
      </c>
      <c r="Z38" s="29">
        <f t="shared" si="19"/>
        <v>0.24803723197825822</v>
      </c>
      <c r="AA38" s="29">
        <f t="shared" si="19"/>
        <v>9.2458440400720737E-2</v>
      </c>
      <c r="AB38" s="29">
        <f t="shared" si="19"/>
        <v>3.147186015781829E-2</v>
      </c>
      <c r="AC38" s="29">
        <f t="shared" si="19"/>
        <v>8.0582141917911933E-3</v>
      </c>
      <c r="AD38" s="29">
        <f t="shared" si="19"/>
        <v>1.8746995773179915E-2</v>
      </c>
      <c r="AE38" s="29">
        <f t="shared" si="19"/>
        <v>1.3643960877951713E-8</v>
      </c>
      <c r="AF38" s="29">
        <f t="shared" si="19"/>
        <v>8.7147939122769649E-2</v>
      </c>
      <c r="AG38" s="29">
        <f t="shared" si="19"/>
        <v>1.3660892557515851E-8</v>
      </c>
      <c r="AH38" s="29">
        <f t="shared" si="19"/>
        <v>0</v>
      </c>
      <c r="AI38" s="29">
        <f t="shared" si="19"/>
        <v>2.4978306768306125E-4</v>
      </c>
      <c r="AJ38" s="29">
        <f t="shared" si="20"/>
        <v>1</v>
      </c>
      <c r="AM38" s="23"/>
      <c r="AO38" s="20" t="str">
        <f t="shared" si="39"/>
        <v>BALI_NT</v>
      </c>
      <c r="AP38" s="20">
        <f t="shared" si="40"/>
        <v>2029</v>
      </c>
      <c r="AQ38" s="25">
        <f t="shared" si="21"/>
        <v>0.29200000000000004</v>
      </c>
      <c r="AR38" s="25">
        <f t="shared" si="22"/>
        <v>0.2220792910706085</v>
      </c>
      <c r="AS38" s="25">
        <f t="shared" si="23"/>
        <v>0.24803723197825822</v>
      </c>
      <c r="AT38" s="37">
        <f t="shared" si="24"/>
        <v>0.23788347695113321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0.30880969205754061</v>
      </c>
      <c r="AZ38" s="25">
        <f t="shared" si="47"/>
        <v>0.24280000000000002</v>
      </c>
      <c r="BA38" s="24">
        <f t="shared" si="34"/>
        <v>1.0820096920575406</v>
      </c>
      <c r="BJ38" s="19"/>
      <c r="BK38" s="20" t="str">
        <f t="shared" si="44"/>
        <v>BALI_NT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2842.8465700841871</v>
      </c>
      <c r="BQ38" s="30">
        <f t="shared" si="27"/>
        <v>23997.801363269991</v>
      </c>
      <c r="BR38" s="30">
        <f t="shared" si="36"/>
        <v>1513.5040040520537</v>
      </c>
      <c r="BS38" s="30"/>
      <c r="BT38" s="30">
        <f t="shared" si="28"/>
        <v>11998.900681634996</v>
      </c>
      <c r="BU38" s="30">
        <f t="shared" si="37"/>
        <v>1329.3425660321332</v>
      </c>
      <c r="BW38" s="30">
        <f t="shared" si="29"/>
        <v>0.39832264076371499</v>
      </c>
      <c r="BX38" s="30">
        <f t="shared" si="38"/>
        <v>5.3280128434109801E-5</v>
      </c>
      <c r="BZ38" s="24">
        <f t="shared" si="46"/>
        <v>7.8807473371708625E-2</v>
      </c>
      <c r="CA38" s="24">
        <f t="shared" si="30"/>
        <v>7.8807473362393229E-2</v>
      </c>
      <c r="CF38" s="23"/>
    </row>
    <row r="39" spans="1:84" x14ac:dyDescent="0.25">
      <c r="A39" s="19"/>
      <c r="B39" s="20" t="str">
        <f t="shared" si="31"/>
        <v>BALI_NT</v>
      </c>
      <c r="C39" s="20">
        <f t="shared" si="31"/>
        <v>2030</v>
      </c>
      <c r="D39" s="30">
        <f>(D15*(VLOOKUP(D$27,tech_data!$B$2:$O$15,6, FALSE)/100)*(1-(VLOOKUP(D$27,tech_data!$B$2:$O$15,7, FALSE)/100))*8760)/1000</f>
        <v>3775.911559569472</v>
      </c>
      <c r="E39" s="30">
        <f>(E15*(VLOOKUP(E$27,tech_data!$B$2:$O$15,6, FALSE)/100)*(1-(VLOOKUP(E$27,tech_data!$B$2:$O$15,7, FALSE)/100))*8760)/1000</f>
        <v>1978.4871004291435</v>
      </c>
      <c r="F39" s="30">
        <f>(F15*(VLOOKUP(F$27,tech_data!$B$2:$O$15,6, FALSE)/100)*(1-(VLOOKUP(F$27,tech_data!$B$2:$O$15,7, FALSE)/100))*8760)/1000</f>
        <v>1147.7898074415436</v>
      </c>
      <c r="G39" s="30">
        <f>(G15*(VLOOKUP(G$27,tech_data!$B$2:$O$15,6, FALSE)/100)*(1-(VLOOKUP(G$27,tech_data!$B$2:$O$15,7, FALSE)/100))*8760)/1000</f>
        <v>2915.1815874404692</v>
      </c>
      <c r="H39" s="30">
        <f>(H15*(VLOOKUP(H$27,tech_data!$B$2:$O$15,6, FALSE)/100)*(1-(VLOOKUP(H$27,tech_data!$B$2:$O$15,7, FALSE)/100))*8760)/1000</f>
        <v>1086.664050029671</v>
      </c>
      <c r="I39" s="30">
        <f>(I15*(VLOOKUP(I$27,tech_data!$B$2:$O$15,6, FALSE)/100)*(1-(VLOOKUP(I$27,tech_data!$B$2:$O$15,7, FALSE)/100))*8760)/1000</f>
        <v>732.34977749701716</v>
      </c>
      <c r="J39" s="30">
        <f>(J15*(VLOOKUP(J$27,tech_data!$B$2:$O$15,6, FALSE)/100)*(1-(VLOOKUP(J$27,tech_data!$B$2:$O$15,7, FALSE)/100))*8760)/1000</f>
        <v>94.708191396121919</v>
      </c>
      <c r="K39" s="30">
        <f>(K15*(VLOOKUP(K$27,tech_data!$B$2:$O$15,6, FALSE)/100)*(1-(VLOOKUP(K$27,tech_data!$B$2:$O$15,7, FALSE)/100))*8760)/1000</f>
        <v>265.04256494330173</v>
      </c>
      <c r="L39" s="30">
        <f>(L15*(VLOOKUP(L$27,tech_data!$B$2:$O$15,6, FALSE)/100)*(1-(VLOOKUP(L$27,tech_data!$B$2:$O$15,7, FALSE)/100))*8760)/1000</f>
        <v>1.6035747219856651E-4</v>
      </c>
      <c r="M39" s="30">
        <f>(M15*(VLOOKUP(M$27,tech_data!$B$2:$O$15,6, FALSE)/100)*(1-(VLOOKUP(M$27,tech_data!$B$2:$O$15,7, FALSE)/100))*8760)/1000</f>
        <v>1024.2497285099118</v>
      </c>
      <c r="N39" s="30">
        <f>(N15*(VLOOKUP(N$27,tech_data!$B$2:$O$15,6, FALSE)/100)*(1-(VLOOKUP(N$27,tech_data!$B$2:$O$15,7, FALSE)/100))*8760)/1000</f>
        <v>1.6055647022848382E-4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3.2564432899865188</v>
      </c>
      <c r="Q39" s="34">
        <f t="shared" si="17"/>
        <v>13020.384688170594</v>
      </c>
      <c r="R39" s="34">
        <f>proj_rukn!D73</f>
        <v>14675</v>
      </c>
      <c r="S39" s="35"/>
      <c r="T39" s="19"/>
      <c r="U39" s="20" t="str">
        <f t="shared" si="18"/>
        <v>BALI_NT</v>
      </c>
      <c r="V39" s="20">
        <f t="shared" si="18"/>
        <v>2030</v>
      </c>
      <c r="W39" s="29">
        <f t="shared" si="19"/>
        <v>0.28999999999999998</v>
      </c>
      <c r="X39" s="29">
        <f t="shared" si="19"/>
        <v>0.15195304499925089</v>
      </c>
      <c r="Y39" s="29">
        <f t="shared" si="19"/>
        <v>8.8153294616889838E-2</v>
      </c>
      <c r="Z39" s="29">
        <f t="shared" si="19"/>
        <v>0.22389366038385933</v>
      </c>
      <c r="AA39" s="29">
        <f t="shared" si="19"/>
        <v>8.345867469007559E-2</v>
      </c>
      <c r="AB39" s="29">
        <f t="shared" si="19"/>
        <v>5.624640093486475E-2</v>
      </c>
      <c r="AC39" s="29">
        <f t="shared" si="19"/>
        <v>7.2738397262691575E-3</v>
      </c>
      <c r="AD39" s="29">
        <f t="shared" si="19"/>
        <v>2.0355970371912342E-2</v>
      </c>
      <c r="AE39" s="29">
        <f t="shared" si="19"/>
        <v>1.2315878220115573E-8</v>
      </c>
      <c r="AF39" s="29">
        <f t="shared" si="19"/>
        <v>7.8665089629838134E-2</v>
      </c>
      <c r="AG39" s="29">
        <f t="shared" si="19"/>
        <v>1.2331161795423306E-8</v>
      </c>
      <c r="AH39" s="29">
        <f t="shared" si="19"/>
        <v>0</v>
      </c>
      <c r="AI39" s="29">
        <f t="shared" si="19"/>
        <v>2.5010346222297826E-4</v>
      </c>
      <c r="AJ39" s="29">
        <f t="shared" si="20"/>
        <v>1</v>
      </c>
      <c r="AM39" s="23"/>
      <c r="AO39" s="20" t="str">
        <f t="shared" si="39"/>
        <v>BALI_NT</v>
      </c>
      <c r="AP39" s="20">
        <f t="shared" si="40"/>
        <v>2030</v>
      </c>
      <c r="AQ39" s="25">
        <f t="shared" si="21"/>
        <v>0.28999999999999998</v>
      </c>
      <c r="AR39" s="25">
        <f t="shared" si="22"/>
        <v>0.2401063396161407</v>
      </c>
      <c r="AS39" s="25">
        <f t="shared" si="23"/>
        <v>0.22389366038385933</v>
      </c>
      <c r="AT39" s="37">
        <f t="shared" si="24"/>
        <v>0.24600000000000005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0.3026334982163898</v>
      </c>
      <c r="AZ39" s="25">
        <f t="shared" si="47"/>
        <v>0.246</v>
      </c>
      <c r="BA39" s="24">
        <f t="shared" si="34"/>
        <v>1.0816334982163898</v>
      </c>
      <c r="BJ39" s="19"/>
      <c r="BK39" s="20" t="str">
        <f t="shared" si="44"/>
        <v>BALI_NT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3182.0481340998222</v>
      </c>
      <c r="BQ39" s="30">
        <f t="shared" si="27"/>
        <v>25357.378688103585</v>
      </c>
      <c r="BR39" s="30">
        <f t="shared" si="36"/>
        <v>1770.9671318822609</v>
      </c>
      <c r="BS39" s="30"/>
      <c r="BT39" s="30">
        <f t="shared" si="28"/>
        <v>12678.689344051792</v>
      </c>
      <c r="BU39" s="30">
        <f t="shared" si="37"/>
        <v>1411.0810022175615</v>
      </c>
      <c r="BW39" s="30">
        <f t="shared" si="29"/>
        <v>0.45129863198044395</v>
      </c>
      <c r="BX39" s="30">
        <f t="shared" si="38"/>
        <v>5.3280128434109801E-5</v>
      </c>
      <c r="BZ39" s="24">
        <f t="shared" si="46"/>
        <v>8.2747847040294059E-2</v>
      </c>
      <c r="CA39" s="24">
        <f t="shared" si="30"/>
        <v>8.2747847040294059E-2</v>
      </c>
      <c r="CF39" s="23"/>
    </row>
    <row r="40" spans="1:84" x14ac:dyDescent="0.25">
      <c r="A40" s="19"/>
      <c r="B40" s="20" t="str">
        <f t="shared" si="31"/>
        <v>BALI_NT</v>
      </c>
      <c r="C40" s="20">
        <f t="shared" si="31"/>
        <v>2031</v>
      </c>
      <c r="D40" s="30">
        <f>(D16*(VLOOKUP(D$27,tech_data!$B$2:$O$15,6, FALSE)/100)*(1-(VLOOKUP(D$27,tech_data!$B$2:$O$15,7, FALSE)/100))*8760)/1000</f>
        <v>4178.0991864808366</v>
      </c>
      <c r="E40" s="30">
        <f>(E16*(VLOOKUP(E$27,tech_data!$B$2:$O$15,6, FALSE)/100)*(1-(VLOOKUP(E$27,tech_data!$B$2:$O$15,7, FALSE)/100))*8760)/1000</f>
        <v>1978.48709743976</v>
      </c>
      <c r="F40" s="30">
        <f>(F16*(VLOOKUP(F$27,tech_data!$B$2:$O$15,6, FALSE)/100)*(1-(VLOOKUP(F$27,tech_data!$B$2:$O$15,7, FALSE)/100))*8760)/1000</f>
        <v>1613.5176198264044</v>
      </c>
      <c r="G40" s="30">
        <f>(G16*(VLOOKUP(G$27,tech_data!$B$2:$O$15,6, FALSE)/100)*(1-(VLOOKUP(G$27,tech_data!$B$2:$O$15,7, FALSE)/100))*8760)/1000</f>
        <v>2915.181582443226</v>
      </c>
      <c r="H40" s="30">
        <f>(H16*(VLOOKUP(H$27,tech_data!$B$2:$O$15,6, FALSE)/100)*(1-(VLOOKUP(H$27,tech_data!$B$2:$O$15,7, FALSE)/100))*8760)/1000</f>
        <v>1086.6640435405325</v>
      </c>
      <c r="I40" s="30">
        <f>(I16*(VLOOKUP(I$27,tech_data!$B$2:$O$15,6, FALSE)/100)*(1-(VLOOKUP(I$27,tech_data!$B$2:$O$15,7, FALSE)/100))*8760)/1000</f>
        <v>1284.3053948734525</v>
      </c>
      <c r="J40" s="30">
        <f>(J16*(VLOOKUP(J$27,tech_data!$B$2:$O$15,6, FALSE)/100)*(1-(VLOOKUP(J$27,tech_data!$B$2:$O$15,7, FALSE)/100))*8760)/1000</f>
        <v>94.708191396121919</v>
      </c>
      <c r="K40" s="30">
        <f>(K16*(VLOOKUP(K$27,tech_data!$B$2:$O$15,6, FALSE)/100)*(1-(VLOOKUP(K$27,tech_data!$B$2:$O$15,7, FALSE)/100))*8760)/1000</f>
        <v>332.0756765231655</v>
      </c>
      <c r="L40" s="30">
        <f>(L16*(VLOOKUP(L$27,tech_data!$B$2:$O$15,6, FALSE)/100)*(1-(VLOOKUP(L$27,tech_data!$B$2:$O$15,7, FALSE)/100))*8760)/1000</f>
        <v>1.6035747219856651E-4</v>
      </c>
      <c r="M40" s="30">
        <f>(M16*(VLOOKUP(M$27,tech_data!$B$2:$O$15,6, FALSE)/100)*(1-(VLOOKUP(M$27,tech_data!$B$2:$O$15,7, FALSE)/100))*8760)/1000</f>
        <v>1024.2497285099118</v>
      </c>
      <c r="N40" s="30">
        <f>(N16*(VLOOKUP(N$27,tech_data!$B$2:$O$15,6, FALSE)/100)*(1-(VLOOKUP(N$27,tech_data!$B$2:$O$15,7, FALSE)/100))*8760)/1000</f>
        <v>1.6055647022848382E-4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3.635644319313692</v>
      </c>
      <c r="Q40" s="34">
        <f t="shared" si="17"/>
        <v>14507.288841947353</v>
      </c>
      <c r="R40" s="34">
        <f>proj_rukn!D74</f>
        <v>14966</v>
      </c>
      <c r="S40" s="35"/>
      <c r="T40" s="19"/>
      <c r="U40" s="20" t="str">
        <f t="shared" si="18"/>
        <v>BALI_NT</v>
      </c>
      <c r="V40" s="20">
        <f t="shared" si="18"/>
        <v>2031</v>
      </c>
      <c r="W40" s="29">
        <f t="shared" si="19"/>
        <v>0.28799999999999992</v>
      </c>
      <c r="X40" s="29">
        <f t="shared" si="19"/>
        <v>0.13637883128920883</v>
      </c>
      <c r="Y40" s="29">
        <f t="shared" si="19"/>
        <v>0.11122116871079114</v>
      </c>
      <c r="Z40" s="29">
        <f t="shared" si="19"/>
        <v>0.20094599440345279</v>
      </c>
      <c r="AA40" s="29">
        <f t="shared" si="19"/>
        <v>7.4904694831640681E-2</v>
      </c>
      <c r="AB40" s="29">
        <f t="shared" si="19"/>
        <v>8.8528284565474791E-2</v>
      </c>
      <c r="AC40" s="29">
        <f t="shared" si="19"/>
        <v>6.5283177599853304E-3</v>
      </c>
      <c r="AD40" s="29">
        <f t="shared" si="19"/>
        <v>2.2890264345118677E-2</v>
      </c>
      <c r="AE40" s="29">
        <f t="shared" si="19"/>
        <v>1.1053579614055667E-8</v>
      </c>
      <c r="AF40" s="29">
        <f t="shared" si="19"/>
        <v>7.0602421973451526E-2</v>
      </c>
      <c r="AG40" s="29">
        <f t="shared" si="19"/>
        <v>1.1067296720820779E-8</v>
      </c>
      <c r="AH40" s="29">
        <f t="shared" si="19"/>
        <v>0</v>
      </c>
      <c r="AI40" s="29">
        <f t="shared" si="19"/>
        <v>2.5060811561160518E-4</v>
      </c>
      <c r="AJ40" s="29">
        <f t="shared" si="20"/>
        <v>1</v>
      </c>
      <c r="AM40" s="23"/>
      <c r="AO40" s="20" t="str">
        <f t="shared" si="39"/>
        <v>BALI_NT</v>
      </c>
      <c r="AP40" s="20">
        <f t="shared" si="40"/>
        <v>2031</v>
      </c>
      <c r="AQ40" s="25">
        <f t="shared" si="21"/>
        <v>0.28799999999999992</v>
      </c>
      <c r="AR40" s="25">
        <f t="shared" si="22"/>
        <v>0.24759999999999999</v>
      </c>
      <c r="AS40" s="25">
        <f t="shared" si="23"/>
        <v>0.20094599440345279</v>
      </c>
      <c r="AT40" s="37">
        <f t="shared" si="24"/>
        <v>0.26345400559654736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0.296580828252062</v>
      </c>
      <c r="AZ40" s="25">
        <f t="shared" si="47"/>
        <v>0.2492</v>
      </c>
      <c r="BA40" s="24">
        <f t="shared" si="34"/>
        <v>1.0813808282520621</v>
      </c>
      <c r="BJ40" s="19"/>
      <c r="BK40" s="20" t="str">
        <f t="shared" si="44"/>
        <v>BALI_NT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3557.7140991251513</v>
      </c>
      <c r="BQ40" s="30">
        <f t="shared" si="27"/>
        <v>26793.981840187786</v>
      </c>
      <c r="BR40" s="30">
        <f t="shared" si="36"/>
        <v>2022.1925153150319</v>
      </c>
      <c r="BS40" s="30"/>
      <c r="BT40" s="30">
        <f t="shared" si="28"/>
        <v>13396.990920093893</v>
      </c>
      <c r="BU40" s="30">
        <f t="shared" si="37"/>
        <v>1535.5215838101194</v>
      </c>
      <c r="BW40" s="30">
        <f t="shared" si="29"/>
        <v>0.53168509844942768</v>
      </c>
      <c r="BX40" s="30">
        <f t="shared" si="38"/>
        <v>5.3280128434109801E-5</v>
      </c>
      <c r="BZ40" s="24">
        <f t="shared" si="46"/>
        <v>8.6885239392308772E-2</v>
      </c>
      <c r="CA40" s="24">
        <f t="shared" si="30"/>
        <v>8.6885239392308786E-2</v>
      </c>
      <c r="CF40" s="23"/>
    </row>
    <row r="41" spans="1:84" x14ac:dyDescent="0.25">
      <c r="A41" s="19"/>
      <c r="B41" s="20" t="str">
        <f t="shared" si="31"/>
        <v>BALI_NT</v>
      </c>
      <c r="C41" s="20">
        <f t="shared" si="31"/>
        <v>2032</v>
      </c>
      <c r="D41" s="30">
        <f>(D17*(VLOOKUP(D$27,tech_data!$B$2:$O$15,6, FALSE)/100)*(1-(VLOOKUP(D$27,tech_data!$B$2:$O$15,7, FALSE)/100))*8760)/1000</f>
        <v>4366.3619987845468</v>
      </c>
      <c r="E41" s="30">
        <f>(E17*(VLOOKUP(E$27,tech_data!$B$2:$O$15,6, FALSE)/100)*(1-(VLOOKUP(E$27,tech_data!$B$2:$O$15,7, FALSE)/100))*8760)/1000</f>
        <v>2518.5520227043417</v>
      </c>
      <c r="F41" s="30">
        <f>(F17*(VLOOKUP(F$27,tech_data!$B$2:$O$15,6, FALSE)/100)*(1-(VLOOKUP(F$27,tech_data!$B$2:$O$15,7, FALSE)/100))*8760)/1000</f>
        <v>1613.5176198264044</v>
      </c>
      <c r="G41" s="30">
        <f>(G17*(VLOOKUP(G$27,tech_data!$B$2:$O$15,6, FALSE)/100)*(1-(VLOOKUP(G$27,tech_data!$B$2:$O$15,7, FALSE)/100))*8760)/1000</f>
        <v>2915.1815774459837</v>
      </c>
      <c r="H41" s="30">
        <f>(H17*(VLOOKUP(H$27,tech_data!$B$2:$O$15,6, FALSE)/100)*(1-(VLOOKUP(H$27,tech_data!$B$2:$O$15,7, FALSE)/100))*8760)/1000</f>
        <v>1086.6640435405325</v>
      </c>
      <c r="I41" s="30">
        <f>(I17*(VLOOKUP(I$27,tech_data!$B$2:$O$15,6, FALSE)/100)*(1-(VLOOKUP(I$27,tech_data!$B$2:$O$15,7, FALSE)/100))*8760)/1000</f>
        <v>1284.3053948734525</v>
      </c>
      <c r="J41" s="30">
        <f>(J17*(VLOOKUP(J$27,tech_data!$B$2:$O$15,6, FALSE)/100)*(1-(VLOOKUP(J$27,tech_data!$B$2:$O$15,7, FALSE)/100))*8760)/1000</f>
        <v>94.708191396121919</v>
      </c>
      <c r="K41" s="30">
        <f>(K17*(VLOOKUP(K$27,tech_data!$B$2:$O$15,6, FALSE)/100)*(1-(VLOOKUP(K$27,tech_data!$B$2:$O$15,7, FALSE)/100))*8760)/1000</f>
        <v>351.5425458722957</v>
      </c>
      <c r="L41" s="30">
        <f>(L17*(VLOOKUP(L$27,tech_data!$B$2:$O$15,6, FALSE)/100)*(1-(VLOOKUP(L$27,tech_data!$B$2:$O$15,7, FALSE)/100))*8760)/1000</f>
        <v>1.6035747219856651E-4</v>
      </c>
      <c r="M41" s="30">
        <f>(M17*(VLOOKUP(M$27,tech_data!$B$2:$O$15,6, FALSE)/100)*(1-(VLOOKUP(M$27,tech_data!$B$2:$O$15,7, FALSE)/100))*8760)/1000</f>
        <v>1036.1662823642957</v>
      </c>
      <c r="N41" s="30">
        <f>(N17*(VLOOKUP(N$27,tech_data!$B$2:$O$15,6, FALSE)/100)*(1-(VLOOKUP(N$27,tech_data!$B$2:$O$15,7, FALSE)/100))*8760)/1000</f>
        <v>1.6055647022848382E-4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3.8264476662176641</v>
      </c>
      <c r="Q41" s="34">
        <f t="shared" si="17"/>
        <v>15266.999997721914</v>
      </c>
      <c r="R41" s="34">
        <f>proj_rukn!D75</f>
        <v>15267</v>
      </c>
      <c r="S41" s="35"/>
      <c r="T41" s="19"/>
      <c r="U41" s="20" t="str">
        <f t="shared" si="18"/>
        <v>BALI_NT</v>
      </c>
      <c r="V41" s="20">
        <f t="shared" si="18"/>
        <v>2032</v>
      </c>
      <c r="W41" s="29">
        <f t="shared" si="19"/>
        <v>0.2859999999630628</v>
      </c>
      <c r="X41" s="29">
        <f t="shared" si="19"/>
        <v>0.16496705463287814</v>
      </c>
      <c r="Y41" s="29">
        <f t="shared" si="19"/>
        <v>0.10568661951052384</v>
      </c>
      <c r="Z41" s="29">
        <f t="shared" si="19"/>
        <v>0.19094658923698019</v>
      </c>
      <c r="AA41" s="29">
        <f t="shared" si="19"/>
        <v>7.1177313401629694E-2</v>
      </c>
      <c r="AB41" s="29">
        <f t="shared" si="19"/>
        <v>8.412297079092762E-2</v>
      </c>
      <c r="AC41" s="29">
        <f t="shared" si="19"/>
        <v>6.2034578771372195E-3</v>
      </c>
      <c r="AD41" s="29">
        <f t="shared" si="19"/>
        <v>2.3026301560539177E-2</v>
      </c>
      <c r="AE41" s="29">
        <f t="shared" si="19"/>
        <v>1.0503535221228432E-8</v>
      </c>
      <c r="AF41" s="29">
        <f t="shared" si="19"/>
        <v>6.7869672006216589E-2</v>
      </c>
      <c r="AG41" s="29">
        <f t="shared" si="19"/>
        <v>1.0516569742086951E-8</v>
      </c>
      <c r="AH41" s="29">
        <f t="shared" si="19"/>
        <v>0</v>
      </c>
      <c r="AI41" s="29">
        <f t="shared" si="19"/>
        <v>2.5063520447950698E-4</v>
      </c>
      <c r="AJ41" s="29">
        <f t="shared" si="20"/>
        <v>1.0000000000000004</v>
      </c>
      <c r="AM41" s="23"/>
      <c r="AO41" s="20" t="str">
        <f t="shared" si="39"/>
        <v>BALI_NT</v>
      </c>
      <c r="AP41" s="20">
        <f t="shared" si="40"/>
        <v>2032</v>
      </c>
      <c r="AQ41" s="25">
        <f t="shared" si="21"/>
        <v>0.2859999999630628</v>
      </c>
      <c r="AR41" s="25">
        <f t="shared" si="22"/>
        <v>0.27065367414340202</v>
      </c>
      <c r="AS41" s="25">
        <f t="shared" si="23"/>
        <v>0.19094658923698019</v>
      </c>
      <c r="AT41" s="37">
        <f t="shared" si="24"/>
        <v>0.2523997366565553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0.29064921168702074</v>
      </c>
      <c r="AZ41" s="25">
        <f t="shared" si="47"/>
        <v>0.25240000000000001</v>
      </c>
      <c r="BA41" s="24">
        <f t="shared" si="34"/>
        <v>1.0812492116870207</v>
      </c>
      <c r="BJ41" s="19"/>
      <c r="BK41" s="20" t="str">
        <f t="shared" si="44"/>
        <v>BALI_NT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3782.0237874250993</v>
      </c>
      <c r="BQ41" s="30">
        <f t="shared" si="27"/>
        <v>28311.974659633248</v>
      </c>
      <c r="BR41" s="30">
        <f t="shared" si="36"/>
        <v>2065.7876022126043</v>
      </c>
      <c r="BS41" s="30"/>
      <c r="BT41" s="30">
        <f t="shared" si="28"/>
        <v>14155.987329816624</v>
      </c>
      <c r="BU41" s="30">
        <f t="shared" si="37"/>
        <v>1716.2361852124952</v>
      </c>
      <c r="BW41" s="30">
        <f t="shared" si="29"/>
        <v>0.53936174949068638</v>
      </c>
      <c r="BX41" s="30">
        <f t="shared" si="38"/>
        <v>5.3280128434109801E-5</v>
      </c>
      <c r="BZ41" s="24">
        <f t="shared" si="46"/>
        <v>9.1229501361924217E-2</v>
      </c>
      <c r="CA41" s="24">
        <f t="shared" si="30"/>
        <v>9.1229499149087734E-2</v>
      </c>
      <c r="CF41" s="23"/>
    </row>
    <row r="42" spans="1:84" x14ac:dyDescent="0.25">
      <c r="A42" s="19"/>
      <c r="B42" s="20" t="str">
        <f t="shared" si="31"/>
        <v>BALI_NT</v>
      </c>
      <c r="C42" s="20">
        <f t="shared" si="31"/>
        <v>2033</v>
      </c>
      <c r="D42" s="30">
        <f>(D18*(VLOOKUP(D$27,tech_data!$B$2:$O$15,6, FALSE)/100)*(1-(VLOOKUP(D$27,tech_data!$B$2:$O$15,7, FALSE)/100))*8760)/1000</f>
        <v>4420.1760010131184</v>
      </c>
      <c r="E42" s="30">
        <f>(E18*(VLOOKUP(E$27,tech_data!$B$2:$O$15,6, FALSE)/100)*(1-(VLOOKUP(E$27,tech_data!$B$2:$O$15,7, FALSE)/100))*8760)/1000</f>
        <v>2636.9664024483964</v>
      </c>
      <c r="F42" s="30">
        <f>(F18*(VLOOKUP(F$27,tech_data!$B$2:$O$15,6, FALSE)/100)*(1-(VLOOKUP(F$27,tech_data!$B$2:$O$15,7, FALSE)/100))*8760)/1000</f>
        <v>1613.5176198264044</v>
      </c>
      <c r="G42" s="30">
        <f>(G18*(VLOOKUP(G$27,tech_data!$B$2:$O$15,6, FALSE)/100)*(1-(VLOOKUP(G$27,tech_data!$B$2:$O$15,7, FALSE)/100))*8760)/1000</f>
        <v>2915.1815774459837</v>
      </c>
      <c r="H42" s="30">
        <f>(H18*(VLOOKUP(H$27,tech_data!$B$2:$O$15,6, FALSE)/100)*(1-(VLOOKUP(H$27,tech_data!$B$2:$O$15,7, FALSE)/100))*8760)/1000</f>
        <v>1086.6640435405325</v>
      </c>
      <c r="I42" s="30">
        <f>(I18*(VLOOKUP(I$27,tech_data!$B$2:$O$15,6, FALSE)/100)*(1-(VLOOKUP(I$27,tech_data!$B$2:$O$15,7, FALSE)/100))*8760)/1000</f>
        <v>1284.3053948734525</v>
      </c>
      <c r="J42" s="30">
        <f>(J18*(VLOOKUP(J$27,tech_data!$B$2:$O$15,6, FALSE)/100)*(1-(VLOOKUP(J$27,tech_data!$B$2:$O$15,7, FALSE)/100))*8760)/1000</f>
        <v>94.708191396121919</v>
      </c>
      <c r="K42" s="30">
        <f>(K18*(VLOOKUP(K$27,tech_data!$B$2:$O$15,6, FALSE)/100)*(1-(VLOOKUP(K$27,tech_data!$B$2:$O$15,7, FALSE)/100))*8760)/1000</f>
        <v>381.07167754215158</v>
      </c>
      <c r="L42" s="30">
        <f>(L18*(VLOOKUP(L$27,tech_data!$B$2:$O$15,6, FALSE)/100)*(1-(VLOOKUP(L$27,tech_data!$B$2:$O$15,7, FALSE)/100))*8760)/1000</f>
        <v>1.6035747219856651E-4</v>
      </c>
      <c r="M42" s="30">
        <f>(M18*(VLOOKUP(M$27,tech_data!$B$2:$O$15,6, FALSE)/100)*(1-(VLOOKUP(M$27,tech_data!$B$2:$O$15,7, FALSE)/100))*8760)/1000</f>
        <v>1131.4087718680885</v>
      </c>
      <c r="N42" s="30">
        <f>(N18*(VLOOKUP(N$27,tech_data!$B$2:$O$15,6, FALSE)/100)*(1-(VLOOKUP(N$27,tech_data!$B$2:$O$15,7, FALSE)/100))*8760)/1000</f>
        <v>1.6055647022848382E-4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3.9054046443199733</v>
      </c>
      <c r="Q42" s="34">
        <f t="shared" si="17"/>
        <v>15564.000000868191</v>
      </c>
      <c r="R42" s="34">
        <f>proj_rukn!D76</f>
        <v>15564</v>
      </c>
      <c r="S42" s="35"/>
      <c r="T42" s="19"/>
      <c r="U42" s="20" t="str">
        <f t="shared" si="18"/>
        <v>BALI_NT</v>
      </c>
      <c r="V42" s="20">
        <f t="shared" si="18"/>
        <v>2033</v>
      </c>
      <c r="W42" s="29">
        <f t="shared" si="19"/>
        <v>0.28400000004925163</v>
      </c>
      <c r="X42" s="29">
        <f t="shared" si="19"/>
        <v>0.16942729390267933</v>
      </c>
      <c r="Y42" s="29">
        <f t="shared" si="19"/>
        <v>0.10366985477617574</v>
      </c>
      <c r="Z42" s="29">
        <f t="shared" si="19"/>
        <v>0.18730285127752308</v>
      </c>
      <c r="AA42" s="29">
        <f t="shared" si="19"/>
        <v>6.9819072441526353E-2</v>
      </c>
      <c r="AB42" s="29">
        <f t="shared" si="19"/>
        <v>8.2517694346042877E-2</v>
      </c>
      <c r="AC42" s="29">
        <f t="shared" si="19"/>
        <v>6.0850804029066374E-3</v>
      </c>
      <c r="AD42" s="29">
        <f t="shared" si="19"/>
        <v>2.4484173574973955E-2</v>
      </c>
      <c r="AE42" s="29">
        <f t="shared" si="19"/>
        <v>1.030310152850305E-8</v>
      </c>
      <c r="AF42" s="29">
        <f t="shared" si="19"/>
        <v>7.269395860993165E-2</v>
      </c>
      <c r="AG42" s="29">
        <f t="shared" si="19"/>
        <v>1.0315887318139788E-8</v>
      </c>
      <c r="AH42" s="29">
        <f t="shared" si="19"/>
        <v>0</v>
      </c>
      <c r="AI42" s="29">
        <f t="shared" si="19"/>
        <v>2.5092551041519675E-4</v>
      </c>
      <c r="AJ42" s="29">
        <f t="shared" si="20"/>
        <v>1</v>
      </c>
      <c r="AM42" s="23"/>
      <c r="AO42" s="20" t="str">
        <f t="shared" si="39"/>
        <v>BALI_NT</v>
      </c>
      <c r="AP42" s="20">
        <f t="shared" si="40"/>
        <v>2033</v>
      </c>
      <c r="AQ42" s="25">
        <f t="shared" si="21"/>
        <v>0.28400000004925163</v>
      </c>
      <c r="AR42" s="25">
        <f t="shared" si="22"/>
        <v>0.2730971486788551</v>
      </c>
      <c r="AS42" s="25">
        <f t="shared" si="23"/>
        <v>0.18730285127752308</v>
      </c>
      <c r="AT42" s="37">
        <f t="shared" si="24"/>
        <v>0.25559999999437033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0.2848362274532803</v>
      </c>
      <c r="AZ42" s="25">
        <f t="shared" si="47"/>
        <v>0.25559999999999999</v>
      </c>
      <c r="BA42" s="24">
        <f t="shared" si="34"/>
        <v>1.0812362274532803</v>
      </c>
      <c r="BJ42" s="19"/>
      <c r="BK42" s="20" t="str">
        <f t="shared" si="44"/>
        <v>BALI_NT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3870.8886848258026</v>
      </c>
      <c r="BQ42" s="30">
        <f t="shared" si="27"/>
        <v>29915.968216618654</v>
      </c>
      <c r="BR42" s="30">
        <f t="shared" si="36"/>
        <v>2115.0186649831326</v>
      </c>
      <c r="BS42" s="30"/>
      <c r="BT42" s="30">
        <f t="shared" si="28"/>
        <v>14957.984108309327</v>
      </c>
      <c r="BU42" s="30">
        <f t="shared" si="37"/>
        <v>1755.8700198426702</v>
      </c>
      <c r="BW42" s="30">
        <f t="shared" si="29"/>
        <v>0.5664544346464423</v>
      </c>
      <c r="BX42" s="30">
        <f t="shared" si="38"/>
        <v>5.3280128434109801E-5</v>
      </c>
      <c r="BZ42" s="24">
        <f t="shared" si="46"/>
        <v>9.5790976430020436E-2</v>
      </c>
      <c r="CA42" s="24">
        <f t="shared" si="30"/>
        <v>9.579097643002045E-2</v>
      </c>
      <c r="CF42" s="23"/>
    </row>
    <row r="43" spans="1:84" x14ac:dyDescent="0.25">
      <c r="A43" s="19"/>
      <c r="B43" s="20" t="str">
        <f t="shared" si="31"/>
        <v>BALI_NT</v>
      </c>
      <c r="C43" s="20">
        <f t="shared" si="31"/>
        <v>2034</v>
      </c>
      <c r="D43" s="30">
        <f>(D19*(VLOOKUP(D$27,tech_data!$B$2:$O$15,6, FALSE)/100)*(1-(VLOOKUP(D$27,tech_data!$B$2:$O$15,7, FALSE)/100))*8760)/1000</f>
        <v>4626.7739986049655</v>
      </c>
      <c r="E43" s="30">
        <f>(E19*(VLOOKUP(E$27,tech_data!$B$2:$O$15,6, FALSE)/100)*(1-(VLOOKUP(E$27,tech_data!$B$2:$O$15,7, FALSE)/100))*8760)/1000</f>
        <v>2712.1388649002752</v>
      </c>
      <c r="F43" s="30">
        <f>(F19*(VLOOKUP(F$27,tech_data!$B$2:$O$15,6, FALSE)/100)*(1-(VLOOKUP(F$27,tech_data!$B$2:$O$15,7, FALSE)/100))*8760)/1000</f>
        <v>1906.7739599095873</v>
      </c>
      <c r="G43" s="30">
        <f>(G19*(VLOOKUP(G$27,tech_data!$B$2:$O$15,6, FALSE)/100)*(1-(VLOOKUP(G$27,tech_data!$B$2:$O$15,7, FALSE)/100))*8760)/1000</f>
        <v>2915.1815724487401</v>
      </c>
      <c r="H43" s="30">
        <f>(H19*(VLOOKUP(H$27,tech_data!$B$2:$O$15,6, FALSE)/100)*(1-(VLOOKUP(H$27,tech_data!$B$2:$O$15,7, FALSE)/100))*8760)/1000</f>
        <v>1086.664037051394</v>
      </c>
      <c r="I43" s="30">
        <f>(I19*(VLOOKUP(I$27,tech_data!$B$2:$O$15,6, FALSE)/100)*(1-(VLOOKUP(I$27,tech_data!$B$2:$O$15,7, FALSE)/100))*8760)/1000</f>
        <v>1284.3053904341543</v>
      </c>
      <c r="J43" s="30">
        <f>(J19*(VLOOKUP(J$27,tech_data!$B$2:$O$15,6, FALSE)/100)*(1-(VLOOKUP(J$27,tech_data!$B$2:$O$15,7, FALSE)/100))*8760)/1000</f>
        <v>94.708191396121919</v>
      </c>
      <c r="K43" s="30">
        <f>(K19*(VLOOKUP(K$27,tech_data!$B$2:$O$15,6, FALSE)/100)*(1-(VLOOKUP(K$27,tech_data!$B$2:$O$15,7, FALSE)/100))*8760)/1000</f>
        <v>427.07814627414439</v>
      </c>
      <c r="L43" s="30">
        <f>(L19*(VLOOKUP(L$27,tech_data!$B$2:$O$15,6, FALSE)/100)*(1-(VLOOKUP(L$27,tech_data!$B$2:$O$15,7, FALSE)/100))*8760)/1000</f>
        <v>1.6035747219856651E-4</v>
      </c>
      <c r="M43" s="30">
        <f>(M19*(VLOOKUP(M$27,tech_data!$B$2:$O$15,6, FALSE)/100)*(1-(VLOOKUP(M$27,tech_data!$B$2:$O$15,7, FALSE)/100))*8760)/1000</f>
        <v>1353.3755114410903</v>
      </c>
      <c r="N43" s="30">
        <f>(N19*(VLOOKUP(N$27,tech_data!$B$2:$O$15,6, FALSE)/100)*(1-(VLOOKUP(N$27,tech_data!$B$2:$O$15,7, FALSE)/100))*8760)/1000</f>
        <v>1.6064948556436266E-4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4.1219860370550663</v>
      </c>
      <c r="Q43" s="34">
        <f t="shared" si="17"/>
        <v>16406.999993467431</v>
      </c>
      <c r="R43" s="34">
        <f>proj_rukn!D77</f>
        <v>16407</v>
      </c>
      <c r="S43" s="35"/>
      <c r="T43" s="19"/>
      <c r="U43" s="20" t="str">
        <f t="shared" si="18"/>
        <v>BALI_NT</v>
      </c>
      <c r="V43" s="20">
        <f t="shared" si="18"/>
        <v>2034</v>
      </c>
      <c r="W43" s="29">
        <f t="shared" si="19"/>
        <v>0.28200000002725362</v>
      </c>
      <c r="X43" s="29">
        <f t="shared" si="19"/>
        <v>0.16530376461145446</v>
      </c>
      <c r="Y43" s="29">
        <f t="shared" si="19"/>
        <v>0.11621710005904697</v>
      </c>
      <c r="Z43" s="29">
        <f t="shared" si="19"/>
        <v>0.1776791353452454</v>
      </c>
      <c r="AA43" s="29">
        <f t="shared" si="19"/>
        <v>6.6231732643631219E-2</v>
      </c>
      <c r="AB43" s="29">
        <f t="shared" si="19"/>
        <v>7.8277893030140197E-2</v>
      </c>
      <c r="AC43" s="29">
        <f t="shared" si="19"/>
        <v>5.7724258812598701E-3</v>
      </c>
      <c r="AD43" s="29">
        <f t="shared" si="19"/>
        <v>2.6030239924677803E-2</v>
      </c>
      <c r="AE43" s="29">
        <f t="shared" si="19"/>
        <v>9.7737229391365896E-9</v>
      </c>
      <c r="AF43" s="29">
        <f t="shared" si="19"/>
        <v>8.2487688912046497E-2</v>
      </c>
      <c r="AG43" s="29">
        <f t="shared" si="19"/>
        <v>9.791521035431612E-9</v>
      </c>
      <c r="AH43" s="29">
        <f t="shared" si="19"/>
        <v>0</v>
      </c>
      <c r="AI43" s="29">
        <f t="shared" si="19"/>
        <v>2.5123337835657135E-4</v>
      </c>
      <c r="AJ43" s="29">
        <f t="shared" si="20"/>
        <v>1</v>
      </c>
      <c r="AM43" s="23"/>
      <c r="AO43" s="20" t="str">
        <f t="shared" si="39"/>
        <v>BALI_NT</v>
      </c>
      <c r="AP43" s="20">
        <f t="shared" si="40"/>
        <v>2034</v>
      </c>
      <c r="AQ43" s="25">
        <f t="shared" si="21"/>
        <v>0.28200000002725362</v>
      </c>
      <c r="AR43" s="25">
        <f t="shared" si="22"/>
        <v>0.28152086467050141</v>
      </c>
      <c r="AS43" s="25">
        <f t="shared" si="23"/>
        <v>0.1776791353452454</v>
      </c>
      <c r="AT43" s="37">
        <f t="shared" si="24"/>
        <v>0.25879999995699954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0.27913950290421469</v>
      </c>
      <c r="AZ43" s="25">
        <f t="shared" si="47"/>
        <v>0.25880000000000003</v>
      </c>
      <c r="BA43" s="24">
        <f t="shared" si="34"/>
        <v>1.0813395029042145</v>
      </c>
      <c r="BJ43" s="19"/>
      <c r="BK43" s="20" t="str">
        <f t="shared" si="44"/>
        <v>BALI_NT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4133.5375792897948</v>
      </c>
      <c r="BQ43" s="30">
        <f t="shared" si="27"/>
        <v>31610.834818023624</v>
      </c>
      <c r="BR43" s="30">
        <f t="shared" si="36"/>
        <v>2352.4601958458102</v>
      </c>
      <c r="BS43" s="30"/>
      <c r="BT43" s="30">
        <f t="shared" si="28"/>
        <v>15805.417409011812</v>
      </c>
      <c r="BU43" s="30">
        <f t="shared" si="37"/>
        <v>1781.0773834439842</v>
      </c>
      <c r="BW43" s="30">
        <f t="shared" si="29"/>
        <v>0.62339472471493618</v>
      </c>
      <c r="BX43" s="30">
        <f t="shared" si="38"/>
        <v>5.3310995262677424E-5</v>
      </c>
      <c r="BZ43" s="24">
        <f t="shared" si="46"/>
        <v>0.10058052525152146</v>
      </c>
      <c r="CA43" s="24">
        <f t="shared" si="30"/>
        <v>0.10058052522798615</v>
      </c>
      <c r="CF43" s="23"/>
    </row>
    <row r="44" spans="1:84" x14ac:dyDescent="0.25">
      <c r="A44" s="19"/>
      <c r="B44" s="20" t="str">
        <f t="shared" si="31"/>
        <v>BALI_NT</v>
      </c>
      <c r="C44" s="20">
        <f t="shared" si="31"/>
        <v>2035</v>
      </c>
      <c r="D44" s="30">
        <f>(D20*(VLOOKUP(D$27,tech_data!$B$2:$O$15,6, FALSE)/100)*(1-(VLOOKUP(D$27,tech_data!$B$2:$O$15,7, FALSE)/100))*8760)/1000</f>
        <v>4677.9599982374075</v>
      </c>
      <c r="E44" s="30">
        <f>(E20*(VLOOKUP(E$27,tech_data!$B$2:$O$15,6, FALSE)/100)*(1-(VLOOKUP(E$27,tech_data!$B$2:$O$15,7, FALSE)/100))*8760)/1000</f>
        <v>2829.8547906437861</v>
      </c>
      <c r="F44" s="30">
        <f>(F20*(VLOOKUP(F$27,tech_data!$B$2:$O$15,6, FALSE)/100)*(1-(VLOOKUP(F$27,tech_data!$B$2:$O$15,7, FALSE)/100))*8760)/1000</f>
        <v>1906.7739599095873</v>
      </c>
      <c r="G44" s="30">
        <f>(G20*(VLOOKUP(G$27,tech_data!$B$2:$O$15,6, FALSE)/100)*(1-(VLOOKUP(G$27,tech_data!$B$2:$O$15,7, FALSE)/100))*8760)/1000</f>
        <v>2915.1815724487401</v>
      </c>
      <c r="H44" s="30">
        <f>(H20*(VLOOKUP(H$27,tech_data!$B$2:$O$15,6, FALSE)/100)*(1-(VLOOKUP(H$27,tech_data!$B$2:$O$15,7, FALSE)/100))*8760)/1000</f>
        <v>1086.6640305622554</v>
      </c>
      <c r="I44" s="30">
        <f>(I20*(VLOOKUP(I$27,tech_data!$B$2:$O$15,6, FALSE)/100)*(1-(VLOOKUP(I$27,tech_data!$B$2:$O$15,7, FALSE)/100))*8760)/1000</f>
        <v>1284.3053859948557</v>
      </c>
      <c r="J44" s="30">
        <f>(J20*(VLOOKUP(J$27,tech_data!$B$2:$O$15,6, FALSE)/100)*(1-(VLOOKUP(J$27,tech_data!$B$2:$O$15,7, FALSE)/100))*8760)/1000</f>
        <v>94.708191396121919</v>
      </c>
      <c r="K44" s="30">
        <f>(K20*(VLOOKUP(K$27,tech_data!$B$2:$O$15,6, FALSE)/100)*(1-(VLOOKUP(K$27,tech_data!$B$2:$O$15,7, FALSE)/100))*8760)/1000</f>
        <v>462.2772593881142</v>
      </c>
      <c r="L44" s="30">
        <f>(L20*(VLOOKUP(L$27,tech_data!$B$2:$O$15,6, FALSE)/100)*(1-(VLOOKUP(L$27,tech_data!$B$2:$O$15,7, FALSE)/100))*8760)/1000</f>
        <v>1.6035747219856651E-4</v>
      </c>
      <c r="M44" s="30">
        <f>(M20*(VLOOKUP(M$27,tech_data!$B$2:$O$15,6, FALSE)/100)*(1-(VLOOKUP(M$27,tech_data!$B$2:$O$15,7, FALSE)/100))*8760)/1000</f>
        <v>1449.2744883769599</v>
      </c>
      <c r="N44" s="30">
        <f>(N20*(VLOOKUP(N$27,tech_data!$B$2:$O$15,6, FALSE)/100)*(1-(VLOOKUP(N$27,tech_data!$B$2:$O$15,7, FALSE)/100))*8760)/1000</f>
        <v>1.6064948556436266E-4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4.202810228664803</v>
      </c>
      <c r="Q44" s="34">
        <f t="shared" si="17"/>
        <v>16706.999997964784</v>
      </c>
      <c r="R44" s="34">
        <f>proj_rukn!D78</f>
        <v>16707</v>
      </c>
      <c r="S44" s="35"/>
      <c r="T44" s="19"/>
      <c r="U44" s="20" t="str">
        <f t="shared" si="18"/>
        <v>BALI_NT</v>
      </c>
      <c r="V44" s="20">
        <f t="shared" si="18"/>
        <v>2035</v>
      </c>
      <c r="W44" s="29">
        <f t="shared" si="19"/>
        <v>0.27999999992860886</v>
      </c>
      <c r="X44" s="29">
        <f t="shared" si="19"/>
        <v>0.16938138450879953</v>
      </c>
      <c r="Y44" s="29">
        <f t="shared" si="19"/>
        <v>0.11413024242185114</v>
      </c>
      <c r="Z44" s="29">
        <f t="shared" si="19"/>
        <v>0.17448863187908434</v>
      </c>
      <c r="AA44" s="29">
        <f t="shared" si="19"/>
        <v>6.5042439138961572E-2</v>
      </c>
      <c r="AB44" s="29">
        <f t="shared" si="19"/>
        <v>7.6872292221901437E-2</v>
      </c>
      <c r="AC44" s="29">
        <f t="shared" si="19"/>
        <v>5.6687730536696653E-3</v>
      </c>
      <c r="AD44" s="29">
        <f t="shared" si="19"/>
        <v>2.7669674953278742E-2</v>
      </c>
      <c r="AE44" s="29">
        <f t="shared" si="19"/>
        <v>9.5982206391393412E-9</v>
      </c>
      <c r="AF44" s="29">
        <f t="shared" si="19"/>
        <v>8.6746542679925057E-2</v>
      </c>
      <c r="AG44" s="29">
        <f t="shared" si="19"/>
        <v>9.6156991431096359E-9</v>
      </c>
      <c r="AH44" s="29">
        <f t="shared" si="19"/>
        <v>0</v>
      </c>
      <c r="AI44" s="29">
        <f t="shared" si="19"/>
        <v>2.5155983894037121E-4</v>
      </c>
      <c r="AJ44" s="29">
        <f t="shared" si="20"/>
        <v>1.0000000000000002</v>
      </c>
      <c r="AM44" s="23"/>
      <c r="AO44" s="20" t="str">
        <f t="shared" si="39"/>
        <v>BALI_NT</v>
      </c>
      <c r="AP44" s="20">
        <f t="shared" si="40"/>
        <v>2035</v>
      </c>
      <c r="AQ44" s="25">
        <f t="shared" si="21"/>
        <v>0.27999999992860886</v>
      </c>
      <c r="AR44" s="25">
        <f t="shared" si="22"/>
        <v>0.28351162693065068</v>
      </c>
      <c r="AS44" s="25">
        <f t="shared" si="23"/>
        <v>0.17448863187908434</v>
      </c>
      <c r="AT44" s="37">
        <f t="shared" si="24"/>
        <v>0.26199974126165626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0.27355671284613037</v>
      </c>
      <c r="AZ44" s="25">
        <f t="shared" si="47"/>
        <v>0.26200000000000001</v>
      </c>
      <c r="BA44" s="24">
        <f t="shared" si="34"/>
        <v>1.0815567128461305</v>
      </c>
      <c r="BJ44" s="19"/>
      <c r="BK44" s="20" t="str">
        <f t="shared" si="44"/>
        <v>BALI_NT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4221.8902494448212</v>
      </c>
      <c r="BQ44" s="30">
        <f t="shared" si="27"/>
        <v>33401.722807596889</v>
      </c>
      <c r="BR44" s="30">
        <f t="shared" si="36"/>
        <v>2401.4121522301712</v>
      </c>
      <c r="BS44" s="30"/>
      <c r="BT44" s="30">
        <f t="shared" si="28"/>
        <v>16700.861403798444</v>
      </c>
      <c r="BU44" s="30">
        <f t="shared" si="37"/>
        <v>1820.4780972146496</v>
      </c>
      <c r="BW44" s="30">
        <f t="shared" si="29"/>
        <v>0.65215992280409441</v>
      </c>
      <c r="BX44" s="30">
        <f t="shared" si="38"/>
        <v>5.3310995262677424E-5</v>
      </c>
      <c r="BZ44" s="24">
        <f t="shared" si="46"/>
        <v>0.10560955151409754</v>
      </c>
      <c r="CA44" s="24">
        <f t="shared" si="30"/>
        <v>0.10560955068137012</v>
      </c>
      <c r="CF44" s="23"/>
    </row>
    <row r="45" spans="1:84" x14ac:dyDescent="0.25">
      <c r="A45" s="19"/>
      <c r="B45" s="20" t="str">
        <f t="shared" ref="B45:C47" si="50">B21</f>
        <v>BALI_NT</v>
      </c>
      <c r="C45" s="20">
        <f t="shared" si="50"/>
        <v>2036</v>
      </c>
      <c r="D45" s="30">
        <f>(D21*(VLOOKUP(D$27,tech_data!$B$2:$O$15,6, FALSE)/100)*(1-(VLOOKUP(D$27,tech_data!$B$2:$O$15,7, FALSE)/100))*8760)/1000</f>
        <v>5270.0488193703686</v>
      </c>
      <c r="E45" s="30">
        <f>(E21*(VLOOKUP(E$27,tech_data!$B$2:$O$15,6, FALSE)/100)*(1-(VLOOKUP(E$27,tech_data!$B$2:$O$15,7, FALSE)/100))*8760)/1000</f>
        <v>2829.8547876544026</v>
      </c>
      <c r="F45" s="30">
        <f>(F21*(VLOOKUP(F$27,tech_data!$B$2:$O$15,6, FALSE)/100)*(1-(VLOOKUP(F$27,tech_data!$B$2:$O$15,7, FALSE)/100))*8760)/1000</f>
        <v>2299.9121584053237</v>
      </c>
      <c r="G45" s="30">
        <f>(G21*(VLOOKUP(G$27,tech_data!$B$2:$O$15,6, FALSE)/100)*(1-(VLOOKUP(G$27,tech_data!$B$2:$O$15,7, FALSE)/100))*8760)/1000</f>
        <v>2915.1815674514969</v>
      </c>
      <c r="H45" s="30">
        <f>(H21*(VLOOKUP(H$27,tech_data!$B$2:$O$15,6, FALSE)/100)*(1-(VLOOKUP(H$27,tech_data!$B$2:$O$15,7, FALSE)/100))*8760)/1000</f>
        <v>1428.969600106924</v>
      </c>
      <c r="I45" s="30">
        <f>(I21*(VLOOKUP(I$27,tech_data!$B$2:$O$15,6, FALSE)/100)*(1-(VLOOKUP(I$27,tech_data!$B$2:$O$15,7, FALSE)/100))*8760)/1000</f>
        <v>2043.4172523820387</v>
      </c>
      <c r="J45" s="30">
        <f>(J21*(VLOOKUP(J$27,tech_data!$B$2:$O$15,6, FALSE)/100)*(1-(VLOOKUP(J$27,tech_data!$B$2:$O$15,7, FALSE)/100))*8760)/1000</f>
        <v>94.708191396121919</v>
      </c>
      <c r="K45" s="30">
        <f>(K21*(VLOOKUP(K$27,tech_data!$B$2:$O$15,6, FALSE)/100)*(1-(VLOOKUP(K$27,tech_data!$B$2:$O$15,7, FALSE)/100))*8760)/1000</f>
        <v>625.64296476976449</v>
      </c>
      <c r="L45" s="30">
        <f>(L21*(VLOOKUP(L$27,tech_data!$B$2:$O$15,6, FALSE)/100)*(1-(VLOOKUP(L$27,tech_data!$B$2:$O$15,7, FALSE)/100))*8760)/1000</f>
        <v>1.6035747219856651E-4</v>
      </c>
      <c r="M45" s="30">
        <f>(M21*(VLOOKUP(M$27,tech_data!$B$2:$O$15,6, FALSE)/100)*(1-(VLOOKUP(M$27,tech_data!$B$2:$O$15,7, FALSE)/100))*8760)/1000</f>
        <v>1449.2744883769599</v>
      </c>
      <c r="N45" s="30">
        <f>(N21*(VLOOKUP(N$27,tech_data!$B$2:$O$15,6, FALSE)/100)*(1-(VLOOKUP(N$27,tech_data!$B$2:$O$15,7, FALSE)/100))*8760)/1000</f>
        <v>1.5763604556444326E-4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4.7889561743553717</v>
      </c>
      <c r="Q45" s="34">
        <f t="shared" si="17"/>
        <v>18957.01014790692</v>
      </c>
      <c r="R45" s="34">
        <f>proj_rukn!D79</f>
        <v>19879</v>
      </c>
      <c r="S45" s="35"/>
      <c r="T45" s="19"/>
      <c r="U45" s="20" t="str">
        <f t="shared" si="18"/>
        <v>BALI_NT</v>
      </c>
      <c r="V45" s="20">
        <f t="shared" si="18"/>
        <v>2036</v>
      </c>
      <c r="W45" s="29">
        <f t="shared" si="19"/>
        <v>0.27799999990780427</v>
      </c>
      <c r="X45" s="29">
        <f t="shared" si="19"/>
        <v>0.1492774844543116</v>
      </c>
      <c r="Y45" s="29">
        <f t="shared" si="19"/>
        <v>0.12132251554759343</v>
      </c>
      <c r="Z45" s="29">
        <f t="shared" si="19"/>
        <v>0.15377855182365704</v>
      </c>
      <c r="AA45" s="29">
        <f t="shared" si="19"/>
        <v>7.5379481730387707E-2</v>
      </c>
      <c r="AB45" s="29">
        <f t="shared" si="19"/>
        <v>0.10779216956887351</v>
      </c>
      <c r="AC45" s="29">
        <f t="shared" si="19"/>
        <v>4.9959455978124713E-3</v>
      </c>
      <c r="AD45" s="29">
        <f t="shared" si="19"/>
        <v>3.3003251034227195E-2</v>
      </c>
      <c r="AE45" s="29">
        <f t="shared" si="19"/>
        <v>8.459006507219277E-9</v>
      </c>
      <c r="AF45" s="29">
        <f t="shared" si="19"/>
        <v>7.6450583560877458E-2</v>
      </c>
      <c r="AG45" s="29">
        <f t="shared" si="19"/>
        <v>8.3154487091862504E-9</v>
      </c>
      <c r="AH45" s="29">
        <f t="shared" si="19"/>
        <v>0</v>
      </c>
      <c r="AI45" s="29">
        <f t="shared" si="19"/>
        <v>2.5262191331812574E-4</v>
      </c>
      <c r="AJ45" s="29">
        <f t="shared" si="20"/>
        <v>0.99999999999999978</v>
      </c>
      <c r="AM45" s="23"/>
      <c r="AO45" s="20" t="str">
        <f t="shared" si="39"/>
        <v>BALI_NT</v>
      </c>
      <c r="AP45" s="20">
        <f t="shared" si="40"/>
        <v>2036</v>
      </c>
      <c r="AQ45" s="25">
        <f t="shared" si="21"/>
        <v>0.27799999990780427</v>
      </c>
      <c r="AR45" s="25">
        <f t="shared" si="22"/>
        <v>0.27060000000190504</v>
      </c>
      <c r="AS45" s="25">
        <f t="shared" si="23"/>
        <v>0.15377855182365704</v>
      </c>
      <c r="AT45" s="37">
        <f t="shared" si="24"/>
        <v>0.29762144826663356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0.26808557858920773</v>
      </c>
      <c r="AZ45" s="25">
        <f t="shared" si="47"/>
        <v>0.26519999999999999</v>
      </c>
      <c r="BA45" s="24">
        <f t="shared" si="34"/>
        <v>1.0818855785892079</v>
      </c>
      <c r="BJ45" s="19"/>
      <c r="BK45" s="20" t="str">
        <f t="shared" si="44"/>
        <v>BALI_NT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4709.9614595876728</v>
      </c>
      <c r="BQ45" s="30">
        <f t="shared" si="27"/>
        <v>35294.072204616721</v>
      </c>
      <c r="BR45" s="30">
        <f t="shared" si="36"/>
        <v>2718.3204134965226</v>
      </c>
      <c r="BS45" s="30"/>
      <c r="BT45" s="30">
        <f t="shared" si="28"/>
        <v>17647.036102308361</v>
      </c>
      <c r="BU45" s="30">
        <f t="shared" si="37"/>
        <v>1991.6410460911488</v>
      </c>
      <c r="BW45" s="30">
        <f t="shared" si="29"/>
        <v>0.80843678038658873</v>
      </c>
      <c r="BX45" s="30">
        <f t="shared" si="38"/>
        <v>5.2310995262704179E-5</v>
      </c>
      <c r="BZ45" s="24">
        <f t="shared" si="46"/>
        <v>0.11089002908980242</v>
      </c>
      <c r="CA45" s="24">
        <f t="shared" si="30"/>
        <v>0.11089002901652502</v>
      </c>
      <c r="CF45" s="23"/>
    </row>
    <row r="46" spans="1:84" x14ac:dyDescent="0.25">
      <c r="A46" s="19"/>
      <c r="B46" s="20" t="str">
        <f t="shared" si="50"/>
        <v>BALI_NT</v>
      </c>
      <c r="C46" s="20">
        <f t="shared" si="50"/>
        <v>2037</v>
      </c>
      <c r="D46" s="30">
        <f>(D22*(VLOOKUP(D$27,tech_data!$B$2:$O$15,6, FALSE)/100)*(1-(VLOOKUP(D$27,tech_data!$B$2:$O$15,7, FALSE)/100))*8760)/1000</f>
        <v>5803.7107914762728</v>
      </c>
      <c r="E46" s="30">
        <f>(E22*(VLOOKUP(E$27,tech_data!$B$2:$O$15,6, FALSE)/100)*(1-(VLOOKUP(E$27,tech_data!$B$2:$O$15,7, FALSE)/100))*8760)/1000</f>
        <v>2829.8547876544026</v>
      </c>
      <c r="F46" s="30">
        <f>(F22*(VLOOKUP(F$27,tech_data!$B$2:$O$15,6, FALSE)/100)*(1-(VLOOKUP(F$27,tech_data!$B$2:$O$15,7, FALSE)/100))*8760)/1000</f>
        <v>2957.0336535604229</v>
      </c>
      <c r="G46" s="30">
        <f>(G22*(VLOOKUP(G$27,tech_data!$B$2:$O$15,6, FALSE)/100)*(1-(VLOOKUP(G$27,tech_data!$B$2:$O$15,7, FALSE)/100))*8760)/1000</f>
        <v>2915.1815624542542</v>
      </c>
      <c r="H46" s="30">
        <f>(H22*(VLOOKUP(H$27,tech_data!$B$2:$O$15,6, FALSE)/100)*(1-(VLOOKUP(H$27,tech_data!$B$2:$O$15,7, FALSE)/100))*8760)/1000</f>
        <v>1795.7964002488518</v>
      </c>
      <c r="I46" s="30">
        <f>(I22*(VLOOKUP(I$27,tech_data!$B$2:$O$15,6, FALSE)/100)*(1-(VLOOKUP(I$27,tech_data!$B$2:$O$15,7, FALSE)/100))*8760)/1000</f>
        <v>2422.9731855756318</v>
      </c>
      <c r="J46" s="30">
        <f>(J22*(VLOOKUP(J$27,tech_data!$B$2:$O$15,6, FALSE)/100)*(1-(VLOOKUP(J$27,tech_data!$B$2:$O$15,7, FALSE)/100))*8760)/1000</f>
        <v>94.708191396121919</v>
      </c>
      <c r="K46" s="30">
        <f>(K22*(VLOOKUP(K$27,tech_data!$B$2:$O$15,6, FALSE)/100)*(1-(VLOOKUP(K$27,tech_data!$B$2:$O$15,7, FALSE)/100))*8760)/1000</f>
        <v>759.40427156113788</v>
      </c>
      <c r="L46" s="30">
        <f>(L22*(VLOOKUP(L$27,tech_data!$B$2:$O$15,6, FALSE)/100)*(1-(VLOOKUP(L$27,tech_data!$B$2:$O$15,7, FALSE)/100))*8760)/1000</f>
        <v>1.6035747219856651E-4</v>
      </c>
      <c r="M46" s="30">
        <f>(M22*(VLOOKUP(M$27,tech_data!$B$2:$O$15,6, FALSE)/100)*(1-(VLOOKUP(M$27,tech_data!$B$2:$O$15,7, FALSE)/100))*8760)/1000</f>
        <v>1449.2744883769599</v>
      </c>
      <c r="N46" s="30">
        <f>(N22*(VLOOKUP(N$27,tech_data!$B$2:$O$15,6, FALSE)/100)*(1-(VLOOKUP(N$27,tech_data!$B$2:$O$15,7, FALSE)/100))*8760)/1000</f>
        <v>1.5763604556444326E-4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5.3251437168601479</v>
      </c>
      <c r="Q46" s="34">
        <f t="shared" si="17"/>
        <v>21027.937650297572</v>
      </c>
      <c r="R46" s="34">
        <f>proj_rukn!D80</f>
        <v>22692</v>
      </c>
      <c r="S46" s="35"/>
      <c r="T46" s="19"/>
      <c r="U46" s="20" t="str">
        <f t="shared" si="18"/>
        <v>BALI_NT</v>
      </c>
      <c r="V46" s="20">
        <f t="shared" si="18"/>
        <v>2037</v>
      </c>
      <c r="W46" s="29">
        <f t="shared" si="19"/>
        <v>0.27599999999972147</v>
      </c>
      <c r="X46" s="29">
        <f t="shared" si="19"/>
        <v>0.13457595484235976</v>
      </c>
      <c r="Y46" s="29">
        <f t="shared" si="19"/>
        <v>0.14062404515064639</v>
      </c>
      <c r="Z46" s="29">
        <f t="shared" si="19"/>
        <v>0.13863373626718931</v>
      </c>
      <c r="AA46" s="29">
        <f t="shared" si="19"/>
        <v>8.5400500520479664E-2</v>
      </c>
      <c r="AB46" s="29">
        <f t="shared" si="19"/>
        <v>0.11522638243800117</v>
      </c>
      <c r="AC46" s="29">
        <f t="shared" si="19"/>
        <v>4.5039220189423412E-3</v>
      </c>
      <c r="AD46" s="29">
        <f t="shared" si="19"/>
        <v>3.6114063309027902E-2</v>
      </c>
      <c r="AE46" s="29">
        <f t="shared" si="19"/>
        <v>7.6259248465242267E-9</v>
      </c>
      <c r="AF46" s="29">
        <f t="shared" si="19"/>
        <v>6.8921380331201945E-2</v>
      </c>
      <c r="AG46" s="29">
        <f t="shared" si="19"/>
        <v>7.4965052772168787E-9</v>
      </c>
      <c r="AH46" s="29">
        <f t="shared" si="19"/>
        <v>0</v>
      </c>
      <c r="AI46" s="29">
        <f t="shared" si="19"/>
        <v>2.5324136895492415E-4</v>
      </c>
      <c r="AJ46" s="29">
        <f t="shared" si="20"/>
        <v>1.0000000000000002</v>
      </c>
      <c r="AM46" s="23"/>
      <c r="AO46" s="20" t="str">
        <f t="shared" si="39"/>
        <v>BALI_NT</v>
      </c>
      <c r="AP46" s="20">
        <f t="shared" si="40"/>
        <v>2037</v>
      </c>
      <c r="AQ46" s="25">
        <f t="shared" si="21"/>
        <v>0.27599999999972147</v>
      </c>
      <c r="AR46" s="25">
        <f t="shared" si="22"/>
        <v>0.27519999999300615</v>
      </c>
      <c r="AS46" s="25">
        <f t="shared" si="23"/>
        <v>0.13863373626718931</v>
      </c>
      <c r="AT46" s="37">
        <f t="shared" si="24"/>
        <v>0.3101662637400831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0.26272386701742356</v>
      </c>
      <c r="AZ46" s="25">
        <f t="shared" si="47"/>
        <v>0.26840000000000003</v>
      </c>
      <c r="BA46" s="24">
        <f t="shared" si="34"/>
        <v>1.0823238670174236</v>
      </c>
      <c r="BJ46" s="19"/>
      <c r="BK46" s="20" t="str">
        <f t="shared" si="44"/>
        <v>BALI_NT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5199.6368596031889</v>
      </c>
      <c r="BQ46" s="30">
        <f t="shared" si="27"/>
        <v>37293.63122854798</v>
      </c>
      <c r="BR46" s="30">
        <f t="shared" si="36"/>
        <v>3122.3459888868379</v>
      </c>
      <c r="BS46" s="30"/>
      <c r="BT46" s="30">
        <f t="shared" si="28"/>
        <v>18646.81561427399</v>
      </c>
      <c r="BU46" s="30">
        <f t="shared" si="37"/>
        <v>2077.290870716351</v>
      </c>
      <c r="BW46" s="30">
        <f t="shared" si="29"/>
        <v>0.91580708155779034</v>
      </c>
      <c r="BX46" s="30">
        <f t="shared" si="38"/>
        <v>5.2310995262704179E-5</v>
      </c>
      <c r="BZ46" s="24">
        <f t="shared" si="46"/>
        <v>0.11643453054429254</v>
      </c>
      <c r="CA46" s="24">
        <f t="shared" si="30"/>
        <v>0.1164345305435642</v>
      </c>
      <c r="CF46" s="23"/>
    </row>
    <row r="47" spans="1:84" x14ac:dyDescent="0.25">
      <c r="A47" s="19"/>
      <c r="B47" s="20" t="str">
        <f t="shared" si="50"/>
        <v>BALI_NT</v>
      </c>
      <c r="C47" s="20">
        <f t="shared" si="50"/>
        <v>2038</v>
      </c>
      <c r="D47" s="30">
        <f>(D23*(VLOOKUP(D$27,tech_data!$B$2:$O$15,6, FALSE)/100)*(1-(VLOOKUP(D$27,tech_data!$B$2:$O$15,7, FALSE)/100))*8760)/1000</f>
        <v>6367.3119298821521</v>
      </c>
      <c r="E47" s="30">
        <f>(E23*(VLOOKUP(E$27,tech_data!$B$2:$O$15,6, FALSE)/100)*(1-(VLOOKUP(E$27,tech_data!$B$2:$O$15,7, FALSE)/100))*8760)/1000</f>
        <v>2829.8547846650185</v>
      </c>
      <c r="F47" s="30">
        <f>(F23*(VLOOKUP(F$27,tech_data!$B$2:$O$15,6, FALSE)/100)*(1-(VLOOKUP(F$27,tech_data!$B$2:$O$15,7, FALSE)/100))*8760)/1000</f>
        <v>3672.2396446000312</v>
      </c>
      <c r="G47" s="30">
        <f>(G23*(VLOOKUP(G$27,tech_data!$B$2:$O$15,6, FALSE)/100)*(1-(VLOOKUP(G$27,tech_data!$B$2:$O$15,7, FALSE)/100))*8760)/1000</f>
        <v>2915.1815574570105</v>
      </c>
      <c r="H47" s="30">
        <f>(H23*(VLOOKUP(H$27,tech_data!$B$2:$O$15,6, FALSE)/100)*(1-(VLOOKUP(H$27,tech_data!$B$2:$O$15,7, FALSE)/100))*8760)/1000</f>
        <v>2385.7718157934969</v>
      </c>
      <c r="I47" s="30">
        <f>(I23*(VLOOKUP(I$27,tech_data!$B$2:$O$15,6, FALSE)/100)*(1-(VLOOKUP(I$27,tech_data!$B$2:$O$15,7, FALSE)/100))*8760)/1000</f>
        <v>2612.7511521724314</v>
      </c>
      <c r="J47" s="30">
        <f>(J23*(VLOOKUP(J$27,tech_data!$B$2:$O$15,6, FALSE)/100)*(1-(VLOOKUP(J$27,tech_data!$B$2:$O$15,7, FALSE)/100))*8760)/1000</f>
        <v>94.708191396121919</v>
      </c>
      <c r="K47" s="30">
        <f>(K23*(VLOOKUP(K$27,tech_data!$B$2:$O$15,6, FALSE)/100)*(1-(VLOOKUP(K$27,tech_data!$B$2:$O$15,7, FALSE)/100))*8760)/1000</f>
        <v>911.27083701714014</v>
      </c>
      <c r="L47" s="30">
        <f>(L23*(VLOOKUP(L$27,tech_data!$B$2:$O$15,6, FALSE)/100)*(1-(VLOOKUP(L$27,tech_data!$B$2:$O$15,7, FALSE)/100))*8760)/1000</f>
        <v>1.6035747219856651E-4</v>
      </c>
      <c r="M47" s="30">
        <f>(M23*(VLOOKUP(M$27,tech_data!$B$2:$O$15,6, FALSE)/100)*(1-(VLOOKUP(M$27,tech_data!$B$2:$O$15,7, FALSE)/100))*8760)/1000</f>
        <v>1449.2744883769599</v>
      </c>
      <c r="N47" s="30">
        <f>(N23*(VLOOKUP(N$27,tech_data!$B$2:$O$15,6, FALSE)/100)*(1-(VLOOKUP(N$27,tech_data!$B$2:$O$15,7, FALSE)/100))*8760)/1000</f>
        <v>1.5763604556444326E-4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5.8992604237203965</v>
      </c>
      <c r="Q47" s="34">
        <f t="shared" si="17"/>
        <v>23238.364719353875</v>
      </c>
      <c r="R47" s="34">
        <f>proj_rukn!D81</f>
        <v>24125</v>
      </c>
      <c r="S47" s="35"/>
      <c r="T47" s="19"/>
      <c r="U47" s="20" t="str">
        <f t="shared" si="18"/>
        <v>BALI_NT</v>
      </c>
      <c r="V47" s="20">
        <f t="shared" si="18"/>
        <v>2038</v>
      </c>
      <c r="W47" s="29">
        <f t="shared" si="19"/>
        <v>0.27399999986140122</v>
      </c>
      <c r="X47" s="29">
        <f t="shared" si="19"/>
        <v>0.12177512569583686</v>
      </c>
      <c r="Y47" s="29">
        <f t="shared" si="19"/>
        <v>0.15802487347750582</v>
      </c>
      <c r="Z47" s="29">
        <f t="shared" si="19"/>
        <v>0.1254469319447907</v>
      </c>
      <c r="AA47" s="29">
        <f t="shared" si="19"/>
        <v>0.10266521954561317</v>
      </c>
      <c r="AB47" s="29">
        <f t="shared" si="19"/>
        <v>0.11243265968695396</v>
      </c>
      <c r="AC47" s="29">
        <f t="shared" si="19"/>
        <v>4.07551015486236E-3</v>
      </c>
      <c r="AD47" s="29">
        <f t="shared" si="19"/>
        <v>3.9214068976987697E-2</v>
      </c>
      <c r="AE47" s="29">
        <f t="shared" ref="AE47:AI47" si="51">L47/$Q47</f>
        <v>6.9005489041582239E-9</v>
      </c>
      <c r="AF47" s="29">
        <f t="shared" si="51"/>
        <v>6.2365596972059914E-2</v>
      </c>
      <c r="AG47" s="29">
        <f t="shared" si="51"/>
        <v>6.7834396898486325E-9</v>
      </c>
      <c r="AH47" s="29">
        <f t="shared" si="51"/>
        <v>0</v>
      </c>
      <c r="AI47" s="29">
        <f t="shared" si="51"/>
        <v>2.5385867271491988E-4</v>
      </c>
      <c r="AJ47" s="29">
        <f t="shared" si="20"/>
        <v>1.0000000000000002</v>
      </c>
      <c r="AM47" s="23"/>
      <c r="AO47" s="20" t="str">
        <f t="shared" si="39"/>
        <v>BALI_NT</v>
      </c>
      <c r="AP47" s="20">
        <f t="shared" si="40"/>
        <v>2038</v>
      </c>
      <c r="AQ47" s="25">
        <f t="shared" si="21"/>
        <v>0.27399999986140122</v>
      </c>
      <c r="AR47" s="25">
        <f t="shared" si="22"/>
        <v>0.27979999917334264</v>
      </c>
      <c r="AS47" s="25">
        <f t="shared" si="23"/>
        <v>0.1254469319447907</v>
      </c>
      <c r="AT47" s="37">
        <f t="shared" si="24"/>
        <v>0.32075306902046569</v>
      </c>
      <c r="AU47" s="24">
        <f t="shared" si="32"/>
        <v>1.0000000000000002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0.25746938967707511</v>
      </c>
      <c r="AZ47" s="25">
        <f t="shared" si="47"/>
        <v>0.27160000000000001</v>
      </c>
      <c r="BA47" s="24">
        <f t="shared" si="34"/>
        <v>1.0828693896770751</v>
      </c>
      <c r="BJ47" s="19"/>
      <c r="BK47" s="20" t="str">
        <f t="shared" si="44"/>
        <v>BALI_NT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5708.1236907808689</v>
      </c>
      <c r="BQ47" s="30">
        <f t="shared" si="27"/>
        <v>39406.473759891058</v>
      </c>
      <c r="BR47" s="30">
        <f t="shared" si="36"/>
        <v>3587.9218727593702</v>
      </c>
      <c r="BS47" s="30"/>
      <c r="BT47" s="30">
        <f t="shared" si="28"/>
        <v>19703.236879945529</v>
      </c>
      <c r="BU47" s="30">
        <f t="shared" si="37"/>
        <v>2120.2018180214982</v>
      </c>
      <c r="BW47" s="30">
        <f t="shared" si="29"/>
        <v>1.0239175992144753</v>
      </c>
      <c r="BX47" s="30">
        <f t="shared" si="38"/>
        <v>5.2310995262704179E-5</v>
      </c>
      <c r="BZ47" s="24">
        <f t="shared" si="46"/>
        <v>0.12225625707150717</v>
      </c>
      <c r="CA47" s="24">
        <f t="shared" si="30"/>
        <v>0.12225625493387139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BALI_NT</v>
      </c>
      <c r="C52" s="20">
        <f t="shared" si="52"/>
        <v>2019</v>
      </c>
      <c r="D52" s="30">
        <f>(bali_nt!D28*3.6/(VLOOKUP(D$51,tech_data!$B$2:$J$15,4,FALSE)/100))/1000</f>
        <v>23.44676117462069</v>
      </c>
      <c r="E52" s="30">
        <f>(bali_nt!E28*3.6/(VLOOKUP(E$51,tech_data!$B$2:$J$15,4,FALSE)/100))/1000</f>
        <v>19.930316066377571</v>
      </c>
      <c r="F52" s="30">
        <f>(bali_nt!F28*3.6/(VLOOKUP(F$51,tech_data!$B$2:$J$15,4,FALSE)/100))/1000</f>
        <v>0</v>
      </c>
      <c r="G52" s="30">
        <f>(bali_nt!G28*3.6/(VLOOKUP(G$51,tech_data!$B$2:$J$15,4,FALSE)/100))/1000</f>
        <v>22.763311301137129</v>
      </c>
      <c r="H52" s="30">
        <f>(bali_nt!H28*3.6/(VLOOKUP(H$51,tech_data!$B$2:$J$15,4,FALSE)/100))/1000</f>
        <v>4.256874830769231</v>
      </c>
      <c r="I52" s="30">
        <f>(bali_nt!I28*3.6/(VLOOKUP(I$51,tech_data!$B$2:$J$15,4,FALSE)/100))/1000</f>
        <v>0.12280501428340081</v>
      </c>
      <c r="J52" s="30">
        <f>(bali_nt!J28*3.6/(VLOOKUP(J$51,tech_data!$B$2:$J$15,4,FALSE)/100))/1000</f>
        <v>0.42617265230769236</v>
      </c>
      <c r="K52" s="30">
        <f>K28*3.6/1000</f>
        <v>2.73511728E-2</v>
      </c>
      <c r="L52" s="30">
        <f>L28*3.6/1000</f>
        <v>0</v>
      </c>
      <c r="M52" s="30">
        <f>(bali_nt!M28*3.6/(VLOOKUP(M$51,tech_data!$B$2:$J$15,4,FALSE)/100))/1000</f>
        <v>0</v>
      </c>
      <c r="N52" s="30">
        <f>N28*3.6/1000</f>
        <v>0</v>
      </c>
      <c r="O52" s="30">
        <f>(bali_nt!O28*3.6/(VLOOKUP(O$51,tech_data!$B$2:$J$15,4,FALSE)/100))/1000</f>
        <v>0</v>
      </c>
      <c r="P52" s="30">
        <f>(bali_nt!P28*3.6/(VLOOKUP(P$51,tech_data!$B$2:$J$15,4,FALSE)/100))/1000</f>
        <v>0</v>
      </c>
      <c r="Q52" s="30">
        <f t="shared" ref="Q52:Q71" si="53">SUM(D52:O52)</f>
        <v>70.973592212295713</v>
      </c>
      <c r="R52" s="30"/>
      <c r="T52" s="19"/>
      <c r="U52" s="20" t="str">
        <f t="shared" ref="U52:V71" si="54">B52</f>
        <v>BALI_NT</v>
      </c>
      <c r="V52" s="20">
        <f t="shared" si="54"/>
        <v>2019</v>
      </c>
      <c r="W52" s="30">
        <f>D52*VLOOKUP(W$51,tech_data!$B$2:$K$15,10,FALSE)*1000</f>
        <v>2338111.0243331748</v>
      </c>
      <c r="X52" s="30">
        <f>E52*VLOOKUP(X$51,tech_data!$B$2:$K$15,10,FALSE)*1000</f>
        <v>1237672.6277220473</v>
      </c>
      <c r="Y52" s="30">
        <f>F52*VLOOKUP(Y$51,tech_data!$B$2:$K$15,10,FALSE)*1000</f>
        <v>0</v>
      </c>
      <c r="Z52" s="30">
        <f>G52*VLOOKUP(Z$51,tech_data!$B$2:$K$15,10,FALSE)*1000</f>
        <v>1711118.1105064782</v>
      </c>
      <c r="AA52" s="30">
        <f>H28*VLOOKUP(AA$51,tech_data!$B$2:$K$15,10,FALSE)/1000</f>
        <v>10.040903507076925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5286911.8034652071</v>
      </c>
      <c r="AK52" s="25"/>
      <c r="AM52" s="23"/>
      <c r="AO52" s="20" t="str">
        <f t="shared" ref="AO52:AP71" si="56">U52</f>
        <v>BALI_NT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24.028437515328498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14.862627223266166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4.6130521306024317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1.2119611351666215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0.27606173380007448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0.80586686980896416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4.4603999999999998E-2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45.842610607972766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BALI_NT</v>
      </c>
      <c r="C53" s="20">
        <f t="shared" si="52"/>
        <v>2020</v>
      </c>
      <c r="D53" s="30">
        <f>(bali_nt!D29*3.6/(VLOOKUP(D$51,tech_data!$B$2:$J$15,4,FALSE)/100))/1000</f>
        <v>23.791767863130534</v>
      </c>
      <c r="E53" s="30">
        <f>(bali_nt!E29*3.6/(VLOOKUP(E$51,tech_data!$B$2:$J$15,4,FALSE)/100))/1000</f>
        <v>19.930316066377571</v>
      </c>
      <c r="F53" s="30">
        <f>(bali_nt!F29*3.6/(VLOOKUP(F$51,tech_data!$B$2:$J$15,4,FALSE)/100))/1000</f>
        <v>0</v>
      </c>
      <c r="G53" s="30">
        <f>(bali_nt!G29*3.6/(VLOOKUP(G$51,tech_data!$B$2:$J$15,4,FALSE)/100))/1000</f>
        <v>22.763311301137129</v>
      </c>
      <c r="H53" s="30">
        <f>(bali_nt!H29*3.6/(VLOOKUP(H$51,tech_data!$B$2:$J$15,4,FALSE)/100))/1000</f>
        <v>4.256874830769231</v>
      </c>
      <c r="I53" s="30">
        <f>(bali_nt!I29*3.6/(VLOOKUP(I$51,tech_data!$B$2:$J$15,4,FALSE)/100))/1000</f>
        <v>0.12280501428340081</v>
      </c>
      <c r="J53" s="30">
        <f>(bali_nt!J29*3.6/(VLOOKUP(J$51,tech_data!$B$2:$J$15,4,FALSE)/100))/1000</f>
        <v>0.42617265230769236</v>
      </c>
      <c r="K53" s="30">
        <f t="shared" ref="K53:L53" si="57">K29*3.6/1000</f>
        <v>8.7849097643007329E-2</v>
      </c>
      <c r="L53" s="30">
        <f t="shared" si="57"/>
        <v>0</v>
      </c>
      <c r="M53" s="30">
        <f>(bali_nt!M29*3.6/(VLOOKUP(M$51,tech_data!$B$2:$J$15,4,FALSE)/100))/1000</f>
        <v>1.9651088354141533</v>
      </c>
      <c r="N53" s="30">
        <f t="shared" ref="N53:N71" si="58">N29*3.6/1000</f>
        <v>0</v>
      </c>
      <c r="O53" s="30">
        <f>(bali_nt!O29*3.6/(VLOOKUP(O$51,tech_data!$B$2:$J$15,4,FALSE)/100))/1000</f>
        <v>0</v>
      </c>
      <c r="P53" s="30">
        <f>(bali_nt!P29*3.6/(VLOOKUP(P$51,tech_data!$B$2:$J$15,4,FALSE)/100))/1000</f>
        <v>8.789980563355804E-3</v>
      </c>
      <c r="Q53" s="30">
        <f t="shared" si="53"/>
        <v>73.344205661062716</v>
      </c>
      <c r="R53" s="30"/>
      <c r="T53" s="19"/>
      <c r="U53" s="20" t="str">
        <f t="shared" si="54"/>
        <v>BALI_NT</v>
      </c>
      <c r="V53" s="20">
        <f t="shared" si="54"/>
        <v>2020</v>
      </c>
      <c r="W53" s="30">
        <f>D53*VLOOKUP(W$51,tech_data!$B$2:$K$15,10,FALSE)*1000</f>
        <v>2372515.0913113765</v>
      </c>
      <c r="X53" s="30">
        <f>E53*VLOOKUP(X$51,tech_data!$B$2:$K$15,10,FALSE)*1000</f>
        <v>1237672.6277220473</v>
      </c>
      <c r="Y53" s="30">
        <f>F53*VLOOKUP(Y$51,tech_data!$B$2:$K$15,10,FALSE)*1000</f>
        <v>0</v>
      </c>
      <c r="Z53" s="30">
        <f>G53*VLOOKUP(Z$51,tech_data!$B$2:$K$15,10,FALSE)*1000</f>
        <v>1711118.1105064782</v>
      </c>
      <c r="AA53" s="30">
        <f>H29*VLOOKUP(AA$51,tech_data!$B$2:$K$15,10,FALSE)/1000</f>
        <v>10.040903507076925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220799.62874713424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5542115.4991905438</v>
      </c>
      <c r="AK53" s="25">
        <f>(AJ53-AJ52)/AJ52</f>
        <v>4.8270844154817978E-2</v>
      </c>
      <c r="AL53" s="24">
        <v>6.7000000000000004E-2</v>
      </c>
      <c r="AM53" s="26"/>
      <c r="AN53" s="24"/>
      <c r="AO53" s="20" t="str">
        <f t="shared" si="56"/>
        <v>BALI_NT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35.683396184160074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14.862627223266166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0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4.6130521306024317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1.2119611351666215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0.27606173380007448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0.80586686980896416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10.365470173749985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125.32963506739264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0.47667662615269296</v>
      </c>
      <c r="BD53" s="30">
        <f>SUM(AQ53:BC53)</f>
        <v>193.62474714409964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BALI_NT</v>
      </c>
      <c r="C54" s="20">
        <f t="shared" si="52"/>
        <v>2021</v>
      </c>
      <c r="D54" s="30">
        <f>(bali_nt!D30*3.6/(VLOOKUP(D$51,tech_data!$B$2:$J$15,4,FALSE)/100))/1000</f>
        <v>27.514833086605389</v>
      </c>
      <c r="E54" s="30">
        <f>(bali_nt!E30*3.6/(VLOOKUP(E$51,tech_data!$B$2:$J$15,4,FALSE)/100))/1000</f>
        <v>19.930316066377571</v>
      </c>
      <c r="F54" s="30">
        <f>(bali_nt!F30*3.6/(VLOOKUP(F$51,tech_data!$B$2:$J$15,4,FALSE)/100))/1000</f>
        <v>0</v>
      </c>
      <c r="G54" s="30">
        <f>(bali_nt!G30*3.6/(VLOOKUP(G$51,tech_data!$B$2:$J$15,4,FALSE)/100))/1000</f>
        <v>22.763311301137129</v>
      </c>
      <c r="H54" s="30">
        <f>(bali_nt!H30*3.6/(VLOOKUP(H$51,tech_data!$B$2:$J$15,4,FALSE)/100))/1000</f>
        <v>28.710629084834384</v>
      </c>
      <c r="I54" s="30">
        <f>(bali_nt!I30*3.6/(VLOOKUP(I$51,tech_data!$B$2:$J$15,4,FALSE)/100))/1000</f>
        <v>0.12280501428340081</v>
      </c>
      <c r="J54" s="30">
        <f>(bali_nt!J30*3.6/(VLOOKUP(J$51,tech_data!$B$2:$J$15,4,FALSE)/100))/1000</f>
        <v>0.42617265230769236</v>
      </c>
      <c r="K54" s="30">
        <f t="shared" ref="K54:L54" si="59">K30*3.6/1000</f>
        <v>0.27849980018835935</v>
      </c>
      <c r="L54" s="30">
        <f t="shared" si="59"/>
        <v>0</v>
      </c>
      <c r="M54" s="30">
        <f>(bali_nt!M30*3.6/(VLOOKUP(M$51,tech_data!$B$2:$J$15,4,FALSE)/100))/1000</f>
        <v>1.9651088064096405</v>
      </c>
      <c r="N54" s="30">
        <f t="shared" si="58"/>
        <v>-3.5999999998653341E-9</v>
      </c>
      <c r="O54" s="30">
        <f>(bali_nt!O30*3.6/(VLOOKUP(O$51,tech_data!$B$2:$J$15,4,FALSE)/100))/1000</f>
        <v>0</v>
      </c>
      <c r="P54" s="30">
        <f>(bali_nt!P30*3.6/(VLOOKUP(P$51,tech_data!$B$2:$J$15,4,FALSE)/100))/1000</f>
        <v>1.0354177969624453E-2</v>
      </c>
      <c r="Q54" s="30">
        <f t="shared" si="53"/>
        <v>101.71167580854357</v>
      </c>
      <c r="R54" s="30"/>
      <c r="T54" s="19"/>
      <c r="U54" s="20" t="str">
        <f t="shared" si="54"/>
        <v>BALI_NT</v>
      </c>
      <c r="V54" s="20">
        <f t="shared" si="54"/>
        <v>2021</v>
      </c>
      <c r="W54" s="30">
        <f>D54*VLOOKUP(W$51,tech_data!$B$2:$K$15,10,FALSE)*1000</f>
        <v>2743779.1553962892</v>
      </c>
      <c r="X54" s="30">
        <f>E54*VLOOKUP(X$51,tech_data!$B$2:$K$15,10,FALSE)*1000</f>
        <v>1237672.6277220473</v>
      </c>
      <c r="Y54" s="30">
        <f>F54*VLOOKUP(Y$51,tech_data!$B$2:$K$15,10,FALSE)*1000</f>
        <v>0</v>
      </c>
      <c r="Z54" s="30">
        <f>G54*VLOOKUP(Z$51,tech_data!$B$2:$K$15,10,FALSE)*1000</f>
        <v>1711118.1105064782</v>
      </c>
      <c r="AA54" s="30">
        <f>H30*VLOOKUP(AA$51,tech_data!$B$2:$K$15,10,FALSE)/1000</f>
        <v>67.721196353853117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220799.62548818719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5913437.2403093548</v>
      </c>
      <c r="AK54" s="25">
        <f t="shared" ref="AK54:AK71" si="60">(AJ54-AJ53)/AJ53</f>
        <v>6.7000000482314859E-2</v>
      </c>
      <c r="AL54" s="24">
        <f>AL53</f>
        <v>6.7000000000000004E-2</v>
      </c>
      <c r="AM54" s="26"/>
      <c r="AN54" s="24"/>
      <c r="AO54" s="20" t="str">
        <f t="shared" si="56"/>
        <v>BALI_NT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150.15397449219751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14.862627223266166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0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4.6130521306024317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552.94532664645476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0.27606173380007448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0.80586686980896416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32.668021730310215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2.9246567133548615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-1.6482270706479409E-6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8.9219054291154648E-2</v>
      </c>
      <c r="BD54" s="30">
        <f t="shared" ref="BD54:BD71" si="61">SUM(AQ54:BC54)</f>
        <v>759.33880494585878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BALI_NT</v>
      </c>
      <c r="C55" s="20">
        <f t="shared" si="52"/>
        <v>2022</v>
      </c>
      <c r="D55" s="30">
        <f>(bali_nt!D31*3.6/(VLOOKUP(D$51,tech_data!$B$2:$J$15,4,FALSE)/100))/1000</f>
        <v>30.048440228272678</v>
      </c>
      <c r="E55" s="30">
        <f>(bali_nt!E31*3.6/(VLOOKUP(E$51,tech_data!$B$2:$J$15,4,FALSE)/100))/1000</f>
        <v>19.930316066377571</v>
      </c>
      <c r="F55" s="30">
        <f>(bali_nt!F31*3.6/(VLOOKUP(F$51,tech_data!$B$2:$J$15,4,FALSE)/100))/1000</f>
        <v>2.3115780536622292</v>
      </c>
      <c r="G55" s="30">
        <f>(bali_nt!G31*3.6/(VLOOKUP(G$51,tech_data!$B$2:$J$15,4,FALSE)/100))/1000</f>
        <v>22.763311262028264</v>
      </c>
      <c r="H55" s="30">
        <f>(bali_nt!H31*3.6/(VLOOKUP(H$51,tech_data!$B$2:$J$15,4,FALSE)/100))/1000</f>
        <v>28.710629084834384</v>
      </c>
      <c r="I55" s="30">
        <f>(bali_nt!I31*3.6/(VLOOKUP(I$51,tech_data!$B$2:$J$15,4,FALSE)/100))/1000</f>
        <v>1.3796810324642044</v>
      </c>
      <c r="J55" s="30">
        <f>(bali_nt!J31*3.6/(VLOOKUP(J$51,tech_data!$B$2:$J$15,4,FALSE)/100))/1000</f>
        <v>0.42617265230769236</v>
      </c>
      <c r="K55" s="30">
        <f t="shared" ref="K55:L55" si="62">K31*3.6/1000</f>
        <v>0.36409291942189437</v>
      </c>
      <c r="L55" s="30">
        <f t="shared" si="62"/>
        <v>0</v>
      </c>
      <c r="M55" s="30">
        <f>(bali_nt!M31*3.6/(VLOOKUP(M$51,tech_data!$B$2:$J$15,4,FALSE)/100))/1000</f>
        <v>1.9651087774051288</v>
      </c>
      <c r="N55" s="30">
        <f t="shared" si="58"/>
        <v>1.2696416234417321E-16</v>
      </c>
      <c r="O55" s="30">
        <f>(bali_nt!O31*3.6/(VLOOKUP(O$51,tech_data!$B$2:$J$15,4,FALSE)/100))/1000</f>
        <v>0</v>
      </c>
      <c r="P55" s="30">
        <f>(bali_nt!P31*3.6/(VLOOKUP(P$51,tech_data!$B$2:$J$15,4,FALSE)/100))/1000</f>
        <v>1.1485078513364859E-2</v>
      </c>
      <c r="Q55" s="30">
        <f t="shared" si="53"/>
        <v>107.89933007677406</v>
      </c>
      <c r="R55" s="30"/>
      <c r="T55" s="19"/>
      <c r="U55" s="20" t="str">
        <f t="shared" si="54"/>
        <v>BALI_NT</v>
      </c>
      <c r="V55" s="20">
        <f t="shared" si="54"/>
        <v>2022</v>
      </c>
      <c r="W55" s="30">
        <f>D55*VLOOKUP(W$51,tech_data!$B$2:$K$15,10,FALSE)*1000</f>
        <v>2996430.4595633517</v>
      </c>
      <c r="X55" s="30">
        <f>E55*VLOOKUP(X$51,tech_data!$B$2:$K$15,10,FALSE)*1000</f>
        <v>1237672.6277220473</v>
      </c>
      <c r="Y55" s="30">
        <f>F55*VLOOKUP(Y$51,tech_data!$B$2:$K$15,10,FALSE)*1000</f>
        <v>143548.99713242444</v>
      </c>
      <c r="Z55" s="30">
        <f>G55*VLOOKUP(Z$51,tech_data!$B$2:$K$15,10,FALSE)*1000</f>
        <v>1711118.1075666645</v>
      </c>
      <c r="AA55" s="30">
        <f>H31*VLOOKUP(AA$51,tech_data!$B$2:$K$15,10,FALSE)/1000</f>
        <v>67.721196353853117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220799.62222924028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6309637.535410081</v>
      </c>
      <c r="AK55" s="25">
        <f t="shared" si="60"/>
        <v>6.6999999999999907E-2</v>
      </c>
      <c r="AL55" s="24">
        <f>AL54</f>
        <v>6.7000000000000004E-2</v>
      </c>
      <c r="AM55" s="26"/>
      <c r="AN55" s="24"/>
      <c r="AO55" s="20" t="str">
        <f t="shared" si="56"/>
        <v>BALI_NT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113.78732753040704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14.862627223266166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91.510302729744922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4.6130513293435724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8.1741108208051116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158.25655595797875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0.80586686980896416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15.056247727779313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2.9246566701876366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1.6039255828295678E-6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6.6503369383408534E-2</v>
      </c>
      <c r="BD55" s="30">
        <f t="shared" si="61"/>
        <v>410.05725183263036</v>
      </c>
      <c r="BE55" s="20">
        <v>2022</v>
      </c>
      <c r="BF55" s="23"/>
      <c r="BG55" s="19"/>
      <c r="BH55" s="30"/>
      <c r="BI55" s="30">
        <f>MIN($BD$53)</f>
        <v>193.62474714409964</v>
      </c>
      <c r="BJ55" s="30">
        <f>MIN($BD$54)</f>
        <v>759.33880494585878</v>
      </c>
      <c r="BK55" s="30">
        <f t="shared" ref="BK55" si="63">MIN($BD$55)</f>
        <v>410.05725183263036</v>
      </c>
      <c r="BL55" s="30">
        <f>MIN($BD$56)</f>
        <v>108.84454294053261</v>
      </c>
      <c r="BM55" s="30">
        <f>MIN($BD$57)</f>
        <v>236.16784793030507</v>
      </c>
      <c r="BN55" s="30">
        <f>MIN($BD$58)</f>
        <v>214.19125433583412</v>
      </c>
      <c r="BO55" s="30">
        <f>MIN($BD$59)</f>
        <v>150.3974204030776</v>
      </c>
      <c r="BP55" s="30">
        <f>MIN($BD$60)</f>
        <v>195.25501061631704</v>
      </c>
      <c r="BQ55" s="30">
        <f>MIN($BD$61)</f>
        <v>165.9310000013779</v>
      </c>
      <c r="BR55" s="30">
        <f>MIN($BD$62)</f>
        <v>305.10968608575018</v>
      </c>
      <c r="BS55" s="30">
        <f>MIN($BD$63)</f>
        <v>523.16954241872463</v>
      </c>
      <c r="BT55" s="30">
        <f>MIN($BD$64)</f>
        <v>644.00258921430577</v>
      </c>
      <c r="BU55" s="30">
        <f>MIN($BD$65)</f>
        <v>327.71611433902763</v>
      </c>
      <c r="BV55" s="30">
        <f>MIN($BD$66)</f>
        <v>253.80875122758189</v>
      </c>
      <c r="BW55" s="30">
        <f>MIN($BD$67)</f>
        <v>469.90690858374234</v>
      </c>
      <c r="BX55" s="30">
        <f>MIN($BD$68)</f>
        <v>269.06049041297962</v>
      </c>
      <c r="BY55" s="30">
        <f>MIN($BD$69)</f>
        <v>1084.3081183565923</v>
      </c>
      <c r="BZ55" s="30">
        <f>MIN($BD$70)</f>
        <v>965.11361602263639</v>
      </c>
      <c r="CA55" s="30">
        <f>MIN($BD$71)</f>
        <v>1061.0268610293856</v>
      </c>
      <c r="CD55" s="23"/>
    </row>
    <row r="56" spans="1:82" x14ac:dyDescent="0.25">
      <c r="A56" s="19"/>
      <c r="B56" s="20" t="str">
        <f t="shared" si="52"/>
        <v>BALI_NT</v>
      </c>
      <c r="C56" s="20">
        <f t="shared" si="52"/>
        <v>2023</v>
      </c>
      <c r="D56" s="30">
        <f>(bali_nt!D32*3.6/(VLOOKUP(D$51,tech_data!$B$2:$J$15,4,FALSE)/100))/1000</f>
        <v>30.118113974395186</v>
      </c>
      <c r="E56" s="30">
        <f>(bali_nt!E32*3.6/(VLOOKUP(E$51,tech_data!$B$2:$J$15,4,FALSE)/100))/1000</f>
        <v>19.969776431299799</v>
      </c>
      <c r="F56" s="30">
        <f>(bali_nt!F32*3.6/(VLOOKUP(F$51,tech_data!$B$2:$J$15,4,FALSE)/100))/1000</f>
        <v>2.3379327015538567</v>
      </c>
      <c r="G56" s="30">
        <f>(bali_nt!G32*3.6/(VLOOKUP(G$51,tech_data!$B$2:$J$15,4,FALSE)/100))/1000</f>
        <v>22.814464597360192</v>
      </c>
      <c r="H56" s="30">
        <f>(bali_nt!H32*3.6/(VLOOKUP(H$51,tech_data!$B$2:$J$15,4,FALSE)/100))/1000</f>
        <v>28.97770817383492</v>
      </c>
      <c r="I56" s="30">
        <f>(bali_nt!I32*3.6/(VLOOKUP(I$51,tech_data!$B$2:$J$15,4,FALSE)/100))/1000</f>
        <v>1.4016837860493607</v>
      </c>
      <c r="J56" s="30">
        <f>(bali_nt!J32*3.6/(VLOOKUP(J$51,tech_data!$B$2:$J$15,4,FALSE)/100))/1000</f>
        <v>0.42618686128254862</v>
      </c>
      <c r="K56" s="30">
        <f t="shared" ref="K56:L56" si="64">K32*3.6/1000</f>
        <v>0.49776618684695834</v>
      </c>
      <c r="L56" s="30">
        <f t="shared" si="64"/>
        <v>5.7614455932118636E-7</v>
      </c>
      <c r="M56" s="30">
        <f>(bali_nt!M32*3.6/(VLOOKUP(M$51,tech_data!$B$2:$J$15,4,FALSE)/100))/1000</f>
        <v>2.0098641844366649</v>
      </c>
      <c r="N56" s="30">
        <f t="shared" si="58"/>
        <v>5.7690397581471065E-7</v>
      </c>
      <c r="O56" s="30">
        <f>(bali_nt!O32*3.6/(VLOOKUP(O$51,tech_data!$B$2:$J$15,4,FALSE)/100))/1000</f>
        <v>0</v>
      </c>
      <c r="P56" s="30">
        <f>(bali_nt!P32*3.6/(VLOOKUP(P$51,tech_data!$B$2:$J$15,4,FALSE)/100))/1000</f>
        <v>1.1605833903140355E-2</v>
      </c>
      <c r="Q56" s="30">
        <f t="shared" si="53"/>
        <v>108.55349805010802</v>
      </c>
      <c r="R56" s="30"/>
      <c r="T56" s="19"/>
      <c r="U56" s="20" t="str">
        <f t="shared" si="54"/>
        <v>BALI_NT</v>
      </c>
      <c r="V56" s="20">
        <f t="shared" si="54"/>
        <v>2023</v>
      </c>
      <c r="W56" s="30">
        <f>D56*VLOOKUP(W$51,tech_data!$B$2:$K$15,10,FALSE)*1000</f>
        <v>3003378.3255266882</v>
      </c>
      <c r="X56" s="30">
        <f>E56*VLOOKUP(X$51,tech_data!$B$2:$K$15,10,FALSE)*1000</f>
        <v>1240123.1163837176</v>
      </c>
      <c r="Y56" s="30">
        <f>F56*VLOOKUP(Y$51,tech_data!$B$2:$K$15,10,FALSE)*1000</f>
        <v>145185.62076649451</v>
      </c>
      <c r="Z56" s="30">
        <f>G56*VLOOKUP(Z$51,tech_data!$B$2:$K$15,10,FALSE)*1000</f>
        <v>1714963.3037835655</v>
      </c>
      <c r="AA56" s="30">
        <f>H32*VLOOKUP(AA$51,tech_data!$B$2:$K$15,10,FALSE)/1000</f>
        <v>68.351169155033119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225828.33976330367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6329547.0573929241</v>
      </c>
      <c r="AK56" s="25">
        <f t="shared" si="60"/>
        <v>3.1554145338951044E-3</v>
      </c>
      <c r="AL56" s="24">
        <f t="shared" ref="AL56:AL70" si="65">AL55</f>
        <v>6.7000000000000004E-2</v>
      </c>
      <c r="AM56" s="26"/>
      <c r="AN56" s="24"/>
      <c r="AO56" s="20" t="str">
        <f t="shared" si="56"/>
        <v>BALI_NT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33.147600505570331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15.842384551121722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4.1292062506826612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5.661077155533575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14.200034002210067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5.8670704166304155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0.80726115909754292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23.398241928588597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6.9627579158383458E-5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5.7790443151699034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2.6413020831504431E-4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1.2288898140293207E-2</v>
      </c>
      <c r="BD56" s="30">
        <f t="shared" si="61"/>
        <v>108.84454294053261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BALI_NT</v>
      </c>
      <c r="C57" s="20">
        <f t="shared" si="52"/>
        <v>2024</v>
      </c>
      <c r="D57" s="30">
        <f>(bali_nt!D33*3.6/(VLOOKUP(D$51,tech_data!$B$2:$J$15,4,FALSE)/100))/1000</f>
        <v>30.118113974395186</v>
      </c>
      <c r="E57" s="30">
        <f>(bali_nt!E33*3.6/(VLOOKUP(E$51,tech_data!$B$2:$J$15,4,FALSE)/100))/1000</f>
        <v>19.969776431299799</v>
      </c>
      <c r="F57" s="30">
        <f>(bali_nt!F33*3.6/(VLOOKUP(F$51,tech_data!$B$2:$J$15,4,FALSE)/100))/1000</f>
        <v>2.3379327015538567</v>
      </c>
      <c r="G57" s="30">
        <f>(bali_nt!G33*3.6/(VLOOKUP(G$51,tech_data!$B$2:$J$15,4,FALSE)/100))/1000</f>
        <v>22.814464597360192</v>
      </c>
      <c r="H57" s="30">
        <f>(bali_nt!H33*3.6/(VLOOKUP(H$51,tech_data!$B$2:$J$15,4,FALSE)/100))/1000</f>
        <v>28.97770817383492</v>
      </c>
      <c r="I57" s="30">
        <f>(bali_nt!I33*3.6/(VLOOKUP(I$51,tech_data!$B$2:$J$15,4,FALSE)/100))/1000</f>
        <v>1.4016837692267561</v>
      </c>
      <c r="J57" s="30">
        <f>(bali_nt!J33*3.6/(VLOOKUP(J$51,tech_data!$B$2:$J$15,4,FALSE)/100))/1000</f>
        <v>0.42618686128254862</v>
      </c>
      <c r="K57" s="30">
        <f t="shared" ref="K57:L57" si="66">K33*3.6/1000</f>
        <v>0.49776618684695834</v>
      </c>
      <c r="L57" s="30">
        <f t="shared" si="66"/>
        <v>5.7614455932118636E-7</v>
      </c>
      <c r="M57" s="30">
        <f>(bali_nt!M33*3.6/(VLOOKUP(M$51,tech_data!$B$2:$J$15,4,FALSE)/100))/1000</f>
        <v>4.6226479534091638</v>
      </c>
      <c r="N57" s="30">
        <f t="shared" si="58"/>
        <v>5.7690397581471065E-7</v>
      </c>
      <c r="O57" s="30">
        <f>(bali_nt!O33*3.6/(VLOOKUP(O$51,tech_data!$B$2:$J$15,4,FALSE)/100))/1000</f>
        <v>0</v>
      </c>
      <c r="P57" s="30">
        <f>(bali_nt!P33*3.6/(VLOOKUP(P$51,tech_data!$B$2:$J$15,4,FALSE)/100))/1000</f>
        <v>1.1854948106832342E-2</v>
      </c>
      <c r="Q57" s="30">
        <f t="shared" si="53"/>
        <v>111.16628180225791</v>
      </c>
      <c r="R57" s="30"/>
      <c r="T57" s="19"/>
      <c r="U57" s="20" t="str">
        <f t="shared" si="54"/>
        <v>BALI_NT</v>
      </c>
      <c r="V57" s="20">
        <f t="shared" si="54"/>
        <v>2024</v>
      </c>
      <c r="W57" s="30">
        <f>D57*VLOOKUP(W$51,tech_data!$B$2:$K$15,10,FALSE)*1000</f>
        <v>3003378.3255266882</v>
      </c>
      <c r="X57" s="30">
        <f>E57*VLOOKUP(X$51,tech_data!$B$2:$K$15,10,FALSE)*1000</f>
        <v>1240123.1163837176</v>
      </c>
      <c r="Y57" s="30">
        <f>F57*VLOOKUP(Y$51,tech_data!$B$2:$K$15,10,FALSE)*1000</f>
        <v>145185.62076649451</v>
      </c>
      <c r="Z57" s="30">
        <f>G57*VLOOKUP(Z$51,tech_data!$B$2:$K$15,10,FALSE)*1000</f>
        <v>1714963.3037835655</v>
      </c>
      <c r="AA57" s="30">
        <f>H33*VLOOKUP(AA$51,tech_data!$B$2:$K$15,10,FALSE)/1000</f>
        <v>68.351169155033119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519400.72404505359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6623119.4416746739</v>
      </c>
      <c r="AK57" s="25">
        <f t="shared" si="60"/>
        <v>4.6381262611651916E-2</v>
      </c>
      <c r="AL57" s="24">
        <f t="shared" si="65"/>
        <v>6.7000000000000004E-2</v>
      </c>
      <c r="AM57" s="26"/>
      <c r="AN57" s="24"/>
      <c r="AO57" s="20" t="str">
        <f t="shared" si="56"/>
        <v>BALI_NT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30.86529582160955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14.892053986593945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3.121066193187493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4.6234184968576519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8.250150048819215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3.1509380851021591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0.80589373812636711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0.81175177241839258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2.6746481755325412E-6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169.62795992056959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7.0993716647091934E-6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1.931009300084879E-2</v>
      </c>
      <c r="BD57" s="30">
        <f t="shared" si="61"/>
        <v>236.16784793030507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BALI_NT</v>
      </c>
      <c r="C58" s="20">
        <f t="shared" si="52"/>
        <v>2025</v>
      </c>
      <c r="D58" s="30">
        <f>(bali_nt!D34*3.6/(VLOOKUP(D$51,tech_data!$B$2:$J$15,4,FALSE)/100))/1000</f>
        <v>30.173896551724138</v>
      </c>
      <c r="E58" s="30">
        <f>(bali_nt!E34*3.6/(VLOOKUP(E$51,tech_data!$B$2:$J$15,4,FALSE)/100))/1000</f>
        <v>19.969776431299799</v>
      </c>
      <c r="F58" s="30">
        <f>(bali_nt!F34*3.6/(VLOOKUP(F$51,tech_data!$B$2:$J$15,4,FALSE)/100))/1000</f>
        <v>2.4572955534338434</v>
      </c>
      <c r="G58" s="30">
        <f>(bali_nt!G34*3.6/(VLOOKUP(G$51,tech_data!$B$2:$J$15,4,FALSE)/100))/1000</f>
        <v>22.814464597360192</v>
      </c>
      <c r="H58" s="30">
        <f>(bali_nt!H34*3.6/(VLOOKUP(H$51,tech_data!$B$2:$J$15,4,FALSE)/100))/1000</f>
        <v>28.97770817383492</v>
      </c>
      <c r="I58" s="30">
        <f>(bali_nt!I34*3.6/(VLOOKUP(I$51,tech_data!$B$2:$J$15,4,FALSE)/100))/1000</f>
        <v>1.4016837692267561</v>
      </c>
      <c r="J58" s="30">
        <f>(bali_nt!J34*3.6/(VLOOKUP(J$51,tech_data!$B$2:$J$15,4,FALSE)/100))/1000</f>
        <v>0.42618686128254862</v>
      </c>
      <c r="K58" s="30">
        <f t="shared" ref="K58:L58" si="67">K34*3.6/1000</f>
        <v>0.52989277991853856</v>
      </c>
      <c r="L58" s="30">
        <f t="shared" si="67"/>
        <v>5.7614455932118636E-7</v>
      </c>
      <c r="M58" s="30">
        <f>(bali_nt!M34*3.6/(VLOOKUP(M$51,tech_data!$B$2:$J$15,4,FALSE)/100))/1000</f>
        <v>6.6403118677034572</v>
      </c>
      <c r="N58" s="30">
        <f t="shared" si="58"/>
        <v>5.7690397581471065E-7</v>
      </c>
      <c r="O58" s="30">
        <f>(bali_nt!O34*3.6/(VLOOKUP(O$51,tech_data!$B$2:$J$15,4,FALSE)/100))/1000</f>
        <v>0</v>
      </c>
      <c r="P58" s="30">
        <f>(bali_nt!P34*3.6/(VLOOKUP(P$51,tech_data!$B$2:$J$15,4,FALSE)/100))/1000</f>
        <v>1.209324759153748E-2</v>
      </c>
      <c r="Q58" s="30">
        <f t="shared" si="53"/>
        <v>113.39121773883271</v>
      </c>
      <c r="R58" s="30"/>
      <c r="T58" s="19"/>
      <c r="U58" s="20" t="str">
        <f t="shared" si="54"/>
        <v>BALI_NT</v>
      </c>
      <c r="V58" s="20">
        <f t="shared" si="54"/>
        <v>2025</v>
      </c>
      <c r="W58" s="30">
        <f>D58*VLOOKUP(W$51,tech_data!$B$2:$K$15,10,FALSE)*1000</f>
        <v>3008940.9641379314</v>
      </c>
      <c r="X58" s="30">
        <f>E58*VLOOKUP(X$51,tech_data!$B$2:$K$15,10,FALSE)*1000</f>
        <v>1240123.1163837176</v>
      </c>
      <c r="Y58" s="30">
        <f>F58*VLOOKUP(Y$51,tech_data!$B$2:$K$15,10,FALSE)*1000</f>
        <v>152598.0538682417</v>
      </c>
      <c r="Z58" s="30">
        <f>G58*VLOOKUP(Z$51,tech_data!$B$2:$K$15,10,FALSE)*1000</f>
        <v>1714963.3037835655</v>
      </c>
      <c r="AA58" s="30">
        <f>H34*VLOOKUP(AA$51,tech_data!$B$2:$K$15,10,FALSE)/1000</f>
        <v>68.351169155033119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746105.44145516038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6862799.2307977714</v>
      </c>
      <c r="AK58" s="25">
        <f t="shared" si="60"/>
        <v>3.6188353725732259E-2</v>
      </c>
      <c r="AL58" s="24">
        <f t="shared" si="65"/>
        <v>6.7000000000000004E-2</v>
      </c>
      <c r="AM58" s="26"/>
      <c r="AN58" s="24"/>
      <c r="AO58" s="20" t="str">
        <f t="shared" si="56"/>
        <v>BALI_NT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32.749733587201526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14.892053986593945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7.8463795750644874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4.6234184968576519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8.250150048819215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3.1509401617688244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0.80589373812636711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6.2925061713624881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2.6746481755325412E-6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135.56132066983076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7.0993716647091934E-6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1.8848126188986011E-2</v>
      </c>
      <c r="BD58" s="30">
        <f t="shared" si="61"/>
        <v>214.19125433583412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0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52"/>
        <v>BALI_NT</v>
      </c>
      <c r="C59" s="20">
        <f t="shared" si="52"/>
        <v>2026</v>
      </c>
      <c r="D59" s="30">
        <f>(bali_nt!D35*3.6/(VLOOKUP(D$51,tech_data!$B$2:$J$15,4,FALSE)/100))/1000</f>
        <v>30.272381377254764</v>
      </c>
      <c r="E59" s="30">
        <f>(bali_nt!E35*3.6/(VLOOKUP(E$51,tech_data!$B$2:$J$15,4,FALSE)/100))/1000</f>
        <v>19.969776431299799</v>
      </c>
      <c r="F59" s="30">
        <f>(bali_nt!F35*3.6/(VLOOKUP(F$51,tech_data!$B$2:$J$15,4,FALSE)/100))/1000</f>
        <v>2.4572955363545002</v>
      </c>
      <c r="G59" s="30">
        <f>(bali_nt!G35*3.6/(VLOOKUP(G$51,tech_data!$B$2:$J$15,4,FALSE)/100))/1000</f>
        <v>22.814464597360192</v>
      </c>
      <c r="H59" s="30">
        <f>(bali_nt!H35*3.6/(VLOOKUP(H$51,tech_data!$B$2:$J$15,4,FALSE)/100))/1000</f>
        <v>28.977708000791225</v>
      </c>
      <c r="I59" s="30">
        <f>(bali_nt!I35*3.6/(VLOOKUP(I$51,tech_data!$B$2:$J$15,4,FALSE)/100))/1000</f>
        <v>1.4016837692267561</v>
      </c>
      <c r="J59" s="30">
        <f>(bali_nt!J35*3.6/(VLOOKUP(J$51,tech_data!$B$2:$J$15,4,FALSE)/100))/1000</f>
        <v>0.42618686128254862</v>
      </c>
      <c r="K59" s="30">
        <f t="shared" ref="K59:L59" si="68">K35*3.6/1000</f>
        <v>0.580263279741289</v>
      </c>
      <c r="L59" s="30">
        <f t="shared" si="68"/>
        <v>5.7616920269153619E-7</v>
      </c>
      <c r="M59" s="30">
        <f>(bali_nt!M35*3.6/(VLOOKUP(M$51,tech_data!$B$2:$J$15,4,FALSE)/100))/1000</f>
        <v>7.609178740134257</v>
      </c>
      <c r="N59" s="30">
        <f t="shared" si="58"/>
        <v>5.7692769407244209E-7</v>
      </c>
      <c r="O59" s="30">
        <f>(bali_nt!O35*3.6/(VLOOKUP(O$51,tech_data!$B$2:$J$15,4,FALSE)/100))/1000</f>
        <v>0</v>
      </c>
      <c r="P59" s="30">
        <f>(bali_nt!P35*3.6/(VLOOKUP(P$51,tech_data!$B$2:$J$15,4,FALSE)/100))/1000</f>
        <v>1.2225365722858395E-2</v>
      </c>
      <c r="Q59" s="30">
        <f t="shared" si="53"/>
        <v>114.50893974654221</v>
      </c>
      <c r="R59" s="30"/>
      <c r="T59" s="19"/>
      <c r="U59" s="20" t="str">
        <f t="shared" si="54"/>
        <v>BALI_NT</v>
      </c>
      <c r="V59" s="20">
        <f t="shared" si="54"/>
        <v>2026</v>
      </c>
      <c r="W59" s="30">
        <f>D59*VLOOKUP(W$51,tech_data!$B$2:$K$15,10,FALSE)*1000</f>
        <v>3018761.8709398448</v>
      </c>
      <c r="X59" s="30">
        <f>E59*VLOOKUP(X$51,tech_data!$B$2:$K$15,10,FALSE)*1000</f>
        <v>1240123.1163837176</v>
      </c>
      <c r="Y59" s="30">
        <f>F59*VLOOKUP(Y$51,tech_data!$B$2:$K$15,10,FALSE)*1000</f>
        <v>152598.05280761447</v>
      </c>
      <c r="Z59" s="30">
        <f>G59*VLOOKUP(Z$51,tech_data!$B$2:$K$15,10,FALSE)*1000</f>
        <v>1714963.3037835655</v>
      </c>
      <c r="AA59" s="30">
        <f>H35*VLOOKUP(AA$51,tech_data!$B$2:$K$15,10,FALSE)/1000</f>
        <v>68.351168746866307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854967.32324148517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6981482.0183249749</v>
      </c>
      <c r="AK59" s="25">
        <f t="shared" si="60"/>
        <v>1.7293641200313417E-2</v>
      </c>
      <c r="AL59" s="24">
        <f t="shared" si="65"/>
        <v>6.7000000000000004E-2</v>
      </c>
      <c r="AM59" s="26"/>
      <c r="AN59" s="24"/>
      <c r="AO59" s="20" t="str">
        <f t="shared" si="56"/>
        <v>BALI_NT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34.249460299111256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14.892053986593945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3.2804111481224019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4.6234184968576519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8.2501461445525006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3.1509401617688244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0.80589373812636711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9.4572843013674088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2.6776263486177401E-6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71.674593273647943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7.1102308520599333E-6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1.3209065072090844E-2</v>
      </c>
      <c r="BD59" s="30">
        <f t="shared" si="61"/>
        <v>150.3974204030776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1</v>
      </c>
      <c r="BW59" s="20" t="b">
        <f>$AQ$43&gt;=$AW$43</f>
        <v>1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BALI_NT</v>
      </c>
      <c r="C60" s="20">
        <f t="shared" si="52"/>
        <v>2027</v>
      </c>
      <c r="D60" s="30">
        <f>(bali_nt!D36*3.6/(VLOOKUP(D$51,tech_data!$B$2:$J$15,4,FALSE)/100))/1000</f>
        <v>30.562510344827583</v>
      </c>
      <c r="E60" s="30">
        <f>(bali_nt!E36*3.6/(VLOOKUP(E$51,tech_data!$B$2:$J$15,4,FALSE)/100))/1000</f>
        <v>19.969776431299799</v>
      </c>
      <c r="F60" s="30">
        <f>(bali_nt!F36*3.6/(VLOOKUP(F$51,tech_data!$B$2:$J$15,4,FALSE)/100))/1000</f>
        <v>2.4572955363545002</v>
      </c>
      <c r="G60" s="30">
        <f>(bali_nt!G36*3.6/(VLOOKUP(G$51,tech_data!$B$2:$J$15,4,FALSE)/100))/1000</f>
        <v>22.814464597360192</v>
      </c>
      <c r="H60" s="30">
        <f>(bali_nt!H36*3.6/(VLOOKUP(H$51,tech_data!$B$2:$J$15,4,FALSE)/100))/1000</f>
        <v>28.977708000791225</v>
      </c>
      <c r="I60" s="30">
        <f>(bali_nt!I36*3.6/(VLOOKUP(I$51,tech_data!$B$2:$J$15,4,FALSE)/100))/1000</f>
        <v>1.4016837692267561</v>
      </c>
      <c r="J60" s="30">
        <f>(bali_nt!J36*3.6/(VLOOKUP(J$51,tech_data!$B$2:$J$15,4,FALSE)/100))/1000</f>
        <v>0.42618686128254862</v>
      </c>
      <c r="K60" s="30">
        <f t="shared" ref="K60:L60" si="69">K36*3.6/1000</f>
        <v>0.64731967519248867</v>
      </c>
      <c r="L60" s="30">
        <f t="shared" si="69"/>
        <v>5.7633222769948214E-7</v>
      </c>
      <c r="M60" s="30">
        <f>(bali_nt!M36*3.6/(VLOOKUP(M$51,tech_data!$B$2:$J$15,4,FALSE)/100))/1000</f>
        <v>9.1096961828052088</v>
      </c>
      <c r="N60" s="30">
        <f t="shared" si="58"/>
        <v>5.7708465128958147E-7</v>
      </c>
      <c r="O60" s="30">
        <f>(bali_nt!O36*3.6/(VLOOKUP(O$51,tech_data!$B$2:$J$15,4,FALSE)/100))/1000</f>
        <v>0</v>
      </c>
      <c r="P60" s="30">
        <f>(bali_nt!P36*3.6/(VLOOKUP(P$51,tech_data!$B$2:$J$15,4,FALSE)/100))/1000</f>
        <v>1.2440250150548279E-2</v>
      </c>
      <c r="Q60" s="30">
        <f t="shared" si="53"/>
        <v>116.36664255255717</v>
      </c>
      <c r="R60" s="30"/>
      <c r="T60" s="19"/>
      <c r="U60" s="20" t="str">
        <f t="shared" si="54"/>
        <v>BALI_NT</v>
      </c>
      <c r="V60" s="20">
        <f t="shared" si="54"/>
        <v>2027</v>
      </c>
      <c r="W60" s="30">
        <f>D60*VLOOKUP(W$51,tech_data!$B$2:$K$15,10,FALSE)*1000</f>
        <v>3047693.5315862065</v>
      </c>
      <c r="X60" s="30">
        <f>E60*VLOOKUP(X$51,tech_data!$B$2:$K$15,10,FALSE)*1000</f>
        <v>1240123.1163837176</v>
      </c>
      <c r="Y60" s="30">
        <f>F60*VLOOKUP(Y$51,tech_data!$B$2:$K$15,10,FALSE)*1000</f>
        <v>152598.05280761447</v>
      </c>
      <c r="Z60" s="30">
        <f>G60*VLOOKUP(Z$51,tech_data!$B$2:$K$15,10,FALSE)*1000</f>
        <v>1714963.3037835655</v>
      </c>
      <c r="AA60" s="30">
        <f>H36*VLOOKUP(AA$51,tech_data!$B$2:$K$15,10,FALSE)/1000</f>
        <v>68.351168746866307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1023565.4630999933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7179011.8188298438</v>
      </c>
      <c r="AK60" s="25">
        <f t="shared" si="60"/>
        <v>2.8293391000133377E-2</v>
      </c>
      <c r="AL60" s="24">
        <f t="shared" si="65"/>
        <v>6.7000000000000004E-2</v>
      </c>
      <c r="AM60" s="26"/>
      <c r="AN60" s="24"/>
      <c r="AO60" s="20" t="str">
        <f t="shared" si="56"/>
        <v>BALI_NT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40.824478961639379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14.892053986593945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3.2804118014557351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4.6234184968576519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8.2501499995524998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3.1509401617688244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0.80589373812636711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12.386019757008057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2.6944642942589931E-6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107.02387036952607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7.1715249674084379E-6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1.7763477799229398E-2</v>
      </c>
      <c r="BD60" s="30">
        <f t="shared" si="61"/>
        <v>195.25501061631704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0</v>
      </c>
      <c r="BP60" s="20" t="b">
        <f>$AR$36&gt;=$AX$36</f>
        <v>0</v>
      </c>
      <c r="BQ60" s="20" t="b">
        <f>$AR$37&gt;=$AX$37</f>
        <v>0</v>
      </c>
      <c r="BR60" s="20" t="b">
        <f>$AR$38&gt;=$AX$38</f>
        <v>0</v>
      </c>
      <c r="BS60" s="20" t="b">
        <f>$AR$39&gt;=$AX$39</f>
        <v>0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0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52"/>
        <v>BALI_NT</v>
      </c>
      <c r="C61" s="20">
        <f t="shared" si="52"/>
        <v>2028</v>
      </c>
      <c r="D61" s="30">
        <f>(bali_nt!D37*3.6/(VLOOKUP(D$51,tech_data!$B$2:$J$15,4,FALSE)/100))/1000</f>
        <v>31.212763468445274</v>
      </c>
      <c r="E61" s="30">
        <f>(bali_nt!E37*3.6/(VLOOKUP(E$51,tech_data!$B$2:$J$15,4,FALSE)/100))/1000</f>
        <v>19.96977640112658</v>
      </c>
      <c r="F61" s="30">
        <f>(bali_nt!F37*3.6/(VLOOKUP(F$51,tech_data!$B$2:$J$15,4,FALSE)/100))/1000</f>
        <v>3.8979409651261796</v>
      </c>
      <c r="G61" s="30">
        <f>(bali_nt!G37*3.6/(VLOOKUP(G$51,tech_data!$B$2:$J$15,4,FALSE)/100))/1000</f>
        <v>22.814464597360192</v>
      </c>
      <c r="H61" s="30">
        <f>(bali_nt!H37*3.6/(VLOOKUP(H$51,tech_data!$B$2:$J$15,4,FALSE)/100))/1000</f>
        <v>28.977708000791225</v>
      </c>
      <c r="I61" s="30">
        <f>(bali_nt!I37*3.6/(VLOOKUP(I$51,tech_data!$B$2:$J$15,4,FALSE)/100))/1000</f>
        <v>1.4016837692267561</v>
      </c>
      <c r="J61" s="30">
        <f>(bali_nt!J37*3.6/(VLOOKUP(J$51,tech_data!$B$2:$J$15,4,FALSE)/100))/1000</f>
        <v>0.42618686128254862</v>
      </c>
      <c r="K61" s="30">
        <f t="shared" ref="K61:L61" si="70">K37*3.6/1000</f>
        <v>0.682311999365114</v>
      </c>
      <c r="L61" s="30">
        <f t="shared" si="70"/>
        <v>5.7675775670454178E-7</v>
      </c>
      <c r="M61" s="30">
        <f>(bali_nt!M37*3.6/(VLOOKUP(M$51,tech_data!$B$2:$J$15,4,FALSE)/100))/1000</f>
        <v>9.1096961828052088</v>
      </c>
      <c r="N61" s="30">
        <f t="shared" si="58"/>
        <v>5.774941738748797E-7</v>
      </c>
      <c r="O61" s="30">
        <f>(bali_nt!O37*3.6/(VLOOKUP(O$51,tech_data!$B$2:$J$15,4,FALSE)/100))/1000</f>
        <v>0</v>
      </c>
      <c r="P61" s="30">
        <f>(bali_nt!P37*3.6/(VLOOKUP(P$51,tech_data!$B$2:$J$15,4,FALSE)/100))/1000</f>
        <v>1.2795521570941852E-2</v>
      </c>
      <c r="Q61" s="30">
        <f t="shared" si="53"/>
        <v>118.492533399781</v>
      </c>
      <c r="R61" s="30"/>
      <c r="T61" s="19"/>
      <c r="U61" s="20" t="str">
        <f t="shared" si="54"/>
        <v>BALI_NT</v>
      </c>
      <c r="V61" s="20">
        <f t="shared" si="54"/>
        <v>2028</v>
      </c>
      <c r="W61" s="30">
        <f>D61*VLOOKUP(W$51,tech_data!$B$2:$K$15,10,FALSE)*1000</f>
        <v>3112536.7730733627</v>
      </c>
      <c r="X61" s="30">
        <f>E61*VLOOKUP(X$51,tech_data!$B$2:$K$15,10,FALSE)*1000</f>
        <v>1240123.1145099606</v>
      </c>
      <c r="Y61" s="30">
        <f>F61*VLOOKUP(Y$51,tech_data!$B$2:$K$15,10,FALSE)*1000</f>
        <v>242062.13393433575</v>
      </c>
      <c r="Z61" s="30">
        <f>G61*VLOOKUP(Z$51,tech_data!$B$2:$K$15,10,FALSE)*1000</f>
        <v>1714963.3037835655</v>
      </c>
      <c r="AA61" s="30">
        <f>H37*VLOOKUP(AA$51,tech_data!$B$2:$K$15,10,FALSE)/1000</f>
        <v>68.351168746866307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1023565.4630999933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7333319.1395699643</v>
      </c>
      <c r="AK61" s="25">
        <f t="shared" si="60"/>
        <v>2.1494228542065848E-2</v>
      </c>
      <c r="AL61" s="24">
        <f t="shared" si="65"/>
        <v>6.7000000000000004E-2</v>
      </c>
      <c r="AM61" s="26"/>
      <c r="AN61" s="24"/>
      <c r="AO61" s="20" t="str">
        <f t="shared" si="56"/>
        <v>BALI_NT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53.287460008216861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14.892053237426214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60.312403044085563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4.6234184968576519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8.2501499995524998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3.1509401617688244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0.80589373812636711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7.0252863458105308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2.726944948767863E-6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13.557900951309955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7.289091224155709E-6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2.5484002187215055E-2</v>
      </c>
      <c r="BD61" s="30">
        <f t="shared" si="61"/>
        <v>165.9310000013779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BALI_NT</v>
      </c>
      <c r="C62" s="20">
        <f t="shared" si="52"/>
        <v>2029</v>
      </c>
      <c r="D62" s="30">
        <f>(bali_nt!D38*3.6/(VLOOKUP(D$51,tech_data!$B$2:$J$15,4,FALSE)/100))/1000</f>
        <v>31.95194896551725</v>
      </c>
      <c r="E62" s="30">
        <f>(bali_nt!E38*3.6/(VLOOKUP(E$51,tech_data!$B$2:$J$15,4,FALSE)/100))/1000</f>
        <v>19.969776370953362</v>
      </c>
      <c r="F62" s="30">
        <f>(bali_nt!F38*3.6/(VLOOKUP(F$51,tech_data!$B$2:$J$15,4,FALSE)/100))/1000</f>
        <v>3.8979409651261796</v>
      </c>
      <c r="G62" s="30">
        <f>(bali_nt!G38*3.6/(VLOOKUP(G$51,tech_data!$B$2:$J$15,4,FALSE)/100))/1000</f>
        <v>22.814464597360192</v>
      </c>
      <c r="H62" s="30">
        <f>(bali_nt!H38*3.6/(VLOOKUP(H$51,tech_data!$B$2:$J$15,4,FALSE)/100))/1000</f>
        <v>28.977708000791225</v>
      </c>
      <c r="I62" s="30">
        <f>(bali_nt!I38*3.6/(VLOOKUP(I$51,tech_data!$B$2:$J$15,4,FALSE)/100))/1000</f>
        <v>1.4016837692267561</v>
      </c>
      <c r="J62" s="30">
        <f>(bali_nt!J38*3.6/(VLOOKUP(J$51,tech_data!$B$2:$J$15,4,FALSE)/100))/1000</f>
        <v>0.42618686128254862</v>
      </c>
      <c r="K62" s="30">
        <f t="shared" ref="K62:L62" si="71">K38*3.6/1000</f>
        <v>0.79320038875986087</v>
      </c>
      <c r="L62" s="30">
        <f t="shared" si="71"/>
        <v>5.772868999148395E-7</v>
      </c>
      <c r="M62" s="30">
        <f>(bali_nt!M38*3.6/(VLOOKUP(M$51,tech_data!$B$2:$J$15,4,FALSE)/100))/1000</f>
        <v>11.894512976244137</v>
      </c>
      <c r="N62" s="30">
        <f t="shared" si="58"/>
        <v>5.7800329282254183E-7</v>
      </c>
      <c r="O62" s="30">
        <f>(bali_nt!O38*3.6/(VLOOKUP(O$51,tech_data!$B$2:$J$15,4,FALSE)/100))/1000</f>
        <v>0</v>
      </c>
      <c r="P62" s="30">
        <f>(bali_nt!P38*3.6/(VLOOKUP(P$51,tech_data!$B$2:$J$15,4,FALSE)/100))/1000</f>
        <v>1.3210651775155588E-2</v>
      </c>
      <c r="Q62" s="30">
        <f t="shared" si="53"/>
        <v>122.1274240505517</v>
      </c>
      <c r="R62" s="30"/>
      <c r="T62" s="19"/>
      <c r="U62" s="20" t="str">
        <f t="shared" si="54"/>
        <v>BALI_NT</v>
      </c>
      <c r="V62" s="20">
        <f t="shared" si="54"/>
        <v>2029</v>
      </c>
      <c r="W62" s="30">
        <f>D62*VLOOKUP(W$51,tech_data!$B$2:$K$15,10,FALSE)*1000</f>
        <v>3186248.3508413802</v>
      </c>
      <c r="X62" s="30">
        <f>E62*VLOOKUP(X$51,tech_data!$B$2:$K$15,10,FALSE)*1000</f>
        <v>1240123.1126362039</v>
      </c>
      <c r="Y62" s="30">
        <f>F62*VLOOKUP(Y$51,tech_data!$B$2:$K$15,10,FALSE)*1000</f>
        <v>242062.13393433575</v>
      </c>
      <c r="Z62" s="30">
        <f>G62*VLOOKUP(Z$51,tech_data!$B$2:$K$15,10,FALSE)*1000</f>
        <v>1714963.3037835655</v>
      </c>
      <c r="AA62" s="30">
        <f>H38*VLOOKUP(AA$51,tech_data!$B$2:$K$15,10,FALSE)/1000</f>
        <v>68.351168746866307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1336467.4780107911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7719932.7303750236</v>
      </c>
      <c r="AK62" s="25">
        <f t="shared" si="60"/>
        <v>5.2720137150301473E-2</v>
      </c>
      <c r="AL62" s="24">
        <f t="shared" si="65"/>
        <v>6.7000000000000004E-2</v>
      </c>
      <c r="AM62" s="26"/>
      <c r="AN62" s="24"/>
      <c r="AO62" s="20" t="str">
        <f t="shared" si="56"/>
        <v>BALI_NT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56.958143537752868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14.892053214925154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5.2036278722694878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4.6234184968576519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8.2501499995524998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3.1509401617688244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0.80589373812636711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20.03012006404294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2.741442259415073E-6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191.16642123344008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7.3397300864396197E-6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2.8907685841950213E-2</v>
      </c>
      <c r="BD62" s="30">
        <f t="shared" si="61"/>
        <v>305.10968608575018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1</v>
      </c>
      <c r="BT62" s="20" t="b">
        <f>$AT$40&gt;=$AZ$40</f>
        <v>1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BALI_NT</v>
      </c>
      <c r="C63" s="20">
        <f t="shared" si="52"/>
        <v>2030</v>
      </c>
      <c r="D63" s="30">
        <f>(bali_nt!D39*3.6/(VLOOKUP(D$51,tech_data!$B$2:$J$15,4,FALSE)/100))/1000</f>
        <v>35.155038658060597</v>
      </c>
      <c r="E63" s="30">
        <f>(bali_nt!E39*3.6/(VLOOKUP(E$51,tech_data!$B$2:$J$15,4,FALSE)/100))/1000</f>
        <v>19.969776340780143</v>
      </c>
      <c r="F63" s="30">
        <f>(bali_nt!F39*3.6/(VLOOKUP(F$51,tech_data!$B$2:$J$15,4,FALSE)/100))/1000</f>
        <v>7.0835028116392404</v>
      </c>
      <c r="G63" s="30">
        <f>(bali_nt!G39*3.6/(VLOOKUP(G$51,tech_data!$B$2:$J$15,4,FALSE)/100))/1000</f>
        <v>22.814464597360192</v>
      </c>
      <c r="H63" s="30">
        <f>(bali_nt!H39*3.6/(VLOOKUP(H$51,tech_data!$B$2:$J$15,4,FALSE)/100))/1000</f>
        <v>28.977708000791225</v>
      </c>
      <c r="I63" s="30">
        <f>(bali_nt!I39*3.6/(VLOOKUP(I$51,tech_data!$B$2:$J$15,4,FALSE)/100))/1000</f>
        <v>2.7752202094623812</v>
      </c>
      <c r="J63" s="30">
        <f>(bali_nt!J39*3.6/(VLOOKUP(J$51,tech_data!$B$2:$J$15,4,FALSE)/100))/1000</f>
        <v>0.42618686128254862</v>
      </c>
      <c r="K63" s="30">
        <f t="shared" ref="K63:L63" si="72">K39*3.6/1000</f>
        <v>0.95415323379588624</v>
      </c>
      <c r="L63" s="30">
        <f t="shared" si="72"/>
        <v>5.772868999148395E-7</v>
      </c>
      <c r="M63" s="30">
        <f>(bali_nt!M39*3.6/(VLOOKUP(M$51,tech_data!$B$2:$J$15,4,FALSE)/100))/1000</f>
        <v>11.894512976244137</v>
      </c>
      <c r="N63" s="30">
        <f t="shared" si="58"/>
        <v>5.7800329282254183E-7</v>
      </c>
      <c r="O63" s="30">
        <f>(bali_nt!O39*3.6/(VLOOKUP(O$51,tech_data!$B$2:$J$15,4,FALSE)/100))/1000</f>
        <v>0</v>
      </c>
      <c r="P63" s="30">
        <f>(bali_nt!P39*3.6/(VLOOKUP(P$51,tech_data!$B$2:$J$15,4,FALSE)/100))/1000</f>
        <v>1.4653994804939334E-2</v>
      </c>
      <c r="Q63" s="30">
        <f t="shared" si="53"/>
        <v>130.05056484470654</v>
      </c>
      <c r="R63" s="30"/>
      <c r="T63" s="19"/>
      <c r="U63" s="20" t="str">
        <f t="shared" si="54"/>
        <v>BALI_NT</v>
      </c>
      <c r="V63" s="20">
        <f t="shared" si="54"/>
        <v>2030</v>
      </c>
      <c r="W63" s="30">
        <f>D63*VLOOKUP(W$51,tech_data!$B$2:$K$15,10,FALSE)*1000</f>
        <v>3505660.4549818025</v>
      </c>
      <c r="X63" s="30">
        <f>E63*VLOOKUP(X$51,tech_data!$B$2:$K$15,10,FALSE)*1000</f>
        <v>1240123.1107624469</v>
      </c>
      <c r="Y63" s="30">
        <f>F63*VLOOKUP(Y$51,tech_data!$B$2:$K$15,10,FALSE)*1000</f>
        <v>439885.52460279688</v>
      </c>
      <c r="Z63" s="30">
        <f>G63*VLOOKUP(Z$51,tech_data!$B$2:$K$15,10,FALSE)*1000</f>
        <v>1714963.3037835655</v>
      </c>
      <c r="AA63" s="30">
        <f>H39*VLOOKUP(AA$51,tech_data!$B$2:$K$15,10,FALSE)/1000</f>
        <v>68.351168746866307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1336467.4780107911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8237168.2233101502</v>
      </c>
      <c r="AK63" s="25">
        <f t="shared" si="60"/>
        <v>6.7000000000000004E-2</v>
      </c>
      <c r="AL63" s="24">
        <f t="shared" si="65"/>
        <v>6.7000000000000004E-2</v>
      </c>
      <c r="AM63" s="26"/>
      <c r="AN63" s="24"/>
      <c r="AO63" s="20" t="str">
        <f t="shared" si="56"/>
        <v>BALI_NT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140.95086947782573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14.892053192424088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131.31303113334204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4.6234184968576519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8.2501499995524998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175.79483066850008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0.80589373812636711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28.751885754195929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2.6799512876338705E-6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17.702525480529225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7.1128998433023582E-6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8.4874684519888166E-2</v>
      </c>
      <c r="BD63" s="30">
        <f t="shared" si="61"/>
        <v>523.16954241872463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BALI_NT</v>
      </c>
      <c r="C64" s="20">
        <f t="shared" si="52"/>
        <v>2031</v>
      </c>
      <c r="D64" s="30">
        <f>(bali_nt!D40*3.6/(VLOOKUP(D$51,tech_data!$B$2:$J$15,4,FALSE)/100))/1000</f>
        <v>38.899544149994</v>
      </c>
      <c r="E64" s="30">
        <f>(bali_nt!E40*3.6/(VLOOKUP(E$51,tech_data!$B$2:$J$15,4,FALSE)/100))/1000</f>
        <v>19.969776310606925</v>
      </c>
      <c r="F64" s="30">
        <f>(bali_nt!F40*3.6/(VLOOKUP(F$51,tech_data!$B$2:$J$15,4,FALSE)/100))/1000</f>
        <v>9.9577087395000952</v>
      </c>
      <c r="G64" s="30">
        <f>(bali_nt!G40*3.6/(VLOOKUP(G$51,tech_data!$B$2:$J$15,4,FALSE)/100))/1000</f>
        <v>22.814464558251334</v>
      </c>
      <c r="H64" s="30">
        <f>(bali_nt!H40*3.6/(VLOOKUP(H$51,tech_data!$B$2:$J$15,4,FALSE)/100))/1000</f>
        <v>28.97770782774753</v>
      </c>
      <c r="I64" s="30">
        <f>(bali_nt!I40*3.6/(VLOOKUP(I$51,tech_data!$B$2:$J$15,4,FALSE)/100))/1000</f>
        <v>4.8668414963625573</v>
      </c>
      <c r="J64" s="30">
        <f>(bali_nt!J40*3.6/(VLOOKUP(J$51,tech_data!$B$2:$J$15,4,FALSE)/100))/1000</f>
        <v>0.42618686128254862</v>
      </c>
      <c r="K64" s="30">
        <f t="shared" ref="K64:L64" si="73">K40*3.6/1000</f>
        <v>1.1954724354833959</v>
      </c>
      <c r="L64" s="30">
        <f t="shared" si="73"/>
        <v>5.772868999148395E-7</v>
      </c>
      <c r="M64" s="30">
        <f>(bali_nt!M40*3.6/(VLOOKUP(M$51,tech_data!$B$2:$J$15,4,FALSE)/100))/1000</f>
        <v>11.894512976244137</v>
      </c>
      <c r="N64" s="30">
        <f t="shared" si="58"/>
        <v>5.7800329282254183E-7</v>
      </c>
      <c r="O64" s="30">
        <f>(bali_nt!O40*3.6/(VLOOKUP(O$51,tech_data!$B$2:$J$15,4,FALSE)/100))/1000</f>
        <v>0</v>
      </c>
      <c r="P64" s="30">
        <f>(bali_nt!P40*3.6/(VLOOKUP(P$51,tech_data!$B$2:$J$15,4,FALSE)/100))/1000</f>
        <v>1.6360399436911612E-2</v>
      </c>
      <c r="Q64" s="30">
        <f t="shared" si="53"/>
        <v>139.00221651076271</v>
      </c>
      <c r="R64" s="30"/>
      <c r="T64" s="19"/>
      <c r="U64" s="20" t="str">
        <f t="shared" si="54"/>
        <v>BALI_NT</v>
      </c>
      <c r="V64" s="20">
        <f t="shared" si="54"/>
        <v>2031</v>
      </c>
      <c r="W64" s="30">
        <f>D64*VLOOKUP(W$51,tech_data!$B$2:$K$15,10,FALSE)*1000</f>
        <v>3879062.5426374017</v>
      </c>
      <c r="X64" s="30">
        <f>E64*VLOOKUP(X$51,tech_data!$B$2:$K$15,10,FALSE)*1000</f>
        <v>1240123.1088886901</v>
      </c>
      <c r="Y64" s="30">
        <f>F64*VLOOKUP(Y$51,tech_data!$B$2:$K$15,10,FALSE)*1000</f>
        <v>618373.71272295597</v>
      </c>
      <c r="Z64" s="30">
        <f>G64*VLOOKUP(Z$51,tech_data!$B$2:$K$15,10,FALSE)*1000</f>
        <v>1714963.3008437529</v>
      </c>
      <c r="AA64" s="30">
        <f>H40*VLOOKUP(AA$51,tech_data!$B$2:$K$15,10,FALSE)/1000</f>
        <v>68.35116833869948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1336467.4780107911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8789058.4942719303</v>
      </c>
      <c r="AK64" s="25">
        <f t="shared" si="60"/>
        <v>6.7000000000000004E-2</v>
      </c>
      <c r="AL64" s="24">
        <f t="shared" si="65"/>
        <v>6.7000000000000004E-2</v>
      </c>
      <c r="AM64" s="26"/>
      <c r="AN64" s="24"/>
      <c r="AO64" s="20" t="str">
        <f t="shared" si="56"/>
        <v>BALI_NT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162.52344130342979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14.892053169923026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123.23975782413852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4.6234176955987936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8.2501460952857926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269.14072195498733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0.80589373812636711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42.724760363295161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2.6799512876338705E-6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17.702525480529225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7.1128998433023582E-6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9.9861796140705297E-2</v>
      </c>
      <c r="BD64" s="30">
        <f t="shared" si="61"/>
        <v>644.00258921430577</v>
      </c>
      <c r="BE64" s="20">
        <v>2031</v>
      </c>
      <c r="BF64" s="23"/>
      <c r="BG64" s="19"/>
      <c r="BI64" s="20" t="b">
        <f>$BO$29&gt;=$BN$29</f>
        <v>0</v>
      </c>
      <c r="BJ64" s="20" t="b">
        <f>$BO$30&gt;=$BN$30</f>
        <v>0</v>
      </c>
      <c r="BK64" s="20" t="b">
        <f>$BO$31&gt;=$BN$31</f>
        <v>0</v>
      </c>
      <c r="BL64" s="20" t="b">
        <f>$BO$32&gt;=$BN$32</f>
        <v>0</v>
      </c>
      <c r="BM64" s="20" t="b">
        <f>$BO$33&gt;=$BN$33</f>
        <v>0</v>
      </c>
      <c r="BN64" s="20" t="b">
        <f>$BO$34&gt;=$BN$34</f>
        <v>0</v>
      </c>
      <c r="BO64" s="20" t="b">
        <f>$BO$35&gt;=$BN$35</f>
        <v>0</v>
      </c>
      <c r="BP64" s="20" t="b">
        <f>$BO$36&gt;=$BN$36</f>
        <v>0</v>
      </c>
      <c r="BQ64" s="20" t="b">
        <f>$BO$37&gt;=$BN$37</f>
        <v>0</v>
      </c>
      <c r="BR64" s="20" t="b">
        <f>$BO$38&gt;=$BN$38</f>
        <v>0</v>
      </c>
      <c r="BS64" s="20" t="b">
        <f>$BO$39&gt;=$BN$39</f>
        <v>0</v>
      </c>
      <c r="BT64" s="20" t="b">
        <f>$BO$40&gt;=$BN$40</f>
        <v>0</v>
      </c>
      <c r="BU64" s="20" t="b">
        <f>$BO$41&gt;=$BN$41</f>
        <v>0</v>
      </c>
      <c r="BV64" s="20" t="b">
        <f>$BO$42&gt;=$BN$42</f>
        <v>0</v>
      </c>
      <c r="BW64" s="20" t="b">
        <f>$BO$43&gt;=$BN$43</f>
        <v>0</v>
      </c>
      <c r="BX64" s="20" t="b">
        <f>$BO$44&gt;=$BN$44</f>
        <v>0</v>
      </c>
      <c r="BY64" s="20" t="b">
        <f>$BO$45&gt;=$BN$45</f>
        <v>0</v>
      </c>
      <c r="BZ64" s="20" t="b">
        <f>$BO$46&gt;=$BN$46</f>
        <v>0</v>
      </c>
      <c r="CA64" s="20" t="b">
        <f>$BO$47&gt;=$BN$47</f>
        <v>0</v>
      </c>
      <c r="CD64" s="23"/>
    </row>
    <row r="65" spans="1:82" x14ac:dyDescent="0.25">
      <c r="A65" s="19"/>
      <c r="B65" s="20" t="str">
        <f t="shared" si="52"/>
        <v>BALI_NT</v>
      </c>
      <c r="C65" s="20">
        <f t="shared" si="52"/>
        <v>2032</v>
      </c>
      <c r="D65" s="30">
        <f>(bali_nt!D41*3.6/(VLOOKUP(D$51,tech_data!$B$2:$J$15,4,FALSE)/100))/1000</f>
        <v>40.652335850752678</v>
      </c>
      <c r="E65" s="30">
        <f>(bali_nt!E41*3.6/(VLOOKUP(E$51,tech_data!$B$2:$J$15,4,FALSE)/100))/1000</f>
        <v>25.420898920754109</v>
      </c>
      <c r="F65" s="30">
        <f>(bali_nt!F41*3.6/(VLOOKUP(F$51,tech_data!$B$2:$J$15,4,FALSE)/100))/1000</f>
        <v>9.9577087395000952</v>
      </c>
      <c r="G65" s="30">
        <f>(bali_nt!G41*3.6/(VLOOKUP(G$51,tech_data!$B$2:$J$15,4,FALSE)/100))/1000</f>
        <v>22.814464519142483</v>
      </c>
      <c r="H65" s="30">
        <f>(bali_nt!H41*3.6/(VLOOKUP(H$51,tech_data!$B$2:$J$15,4,FALSE)/100))/1000</f>
        <v>28.97770782774753</v>
      </c>
      <c r="I65" s="30">
        <f>(bali_nt!I41*3.6/(VLOOKUP(I$51,tech_data!$B$2:$J$15,4,FALSE)/100))/1000</f>
        <v>4.8668414963625573</v>
      </c>
      <c r="J65" s="30">
        <f>(bali_nt!J41*3.6/(VLOOKUP(J$51,tech_data!$B$2:$J$15,4,FALSE)/100))/1000</f>
        <v>0.42618686128254862</v>
      </c>
      <c r="K65" s="30">
        <f t="shared" ref="K65:L65" si="74">K41*3.6/1000</f>
        <v>1.2655531651402645</v>
      </c>
      <c r="L65" s="30">
        <f t="shared" si="74"/>
        <v>5.772868999148395E-7</v>
      </c>
      <c r="M65" s="30">
        <f>(bali_nt!M41*3.6/(VLOOKUP(M$51,tech_data!$B$2:$J$15,4,FALSE)/100))/1000</f>
        <v>12.032898762940208</v>
      </c>
      <c r="N65" s="30">
        <f t="shared" si="58"/>
        <v>5.7800329282254183E-7</v>
      </c>
      <c r="O65" s="30">
        <f>(bali_nt!O41*3.6/(VLOOKUP(O$51,tech_data!$B$2:$J$15,4,FALSE)/100))/1000</f>
        <v>0</v>
      </c>
      <c r="P65" s="30">
        <f>(bali_nt!P41*3.6/(VLOOKUP(P$51,tech_data!$B$2:$J$15,4,FALSE)/100))/1000</f>
        <v>1.7219014497979485E-2</v>
      </c>
      <c r="Q65" s="30">
        <f t="shared" si="53"/>
        <v>146.4145972989127</v>
      </c>
      <c r="R65" s="30"/>
      <c r="T65" s="19"/>
      <c r="U65" s="20" t="str">
        <f t="shared" si="54"/>
        <v>BALI_NT</v>
      </c>
      <c r="V65" s="20">
        <f t="shared" si="54"/>
        <v>2032</v>
      </c>
      <c r="W65" s="30">
        <f>D65*VLOOKUP(W$51,tech_data!$B$2:$K$15,10,FALSE)*1000</f>
        <v>4053850.9310370567</v>
      </c>
      <c r="X65" s="30">
        <f>E65*VLOOKUP(X$51,tech_data!$B$2:$K$15,10,FALSE)*1000</f>
        <v>1578637.8229788302</v>
      </c>
      <c r="Y65" s="30">
        <f>F65*VLOOKUP(Y$51,tech_data!$B$2:$K$15,10,FALSE)*1000</f>
        <v>618373.71272295597</v>
      </c>
      <c r="Z65" s="30">
        <f>G65*VLOOKUP(Z$51,tech_data!$B$2:$K$15,10,FALSE)*1000</f>
        <v>1714963.2979039403</v>
      </c>
      <c r="AA65" s="30">
        <f>H41*VLOOKUP(AA$51,tech_data!$B$2:$K$15,10,FALSE)/1000</f>
        <v>68.35116833869948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1352016.5050039617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9317910.6208150834</v>
      </c>
      <c r="AK65" s="25">
        <f t="shared" si="60"/>
        <v>6.0171647155132769E-2</v>
      </c>
      <c r="AL65" s="24">
        <f t="shared" si="65"/>
        <v>6.7000000000000004E-2</v>
      </c>
      <c r="AM65" s="26"/>
      <c r="AN65" s="24"/>
      <c r="AO65" s="20" t="str">
        <f t="shared" si="56"/>
        <v>BALI_NT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99.077097335467414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150.23741456055916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13.293226142825082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4.6234176876732676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8.2501499502857882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10.940503606110486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0.80589373812636711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13.905243692703563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2.6799512876338705E-6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26.528418394230165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7.1128998433023582E-6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5.4739438195151695E-2</v>
      </c>
      <c r="BD65" s="30">
        <f t="shared" si="61"/>
        <v>327.71611433902763</v>
      </c>
      <c r="BE65" s="20">
        <v>2032</v>
      </c>
      <c r="BF65" s="23"/>
      <c r="BG65" s="19"/>
      <c r="BI65" s="20" t="b">
        <f>$BR$29&gt;=$BQ$29</f>
        <v>0</v>
      </c>
      <c r="BJ65" s="20" t="b">
        <f>$BR$30&gt;=$BQ$30</f>
        <v>0</v>
      </c>
      <c r="BK65" s="20" t="b">
        <f>$BR$31&gt;=$BQ$31</f>
        <v>0</v>
      </c>
      <c r="BL65" s="20" t="b">
        <f>$BR$32&gt;=$BQ$32</f>
        <v>0</v>
      </c>
      <c r="BM65" s="20" t="b">
        <f>$BR$33&gt;=$BQ$33</f>
        <v>0</v>
      </c>
      <c r="BN65" s="20" t="b">
        <f>$BR$34&gt;=$BQ$34</f>
        <v>0</v>
      </c>
      <c r="BO65" s="20" t="b">
        <f>$BR$35&gt;=$BQ$35</f>
        <v>0</v>
      </c>
      <c r="BP65" s="20" t="b">
        <f>$BR$36&gt;=$BQ$36</f>
        <v>0</v>
      </c>
      <c r="BQ65" s="20" t="b">
        <f>$BR$37&gt;=$BQ$37</f>
        <v>0</v>
      </c>
      <c r="BR65" s="20" t="b">
        <f>$BR$38&gt;=$BQ$38</f>
        <v>0</v>
      </c>
      <c r="BS65" s="20" t="b">
        <f>$BR$39&gt;=$BQ$39</f>
        <v>0</v>
      </c>
      <c r="BT65" s="20" t="b">
        <f>$BR$40&gt;=$BQ$40</f>
        <v>0</v>
      </c>
      <c r="BU65" s="20" t="b">
        <f>$BR$41&gt;=$BQ$41</f>
        <v>0</v>
      </c>
      <c r="BV65" s="20" t="b">
        <f>$BR$42&gt;=$BQ$42</f>
        <v>0</v>
      </c>
      <c r="BW65" s="20" t="b">
        <f>$BR$43&gt;=$BQ$43</f>
        <v>0</v>
      </c>
      <c r="BX65" s="20" t="b">
        <f>$BR$44&gt;=$BQ$44</f>
        <v>0</v>
      </c>
      <c r="BY65" s="20" t="b">
        <f>$BR$45&gt;=$BQ$45</f>
        <v>0</v>
      </c>
      <c r="BZ65" s="20" t="b">
        <f>$BR$46&gt;=$BQ$46</f>
        <v>0</v>
      </c>
      <c r="CA65" s="20" t="b">
        <f>$BR$47&gt;=$BQ$47</f>
        <v>0</v>
      </c>
      <c r="CD65" s="23"/>
    </row>
    <row r="66" spans="1:82" x14ac:dyDescent="0.25">
      <c r="A66" s="19"/>
      <c r="B66" s="20" t="str">
        <f t="shared" si="52"/>
        <v>BALI_NT</v>
      </c>
      <c r="C66" s="20">
        <f t="shared" si="52"/>
        <v>2033</v>
      </c>
      <c r="D66" s="30">
        <f>(bali_nt!D42*3.6/(VLOOKUP(D$51,tech_data!$B$2:$J$15,4,FALSE)/100))/1000</f>
        <v>41.153362768053171</v>
      </c>
      <c r="E66" s="30">
        <f>(bali_nt!E42*3.6/(VLOOKUP(E$51,tech_data!$B$2:$J$15,4,FALSE)/100))/1000</f>
        <v>26.616109482656714</v>
      </c>
      <c r="F66" s="30">
        <f>(bali_nt!F42*3.6/(VLOOKUP(F$51,tech_data!$B$2:$J$15,4,FALSE)/100))/1000</f>
        <v>9.9577087395000952</v>
      </c>
      <c r="G66" s="30">
        <f>(bali_nt!G42*3.6/(VLOOKUP(G$51,tech_data!$B$2:$J$15,4,FALSE)/100))/1000</f>
        <v>22.814464519142483</v>
      </c>
      <c r="H66" s="30">
        <f>(bali_nt!H42*3.6/(VLOOKUP(H$51,tech_data!$B$2:$J$15,4,FALSE)/100))/1000</f>
        <v>28.97770782774753</v>
      </c>
      <c r="I66" s="30">
        <f>(bali_nt!I42*3.6/(VLOOKUP(I$51,tech_data!$B$2:$J$15,4,FALSE)/100))/1000</f>
        <v>4.8668414963625573</v>
      </c>
      <c r="J66" s="30">
        <f>(bali_nt!J42*3.6/(VLOOKUP(J$51,tech_data!$B$2:$J$15,4,FALSE)/100))/1000</f>
        <v>0.42618686128254862</v>
      </c>
      <c r="K66" s="30">
        <f t="shared" ref="K66:L66" si="75">K42*3.6/1000</f>
        <v>1.3718580391517456</v>
      </c>
      <c r="L66" s="30">
        <f t="shared" si="75"/>
        <v>5.772868999148395E-7</v>
      </c>
      <c r="M66" s="30">
        <f>(bali_nt!M42*3.6/(VLOOKUP(M$51,tech_data!$B$2:$J$15,4,FALSE)/100))/1000</f>
        <v>13.13894057653264</v>
      </c>
      <c r="N66" s="30">
        <f t="shared" si="58"/>
        <v>5.7800329282254183E-7</v>
      </c>
      <c r="O66" s="30">
        <f>(bali_nt!O42*3.6/(VLOOKUP(O$51,tech_data!$B$2:$J$15,4,FALSE)/100))/1000</f>
        <v>0</v>
      </c>
      <c r="P66" s="30">
        <f>(bali_nt!P42*3.6/(VLOOKUP(P$51,tech_data!$B$2:$J$15,4,FALSE)/100))/1000</f>
        <v>1.7574320899439878E-2</v>
      </c>
      <c r="Q66" s="30">
        <f t="shared" si="53"/>
        <v>149.32318146571967</v>
      </c>
      <c r="R66" s="30"/>
      <c r="T66" s="19"/>
      <c r="U66" s="20" t="str">
        <f t="shared" si="54"/>
        <v>BALI_NT</v>
      </c>
      <c r="V66" s="20">
        <f t="shared" si="54"/>
        <v>2033</v>
      </c>
      <c r="W66" s="30">
        <f>D66*VLOOKUP(W$51,tech_data!$B$2:$K$15,10,FALSE)*1000</f>
        <v>4103813.335230262</v>
      </c>
      <c r="X66" s="30">
        <f>E66*VLOOKUP(X$51,tech_data!$B$2:$K$15,10,FALSE)*1000</f>
        <v>1652860.398872982</v>
      </c>
      <c r="Y66" s="30">
        <f>F66*VLOOKUP(Y$51,tech_data!$B$2:$K$15,10,FALSE)*1000</f>
        <v>618373.71272295597</v>
      </c>
      <c r="Z66" s="30">
        <f>G66*VLOOKUP(Z$51,tech_data!$B$2:$K$15,10,FALSE)*1000</f>
        <v>1714963.2979039403</v>
      </c>
      <c r="AA66" s="30">
        <f>H42*VLOOKUP(AA$51,tech_data!$B$2:$K$15,10,FALSE)/1000</f>
        <v>68.35116833869948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1476291.3631792073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9566370.4590776861</v>
      </c>
      <c r="AK66" s="25">
        <f t="shared" si="60"/>
        <v>2.666475869682346E-2</v>
      </c>
      <c r="AL66" s="24">
        <f t="shared" si="65"/>
        <v>6.7000000000000004E-2</v>
      </c>
      <c r="AM66" s="26"/>
      <c r="AN66" s="24"/>
      <c r="AO66" s="20" t="str">
        <f t="shared" si="56"/>
        <v>BALI_NT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58.586462891394504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48.632877223946856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13.293226142825082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4.6234184810066008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8.2501499502857882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10.940503606110486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0.80589373812636711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20.199321839543401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2.6799512876338705E-6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88.449013174988536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7.1128998433023582E-6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2.7874386503121049E-2</v>
      </c>
      <c r="BD66" s="30">
        <f t="shared" si="61"/>
        <v>253.80875122758189</v>
      </c>
      <c r="BE66" s="20">
        <v>2033</v>
      </c>
      <c r="BF66" s="23"/>
      <c r="BG66" s="19"/>
      <c r="BI66" s="20" t="b">
        <f>$BU$29&gt;=$BT$29</f>
        <v>0</v>
      </c>
      <c r="BJ66" s="20" t="b">
        <f>$BU$30&gt;=$BT$30</f>
        <v>0</v>
      </c>
      <c r="BK66" s="20" t="b">
        <f>$BU$31&gt;=$BT$31</f>
        <v>0</v>
      </c>
      <c r="BL66" s="20" t="b">
        <f>$BU$32&gt;=$BT$32</f>
        <v>0</v>
      </c>
      <c r="BM66" s="20" t="b">
        <f>$BU$33&gt;=$BT$33</f>
        <v>0</v>
      </c>
      <c r="BN66" s="20" t="b">
        <f>$BU$34&gt;=$BT$34</f>
        <v>0</v>
      </c>
      <c r="BO66" s="20" t="b">
        <f>$BU$35&gt;=$BT$35</f>
        <v>0</v>
      </c>
      <c r="BP66" s="20" t="b">
        <f>$BU$36&gt;=$BT$36</f>
        <v>0</v>
      </c>
      <c r="BQ66" s="20" t="b">
        <f>$BU$37&gt;=$BT$37</f>
        <v>0</v>
      </c>
      <c r="BR66" s="20" t="b">
        <f>$BU$38&gt;=$BT$38</f>
        <v>0</v>
      </c>
      <c r="BS66" s="20" t="b">
        <f>$BU$39&gt;=$BT$39</f>
        <v>0</v>
      </c>
      <c r="BT66" s="20" t="b">
        <f>$BU$40&gt;=$BT$40</f>
        <v>0</v>
      </c>
      <c r="BU66" s="20" t="b">
        <f>$BU$41&gt;=$BT$41</f>
        <v>0</v>
      </c>
      <c r="BV66" s="20" t="b">
        <f>$BU$42&gt;=$BT$42</f>
        <v>0</v>
      </c>
      <c r="BW66" s="20" t="b">
        <f>$BU$43&gt;=$BT$43</f>
        <v>0</v>
      </c>
      <c r="BX66" s="20" t="b">
        <f>$BU$44&gt;=$BT$44</f>
        <v>0</v>
      </c>
      <c r="BY66" s="20" t="b">
        <f>$BU$45&gt;=$BT$45</f>
        <v>0</v>
      </c>
      <c r="BZ66" s="20" t="b">
        <f>$BU$46&gt;=$BT$46</f>
        <v>0</v>
      </c>
      <c r="CA66" s="20" t="b">
        <f>$BU$47&gt;=$BT$47</f>
        <v>0</v>
      </c>
      <c r="CD66" s="23"/>
    </row>
    <row r="67" spans="1:82" x14ac:dyDescent="0.25">
      <c r="A67" s="19"/>
      <c r="B67" s="20" t="str">
        <f t="shared" si="52"/>
        <v>BALI_NT</v>
      </c>
      <c r="C67" s="20">
        <f t="shared" si="52"/>
        <v>2034</v>
      </c>
      <c r="D67" s="30">
        <f>(bali_nt!D43*3.6/(VLOOKUP(D$51,tech_data!$B$2:$J$15,4,FALSE)/100))/1000</f>
        <v>43.076861366322092</v>
      </c>
      <c r="E67" s="30">
        <f>(bali_nt!E43*3.6/(VLOOKUP(E$51,tech_data!$B$2:$J$15,4,FALSE)/100))/1000</f>
        <v>27.374859570956051</v>
      </c>
      <c r="F67" s="30">
        <f>(bali_nt!F43*3.6/(VLOOKUP(F$51,tech_data!$B$2:$J$15,4,FALSE)/100))/1000</f>
        <v>11.767519295442023</v>
      </c>
      <c r="G67" s="30">
        <f>(bali_nt!G43*3.6/(VLOOKUP(G$51,tech_data!$B$2:$J$15,4,FALSE)/100))/1000</f>
        <v>22.814464480033617</v>
      </c>
      <c r="H67" s="30">
        <f>(bali_nt!H43*3.6/(VLOOKUP(H$51,tech_data!$B$2:$J$15,4,FALSE)/100))/1000</f>
        <v>28.977707654703838</v>
      </c>
      <c r="I67" s="30">
        <f>(bali_nt!I43*3.6/(VLOOKUP(I$51,tech_data!$B$2:$J$15,4,FALSE)/100))/1000</f>
        <v>4.8668414795399544</v>
      </c>
      <c r="J67" s="30">
        <f>(bali_nt!J43*3.6/(VLOOKUP(J$51,tech_data!$B$2:$J$15,4,FALSE)/100))/1000</f>
        <v>0.42618686128254862</v>
      </c>
      <c r="K67" s="30">
        <f t="shared" ref="K67:L67" si="76">K43*3.6/1000</f>
        <v>1.5374813265869198</v>
      </c>
      <c r="L67" s="30">
        <f t="shared" si="76"/>
        <v>5.772868999148395E-7</v>
      </c>
      <c r="M67" s="30">
        <f>(bali_nt!M43*3.6/(VLOOKUP(M$51,tech_data!$B$2:$J$15,4,FALSE)/100))/1000</f>
        <v>15.716618842541695</v>
      </c>
      <c r="N67" s="30">
        <f t="shared" si="58"/>
        <v>5.7833814803170554E-7</v>
      </c>
      <c r="O67" s="30">
        <f>(bali_nt!O43*3.6/(VLOOKUP(O$51,tech_data!$B$2:$J$15,4,FALSE)/100))/1000</f>
        <v>0</v>
      </c>
      <c r="P67" s="30">
        <f>(bali_nt!P43*3.6/(VLOOKUP(P$51,tech_data!$B$2:$J$15,4,FALSE)/100))/1000</f>
        <v>1.8548937166747798E-2</v>
      </c>
      <c r="Q67" s="30">
        <f t="shared" si="53"/>
        <v>156.5585420330338</v>
      </c>
      <c r="R67" s="30"/>
      <c r="T67" s="19"/>
      <c r="U67" s="20" t="str">
        <f t="shared" si="54"/>
        <v>BALI_NT</v>
      </c>
      <c r="V67" s="20">
        <f t="shared" si="54"/>
        <v>2034</v>
      </c>
      <c r="W67" s="30">
        <f>D67*VLOOKUP(W$51,tech_data!$B$2:$K$15,10,FALSE)*1000</f>
        <v>4295624.615449639</v>
      </c>
      <c r="X67" s="30">
        <f>E67*VLOOKUP(X$51,tech_data!$B$2:$K$15,10,FALSE)*1000</f>
        <v>1699978.7793563707</v>
      </c>
      <c r="Y67" s="30">
        <f>F67*VLOOKUP(Y$51,tech_data!$B$2:$K$15,10,FALSE)*1000</f>
        <v>730762.9482469497</v>
      </c>
      <c r="Z67" s="30">
        <f>G67*VLOOKUP(Z$51,tech_data!$B$2:$K$15,10,FALSE)*1000</f>
        <v>1714963.294964127</v>
      </c>
      <c r="AA67" s="30">
        <f>H43*VLOOKUP(AA$51,tech_data!$B$2:$K$15,10,FALSE)/1000</f>
        <v>68.351167930532682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1765919.2931479849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10207317.282333001</v>
      </c>
      <c r="AK67" s="25">
        <f t="shared" si="60"/>
        <v>6.7000000261030077E-2</v>
      </c>
      <c r="AL67" s="24">
        <f t="shared" si="65"/>
        <v>6.7000000000000004E-2</v>
      </c>
      <c r="AM67" s="26"/>
      <c r="AN67" s="24"/>
      <c r="AO67" s="20" t="str">
        <f t="shared" si="56"/>
        <v>BALI_NT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107.15362162828549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38.687349102916585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84.93965469207879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4.6234176797477415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8.2501460460190792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10.940501491627144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0.80589373812636711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30.492325772374851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2.6799512876338705E-6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183.95235162243046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7.2662102378889693E-6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6.1636863974293472E-2</v>
      </c>
      <c r="BD67" s="30">
        <f t="shared" si="61"/>
        <v>469.90690858374234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BALI_NT</v>
      </c>
      <c r="C68" s="20">
        <f t="shared" si="77"/>
        <v>2035</v>
      </c>
      <c r="D68" s="30">
        <f>(bali_nt!D44*3.6/(VLOOKUP(D$51,tech_data!$B$2:$J$15,4,FALSE)/100))/1000</f>
        <v>43.553420673244837</v>
      </c>
      <c r="E68" s="30">
        <f>(bali_nt!E44*3.6/(VLOOKUP(E$51,tech_data!$B$2:$J$15,4,FALSE)/100))/1000</f>
        <v>28.563020316778406</v>
      </c>
      <c r="F68" s="30">
        <f>(bali_nt!F44*3.6/(VLOOKUP(F$51,tech_data!$B$2:$J$15,4,FALSE)/100))/1000</f>
        <v>11.767519295442023</v>
      </c>
      <c r="G68" s="30">
        <f>(bali_nt!G44*3.6/(VLOOKUP(G$51,tech_data!$B$2:$J$15,4,FALSE)/100))/1000</f>
        <v>22.814464480033617</v>
      </c>
      <c r="H68" s="30">
        <f>(bali_nt!H44*3.6/(VLOOKUP(H$51,tech_data!$B$2:$J$15,4,FALSE)/100))/1000</f>
        <v>28.977707481660147</v>
      </c>
      <c r="I68" s="30">
        <f>(bali_nt!I44*3.6/(VLOOKUP(I$51,tech_data!$B$2:$J$15,4,FALSE)/100))/1000</f>
        <v>4.866841462717348</v>
      </c>
      <c r="J68" s="30">
        <f>(bali_nt!J44*3.6/(VLOOKUP(J$51,tech_data!$B$2:$J$15,4,FALSE)/100))/1000</f>
        <v>0.42618686128254862</v>
      </c>
      <c r="K68" s="30">
        <f t="shared" ref="K68:L68" si="78">K44*3.6/1000</f>
        <v>1.6641981337972112</v>
      </c>
      <c r="L68" s="30">
        <f t="shared" si="78"/>
        <v>5.772868999148395E-7</v>
      </c>
      <c r="M68" s="30">
        <f>(bali_nt!M44*3.6/(VLOOKUP(M$51,tech_data!$B$2:$J$15,4,FALSE)/100))/1000</f>
        <v>16.830284381151792</v>
      </c>
      <c r="N68" s="30">
        <f t="shared" si="58"/>
        <v>5.7833814803170554E-7</v>
      </c>
      <c r="O68" s="30">
        <f>(bali_nt!O44*3.6/(VLOOKUP(O$51,tech_data!$B$2:$J$15,4,FALSE)/100))/1000</f>
        <v>0</v>
      </c>
      <c r="P68" s="30">
        <f>(bali_nt!P44*3.6/(VLOOKUP(P$51,tech_data!$B$2:$J$15,4,FALSE)/100))/1000</f>
        <v>1.8912646028991613E-2</v>
      </c>
      <c r="Q68" s="30">
        <f t="shared" si="53"/>
        <v>159.46364424173302</v>
      </c>
      <c r="R68" s="30"/>
      <c r="T68" s="19"/>
      <c r="U68" s="20" t="str">
        <f t="shared" si="54"/>
        <v>BALI_NT</v>
      </c>
      <c r="V68" s="20">
        <f t="shared" si="54"/>
        <v>2035</v>
      </c>
      <c r="W68" s="30">
        <f>D68*VLOOKUP(W$51,tech_data!$B$2:$K$15,10,FALSE)*1000</f>
        <v>4343147.1095359745</v>
      </c>
      <c r="X68" s="30">
        <f>E68*VLOOKUP(X$51,tech_data!$B$2:$K$15,10,FALSE)*1000</f>
        <v>1773763.561671939</v>
      </c>
      <c r="Y68" s="30">
        <f>F68*VLOOKUP(Y$51,tech_data!$B$2:$K$15,10,FALSE)*1000</f>
        <v>730762.9482469497</v>
      </c>
      <c r="Z68" s="30">
        <f>G68*VLOOKUP(Z$51,tech_data!$B$2:$K$15,10,FALSE)*1000</f>
        <v>1714963.294964127</v>
      </c>
      <c r="AA68" s="30">
        <f>H44*VLOOKUP(AA$51,tech_data!$B$2:$K$15,10,FALSE)/1000</f>
        <v>68.35116752236587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1891050.7530662152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10453756.018652728</v>
      </c>
      <c r="AK68" s="25">
        <f t="shared" si="60"/>
        <v>2.4143340458933973E-2</v>
      </c>
      <c r="AL68" s="24">
        <f t="shared" si="65"/>
        <v>6.7000000000000004E-2</v>
      </c>
      <c r="AM68" s="26"/>
      <c r="AN68" s="24"/>
      <c r="AO68" s="20" t="str">
        <f t="shared" si="56"/>
        <v>BALI_NT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60.244576224501351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49.914964420564012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15.709265979416632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4.6234184730810748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8.2501459967523623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10.940501453810468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0.80589373812636711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24.125028253926853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2.6799512876338705E-6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94.417691315424989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7.1170205664787939E-6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2.8994760403658042E-2</v>
      </c>
      <c r="BD68" s="30">
        <f t="shared" si="61"/>
        <v>269.06049041297962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1</v>
      </c>
      <c r="BL68" s="20" t="b">
        <f>$Q$32=$R$32</f>
        <v>0</v>
      </c>
      <c r="BM68" s="20" t="b">
        <f>$Q$33=$R$33</f>
        <v>1</v>
      </c>
      <c r="BN68" s="20" t="b">
        <f>$Q$34=$R$34</f>
        <v>1</v>
      </c>
      <c r="BO68" s="20" t="b">
        <f>$Q$35=$R$35</f>
        <v>0</v>
      </c>
      <c r="BP68" s="20" t="b">
        <f>$Q$36=$R$36</f>
        <v>1</v>
      </c>
      <c r="BQ68" s="20" t="b">
        <f>$Q$37=$R$37</f>
        <v>0</v>
      </c>
      <c r="BR68" s="20" t="b">
        <f>$Q$38=$R$38</f>
        <v>1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BALI_NT</v>
      </c>
      <c r="C69" s="20">
        <f t="shared" si="77"/>
        <v>2036</v>
      </c>
      <c r="D69" s="30">
        <f>(bali_nt!D45*3.6/(VLOOKUP(D$51,tech_data!$B$2:$J$15,4,FALSE)/100))/1000</f>
        <v>49.065971766551712</v>
      </c>
      <c r="E69" s="30">
        <f>(bali_nt!E45*3.6/(VLOOKUP(E$51,tech_data!$B$2:$J$15,4,FALSE)/100))/1000</f>
        <v>28.563020286605187</v>
      </c>
      <c r="F69" s="30">
        <f>(bali_nt!F45*3.6/(VLOOKUP(F$51,tech_data!$B$2:$J$15,4,FALSE)/100))/1000</f>
        <v>14.193743606158568</v>
      </c>
      <c r="G69" s="30">
        <f>(bali_nt!G45*3.6/(VLOOKUP(G$51,tech_data!$B$2:$J$15,4,FALSE)/100))/1000</f>
        <v>22.814464440924759</v>
      </c>
      <c r="H69" s="30">
        <f>(bali_nt!H45*3.6/(VLOOKUP(H$51,tech_data!$B$2:$J$15,4,FALSE)/100))/1000</f>
        <v>38.105856002851311</v>
      </c>
      <c r="I69" s="30">
        <f>(bali_nt!I45*3.6/(VLOOKUP(I$51,tech_data!$B$2:$J$15,4,FALSE)/100))/1000</f>
        <v>7.7434759037635148</v>
      </c>
      <c r="J69" s="30">
        <f>(bali_nt!J45*3.6/(VLOOKUP(J$51,tech_data!$B$2:$J$15,4,FALSE)/100))/1000</f>
        <v>0.42618686128254862</v>
      </c>
      <c r="K69" s="30">
        <f t="shared" ref="K69:L69" si="79">K45*3.6/1000</f>
        <v>2.2523146731711523</v>
      </c>
      <c r="L69" s="30">
        <f t="shared" si="79"/>
        <v>5.772868999148395E-7</v>
      </c>
      <c r="M69" s="30">
        <f>(bali_nt!M45*3.6/(VLOOKUP(M$51,tech_data!$B$2:$J$15,4,FALSE)/100))/1000</f>
        <v>16.830284381151792</v>
      </c>
      <c r="N69" s="30">
        <f t="shared" si="58"/>
        <v>5.6748976403199582E-7</v>
      </c>
      <c r="O69" s="30">
        <f>(bali_nt!O45*3.6/(VLOOKUP(O$51,tech_data!$B$2:$J$15,4,FALSE)/100))/1000</f>
        <v>0</v>
      </c>
      <c r="P69" s="30">
        <f>(bali_nt!P45*3.6/(VLOOKUP(P$51,tech_data!$B$2:$J$15,4,FALSE)/100))/1000</f>
        <v>2.1550302784599171E-2</v>
      </c>
      <c r="Q69" s="30">
        <f t="shared" si="53"/>
        <v>179.9953190672372</v>
      </c>
      <c r="R69" s="30"/>
      <c r="T69" s="19"/>
      <c r="U69" s="20" t="str">
        <f t="shared" si="54"/>
        <v>BALI_NT</v>
      </c>
      <c r="V69" s="20">
        <f t="shared" si="54"/>
        <v>2036</v>
      </c>
      <c r="W69" s="30">
        <f>D69*VLOOKUP(W$51,tech_data!$B$2:$K$15,10,FALSE)*1000</f>
        <v>4892858.704560536</v>
      </c>
      <c r="X69" s="30">
        <f>E69*VLOOKUP(X$51,tech_data!$B$2:$K$15,10,FALSE)*1000</f>
        <v>1773763.559798182</v>
      </c>
      <c r="Y69" s="30">
        <f>F69*VLOOKUP(Y$51,tech_data!$B$2:$K$15,10,FALSE)*1000</f>
        <v>881431.47794244718</v>
      </c>
      <c r="Z69" s="30">
        <f>G69*VLOOKUP(Z$51,tech_data!$B$2:$K$15,10,FALSE)*1000</f>
        <v>1714963.2920243142</v>
      </c>
      <c r="AA69" s="30">
        <f>H45*VLOOKUP(AA$51,tech_data!$B$2:$K$15,10,FALSE)/1000</f>
        <v>89.882187846725515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1891050.7530662152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11154157.669579541</v>
      </c>
      <c r="AK69" s="25">
        <f t="shared" si="60"/>
        <v>6.6999999777790947E-2</v>
      </c>
      <c r="AL69" s="24">
        <f t="shared" si="65"/>
        <v>6.7000000000000004E-2</v>
      </c>
      <c r="AM69" s="26"/>
      <c r="AN69" s="24"/>
      <c r="AO69" s="20" t="str">
        <f t="shared" si="56"/>
        <v>BALI_NT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230.85799658753714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21.300289819481243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111.75816245175713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4.6234176718222164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214.20233421405561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372.51326339309202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0.80589373812636711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103.04586232962603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2.6799512876338705E-6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25.048401619884654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2.1501871826525581E-6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0.15249170107167292</v>
      </c>
      <c r="BD69" s="30">
        <f t="shared" si="61"/>
        <v>1084.3081183565923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BALI_NT</v>
      </c>
      <c r="C70" s="20">
        <f t="shared" si="77"/>
        <v>2037</v>
      </c>
      <c r="D70" s="30">
        <f>(bali_nt!D46*3.6/(VLOOKUP(D$51,tech_data!$B$2:$J$15,4,FALSE)/100))/1000</f>
        <v>54.034548748227373</v>
      </c>
      <c r="E70" s="30">
        <f>(bali_nt!E46*3.6/(VLOOKUP(E$51,tech_data!$B$2:$J$15,4,FALSE)/100))/1000</f>
        <v>28.563020286605187</v>
      </c>
      <c r="F70" s="30">
        <f>(bali_nt!F46*3.6/(VLOOKUP(F$51,tech_data!$B$2:$J$15,4,FALSE)/100))/1000</f>
        <v>18.249121976258611</v>
      </c>
      <c r="G70" s="30">
        <f>(bali_nt!G46*3.6/(VLOOKUP(G$51,tech_data!$B$2:$J$15,4,FALSE)/100))/1000</f>
        <v>22.814464401815901</v>
      </c>
      <c r="H70" s="30">
        <f>(bali_nt!H46*3.6/(VLOOKUP(H$51,tech_data!$B$2:$J$15,4,FALSE)/100))/1000</f>
        <v>47.887904006636049</v>
      </c>
      <c r="I70" s="30">
        <f>(bali_nt!I46*3.6/(VLOOKUP(I$51,tech_data!$B$2:$J$15,4,FALSE)/100))/1000</f>
        <v>9.1817931242866049</v>
      </c>
      <c r="J70" s="30">
        <f>(bali_nt!J46*3.6/(VLOOKUP(J$51,tech_data!$B$2:$J$15,4,FALSE)/100))/1000</f>
        <v>0.42618686128254862</v>
      </c>
      <c r="K70" s="30">
        <f t="shared" ref="K70:L70" si="80">K46*3.6/1000</f>
        <v>2.7338553776200967</v>
      </c>
      <c r="L70" s="30">
        <f t="shared" si="80"/>
        <v>5.772868999148395E-7</v>
      </c>
      <c r="M70" s="30">
        <f>(bali_nt!M46*3.6/(VLOOKUP(M$51,tech_data!$B$2:$J$15,4,FALSE)/100))/1000</f>
        <v>16.830284381151792</v>
      </c>
      <c r="N70" s="30">
        <f t="shared" si="58"/>
        <v>5.6748976403199582E-7</v>
      </c>
      <c r="O70" s="30">
        <f>(bali_nt!O46*3.6/(VLOOKUP(O$51,tech_data!$B$2:$J$15,4,FALSE)/100))/1000</f>
        <v>0</v>
      </c>
      <c r="P70" s="30">
        <f>(bali_nt!P46*3.6/(VLOOKUP(P$51,tech_data!$B$2:$J$15,4,FALSE)/100))/1000</f>
        <v>2.3963146725870663E-2</v>
      </c>
      <c r="Q70" s="30">
        <f t="shared" si="53"/>
        <v>200.72118030866082</v>
      </c>
      <c r="R70" s="30"/>
      <c r="T70" s="19"/>
      <c r="U70" s="20" t="str">
        <f t="shared" si="54"/>
        <v>BALI_NT</v>
      </c>
      <c r="V70" s="20">
        <f t="shared" si="54"/>
        <v>2037</v>
      </c>
      <c r="W70" s="30">
        <f>D70*VLOOKUP(W$51,tech_data!$B$2:$K$15,10,FALSE)*1000</f>
        <v>5388325.2011732338</v>
      </c>
      <c r="X70" s="30">
        <f>E70*VLOOKUP(X$51,tech_data!$B$2:$K$15,10,FALSE)*1000</f>
        <v>1773763.559798182</v>
      </c>
      <c r="Y70" s="30">
        <f>F70*VLOOKUP(Y$51,tech_data!$B$2:$K$15,10,FALSE)*1000</f>
        <v>1133270.4747256599</v>
      </c>
      <c r="Z70" s="30">
        <f>G70*VLOOKUP(Z$51,tech_data!$B$2:$K$15,10,FALSE)*1000</f>
        <v>1714963.2890845011</v>
      </c>
      <c r="AA70" s="30">
        <f>H46*VLOOKUP(AA$51,tech_data!$B$2:$K$15,10,FALSE)/1000</f>
        <v>112.95559357565277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1891050.7530662152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11901486.233441368</v>
      </c>
      <c r="AK70" s="25">
        <f t="shared" si="60"/>
        <v>6.699999999999974E-2</v>
      </c>
      <c r="AL70" s="24">
        <f t="shared" si="65"/>
        <v>6.7000000000000004E-2</v>
      </c>
      <c r="AM70" s="26"/>
      <c r="AN70" s="24"/>
      <c r="AO70" s="20" t="str">
        <f t="shared" si="56"/>
        <v>BALI_NT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218.13086206377977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21.30029054614791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179.49172942432014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4.6234176638966913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231.55466769161083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198.19346543271061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0.80589373812636711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85.82325963927326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2.6799512876338705E-6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25.048401619884654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6.9835205158565732E-6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0.14161853941441074</v>
      </c>
      <c r="BD70" s="30">
        <f t="shared" si="61"/>
        <v>965.11361602263639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BALI_NT</v>
      </c>
      <c r="C71" s="20">
        <f t="shared" si="77"/>
        <v>2038</v>
      </c>
      <c r="D71" s="30">
        <f>(bali_nt!D47*3.6/(VLOOKUP(D$51,tech_data!$B$2:$J$15,4,FALSE)/100))/1000</f>
        <v>59.281869692006246</v>
      </c>
      <c r="E71" s="30">
        <f>(bali_nt!E47*3.6/(VLOOKUP(E$51,tech_data!$B$2:$J$15,4,FALSE)/100))/1000</f>
        <v>28.563020256431965</v>
      </c>
      <c r="F71" s="30">
        <f>(bali_nt!F47*3.6/(VLOOKUP(F$51,tech_data!$B$2:$J$15,4,FALSE)/100))/1000</f>
        <v>22.662964663817334</v>
      </c>
      <c r="G71" s="30">
        <f>(bali_nt!G47*3.6/(VLOOKUP(G$51,tech_data!$B$2:$J$15,4,FALSE)/100))/1000</f>
        <v>22.814464362707039</v>
      </c>
      <c r="H71" s="30">
        <f>(bali_nt!H47*3.6/(VLOOKUP(H$51,tech_data!$B$2:$J$15,4,FALSE)/100))/1000</f>
        <v>63.620581754493251</v>
      </c>
      <c r="I71" s="30">
        <f>(bali_nt!I47*3.6/(VLOOKUP(I$51,tech_data!$B$2:$J$15,4,FALSE)/100))/1000</f>
        <v>9.9009517345481619</v>
      </c>
      <c r="J71" s="30">
        <f>(bali_nt!J47*3.6/(VLOOKUP(J$51,tech_data!$B$2:$J$15,4,FALSE)/100))/1000</f>
        <v>0.42618686128254862</v>
      </c>
      <c r="K71" s="30">
        <f t="shared" ref="K71:L71" si="81">K47*3.6/1000</f>
        <v>3.2805750132617044</v>
      </c>
      <c r="L71" s="30">
        <f t="shared" si="81"/>
        <v>5.772868999148395E-7</v>
      </c>
      <c r="M71" s="30">
        <f>(bali_nt!M47*3.6/(VLOOKUP(M$51,tech_data!$B$2:$J$15,4,FALSE)/100))/1000</f>
        <v>16.830284381151792</v>
      </c>
      <c r="N71" s="30">
        <f t="shared" si="58"/>
        <v>5.6748976403199582E-7</v>
      </c>
      <c r="O71" s="30">
        <f>(bali_nt!O47*3.6/(VLOOKUP(O$51,tech_data!$B$2:$J$15,4,FALSE)/100))/1000</f>
        <v>0</v>
      </c>
      <c r="P71" s="30">
        <f>(bali_nt!P47*3.6/(VLOOKUP(P$51,tech_data!$B$2:$J$15,4,FALSE)/100))/1000</f>
        <v>2.6546671906741787E-2</v>
      </c>
      <c r="Q71" s="30">
        <f t="shared" si="53"/>
        <v>227.3808998644767</v>
      </c>
      <c r="R71" s="30"/>
      <c r="T71" s="19"/>
      <c r="U71" s="20" t="str">
        <f t="shared" si="54"/>
        <v>BALI_NT</v>
      </c>
      <c r="V71" s="20">
        <f t="shared" si="54"/>
        <v>2038</v>
      </c>
      <c r="W71" s="30">
        <f>D71*VLOOKUP(W$51,tech_data!$B$2:$K$15,10,FALSE)*1000</f>
        <v>5911588.0456868624</v>
      </c>
      <c r="X71" s="30">
        <f>E71*VLOOKUP(X$51,tech_data!$B$2:$K$15,10,FALSE)*1000</f>
        <v>1773763.5579244252</v>
      </c>
      <c r="Y71" s="30">
        <f>F71*VLOOKUP(Y$51,tech_data!$B$2:$K$15,10,FALSE)*1000</f>
        <v>1407370.1056230566</v>
      </c>
      <c r="Z71" s="30">
        <f>G71*VLOOKUP(Z$51,tech_data!$B$2:$K$15,10,FALSE)*1000</f>
        <v>1714963.286144688</v>
      </c>
      <c r="AA71" s="30">
        <f>H47*VLOOKUP(AA$51,tech_data!$B$2:$K$15,10,FALSE)/1000</f>
        <v>150.06504721341096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1891050.7530662152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12698885.813492462</v>
      </c>
      <c r="AK71" s="25">
        <f t="shared" si="60"/>
        <v>6.7000000202539628E-2</v>
      </c>
      <c r="AL71" s="24">
        <f>AL70</f>
        <v>6.7000000000000004E-2</v>
      </c>
      <c r="AM71" s="26"/>
      <c r="AN71" s="24"/>
      <c r="AO71" s="20" t="str">
        <f t="shared" si="56"/>
        <v>BALI_NT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232.63918367650504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21.300289796980181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199.09634698298382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4.6234176559711662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368.5996802170809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111.03356645251985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0.80589373812636711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97.727990750734804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2.6799512876338705E-6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25.048401619884654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6.9835205158565732E-6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0.15208047512733233</v>
      </c>
      <c r="BD71" s="30">
        <f t="shared" si="61"/>
        <v>1061.0268610293856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BALI_NT</v>
      </c>
      <c r="C76" s="20">
        <f t="shared" si="82"/>
        <v>2019</v>
      </c>
      <c r="D76" s="30">
        <f>D28*3.6/1000</f>
        <v>9.0660809875199995</v>
      </c>
      <c r="E76" s="30">
        <f t="shared" ref="E76:O76" si="83">E28*3.6/1000</f>
        <v>7.1084793970079989</v>
      </c>
      <c r="F76" s="30">
        <f t="shared" si="83"/>
        <v>0</v>
      </c>
      <c r="G76" s="30">
        <f t="shared" si="83"/>
        <v>10.471123198523079</v>
      </c>
      <c r="H76" s="30">
        <f t="shared" si="83"/>
        <v>0.57467810215384618</v>
      </c>
      <c r="I76" s="30">
        <f t="shared" si="83"/>
        <v>0.11666476356923075</v>
      </c>
      <c r="J76" s="30">
        <f t="shared" si="83"/>
        <v>0.34093812184615391</v>
      </c>
      <c r="K76" s="30">
        <f t="shared" si="83"/>
        <v>2.73511728E-2</v>
      </c>
      <c r="L76" s="30">
        <f t="shared" si="83"/>
        <v>0</v>
      </c>
      <c r="M76" s="30">
        <f t="shared" si="83"/>
        <v>0</v>
      </c>
      <c r="N76" s="30">
        <f t="shared" si="83"/>
        <v>0</v>
      </c>
      <c r="O76" s="30">
        <f t="shared" si="83"/>
        <v>0</v>
      </c>
      <c r="P76" s="30">
        <f>(bali_nt!P52*3.6/(VLOOKUP(P$51,tech_data!$B$2:$J$15,4,FALSE)/100))/1000</f>
        <v>0</v>
      </c>
      <c r="Q76" s="30">
        <f t="shared" ref="Q76:Q95" si="84">SUM(D76:O76)</f>
        <v>27.705315743420311</v>
      </c>
      <c r="R76" s="30"/>
      <c r="S76" s="23"/>
      <c r="T76" s="19"/>
      <c r="U76" s="20" t="str">
        <f t="shared" ref="U76:V91" si="85">U28</f>
        <v>BALI_NT</v>
      </c>
      <c r="V76" s="20">
        <f t="shared" si="85"/>
        <v>2019</v>
      </c>
      <c r="W76" s="30">
        <f>D52*(1-(VLOOKUP(W$75,tech_data!$B$2:$O$15,4,FALSE)/100))</f>
        <v>14.380680187100689</v>
      </c>
      <c r="X76" s="30">
        <f>E52*(1-(VLOOKUP(X$75,tech_data!$B$2:$O$15,4,FALSE)/100))</f>
        <v>12.821836669369571</v>
      </c>
      <c r="Y76" s="30">
        <f>F52*(1-(VLOOKUP(Y$75,tech_data!$B$2:$O$15,4,FALSE)/100))</f>
        <v>0</v>
      </c>
      <c r="Z76" s="30">
        <f>G52*(1-(VLOOKUP(Z$75,tech_data!$B$2:$O$15,4,FALSE)/100))</f>
        <v>12.29218810261405</v>
      </c>
      <c r="AA76" s="30">
        <f>H52*(1-(VLOOKUP(AA$75,tech_data!$B$2:$O$15,4,FALSE)/100))</f>
        <v>3.6821967286153847</v>
      </c>
      <c r="AB76" s="30">
        <f>I52*(1-(VLOOKUP(AB$75,tech_data!$B$2:$O$15,4,FALSE)/100))</f>
        <v>6.1402507141700459E-3</v>
      </c>
      <c r="AC76" s="30">
        <f>J52*(1-(VLOOKUP(AC$75,tech_data!$B$2:$O$15,4,FALSE)/100))</f>
        <v>8.5234530461538449E-2</v>
      </c>
      <c r="AD76" s="30">
        <f>K52*(1-(VLOOKUP(AD$75,tech_data!$B$2:$O$15,4,FALSE)/100))</f>
        <v>2.2974985151999999E-2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(bali_nt!AI52*3.6/(VLOOKUP(AI$51,tech_data!$B$2:$J$15,4,FALSE)/100))/1000</f>
        <v>0</v>
      </c>
      <c r="AJ76" s="30">
        <f t="shared" ref="AJ76:AJ95" si="86">SUM(W76:AH76)</f>
        <v>43.291251454027403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BALI_NT</v>
      </c>
      <c r="C77" s="20">
        <f t="shared" si="82"/>
        <v>2020</v>
      </c>
      <c r="D77" s="30">
        <f t="shared" ref="D77:O92" si="87">D29*3.6/1000</f>
        <v>9.199483573743807</v>
      </c>
      <c r="E77" s="30">
        <f t="shared" si="87"/>
        <v>7.1084793970079989</v>
      </c>
      <c r="F77" s="30">
        <f t="shared" si="87"/>
        <v>0</v>
      </c>
      <c r="G77" s="30">
        <f t="shared" si="87"/>
        <v>10.471123198523079</v>
      </c>
      <c r="H77" s="30">
        <f t="shared" si="87"/>
        <v>0.57467810215384618</v>
      </c>
      <c r="I77" s="30">
        <f t="shared" si="87"/>
        <v>0.11666476356923075</v>
      </c>
      <c r="J77" s="30">
        <f t="shared" si="87"/>
        <v>0.34093812184615391</v>
      </c>
      <c r="K77" s="30">
        <f t="shared" si="87"/>
        <v>8.7849097643007329E-2</v>
      </c>
      <c r="L77" s="30">
        <f t="shared" si="87"/>
        <v>0</v>
      </c>
      <c r="M77" s="30">
        <f t="shared" si="87"/>
        <v>0.60918373897838751</v>
      </c>
      <c r="N77" s="30">
        <f t="shared" si="87"/>
        <v>0</v>
      </c>
      <c r="O77" s="30">
        <f t="shared" si="87"/>
        <v>0</v>
      </c>
      <c r="P77" s="30">
        <f>(bali_nt!P53*3.6/(VLOOKUP(P$51,tech_data!$B$2:$J$15,4,FALSE)/100))/1000</f>
        <v>3.9554912535101114E-5</v>
      </c>
      <c r="Q77" s="30">
        <f t="shared" si="84"/>
        <v>28.50839999346551</v>
      </c>
      <c r="R77" s="30"/>
      <c r="S77" s="23"/>
      <c r="T77" s="19"/>
      <c r="U77" s="20" t="str">
        <f t="shared" si="85"/>
        <v>BALI_NT</v>
      </c>
      <c r="V77" s="20">
        <f t="shared" si="85"/>
        <v>2020</v>
      </c>
      <c r="W77" s="30">
        <f>D53*(1-(VLOOKUP(W$75,tech_data!$B$2:$O$15,4,FALSE)/100))</f>
        <v>14.592284289386727</v>
      </c>
      <c r="X77" s="30">
        <f>E53*(1-(VLOOKUP(X$75,tech_data!$B$2:$O$15,4,FALSE)/100))</f>
        <v>12.821836669369571</v>
      </c>
      <c r="Y77" s="30">
        <f>F53*(1-(VLOOKUP(Y$75,tech_data!$B$2:$O$15,4,FALSE)/100))</f>
        <v>0</v>
      </c>
      <c r="Z77" s="30">
        <f>G53*(1-(VLOOKUP(Z$75,tech_data!$B$2:$O$15,4,FALSE)/100))</f>
        <v>12.29218810261405</v>
      </c>
      <c r="AA77" s="30">
        <f>H53*(1-(VLOOKUP(AA$75,tech_data!$B$2:$O$15,4,FALSE)/100))</f>
        <v>3.6821967286153847</v>
      </c>
      <c r="AB77" s="30">
        <f>I53*(1-(VLOOKUP(AB$75,tech_data!$B$2:$O$15,4,FALSE)/100))</f>
        <v>6.1402507141700459E-3</v>
      </c>
      <c r="AC77" s="30">
        <f>J53*(1-(VLOOKUP(AC$75,tech_data!$B$2:$O$15,4,FALSE)/100))</f>
        <v>8.5234530461538449E-2</v>
      </c>
      <c r="AD77" s="30">
        <f>K53*(1-(VLOOKUP(AD$75,tech_data!$B$2:$O$15,4,FALSE)/100))</f>
        <v>7.379324202012616E-2</v>
      </c>
      <c r="AE77" s="30">
        <f>L53*(1-(VLOOKUP(AE$75,tech_data!$B$2:$O$15,4,FALSE)/100))</f>
        <v>0</v>
      </c>
      <c r="AF77" s="30">
        <f>M53*(1-(VLOOKUP(AF$75,tech_data!$B$2:$O$15,4,FALSE)/100))</f>
        <v>1.3559250964357656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(bali_nt!AI53*3.6/(VLOOKUP(AI$51,tech_data!$B$2:$J$15,4,FALSE)/100))/1000</f>
        <v>0</v>
      </c>
      <c r="AJ77" s="30">
        <f t="shared" si="86"/>
        <v>44.909598909617337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BALI_NT</v>
      </c>
      <c r="C78" s="20">
        <f t="shared" si="82"/>
        <v>2021</v>
      </c>
      <c r="D78" s="30">
        <f t="shared" si="87"/>
        <v>10.639068793487416</v>
      </c>
      <c r="E78" s="30">
        <f t="shared" si="87"/>
        <v>7.1084793970079989</v>
      </c>
      <c r="F78" s="30">
        <f t="shared" si="87"/>
        <v>0</v>
      </c>
      <c r="G78" s="30">
        <f t="shared" si="87"/>
        <v>10.471123198523079</v>
      </c>
      <c r="H78" s="30">
        <f t="shared" si="87"/>
        <v>3.8759349264526421</v>
      </c>
      <c r="I78" s="30">
        <f t="shared" si="87"/>
        <v>0.11666476356923075</v>
      </c>
      <c r="J78" s="30">
        <f t="shared" si="87"/>
        <v>0.34093812184615391</v>
      </c>
      <c r="K78" s="30">
        <f t="shared" si="87"/>
        <v>0.27849980018835935</v>
      </c>
      <c r="L78" s="30">
        <f t="shared" si="87"/>
        <v>0</v>
      </c>
      <c r="M78" s="30">
        <f t="shared" si="87"/>
        <v>0.60918372998698855</v>
      </c>
      <c r="N78" s="30">
        <f t="shared" si="87"/>
        <v>-3.5999999998653341E-9</v>
      </c>
      <c r="O78" s="30">
        <f t="shared" si="87"/>
        <v>0</v>
      </c>
      <c r="P78" s="30">
        <f>(bali_nt!P54*3.6/(VLOOKUP(P$51,tech_data!$B$2:$J$15,4,FALSE)/100))/1000</f>
        <v>4.6593800863310042E-5</v>
      </c>
      <c r="Q78" s="30">
        <f t="shared" si="84"/>
        <v>33.439892727461867</v>
      </c>
      <c r="R78" s="30"/>
      <c r="S78" s="23"/>
      <c r="T78" s="19"/>
      <c r="U78" s="20" t="str">
        <f t="shared" si="85"/>
        <v>BALI_NT</v>
      </c>
      <c r="V78" s="20">
        <f t="shared" si="85"/>
        <v>2021</v>
      </c>
      <c r="W78" s="30">
        <f>D54*(1-(VLOOKUP(W$75,tech_data!$B$2:$O$15,4,FALSE)/100))</f>
        <v>16.875764293117971</v>
      </c>
      <c r="X78" s="30">
        <f>E54*(1-(VLOOKUP(X$75,tech_data!$B$2:$O$15,4,FALSE)/100))</f>
        <v>12.821836669369571</v>
      </c>
      <c r="Y78" s="30">
        <f>F54*(1-(VLOOKUP(Y$75,tech_data!$B$2:$O$15,4,FALSE)/100))</f>
        <v>0</v>
      </c>
      <c r="Z78" s="30">
        <f>G54*(1-(VLOOKUP(Z$75,tech_data!$B$2:$O$15,4,FALSE)/100))</f>
        <v>12.29218810261405</v>
      </c>
      <c r="AA78" s="30">
        <f>H54*(1-(VLOOKUP(AA$75,tech_data!$B$2:$O$15,4,FALSE)/100))</f>
        <v>24.83469415838174</v>
      </c>
      <c r="AB78" s="30">
        <f>I54*(1-(VLOOKUP(AB$75,tech_data!$B$2:$O$15,4,FALSE)/100))</f>
        <v>6.1402507141700459E-3</v>
      </c>
      <c r="AC78" s="30">
        <f>J54*(1-(VLOOKUP(AC$75,tech_data!$B$2:$O$15,4,FALSE)/100))</f>
        <v>8.5234530461538449E-2</v>
      </c>
      <c r="AD78" s="30">
        <f>K54*(1-(VLOOKUP(AD$75,tech_data!$B$2:$O$15,4,FALSE)/100))</f>
        <v>0.23393983215822184</v>
      </c>
      <c r="AE78" s="30">
        <f>L54*(1-(VLOOKUP(AE$75,tech_data!$B$2:$O$15,4,FALSE)/100))</f>
        <v>0</v>
      </c>
      <c r="AF78" s="30">
        <f>M54*(1-(VLOOKUP(AF$75,tech_data!$B$2:$O$15,4,FALSE)/100))</f>
        <v>1.3559250764226518</v>
      </c>
      <c r="AG78" s="30">
        <f>N54*(1-(VLOOKUP(AG$75,tech_data!$B$2:$O$15,4,FALSE)/100))</f>
        <v>-3.1799999998810467E-10</v>
      </c>
      <c r="AH78" s="30">
        <f>O54*(1-(VLOOKUP(AH$75,tech_data!$B$2:$O$15,4,FALSE)/100))</f>
        <v>0</v>
      </c>
      <c r="AI78" s="30">
        <f>(bali_nt!AI54*3.6/(VLOOKUP(AI$51,tech_data!$B$2:$J$15,4,FALSE)/100))/1000</f>
        <v>0</v>
      </c>
      <c r="AJ78" s="30">
        <f t="shared" si="86"/>
        <v>68.505722912921911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BALI_NT</v>
      </c>
      <c r="C79" s="20">
        <f t="shared" si="82"/>
        <v>2022</v>
      </c>
      <c r="D79" s="30">
        <f t="shared" si="87"/>
        <v>11.618730221598767</v>
      </c>
      <c r="E79" s="30">
        <f t="shared" si="87"/>
        <v>7.1084793970079989</v>
      </c>
      <c r="F79" s="30">
        <f t="shared" si="87"/>
        <v>1.3484205313029671</v>
      </c>
      <c r="G79" s="30">
        <f t="shared" si="87"/>
        <v>10.471123180533001</v>
      </c>
      <c r="H79" s="30">
        <f t="shared" si="87"/>
        <v>3.8759349264526421</v>
      </c>
      <c r="I79" s="30">
        <f t="shared" si="87"/>
        <v>1.3106969808409943</v>
      </c>
      <c r="J79" s="30">
        <f t="shared" si="87"/>
        <v>0.34093812184615391</v>
      </c>
      <c r="K79" s="30">
        <f t="shared" si="87"/>
        <v>0.36409291942189437</v>
      </c>
      <c r="L79" s="30">
        <f t="shared" si="87"/>
        <v>0</v>
      </c>
      <c r="M79" s="30">
        <f t="shared" si="87"/>
        <v>0.60918372099558993</v>
      </c>
      <c r="N79" s="30">
        <f t="shared" si="87"/>
        <v>1.2696416234417321E-16</v>
      </c>
      <c r="O79" s="30">
        <f t="shared" si="87"/>
        <v>0</v>
      </c>
      <c r="P79" s="30">
        <f>(bali_nt!P55*3.6/(VLOOKUP(P$51,tech_data!$B$2:$J$15,4,FALSE)/100))/1000</f>
        <v>5.1682853310141863E-5</v>
      </c>
      <c r="Q79" s="30">
        <f t="shared" si="84"/>
        <v>37.047600000000003</v>
      </c>
      <c r="R79" s="30"/>
      <c r="S79" s="23"/>
      <c r="T79" s="19"/>
      <c r="U79" s="20" t="str">
        <f t="shared" si="85"/>
        <v>BALI_NT</v>
      </c>
      <c r="V79" s="20">
        <f t="shared" si="85"/>
        <v>2022</v>
      </c>
      <c r="W79" s="30">
        <f>D55*(1-(VLOOKUP(W$75,tech_data!$B$2:$O$15,4,FALSE)/100))</f>
        <v>18.429710006673908</v>
      </c>
      <c r="X79" s="30">
        <f>E55*(1-(VLOOKUP(X$75,tech_data!$B$2:$O$15,4,FALSE)/100))</f>
        <v>12.821836669369571</v>
      </c>
      <c r="Y79" s="30">
        <f>F55*(1-(VLOOKUP(Y$75,tech_data!$B$2:$O$15,4,FALSE)/100))</f>
        <v>0.96315752235926211</v>
      </c>
      <c r="Z79" s="30">
        <f>G55*(1-(VLOOKUP(Z$75,tech_data!$B$2:$O$15,4,FALSE)/100))</f>
        <v>12.292188081495263</v>
      </c>
      <c r="AA79" s="30">
        <f>H55*(1-(VLOOKUP(AA$75,tech_data!$B$2:$O$15,4,FALSE)/100))</f>
        <v>24.83469415838174</v>
      </c>
      <c r="AB79" s="30">
        <f>I55*(1-(VLOOKUP(AB$75,tech_data!$B$2:$O$15,4,FALSE)/100))</f>
        <v>6.898405162321028E-2</v>
      </c>
      <c r="AC79" s="30">
        <f>J55*(1-(VLOOKUP(AC$75,tech_data!$B$2:$O$15,4,FALSE)/100))</f>
        <v>8.5234530461538449E-2</v>
      </c>
      <c r="AD79" s="30">
        <f>K55*(1-(VLOOKUP(AD$75,tech_data!$B$2:$O$15,4,FALSE)/100))</f>
        <v>0.30583805231439126</v>
      </c>
      <c r="AE79" s="30">
        <f>L55*(1-(VLOOKUP(AE$75,tech_data!$B$2:$O$15,4,FALSE)/100))</f>
        <v>0</v>
      </c>
      <c r="AF79" s="30">
        <f>M55*(1-(VLOOKUP(AF$75,tech_data!$B$2:$O$15,4,FALSE)/100))</f>
        <v>1.3559250564095389</v>
      </c>
      <c r="AG79" s="30">
        <f>N55*(1-(VLOOKUP(AG$75,tech_data!$B$2:$O$15,4,FALSE)/100))</f>
        <v>1.1215167673735305E-17</v>
      </c>
      <c r="AH79" s="30">
        <f>O55*(1-(VLOOKUP(AH$75,tech_data!$B$2:$O$15,4,FALSE)/100))</f>
        <v>0</v>
      </c>
      <c r="AI79" s="30">
        <f>(bali_nt!AI55*3.6/(VLOOKUP(AI$51,tech_data!$B$2:$J$15,4,FALSE)/100))/1000</f>
        <v>0</v>
      </c>
      <c r="AJ79" s="30">
        <f t="shared" si="86"/>
        <v>71.157568129088403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BALI_NT</v>
      </c>
      <c r="C80" s="20">
        <f t="shared" si="82"/>
        <v>2023</v>
      </c>
      <c r="D80" s="30">
        <f t="shared" si="87"/>
        <v>11.645670736766139</v>
      </c>
      <c r="E80" s="30">
        <f t="shared" si="87"/>
        <v>7.1225535938302613</v>
      </c>
      <c r="F80" s="30">
        <f t="shared" si="87"/>
        <v>1.3637940759064162</v>
      </c>
      <c r="G80" s="30">
        <f t="shared" si="87"/>
        <v>10.494653714785688</v>
      </c>
      <c r="H80" s="30">
        <f t="shared" si="87"/>
        <v>3.9119906034677143</v>
      </c>
      <c r="I80" s="30">
        <f t="shared" si="87"/>
        <v>1.3315995967468928</v>
      </c>
      <c r="J80" s="30">
        <f t="shared" si="87"/>
        <v>0.34094948902603894</v>
      </c>
      <c r="K80" s="30">
        <f t="shared" si="87"/>
        <v>0.49776618684695834</v>
      </c>
      <c r="L80" s="30">
        <f t="shared" si="87"/>
        <v>5.7614455932118636E-7</v>
      </c>
      <c r="M80" s="30">
        <f t="shared" si="87"/>
        <v>0.62305789717536608</v>
      </c>
      <c r="N80" s="30">
        <f t="shared" si="87"/>
        <v>5.7690397581471065E-7</v>
      </c>
      <c r="O80" s="30">
        <f t="shared" si="87"/>
        <v>0</v>
      </c>
      <c r="P80" s="30">
        <f>(bali_nt!P56*3.6/(VLOOKUP(P$51,tech_data!$B$2:$J$15,4,FALSE)/100))/1000</f>
        <v>5.2226252564131594E-5</v>
      </c>
      <c r="Q80" s="30">
        <f t="shared" si="84"/>
        <v>37.332037047600011</v>
      </c>
      <c r="R80" s="30"/>
      <c r="S80" s="23"/>
      <c r="T80" s="19"/>
      <c r="U80" s="20" t="str">
        <f t="shared" si="85"/>
        <v>BALI_NT</v>
      </c>
      <c r="V80" s="20">
        <f t="shared" si="85"/>
        <v>2023</v>
      </c>
      <c r="W80" s="30">
        <f>D56*(1-(VLOOKUP(W$75,tech_data!$B$2:$O$15,4,FALSE)/100))</f>
        <v>18.472443237629047</v>
      </c>
      <c r="X80" s="30">
        <f>E56*(1-(VLOOKUP(X$75,tech_data!$B$2:$O$15,4,FALSE)/100))</f>
        <v>12.847222837469538</v>
      </c>
      <c r="Y80" s="30">
        <f>F56*(1-(VLOOKUP(Y$75,tech_data!$B$2:$O$15,4,FALSE)/100))</f>
        <v>0.97413862564744025</v>
      </c>
      <c r="Z80" s="30">
        <f>G56*(1-(VLOOKUP(Z$75,tech_data!$B$2:$O$15,4,FALSE)/100))</f>
        <v>12.319810882574505</v>
      </c>
      <c r="AA80" s="30">
        <f>H56*(1-(VLOOKUP(AA$75,tech_data!$B$2:$O$15,4,FALSE)/100))</f>
        <v>25.065717570367205</v>
      </c>
      <c r="AB80" s="30">
        <f>I56*(1-(VLOOKUP(AB$75,tech_data!$B$2:$O$15,4,FALSE)/100))</f>
        <v>7.0084189302468097E-2</v>
      </c>
      <c r="AC80" s="30">
        <f>J56*(1-(VLOOKUP(AC$75,tech_data!$B$2:$O$15,4,FALSE)/100))</f>
        <v>8.5237372256509708E-2</v>
      </c>
      <c r="AD80" s="30">
        <f>K56*(1-(VLOOKUP(AD$75,tech_data!$B$2:$O$15,4,FALSE)/100))</f>
        <v>0.41812359695144496</v>
      </c>
      <c r="AE80" s="30">
        <f>L56*(1-(VLOOKUP(AE$75,tech_data!$B$2:$O$15,4,FALSE)/100))</f>
        <v>2.3449083564372287E-7</v>
      </c>
      <c r="AF80" s="30">
        <f>M56*(1-(VLOOKUP(AF$75,tech_data!$B$2:$O$15,4,FALSE)/100))</f>
        <v>1.3868062872612987</v>
      </c>
      <c r="AG80" s="30">
        <f>N56*(1-(VLOOKUP(AG$75,tech_data!$B$2:$O$15,4,FALSE)/100))</f>
        <v>5.0959851196966133E-8</v>
      </c>
      <c r="AH80" s="30">
        <f>O56*(1-(VLOOKUP(AH$75,tech_data!$B$2:$O$15,4,FALSE)/100))</f>
        <v>0</v>
      </c>
      <c r="AI80" s="30">
        <f>(bali_nt!AI56*3.6/(VLOOKUP(AI$51,tech_data!$B$2:$J$15,4,FALSE)/100))/1000</f>
        <v>0</v>
      </c>
      <c r="AJ80" s="30">
        <f t="shared" si="86"/>
        <v>71.63958488491015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BALI_NT</v>
      </c>
      <c r="C81" s="20">
        <f t="shared" si="82"/>
        <v>2024</v>
      </c>
      <c r="D81" s="30">
        <f t="shared" si="87"/>
        <v>11.645670736766139</v>
      </c>
      <c r="E81" s="30">
        <f t="shared" si="87"/>
        <v>7.1225535938302613</v>
      </c>
      <c r="F81" s="30">
        <f t="shared" si="87"/>
        <v>1.3637940759064162</v>
      </c>
      <c r="G81" s="30">
        <f t="shared" si="87"/>
        <v>10.494653714785688</v>
      </c>
      <c r="H81" s="30">
        <f t="shared" si="87"/>
        <v>3.9119906034677143</v>
      </c>
      <c r="I81" s="30">
        <f t="shared" si="87"/>
        <v>1.3315995807654184</v>
      </c>
      <c r="J81" s="30">
        <f t="shared" si="87"/>
        <v>0.34094948902603894</v>
      </c>
      <c r="K81" s="30">
        <f t="shared" si="87"/>
        <v>0.49776618684695834</v>
      </c>
      <c r="L81" s="30">
        <f t="shared" si="87"/>
        <v>5.7614455932118636E-7</v>
      </c>
      <c r="M81" s="30">
        <f t="shared" si="87"/>
        <v>1.4330208655568408</v>
      </c>
      <c r="N81" s="30">
        <f t="shared" si="87"/>
        <v>5.7690397581471065E-7</v>
      </c>
      <c r="O81" s="30">
        <f t="shared" si="87"/>
        <v>0</v>
      </c>
      <c r="P81" s="30">
        <f>(bali_nt!P57*3.6/(VLOOKUP(P$51,tech_data!$B$2:$J$15,4,FALSE)/100))/1000</f>
        <v>5.334726648074554E-5</v>
      </c>
      <c r="Q81" s="30">
        <f t="shared" si="84"/>
        <v>38.142000000000017</v>
      </c>
      <c r="R81" s="30"/>
      <c r="S81" s="23"/>
      <c r="T81" s="19"/>
      <c r="U81" s="20" t="str">
        <f t="shared" si="85"/>
        <v>BALI_NT</v>
      </c>
      <c r="V81" s="20">
        <f t="shared" si="85"/>
        <v>2024</v>
      </c>
      <c r="W81" s="30">
        <f>D57*(1-(VLOOKUP(W$75,tech_data!$B$2:$O$15,4,FALSE)/100))</f>
        <v>18.472443237629047</v>
      </c>
      <c r="X81" s="30">
        <f>E57*(1-(VLOOKUP(X$75,tech_data!$B$2:$O$15,4,FALSE)/100))</f>
        <v>12.847222837469538</v>
      </c>
      <c r="Y81" s="30">
        <f>F57*(1-(VLOOKUP(Y$75,tech_data!$B$2:$O$15,4,FALSE)/100))</f>
        <v>0.97413862564744025</v>
      </c>
      <c r="Z81" s="30">
        <f>G57*(1-(VLOOKUP(Z$75,tech_data!$B$2:$O$15,4,FALSE)/100))</f>
        <v>12.319810882574505</v>
      </c>
      <c r="AA81" s="30">
        <f>H57*(1-(VLOOKUP(AA$75,tech_data!$B$2:$O$15,4,FALSE)/100))</f>
        <v>25.065717570367205</v>
      </c>
      <c r="AB81" s="30">
        <f>I57*(1-(VLOOKUP(AB$75,tech_data!$B$2:$O$15,4,FALSE)/100))</f>
        <v>7.0084188461337862E-2</v>
      </c>
      <c r="AC81" s="30">
        <f>J57*(1-(VLOOKUP(AC$75,tech_data!$B$2:$O$15,4,FALSE)/100))</f>
        <v>8.5237372256509708E-2</v>
      </c>
      <c r="AD81" s="30">
        <f>K57*(1-(VLOOKUP(AD$75,tech_data!$B$2:$O$15,4,FALSE)/100))</f>
        <v>0.41812359695144496</v>
      </c>
      <c r="AE81" s="30">
        <f>L57*(1-(VLOOKUP(AE$75,tech_data!$B$2:$O$15,4,FALSE)/100))</f>
        <v>2.3449083564372287E-7</v>
      </c>
      <c r="AF81" s="30">
        <f>M57*(1-(VLOOKUP(AF$75,tech_data!$B$2:$O$15,4,FALSE)/100))</f>
        <v>3.189627087852323</v>
      </c>
      <c r="AG81" s="30">
        <f>N57*(1-(VLOOKUP(AG$75,tech_data!$B$2:$O$15,4,FALSE)/100))</f>
        <v>5.0959851196966133E-8</v>
      </c>
      <c r="AH81" s="30">
        <f>O57*(1-(VLOOKUP(AH$75,tech_data!$B$2:$O$15,4,FALSE)/100))</f>
        <v>0</v>
      </c>
      <c r="AI81" s="30">
        <f>(bali_nt!AI57*3.6/(VLOOKUP(AI$51,tech_data!$B$2:$J$15,4,FALSE)/100))/1000</f>
        <v>0</v>
      </c>
      <c r="AJ81" s="30">
        <f t="shared" si="86"/>
        <v>73.442405684660059</v>
      </c>
      <c r="AK81" s="30"/>
      <c r="AL81" s="23"/>
    </row>
    <row r="82" spans="1:38" x14ac:dyDescent="0.25">
      <c r="A82" s="19"/>
      <c r="B82" s="20" t="str">
        <f t="shared" si="82"/>
        <v>BALI_NT</v>
      </c>
      <c r="C82" s="20">
        <f t="shared" si="82"/>
        <v>2025</v>
      </c>
      <c r="D82" s="30">
        <f t="shared" si="87"/>
        <v>11.66724</v>
      </c>
      <c r="E82" s="30">
        <f t="shared" si="87"/>
        <v>7.1225535938302613</v>
      </c>
      <c r="F82" s="30">
        <f t="shared" si="87"/>
        <v>1.433422406169742</v>
      </c>
      <c r="G82" s="30">
        <f t="shared" si="87"/>
        <v>10.494653714785688</v>
      </c>
      <c r="H82" s="30">
        <f t="shared" si="87"/>
        <v>3.9119906034677143</v>
      </c>
      <c r="I82" s="30">
        <f t="shared" si="87"/>
        <v>1.3315995807654184</v>
      </c>
      <c r="J82" s="30">
        <f t="shared" si="87"/>
        <v>0.34094948902603894</v>
      </c>
      <c r="K82" s="30">
        <f t="shared" si="87"/>
        <v>0.52989277991853856</v>
      </c>
      <c r="L82" s="30">
        <f t="shared" si="87"/>
        <v>5.7614455932118636E-7</v>
      </c>
      <c r="M82" s="30">
        <f t="shared" si="87"/>
        <v>2.0584966789880719</v>
      </c>
      <c r="N82" s="30">
        <f t="shared" si="87"/>
        <v>5.7690397581471065E-7</v>
      </c>
      <c r="O82" s="30">
        <f t="shared" si="87"/>
        <v>0</v>
      </c>
      <c r="P82" s="30">
        <f>(bali_nt!P58*3.6/(VLOOKUP(P$51,tech_data!$B$2:$J$15,4,FALSE)/100))/1000</f>
        <v>5.4419614161918657E-5</v>
      </c>
      <c r="Q82" s="30">
        <f t="shared" si="84"/>
        <v>38.890800000000013</v>
      </c>
      <c r="R82" s="30"/>
      <c r="S82" s="23"/>
      <c r="T82" s="19"/>
      <c r="U82" s="20" t="str">
        <f t="shared" si="85"/>
        <v>BALI_NT</v>
      </c>
      <c r="V82" s="20">
        <f t="shared" si="85"/>
        <v>2025</v>
      </c>
      <c r="W82" s="30">
        <f>D58*(1-(VLOOKUP(W$75,tech_data!$B$2:$O$15,4,FALSE)/100))</f>
        <v>18.506656551724138</v>
      </c>
      <c r="X82" s="30">
        <f>E58*(1-(VLOOKUP(X$75,tech_data!$B$2:$O$15,4,FALSE)/100))</f>
        <v>12.847222837469538</v>
      </c>
      <c r="Y82" s="30">
        <f>F58*(1-(VLOOKUP(Y$75,tech_data!$B$2:$O$15,4,FALSE)/100))</f>
        <v>1.0238731472641014</v>
      </c>
      <c r="Z82" s="30">
        <f>G58*(1-(VLOOKUP(Z$75,tech_data!$B$2:$O$15,4,FALSE)/100))</f>
        <v>12.319810882574505</v>
      </c>
      <c r="AA82" s="30">
        <f>H58*(1-(VLOOKUP(AA$75,tech_data!$B$2:$O$15,4,FALSE)/100))</f>
        <v>25.065717570367205</v>
      </c>
      <c r="AB82" s="30">
        <f>I58*(1-(VLOOKUP(AB$75,tech_data!$B$2:$O$15,4,FALSE)/100))</f>
        <v>7.0084188461337862E-2</v>
      </c>
      <c r="AC82" s="30">
        <f>J58*(1-(VLOOKUP(AC$75,tech_data!$B$2:$O$15,4,FALSE)/100))</f>
        <v>8.5237372256509708E-2</v>
      </c>
      <c r="AD82" s="30">
        <f>K58*(1-(VLOOKUP(AD$75,tech_data!$B$2:$O$15,4,FALSE)/100))</f>
        <v>0.44510993513157238</v>
      </c>
      <c r="AE82" s="30">
        <f>L58*(1-(VLOOKUP(AE$75,tech_data!$B$2:$O$15,4,FALSE)/100))</f>
        <v>2.3449083564372287E-7</v>
      </c>
      <c r="AF82" s="30">
        <f>M58*(1-(VLOOKUP(AF$75,tech_data!$B$2:$O$15,4,FALSE)/100))</f>
        <v>4.5818151887153853</v>
      </c>
      <c r="AG82" s="30">
        <f>N58*(1-(VLOOKUP(AG$75,tech_data!$B$2:$O$15,4,FALSE)/100))</f>
        <v>5.0959851196966133E-8</v>
      </c>
      <c r="AH82" s="30">
        <f>O58*(1-(VLOOKUP(AH$75,tech_data!$B$2:$O$15,4,FALSE)/100))</f>
        <v>0</v>
      </c>
      <c r="AI82" s="30">
        <f>(bali_nt!AI58*3.6/(VLOOKUP(AI$51,tech_data!$B$2:$J$15,4,FALSE)/100))/1000</f>
        <v>0</v>
      </c>
      <c r="AJ82" s="30">
        <f t="shared" si="86"/>
        <v>74.945527959414974</v>
      </c>
      <c r="AK82" s="30"/>
      <c r="AL82" s="23"/>
    </row>
    <row r="83" spans="1:38" x14ac:dyDescent="0.25">
      <c r="A83" s="19"/>
      <c r="B83" s="20" t="str">
        <f t="shared" si="82"/>
        <v>BALI_NT</v>
      </c>
      <c r="C83" s="20">
        <f t="shared" si="82"/>
        <v>2026</v>
      </c>
      <c r="D83" s="30">
        <f t="shared" si="87"/>
        <v>11.705320799205174</v>
      </c>
      <c r="E83" s="30">
        <f t="shared" si="87"/>
        <v>7.1225535938302613</v>
      </c>
      <c r="F83" s="30">
        <f t="shared" si="87"/>
        <v>1.433422396206792</v>
      </c>
      <c r="G83" s="30">
        <f t="shared" si="87"/>
        <v>10.494653714785688</v>
      </c>
      <c r="H83" s="30">
        <f t="shared" si="87"/>
        <v>3.9119905801068158</v>
      </c>
      <c r="I83" s="30">
        <f t="shared" si="87"/>
        <v>1.3315995807654184</v>
      </c>
      <c r="J83" s="30">
        <f t="shared" si="87"/>
        <v>0.34094948902603894</v>
      </c>
      <c r="K83" s="30">
        <f t="shared" si="87"/>
        <v>0.580263279741289</v>
      </c>
      <c r="L83" s="30">
        <f t="shared" si="87"/>
        <v>5.7616920269153619E-7</v>
      </c>
      <c r="M83" s="30">
        <f t="shared" si="87"/>
        <v>2.3588454094416198</v>
      </c>
      <c r="N83" s="30">
        <f t="shared" si="87"/>
        <v>5.7692769407244209E-7</v>
      </c>
      <c r="O83" s="30">
        <f t="shared" si="87"/>
        <v>0</v>
      </c>
      <c r="P83" s="30">
        <f>(bali_nt!P59*3.6/(VLOOKUP(P$51,tech_data!$B$2:$J$15,4,FALSE)/100))/1000</f>
        <v>5.5014145752862774E-5</v>
      </c>
      <c r="Q83" s="30">
        <f t="shared" si="84"/>
        <v>39.279599996205995</v>
      </c>
      <c r="R83" s="30"/>
      <c r="S83" s="23"/>
      <c r="T83" s="19"/>
      <c r="U83" s="20" t="str">
        <f t="shared" si="85"/>
        <v>BALI_NT</v>
      </c>
      <c r="V83" s="20">
        <f t="shared" si="85"/>
        <v>2026</v>
      </c>
      <c r="W83" s="30">
        <f>D59*(1-(VLOOKUP(W$75,tech_data!$B$2:$O$15,4,FALSE)/100))</f>
        <v>18.567060578049588</v>
      </c>
      <c r="X83" s="30">
        <f>E59*(1-(VLOOKUP(X$75,tech_data!$B$2:$O$15,4,FALSE)/100))</f>
        <v>12.847222837469538</v>
      </c>
      <c r="Y83" s="30">
        <f>F59*(1-(VLOOKUP(Y$75,tech_data!$B$2:$O$15,4,FALSE)/100))</f>
        <v>1.0238731401477084</v>
      </c>
      <c r="Z83" s="30">
        <f>G59*(1-(VLOOKUP(Z$75,tech_data!$B$2:$O$15,4,FALSE)/100))</f>
        <v>12.319810882574505</v>
      </c>
      <c r="AA83" s="30">
        <f>H59*(1-(VLOOKUP(AA$75,tech_data!$B$2:$O$15,4,FALSE)/100))</f>
        <v>25.065717420684408</v>
      </c>
      <c r="AB83" s="30">
        <f>I59*(1-(VLOOKUP(AB$75,tech_data!$B$2:$O$15,4,FALSE)/100))</f>
        <v>7.0084188461337862E-2</v>
      </c>
      <c r="AC83" s="30">
        <f>J59*(1-(VLOOKUP(AC$75,tech_data!$B$2:$O$15,4,FALSE)/100))</f>
        <v>8.5237372256509708E-2</v>
      </c>
      <c r="AD83" s="30">
        <f>K59*(1-(VLOOKUP(AD$75,tech_data!$B$2:$O$15,4,FALSE)/100))</f>
        <v>0.48742115498268274</v>
      </c>
      <c r="AE83" s="30">
        <f>L59*(1-(VLOOKUP(AE$75,tech_data!$B$2:$O$15,4,FALSE)/100))</f>
        <v>2.3450086549545525E-7</v>
      </c>
      <c r="AF83" s="30">
        <f>M59*(1-(VLOOKUP(AF$75,tech_data!$B$2:$O$15,4,FALSE)/100))</f>
        <v>5.2503333306926372</v>
      </c>
      <c r="AG83" s="30">
        <f>N59*(1-(VLOOKUP(AG$75,tech_data!$B$2:$O$15,4,FALSE)/100))</f>
        <v>5.0961946309732406E-8</v>
      </c>
      <c r="AH83" s="30">
        <f>O59*(1-(VLOOKUP(AH$75,tech_data!$B$2:$O$15,4,FALSE)/100))</f>
        <v>0</v>
      </c>
      <c r="AI83" s="30">
        <f>(bali_nt!AI59*3.6/(VLOOKUP(AI$51,tech_data!$B$2:$J$15,4,FALSE)/100))/1000</f>
        <v>0</v>
      </c>
      <c r="AJ83" s="30">
        <f t="shared" si="86"/>
        <v>75.716761190781725</v>
      </c>
      <c r="AK83" s="30"/>
      <c r="AL83" s="23"/>
    </row>
    <row r="84" spans="1:38" x14ac:dyDescent="0.25">
      <c r="A84" s="19"/>
      <c r="B84" s="20" t="str">
        <f t="shared" si="82"/>
        <v>BALI_NT</v>
      </c>
      <c r="C84" s="20">
        <f t="shared" si="82"/>
        <v>2027</v>
      </c>
      <c r="D84" s="30">
        <f t="shared" si="87"/>
        <v>11.817504</v>
      </c>
      <c r="E84" s="30">
        <f t="shared" si="87"/>
        <v>7.1225535938302613</v>
      </c>
      <c r="F84" s="30">
        <f t="shared" si="87"/>
        <v>1.433422396206792</v>
      </c>
      <c r="G84" s="30">
        <f t="shared" si="87"/>
        <v>10.494653714785688</v>
      </c>
      <c r="H84" s="30">
        <f t="shared" si="87"/>
        <v>3.9119905801068158</v>
      </c>
      <c r="I84" s="30">
        <f t="shared" si="87"/>
        <v>1.3315995807654184</v>
      </c>
      <c r="J84" s="30">
        <f t="shared" si="87"/>
        <v>0.34094948902603894</v>
      </c>
      <c r="K84" s="30">
        <f t="shared" si="87"/>
        <v>0.64731967519248867</v>
      </c>
      <c r="L84" s="30">
        <f t="shared" si="87"/>
        <v>5.7633222769948214E-7</v>
      </c>
      <c r="M84" s="30">
        <f t="shared" si="87"/>
        <v>2.8240058166696143</v>
      </c>
      <c r="N84" s="30">
        <f t="shared" si="87"/>
        <v>5.7708465128958147E-7</v>
      </c>
      <c r="O84" s="30">
        <f t="shared" si="87"/>
        <v>0</v>
      </c>
      <c r="P84" s="30">
        <f>(bali_nt!P60*3.6/(VLOOKUP(P$51,tech_data!$B$2:$J$15,4,FALSE)/100))/1000</f>
        <v>5.5981125677467251E-5</v>
      </c>
      <c r="Q84" s="30">
        <f t="shared" si="84"/>
        <v>39.923999999999992</v>
      </c>
      <c r="R84" s="30"/>
      <c r="S84" s="23"/>
      <c r="T84" s="19"/>
      <c r="U84" s="20" t="str">
        <f t="shared" si="85"/>
        <v>BALI_NT</v>
      </c>
      <c r="V84" s="20">
        <f t="shared" si="85"/>
        <v>2027</v>
      </c>
      <c r="W84" s="30">
        <f>D60*(1-(VLOOKUP(W$75,tech_data!$B$2:$O$15,4,FALSE)/100))</f>
        <v>18.745006344827583</v>
      </c>
      <c r="X84" s="30">
        <f>E60*(1-(VLOOKUP(X$75,tech_data!$B$2:$O$15,4,FALSE)/100))</f>
        <v>12.847222837469538</v>
      </c>
      <c r="Y84" s="30">
        <f>F60*(1-(VLOOKUP(Y$75,tech_data!$B$2:$O$15,4,FALSE)/100))</f>
        <v>1.0238731401477084</v>
      </c>
      <c r="Z84" s="30">
        <f>G60*(1-(VLOOKUP(Z$75,tech_data!$B$2:$O$15,4,FALSE)/100))</f>
        <v>12.319810882574505</v>
      </c>
      <c r="AA84" s="30">
        <f>H60*(1-(VLOOKUP(AA$75,tech_data!$B$2:$O$15,4,FALSE)/100))</f>
        <v>25.065717420684408</v>
      </c>
      <c r="AB84" s="30">
        <f>I60*(1-(VLOOKUP(AB$75,tech_data!$B$2:$O$15,4,FALSE)/100))</f>
        <v>7.0084188461337862E-2</v>
      </c>
      <c r="AC84" s="30">
        <f>J60*(1-(VLOOKUP(AC$75,tech_data!$B$2:$O$15,4,FALSE)/100))</f>
        <v>8.5237372256509708E-2</v>
      </c>
      <c r="AD84" s="30">
        <f>K60*(1-(VLOOKUP(AD$75,tech_data!$B$2:$O$15,4,FALSE)/100))</f>
        <v>0.54374852716169042</v>
      </c>
      <c r="AE84" s="30">
        <f>L60*(1-(VLOOKUP(AE$75,tech_data!$B$2:$O$15,4,FALSE)/100))</f>
        <v>2.3456721667368924E-7</v>
      </c>
      <c r="AF84" s="30">
        <f>M60*(1-(VLOOKUP(AF$75,tech_data!$B$2:$O$15,4,FALSE)/100))</f>
        <v>6.2856903661355936</v>
      </c>
      <c r="AG84" s="30">
        <f>N60*(1-(VLOOKUP(AG$75,tech_data!$B$2:$O$15,4,FALSE)/100))</f>
        <v>5.0975810863913055E-8</v>
      </c>
      <c r="AH84" s="30">
        <f>O60*(1-(VLOOKUP(AH$75,tech_data!$B$2:$O$15,4,FALSE)/100))</f>
        <v>0</v>
      </c>
      <c r="AI84" s="30">
        <f>(bali_nt!AI60*3.6/(VLOOKUP(AI$51,tech_data!$B$2:$J$15,4,FALSE)/100))/1000</f>
        <v>0</v>
      </c>
      <c r="AJ84" s="30">
        <f t="shared" si="86"/>
        <v>76.986391365261909</v>
      </c>
      <c r="AK84" s="30"/>
      <c r="AL84" s="23"/>
    </row>
    <row r="85" spans="1:38" x14ac:dyDescent="0.25">
      <c r="A85" s="19"/>
      <c r="B85" s="20" t="str">
        <f t="shared" si="82"/>
        <v>BALI_NT</v>
      </c>
      <c r="C85" s="20">
        <f t="shared" si="82"/>
        <v>2028</v>
      </c>
      <c r="D85" s="30">
        <f t="shared" si="87"/>
        <v>12.068935207798839</v>
      </c>
      <c r="E85" s="30">
        <f t="shared" si="87"/>
        <v>7.1225535830684796</v>
      </c>
      <c r="F85" s="30">
        <f t="shared" si="87"/>
        <v>2.2737988963236049</v>
      </c>
      <c r="G85" s="30">
        <f t="shared" si="87"/>
        <v>10.494653714785688</v>
      </c>
      <c r="H85" s="30">
        <f t="shared" si="87"/>
        <v>3.9119905801068158</v>
      </c>
      <c r="I85" s="30">
        <f t="shared" si="87"/>
        <v>1.3315995807654184</v>
      </c>
      <c r="J85" s="30">
        <f t="shared" si="87"/>
        <v>0.34094948902603894</v>
      </c>
      <c r="K85" s="30">
        <f t="shared" si="87"/>
        <v>0.682311999365114</v>
      </c>
      <c r="L85" s="30">
        <f t="shared" si="87"/>
        <v>5.7675775670454178E-7</v>
      </c>
      <c r="M85" s="30">
        <f t="shared" si="87"/>
        <v>2.8240058166696143</v>
      </c>
      <c r="N85" s="30">
        <f t="shared" si="87"/>
        <v>5.774941738748797E-7</v>
      </c>
      <c r="O85" s="30">
        <f t="shared" si="87"/>
        <v>0</v>
      </c>
      <c r="P85" s="30">
        <f>(bali_nt!P61*3.6/(VLOOKUP(P$51,tech_data!$B$2:$J$15,4,FALSE)/100))/1000</f>
        <v>5.7579847069238332E-5</v>
      </c>
      <c r="Q85" s="30">
        <f t="shared" si="84"/>
        <v>41.050800022161539</v>
      </c>
      <c r="R85" s="30"/>
      <c r="S85" s="23"/>
      <c r="T85" s="19"/>
      <c r="U85" s="20" t="str">
        <f t="shared" si="85"/>
        <v>BALI_NT</v>
      </c>
      <c r="V85" s="20">
        <f t="shared" si="85"/>
        <v>2028</v>
      </c>
      <c r="W85" s="30">
        <f>D61*(1-(VLOOKUP(W$75,tech_data!$B$2:$O$15,4,FALSE)/100))</f>
        <v>19.143828260646433</v>
      </c>
      <c r="X85" s="30">
        <f>E61*(1-(VLOOKUP(X$75,tech_data!$B$2:$O$15,4,FALSE)/100))</f>
        <v>12.8472228180581</v>
      </c>
      <c r="Y85" s="30">
        <f>F61*(1-(VLOOKUP(Y$75,tech_data!$B$2:$O$15,4,FALSE)/100))</f>
        <v>1.6241420688025747</v>
      </c>
      <c r="Z85" s="30">
        <f>G61*(1-(VLOOKUP(Z$75,tech_data!$B$2:$O$15,4,FALSE)/100))</f>
        <v>12.319810882574505</v>
      </c>
      <c r="AA85" s="30">
        <f>H61*(1-(VLOOKUP(AA$75,tech_data!$B$2:$O$15,4,FALSE)/100))</f>
        <v>25.065717420684408</v>
      </c>
      <c r="AB85" s="30">
        <f>I61*(1-(VLOOKUP(AB$75,tech_data!$B$2:$O$15,4,FALSE)/100))</f>
        <v>7.0084188461337862E-2</v>
      </c>
      <c r="AC85" s="30">
        <f>J61*(1-(VLOOKUP(AC$75,tech_data!$B$2:$O$15,4,FALSE)/100))</f>
        <v>8.5237372256509708E-2</v>
      </c>
      <c r="AD85" s="30">
        <f>K61*(1-(VLOOKUP(AD$75,tech_data!$B$2:$O$15,4,FALSE)/100))</f>
        <v>0.57314207946669571</v>
      </c>
      <c r="AE85" s="30">
        <f>L61*(1-(VLOOKUP(AE$75,tech_data!$B$2:$O$15,4,FALSE)/100))</f>
        <v>2.3474040697874852E-7</v>
      </c>
      <c r="AF85" s="30">
        <f>M61*(1-(VLOOKUP(AF$75,tech_data!$B$2:$O$15,4,FALSE)/100))</f>
        <v>6.2856903661355936</v>
      </c>
      <c r="AG85" s="30">
        <f>N61*(1-(VLOOKUP(AG$75,tech_data!$B$2:$O$15,4,FALSE)/100))</f>
        <v>5.1011985358947733E-8</v>
      </c>
      <c r="AH85" s="30">
        <f>O61*(1-(VLOOKUP(AH$75,tech_data!$B$2:$O$15,4,FALSE)/100))</f>
        <v>0</v>
      </c>
      <c r="AI85" s="30">
        <f>(bali_nt!AI61*3.6/(VLOOKUP(AI$51,tech_data!$B$2:$J$15,4,FALSE)/100))/1000</f>
        <v>0</v>
      </c>
      <c r="AJ85" s="30">
        <f t="shared" si="86"/>
        <v>78.014875742838555</v>
      </c>
      <c r="AK85" s="30"/>
      <c r="AL85" s="23"/>
    </row>
    <row r="86" spans="1:38" x14ac:dyDescent="0.25">
      <c r="A86" s="19"/>
      <c r="B86" s="20" t="str">
        <f t="shared" si="82"/>
        <v>BALI_NT</v>
      </c>
      <c r="C86" s="20">
        <f t="shared" si="82"/>
        <v>2029</v>
      </c>
      <c r="D86" s="30">
        <f t="shared" si="87"/>
        <v>12.354753600000004</v>
      </c>
      <c r="E86" s="30">
        <f t="shared" si="87"/>
        <v>7.1225535723066988</v>
      </c>
      <c r="F86" s="30">
        <f t="shared" si="87"/>
        <v>2.2737988963236049</v>
      </c>
      <c r="G86" s="30">
        <f t="shared" si="87"/>
        <v>10.494653714785688</v>
      </c>
      <c r="H86" s="30">
        <f t="shared" si="87"/>
        <v>3.9119905801068158</v>
      </c>
      <c r="I86" s="30">
        <f t="shared" si="87"/>
        <v>1.3315995807654184</v>
      </c>
      <c r="J86" s="30">
        <f t="shared" si="87"/>
        <v>0.34094948902603894</v>
      </c>
      <c r="K86" s="30">
        <f t="shared" si="87"/>
        <v>0.79320038875986087</v>
      </c>
      <c r="L86" s="30">
        <f t="shared" si="87"/>
        <v>5.772868999148395E-7</v>
      </c>
      <c r="M86" s="30">
        <f t="shared" si="87"/>
        <v>3.687299022635683</v>
      </c>
      <c r="N86" s="30">
        <f t="shared" si="87"/>
        <v>5.7800329282254183E-7</v>
      </c>
      <c r="O86" s="30">
        <f t="shared" si="87"/>
        <v>0</v>
      </c>
      <c r="P86" s="30">
        <f>(bali_nt!P62*3.6/(VLOOKUP(P$51,tech_data!$B$2:$J$15,4,FALSE)/100))/1000</f>
        <v>5.9447932988200141E-5</v>
      </c>
      <c r="Q86" s="30">
        <f t="shared" si="84"/>
        <v>42.310800000000008</v>
      </c>
      <c r="R86" s="30"/>
      <c r="S86" s="23"/>
      <c r="T86" s="19"/>
      <c r="U86" s="20" t="str">
        <f t="shared" si="85"/>
        <v>BALI_NT</v>
      </c>
      <c r="V86" s="20">
        <f t="shared" si="85"/>
        <v>2029</v>
      </c>
      <c r="W86" s="30">
        <f>D62*(1-(VLOOKUP(W$75,tech_data!$B$2:$O$15,4,FALSE)/100))</f>
        <v>19.597195365517244</v>
      </c>
      <c r="X86" s="30">
        <f>E62*(1-(VLOOKUP(X$75,tech_data!$B$2:$O$15,4,FALSE)/100))</f>
        <v>12.847222798646662</v>
      </c>
      <c r="Y86" s="30">
        <f>F62*(1-(VLOOKUP(Y$75,tech_data!$B$2:$O$15,4,FALSE)/100))</f>
        <v>1.6241420688025747</v>
      </c>
      <c r="Z86" s="30">
        <f>G62*(1-(VLOOKUP(Z$75,tech_data!$B$2:$O$15,4,FALSE)/100))</f>
        <v>12.319810882574505</v>
      </c>
      <c r="AA86" s="30">
        <f>H62*(1-(VLOOKUP(AA$75,tech_data!$B$2:$O$15,4,FALSE)/100))</f>
        <v>25.065717420684408</v>
      </c>
      <c r="AB86" s="30">
        <f>I62*(1-(VLOOKUP(AB$75,tech_data!$B$2:$O$15,4,FALSE)/100))</f>
        <v>7.0084188461337862E-2</v>
      </c>
      <c r="AC86" s="30">
        <f>J62*(1-(VLOOKUP(AC$75,tech_data!$B$2:$O$15,4,FALSE)/100))</f>
        <v>8.5237372256509708E-2</v>
      </c>
      <c r="AD86" s="30">
        <f>K62*(1-(VLOOKUP(AD$75,tech_data!$B$2:$O$15,4,FALSE)/100))</f>
        <v>0.66628832655828307</v>
      </c>
      <c r="AE86" s="30">
        <f>L62*(1-(VLOOKUP(AE$75,tech_data!$B$2:$O$15,4,FALSE)/100))</f>
        <v>2.349557682653397E-7</v>
      </c>
      <c r="AF86" s="30">
        <f>M62*(1-(VLOOKUP(AF$75,tech_data!$B$2:$O$15,4,FALSE)/100))</f>
        <v>8.2072139536084538</v>
      </c>
      <c r="AG86" s="30">
        <f>N62*(1-(VLOOKUP(AG$75,tech_data!$B$2:$O$15,4,FALSE)/100))</f>
        <v>5.1056957532657888E-8</v>
      </c>
      <c r="AH86" s="30">
        <f>O62*(1-(VLOOKUP(AH$75,tech_data!$B$2:$O$15,4,FALSE)/100))</f>
        <v>0</v>
      </c>
      <c r="AI86" s="30">
        <f>(bali_nt!AI62*3.6/(VLOOKUP(AI$51,tech_data!$B$2:$J$15,4,FALSE)/100))/1000</f>
        <v>0</v>
      </c>
      <c r="AJ86" s="30">
        <f t="shared" si="86"/>
        <v>80.482912663122718</v>
      </c>
      <c r="AK86" s="30"/>
      <c r="AL86" s="23"/>
    </row>
    <row r="87" spans="1:38" x14ac:dyDescent="0.25">
      <c r="A87" s="19"/>
      <c r="B87" s="20" t="str">
        <f t="shared" si="82"/>
        <v>BALI_NT</v>
      </c>
      <c r="C87" s="20">
        <f t="shared" si="82"/>
        <v>2030</v>
      </c>
      <c r="D87" s="30">
        <f t="shared" si="87"/>
        <v>13.593281614450099</v>
      </c>
      <c r="E87" s="30">
        <f t="shared" si="87"/>
        <v>7.1225535615449171</v>
      </c>
      <c r="F87" s="30">
        <f t="shared" si="87"/>
        <v>4.1320433067895577</v>
      </c>
      <c r="G87" s="30">
        <f t="shared" si="87"/>
        <v>10.494653714785688</v>
      </c>
      <c r="H87" s="30">
        <f t="shared" si="87"/>
        <v>3.9119905801068158</v>
      </c>
      <c r="I87" s="30">
        <f t="shared" si="87"/>
        <v>2.6364591989892618</v>
      </c>
      <c r="J87" s="30">
        <f t="shared" si="87"/>
        <v>0.34094948902603894</v>
      </c>
      <c r="K87" s="30">
        <f t="shared" si="87"/>
        <v>0.95415323379588624</v>
      </c>
      <c r="L87" s="30">
        <f t="shared" si="87"/>
        <v>5.772868999148395E-7</v>
      </c>
      <c r="M87" s="30">
        <f t="shared" si="87"/>
        <v>3.687299022635683</v>
      </c>
      <c r="N87" s="30">
        <f t="shared" si="87"/>
        <v>5.7800329282254183E-7</v>
      </c>
      <c r="O87" s="30">
        <f t="shared" si="87"/>
        <v>0</v>
      </c>
      <c r="P87" s="30">
        <f>(bali_nt!P63*3.6/(VLOOKUP(P$51,tech_data!$B$2:$J$15,4,FALSE)/100))/1000</f>
        <v>6.5942976622226991E-5</v>
      </c>
      <c r="Q87" s="30">
        <f t="shared" si="84"/>
        <v>46.873384877414146</v>
      </c>
      <c r="R87" s="30"/>
      <c r="S87" s="23"/>
      <c r="T87" s="19"/>
      <c r="U87" s="20" t="str">
        <f t="shared" si="85"/>
        <v>BALI_NT</v>
      </c>
      <c r="V87" s="20">
        <f t="shared" si="85"/>
        <v>2030</v>
      </c>
      <c r="W87" s="30">
        <f>D63*(1-(VLOOKUP(W$75,tech_data!$B$2:$O$15,4,FALSE)/100))</f>
        <v>21.561757043610498</v>
      </c>
      <c r="X87" s="30">
        <f>E63*(1-(VLOOKUP(X$75,tech_data!$B$2:$O$15,4,FALSE)/100))</f>
        <v>12.847222779235224</v>
      </c>
      <c r="Y87" s="30">
        <f>F63*(1-(VLOOKUP(Y$75,tech_data!$B$2:$O$15,4,FALSE)/100))</f>
        <v>2.9514595048496832</v>
      </c>
      <c r="Z87" s="30">
        <f>G63*(1-(VLOOKUP(Z$75,tech_data!$B$2:$O$15,4,FALSE)/100))</f>
        <v>12.319810882574505</v>
      </c>
      <c r="AA87" s="30">
        <f>H63*(1-(VLOOKUP(AA$75,tech_data!$B$2:$O$15,4,FALSE)/100))</f>
        <v>25.065717420684408</v>
      </c>
      <c r="AB87" s="30">
        <f>I63*(1-(VLOOKUP(AB$75,tech_data!$B$2:$O$15,4,FALSE)/100))</f>
        <v>0.13876101047311917</v>
      </c>
      <c r="AC87" s="30">
        <f>J63*(1-(VLOOKUP(AC$75,tech_data!$B$2:$O$15,4,FALSE)/100))</f>
        <v>8.5237372256509708E-2</v>
      </c>
      <c r="AD87" s="30">
        <f>K63*(1-(VLOOKUP(AD$75,tech_data!$B$2:$O$15,4,FALSE)/100))</f>
        <v>0.80148871638854435</v>
      </c>
      <c r="AE87" s="30">
        <f>L63*(1-(VLOOKUP(AE$75,tech_data!$B$2:$O$15,4,FALSE)/100))</f>
        <v>2.349557682653397E-7</v>
      </c>
      <c r="AF87" s="30">
        <f>M63*(1-(VLOOKUP(AF$75,tech_data!$B$2:$O$15,4,FALSE)/100))</f>
        <v>8.2072139536084538</v>
      </c>
      <c r="AG87" s="30">
        <f>N63*(1-(VLOOKUP(AG$75,tech_data!$B$2:$O$15,4,FALSE)/100))</f>
        <v>5.1056957532657888E-8</v>
      </c>
      <c r="AH87" s="30">
        <f>O63*(1-(VLOOKUP(AH$75,tech_data!$B$2:$O$15,4,FALSE)/100))</f>
        <v>0</v>
      </c>
      <c r="AI87" s="30">
        <f>(bali_nt!AI63*3.6/(VLOOKUP(AI$51,tech_data!$B$2:$J$15,4,FALSE)/100))/1000</f>
        <v>0</v>
      </c>
      <c r="AJ87" s="30">
        <f t="shared" si="86"/>
        <v>83.978668969693672</v>
      </c>
      <c r="AK87" s="30"/>
      <c r="AL87" s="23"/>
    </row>
    <row r="88" spans="1:38" x14ac:dyDescent="0.25">
      <c r="A88" s="19"/>
      <c r="B88" s="20" t="str">
        <f t="shared" si="82"/>
        <v>BALI_NT</v>
      </c>
      <c r="C88" s="20">
        <f t="shared" si="82"/>
        <v>2031</v>
      </c>
      <c r="D88" s="30">
        <f t="shared" si="87"/>
        <v>15.041157071331012</v>
      </c>
      <c r="E88" s="30">
        <f t="shared" si="87"/>
        <v>7.1225535507831363</v>
      </c>
      <c r="F88" s="30">
        <f t="shared" si="87"/>
        <v>5.8086634313750558</v>
      </c>
      <c r="G88" s="30">
        <f t="shared" si="87"/>
        <v>10.494653696795615</v>
      </c>
      <c r="H88" s="30">
        <f t="shared" si="87"/>
        <v>3.9119905567459168</v>
      </c>
      <c r="I88" s="30">
        <f t="shared" si="87"/>
        <v>4.6234994215444294</v>
      </c>
      <c r="J88" s="30">
        <f t="shared" si="87"/>
        <v>0.34094948902603894</v>
      </c>
      <c r="K88" s="30">
        <f t="shared" si="87"/>
        <v>1.1954724354833959</v>
      </c>
      <c r="L88" s="30">
        <f t="shared" si="87"/>
        <v>5.772868999148395E-7</v>
      </c>
      <c r="M88" s="30">
        <f t="shared" si="87"/>
        <v>3.687299022635683</v>
      </c>
      <c r="N88" s="30">
        <f t="shared" si="87"/>
        <v>5.7800329282254183E-7</v>
      </c>
      <c r="O88" s="30">
        <f t="shared" si="87"/>
        <v>0</v>
      </c>
      <c r="P88" s="30">
        <f>(bali_nt!P64*3.6/(VLOOKUP(P$51,tech_data!$B$2:$J$15,4,FALSE)/100))/1000</f>
        <v>7.362179746610226E-5</v>
      </c>
      <c r="Q88" s="30">
        <f t="shared" si="84"/>
        <v>52.226239831010481</v>
      </c>
      <c r="R88" s="30"/>
      <c r="S88" s="23"/>
      <c r="T88" s="19"/>
      <c r="U88" s="20" t="str">
        <f t="shared" si="85"/>
        <v>BALI_NT</v>
      </c>
      <c r="V88" s="20">
        <f t="shared" si="85"/>
        <v>2031</v>
      </c>
      <c r="W88" s="30">
        <f>D64*(1-(VLOOKUP(W$75,tech_data!$B$2:$O$15,4,FALSE)/100))</f>
        <v>23.858387078662986</v>
      </c>
      <c r="X88" s="30">
        <f>E64*(1-(VLOOKUP(X$75,tech_data!$B$2:$O$15,4,FALSE)/100))</f>
        <v>12.847222759823788</v>
      </c>
      <c r="Y88" s="30">
        <f>F64*(1-(VLOOKUP(Y$75,tech_data!$B$2:$O$15,4,FALSE)/100))</f>
        <v>4.1490453081250394</v>
      </c>
      <c r="Z88" s="30">
        <f>G64*(1-(VLOOKUP(Z$75,tech_data!$B$2:$O$15,4,FALSE)/100))</f>
        <v>12.319810861455721</v>
      </c>
      <c r="AA88" s="30">
        <f>H64*(1-(VLOOKUP(AA$75,tech_data!$B$2:$O$15,4,FALSE)/100))</f>
        <v>25.065717271001613</v>
      </c>
      <c r="AB88" s="30">
        <f>I64*(1-(VLOOKUP(AB$75,tech_data!$B$2:$O$15,4,FALSE)/100))</f>
        <v>0.24334207481812808</v>
      </c>
      <c r="AC88" s="30">
        <f>J64*(1-(VLOOKUP(AC$75,tech_data!$B$2:$O$15,4,FALSE)/100))</f>
        <v>8.5237372256509708E-2</v>
      </c>
      <c r="AD88" s="30">
        <f>K64*(1-(VLOOKUP(AD$75,tech_data!$B$2:$O$15,4,FALSE)/100))</f>
        <v>1.0041968458060524</v>
      </c>
      <c r="AE88" s="30">
        <f>L64*(1-(VLOOKUP(AE$75,tech_data!$B$2:$O$15,4,FALSE)/100))</f>
        <v>2.349557682653397E-7</v>
      </c>
      <c r="AF88" s="30">
        <f>M64*(1-(VLOOKUP(AF$75,tech_data!$B$2:$O$15,4,FALSE)/100))</f>
        <v>8.2072139536084538</v>
      </c>
      <c r="AG88" s="30">
        <f>N64*(1-(VLOOKUP(AG$75,tech_data!$B$2:$O$15,4,FALSE)/100))</f>
        <v>5.1056957532657888E-8</v>
      </c>
      <c r="AH88" s="30">
        <f>O64*(1-(VLOOKUP(AH$75,tech_data!$B$2:$O$15,4,FALSE)/100))</f>
        <v>0</v>
      </c>
      <c r="AI88" s="30">
        <f>(bali_nt!AI64*3.6/(VLOOKUP(AI$51,tech_data!$B$2:$J$15,4,FALSE)/100))/1000</f>
        <v>0</v>
      </c>
      <c r="AJ88" s="30">
        <f t="shared" si="86"/>
        <v>87.780173811571018</v>
      </c>
      <c r="AK88" s="30"/>
      <c r="AL88" s="23"/>
    </row>
    <row r="89" spans="1:38" x14ac:dyDescent="0.25">
      <c r="A89" s="19"/>
      <c r="B89" s="20" t="str">
        <f t="shared" si="82"/>
        <v>BALI_NT</v>
      </c>
      <c r="C89" s="20">
        <f t="shared" si="82"/>
        <v>2032</v>
      </c>
      <c r="D89" s="30">
        <f t="shared" si="87"/>
        <v>15.718903195624369</v>
      </c>
      <c r="E89" s="30">
        <f t="shared" si="87"/>
        <v>9.0667872817356319</v>
      </c>
      <c r="F89" s="30">
        <f t="shared" si="87"/>
        <v>5.8086634313750558</v>
      </c>
      <c r="G89" s="30">
        <f t="shared" si="87"/>
        <v>10.494653678805541</v>
      </c>
      <c r="H89" s="30">
        <f t="shared" si="87"/>
        <v>3.9119905567459168</v>
      </c>
      <c r="I89" s="30">
        <f t="shared" si="87"/>
        <v>4.6234994215444294</v>
      </c>
      <c r="J89" s="30">
        <f t="shared" si="87"/>
        <v>0.34094948902603894</v>
      </c>
      <c r="K89" s="30">
        <f t="shared" si="87"/>
        <v>1.2655531651402645</v>
      </c>
      <c r="L89" s="30">
        <f t="shared" si="87"/>
        <v>5.772868999148395E-7</v>
      </c>
      <c r="M89" s="30">
        <f t="shared" si="87"/>
        <v>3.7301986165114651</v>
      </c>
      <c r="N89" s="30">
        <f t="shared" si="87"/>
        <v>5.7800329282254183E-7</v>
      </c>
      <c r="O89" s="30">
        <f t="shared" si="87"/>
        <v>0</v>
      </c>
      <c r="P89" s="30">
        <f>(bali_nt!P65*3.6/(VLOOKUP(P$51,tech_data!$B$2:$J$15,4,FALSE)/100))/1000</f>
        <v>7.7485565240907676E-5</v>
      </c>
      <c r="Q89" s="30">
        <f t="shared" si="84"/>
        <v>54.9611999917989</v>
      </c>
      <c r="R89" s="30"/>
      <c r="S89" s="23"/>
      <c r="T89" s="19"/>
      <c r="U89" s="20" t="str">
        <f t="shared" si="85"/>
        <v>BALI_NT</v>
      </c>
      <c r="V89" s="20">
        <f t="shared" si="85"/>
        <v>2032</v>
      </c>
      <c r="W89" s="30">
        <f>D65*(1-(VLOOKUP(W$75,tech_data!$B$2:$O$15,4,FALSE)/100))</f>
        <v>24.933432655128307</v>
      </c>
      <c r="X89" s="30">
        <f>E65*(1-(VLOOKUP(X$75,tech_data!$B$2:$O$15,4,FALSE)/100))</f>
        <v>16.354111639018477</v>
      </c>
      <c r="Y89" s="30">
        <f>F65*(1-(VLOOKUP(Y$75,tech_data!$B$2:$O$15,4,FALSE)/100))</f>
        <v>4.1490453081250394</v>
      </c>
      <c r="Z89" s="30">
        <f>G65*(1-(VLOOKUP(Z$75,tech_data!$B$2:$O$15,4,FALSE)/100))</f>
        <v>12.319810840336942</v>
      </c>
      <c r="AA89" s="30">
        <f>H65*(1-(VLOOKUP(AA$75,tech_data!$B$2:$O$15,4,FALSE)/100))</f>
        <v>25.065717271001613</v>
      </c>
      <c r="AB89" s="30">
        <f>I65*(1-(VLOOKUP(AB$75,tech_data!$B$2:$O$15,4,FALSE)/100))</f>
        <v>0.24334207481812808</v>
      </c>
      <c r="AC89" s="30">
        <f>J65*(1-(VLOOKUP(AC$75,tech_data!$B$2:$O$15,4,FALSE)/100))</f>
        <v>8.5237372256509708E-2</v>
      </c>
      <c r="AD89" s="30">
        <f>K65*(1-(VLOOKUP(AD$75,tech_data!$B$2:$O$15,4,FALSE)/100))</f>
        <v>1.0630646587178221</v>
      </c>
      <c r="AE89" s="30">
        <f>L65*(1-(VLOOKUP(AE$75,tech_data!$B$2:$O$15,4,FALSE)/100))</f>
        <v>2.349557682653397E-7</v>
      </c>
      <c r="AF89" s="30">
        <f>M65*(1-(VLOOKUP(AF$75,tech_data!$B$2:$O$15,4,FALSE)/100))</f>
        <v>8.3027001464287427</v>
      </c>
      <c r="AG89" s="30">
        <f>N65*(1-(VLOOKUP(AG$75,tech_data!$B$2:$O$15,4,FALSE)/100))</f>
        <v>5.1056957532657888E-8</v>
      </c>
      <c r="AH89" s="30">
        <f>O65*(1-(VLOOKUP(AH$75,tech_data!$B$2:$O$15,4,FALSE)/100))</f>
        <v>0</v>
      </c>
      <c r="AI89" s="30">
        <f>(bali_nt!AI65*3.6/(VLOOKUP(AI$51,tech_data!$B$2:$J$15,4,FALSE)/100))/1000</f>
        <v>0</v>
      </c>
      <c r="AJ89" s="30">
        <f t="shared" si="86"/>
        <v>92.516462251844317</v>
      </c>
      <c r="AK89" s="30"/>
      <c r="AL89" s="23"/>
    </row>
    <row r="90" spans="1:38" x14ac:dyDescent="0.25">
      <c r="A90" s="19"/>
      <c r="B90" s="20" t="str">
        <f t="shared" si="82"/>
        <v>BALI_NT</v>
      </c>
      <c r="C90" s="20">
        <f t="shared" si="82"/>
        <v>2033</v>
      </c>
      <c r="D90" s="30">
        <f t="shared" si="87"/>
        <v>15.912633603647226</v>
      </c>
      <c r="E90" s="30">
        <f t="shared" si="87"/>
        <v>9.4930790488142271</v>
      </c>
      <c r="F90" s="30">
        <f t="shared" si="87"/>
        <v>5.8086634313750558</v>
      </c>
      <c r="G90" s="30">
        <f t="shared" si="87"/>
        <v>10.494653678805541</v>
      </c>
      <c r="H90" s="30">
        <f t="shared" si="87"/>
        <v>3.9119905567459168</v>
      </c>
      <c r="I90" s="30">
        <f t="shared" si="87"/>
        <v>4.6234994215444294</v>
      </c>
      <c r="J90" s="30">
        <f t="shared" si="87"/>
        <v>0.34094948902603894</v>
      </c>
      <c r="K90" s="30">
        <f t="shared" si="87"/>
        <v>1.3718580391517456</v>
      </c>
      <c r="L90" s="30">
        <f t="shared" si="87"/>
        <v>5.772868999148395E-7</v>
      </c>
      <c r="M90" s="30">
        <f t="shared" si="87"/>
        <v>4.073071578725119</v>
      </c>
      <c r="N90" s="30">
        <f t="shared" si="87"/>
        <v>5.7800329282254183E-7</v>
      </c>
      <c r="O90" s="30">
        <f t="shared" si="87"/>
        <v>0</v>
      </c>
      <c r="P90" s="30">
        <f>(bali_nt!P66*3.6/(VLOOKUP(P$51,tech_data!$B$2:$J$15,4,FALSE)/100))/1000</f>
        <v>7.9084444047479454E-5</v>
      </c>
      <c r="Q90" s="30">
        <f t="shared" si="84"/>
        <v>56.030400003125493</v>
      </c>
      <c r="R90" s="30"/>
      <c r="S90" s="23"/>
      <c r="T90" s="19"/>
      <c r="U90" s="20" t="str">
        <f t="shared" si="85"/>
        <v>BALI_NT</v>
      </c>
      <c r="V90" s="20">
        <f t="shared" si="85"/>
        <v>2033</v>
      </c>
      <c r="W90" s="30">
        <f>D66*(1-(VLOOKUP(W$75,tech_data!$B$2:$O$15,4,FALSE)/100))</f>
        <v>25.240729164405941</v>
      </c>
      <c r="X90" s="30">
        <f>E66*(1-(VLOOKUP(X$75,tech_data!$B$2:$O$15,4,FALSE)/100))</f>
        <v>17.123030433842487</v>
      </c>
      <c r="Y90" s="30">
        <f>F66*(1-(VLOOKUP(Y$75,tech_data!$B$2:$O$15,4,FALSE)/100))</f>
        <v>4.1490453081250394</v>
      </c>
      <c r="Z90" s="30">
        <f>G66*(1-(VLOOKUP(Z$75,tech_data!$B$2:$O$15,4,FALSE)/100))</f>
        <v>12.319810840336942</v>
      </c>
      <c r="AA90" s="30">
        <f>H66*(1-(VLOOKUP(AA$75,tech_data!$B$2:$O$15,4,FALSE)/100))</f>
        <v>25.065717271001613</v>
      </c>
      <c r="AB90" s="30">
        <f>I66*(1-(VLOOKUP(AB$75,tech_data!$B$2:$O$15,4,FALSE)/100))</f>
        <v>0.24334207481812808</v>
      </c>
      <c r="AC90" s="30">
        <f>J66*(1-(VLOOKUP(AC$75,tech_data!$B$2:$O$15,4,FALSE)/100))</f>
        <v>8.5237372256509708E-2</v>
      </c>
      <c r="AD90" s="30">
        <f>K66*(1-(VLOOKUP(AD$75,tech_data!$B$2:$O$15,4,FALSE)/100))</f>
        <v>1.1523607528874662</v>
      </c>
      <c r="AE90" s="30">
        <f>L66*(1-(VLOOKUP(AE$75,tech_data!$B$2:$O$15,4,FALSE)/100))</f>
        <v>2.349557682653397E-7</v>
      </c>
      <c r="AF90" s="30">
        <f>M66*(1-(VLOOKUP(AF$75,tech_data!$B$2:$O$15,4,FALSE)/100))</f>
        <v>9.0658689978075202</v>
      </c>
      <c r="AG90" s="30">
        <f>N66*(1-(VLOOKUP(AG$75,tech_data!$B$2:$O$15,4,FALSE)/100))</f>
        <v>5.1056957532657888E-8</v>
      </c>
      <c r="AH90" s="30">
        <f>O66*(1-(VLOOKUP(AH$75,tech_data!$B$2:$O$15,4,FALSE)/100))</f>
        <v>0</v>
      </c>
      <c r="AI90" s="30">
        <f>(bali_nt!AI66*3.6/(VLOOKUP(AI$51,tech_data!$B$2:$J$15,4,FALSE)/100))/1000</f>
        <v>0</v>
      </c>
      <c r="AJ90" s="30">
        <f t="shared" si="86"/>
        <v>94.44514250149436</v>
      </c>
      <c r="AK90" s="30"/>
      <c r="AL90" s="23"/>
    </row>
    <row r="91" spans="1:38" x14ac:dyDescent="0.25">
      <c r="A91" s="19"/>
      <c r="B91" s="20" t="str">
        <f t="shared" si="82"/>
        <v>BALI_NT</v>
      </c>
      <c r="C91" s="20">
        <f t="shared" si="82"/>
        <v>2034</v>
      </c>
      <c r="D91" s="30">
        <f t="shared" si="87"/>
        <v>16.656386394977876</v>
      </c>
      <c r="E91" s="30">
        <f t="shared" si="87"/>
        <v>9.7636999136409912</v>
      </c>
      <c r="F91" s="30">
        <f t="shared" si="87"/>
        <v>6.8643862556745141</v>
      </c>
      <c r="G91" s="30">
        <f t="shared" si="87"/>
        <v>10.494653660815464</v>
      </c>
      <c r="H91" s="30">
        <f t="shared" si="87"/>
        <v>3.9119905333850182</v>
      </c>
      <c r="I91" s="30">
        <f t="shared" si="87"/>
        <v>4.6234994055629555</v>
      </c>
      <c r="J91" s="30">
        <f t="shared" si="87"/>
        <v>0.34094948902603894</v>
      </c>
      <c r="K91" s="30">
        <f t="shared" si="87"/>
        <v>1.5374813265869198</v>
      </c>
      <c r="L91" s="30">
        <f t="shared" si="87"/>
        <v>5.772868999148395E-7</v>
      </c>
      <c r="M91" s="30">
        <f t="shared" si="87"/>
        <v>4.8721518411879252</v>
      </c>
      <c r="N91" s="30">
        <f t="shared" si="87"/>
        <v>5.7833814803170554E-7</v>
      </c>
      <c r="O91" s="30">
        <f t="shared" si="87"/>
        <v>0</v>
      </c>
      <c r="P91" s="30">
        <f>(bali_nt!P67*3.6/(VLOOKUP(P$51,tech_data!$B$2:$J$15,4,FALSE)/100))/1000</f>
        <v>8.347021725036509E-5</v>
      </c>
      <c r="Q91" s="30">
        <f t="shared" si="84"/>
        <v>59.065199976482745</v>
      </c>
      <c r="R91" s="30"/>
      <c r="S91" s="23"/>
      <c r="T91" s="19"/>
      <c r="U91" s="20" t="str">
        <f t="shared" si="85"/>
        <v>BALI_NT</v>
      </c>
      <c r="V91" s="20">
        <f t="shared" si="85"/>
        <v>2034</v>
      </c>
      <c r="W91" s="30">
        <f>D67*(1-(VLOOKUP(W$75,tech_data!$B$2:$O$15,4,FALSE)/100))</f>
        <v>26.420474971344213</v>
      </c>
      <c r="X91" s="30">
        <f>E67*(1-(VLOOKUP(X$75,tech_data!$B$2:$O$15,4,FALSE)/100))</f>
        <v>17.61115965731506</v>
      </c>
      <c r="Y91" s="30">
        <f>F67*(1-(VLOOKUP(Y$75,tech_data!$B$2:$O$15,4,FALSE)/100))</f>
        <v>4.9031330397675088</v>
      </c>
      <c r="Z91" s="30">
        <f>G67*(1-(VLOOKUP(Z$75,tech_data!$B$2:$O$15,4,FALSE)/100))</f>
        <v>12.319810819218155</v>
      </c>
      <c r="AA91" s="30">
        <f>H67*(1-(VLOOKUP(AA$75,tech_data!$B$2:$O$15,4,FALSE)/100))</f>
        <v>25.065717121318819</v>
      </c>
      <c r="AB91" s="30">
        <f>I67*(1-(VLOOKUP(AB$75,tech_data!$B$2:$O$15,4,FALSE)/100))</f>
        <v>0.24334207397699795</v>
      </c>
      <c r="AC91" s="30">
        <f>J67*(1-(VLOOKUP(AC$75,tech_data!$B$2:$O$15,4,FALSE)/100))</f>
        <v>8.5237372256509708E-2</v>
      </c>
      <c r="AD91" s="30">
        <f>K67*(1-(VLOOKUP(AD$75,tech_data!$B$2:$O$15,4,FALSE)/100))</f>
        <v>1.2914843143330126</v>
      </c>
      <c r="AE91" s="30">
        <f>L67*(1-(VLOOKUP(AE$75,tech_data!$B$2:$O$15,4,FALSE)/100))</f>
        <v>2.349557682653397E-7</v>
      </c>
      <c r="AF91" s="30">
        <f>M67*(1-(VLOOKUP(AF$75,tech_data!$B$2:$O$15,4,FALSE)/100))</f>
        <v>10.844467001353769</v>
      </c>
      <c r="AG91" s="30">
        <f>N67*(1-(VLOOKUP(AG$75,tech_data!$B$2:$O$15,4,FALSE)/100))</f>
        <v>5.1086536409467344E-8</v>
      </c>
      <c r="AH91" s="30">
        <f>O67*(1-(VLOOKUP(AH$75,tech_data!$B$2:$O$15,4,FALSE)/100))</f>
        <v>0</v>
      </c>
      <c r="AI91" s="30">
        <f>(bali_nt!AI67*3.6/(VLOOKUP(AI$51,tech_data!$B$2:$J$15,4,FALSE)/100))/1000</f>
        <v>0</v>
      </c>
      <c r="AJ91" s="30">
        <f t="shared" si="86"/>
        <v>98.784826656926356</v>
      </c>
      <c r="AK91" s="30"/>
      <c r="AL91" s="23"/>
    </row>
    <row r="92" spans="1:38" x14ac:dyDescent="0.25">
      <c r="A92" s="19"/>
      <c r="B92" s="20" t="str">
        <f t="shared" ref="B92:C95" si="88">B44</f>
        <v>BALI_NT</v>
      </c>
      <c r="C92" s="20">
        <f t="shared" si="88"/>
        <v>2035</v>
      </c>
      <c r="D92" s="30">
        <f t="shared" si="87"/>
        <v>16.840655993654668</v>
      </c>
      <c r="E92" s="30">
        <f t="shared" si="87"/>
        <v>10.187477246317631</v>
      </c>
      <c r="F92" s="30">
        <f t="shared" si="87"/>
        <v>6.8643862556745141</v>
      </c>
      <c r="G92" s="30">
        <f t="shared" si="87"/>
        <v>10.494653660815464</v>
      </c>
      <c r="H92" s="30">
        <f t="shared" si="87"/>
        <v>3.9119905100241197</v>
      </c>
      <c r="I92" s="30">
        <f t="shared" si="87"/>
        <v>4.6234993895814807</v>
      </c>
      <c r="J92" s="30">
        <f t="shared" si="87"/>
        <v>0.34094948902603894</v>
      </c>
      <c r="K92" s="30">
        <f t="shared" si="87"/>
        <v>1.6641981337972112</v>
      </c>
      <c r="L92" s="30">
        <f t="shared" si="87"/>
        <v>5.772868999148395E-7</v>
      </c>
      <c r="M92" s="30">
        <f t="shared" si="87"/>
        <v>5.217388158157056</v>
      </c>
      <c r="N92" s="30">
        <f t="shared" si="87"/>
        <v>5.7833814803170554E-7</v>
      </c>
      <c r="O92" s="30">
        <f t="shared" si="87"/>
        <v>0</v>
      </c>
      <c r="P92" s="30">
        <f>(bali_nt!P68*3.6/(VLOOKUP(P$51,tech_data!$B$2:$J$15,4,FALSE)/100))/1000</f>
        <v>8.5106907130462253E-5</v>
      </c>
      <c r="Q92" s="30">
        <f t="shared" si="84"/>
        <v>60.145199992673227</v>
      </c>
      <c r="R92" s="30"/>
      <c r="S92" s="23"/>
      <c r="T92" s="19"/>
      <c r="U92" s="20" t="str">
        <f t="shared" ref="U92:V95" si="89">U44</f>
        <v>BALI_NT</v>
      </c>
      <c r="V92" s="20">
        <f t="shared" si="89"/>
        <v>2035</v>
      </c>
      <c r="W92" s="30">
        <f>D68*(1-(VLOOKUP(W$75,tech_data!$B$2:$O$15,4,FALSE)/100))</f>
        <v>26.712764679590165</v>
      </c>
      <c r="X92" s="30">
        <f>E68*(1-(VLOOKUP(X$75,tech_data!$B$2:$O$15,4,FALSE)/100))</f>
        <v>18.375543070460775</v>
      </c>
      <c r="Y92" s="30">
        <f>F68*(1-(VLOOKUP(Y$75,tech_data!$B$2:$O$15,4,FALSE)/100))</f>
        <v>4.9031330397675088</v>
      </c>
      <c r="Z92" s="30">
        <f>G68*(1-(VLOOKUP(Z$75,tech_data!$B$2:$O$15,4,FALSE)/100))</f>
        <v>12.319810819218155</v>
      </c>
      <c r="AA92" s="30">
        <f>H68*(1-(VLOOKUP(AA$75,tech_data!$B$2:$O$15,4,FALSE)/100))</f>
        <v>25.065716971636029</v>
      </c>
      <c r="AB92" s="30">
        <f>I68*(1-(VLOOKUP(AB$75,tech_data!$B$2:$O$15,4,FALSE)/100))</f>
        <v>0.24334207313586761</v>
      </c>
      <c r="AC92" s="30">
        <f>J68*(1-(VLOOKUP(AC$75,tech_data!$B$2:$O$15,4,FALSE)/100))</f>
        <v>8.5237372256509708E-2</v>
      </c>
      <c r="AD92" s="30">
        <f>K68*(1-(VLOOKUP(AD$75,tech_data!$B$2:$O$15,4,FALSE)/100))</f>
        <v>1.3979264323896574</v>
      </c>
      <c r="AE92" s="30">
        <f>L68*(1-(VLOOKUP(AE$75,tech_data!$B$2:$O$15,4,FALSE)/100))</f>
        <v>2.349557682653397E-7</v>
      </c>
      <c r="AF92" s="30">
        <f>M68*(1-(VLOOKUP(AF$75,tech_data!$B$2:$O$15,4,FALSE)/100))</f>
        <v>11.612896222994735</v>
      </c>
      <c r="AG92" s="30">
        <f>N68*(1-(VLOOKUP(AG$75,tech_data!$B$2:$O$15,4,FALSE)/100))</f>
        <v>5.1086536409467344E-8</v>
      </c>
      <c r="AH92" s="30">
        <f>O68*(1-(VLOOKUP(AH$75,tech_data!$B$2:$O$15,4,FALSE)/100))</f>
        <v>0</v>
      </c>
      <c r="AI92" s="30">
        <f>(bali_nt!AI68*3.6/(VLOOKUP(AI$51,tech_data!$B$2:$J$15,4,FALSE)/100))/1000</f>
        <v>0</v>
      </c>
      <c r="AJ92" s="30">
        <f t="shared" si="86"/>
        <v>100.7163709674917</v>
      </c>
      <c r="AK92" s="30"/>
      <c r="AL92" s="23"/>
    </row>
    <row r="93" spans="1:38" x14ac:dyDescent="0.25">
      <c r="A93" s="19"/>
      <c r="B93" s="20" t="str">
        <f t="shared" si="88"/>
        <v>BALI_NT</v>
      </c>
      <c r="C93" s="20">
        <f t="shared" si="88"/>
        <v>2036</v>
      </c>
      <c r="D93" s="30">
        <f t="shared" ref="D93:O95" si="90">D45*3.6/1000</f>
        <v>18.972175749733328</v>
      </c>
      <c r="E93" s="30">
        <f t="shared" si="90"/>
        <v>10.187477235555848</v>
      </c>
      <c r="F93" s="30">
        <f t="shared" si="90"/>
        <v>8.2796837702591652</v>
      </c>
      <c r="G93" s="30">
        <f t="shared" si="90"/>
        <v>10.494653642825389</v>
      </c>
      <c r="H93" s="30">
        <f t="shared" si="90"/>
        <v>5.1442905603849267</v>
      </c>
      <c r="I93" s="30">
        <f t="shared" si="90"/>
        <v>7.3563021085753393</v>
      </c>
      <c r="J93" s="30">
        <f t="shared" si="90"/>
        <v>0.34094948902603894</v>
      </c>
      <c r="K93" s="30">
        <f t="shared" si="90"/>
        <v>2.2523146731711523</v>
      </c>
      <c r="L93" s="30">
        <f t="shared" si="90"/>
        <v>5.772868999148395E-7</v>
      </c>
      <c r="M93" s="30">
        <f t="shared" si="90"/>
        <v>5.217388158157056</v>
      </c>
      <c r="N93" s="30">
        <f t="shared" si="90"/>
        <v>5.6748976403199582E-7</v>
      </c>
      <c r="O93" s="30">
        <f t="shared" si="90"/>
        <v>0</v>
      </c>
      <c r="P93" s="30">
        <f>(bali_nt!P69*3.6/(VLOOKUP(P$51,tech_data!$B$2:$J$15,4,FALSE)/100))/1000</f>
        <v>9.697636253069626E-5</v>
      </c>
      <c r="Q93" s="30">
        <f t="shared" si="84"/>
        <v>68.245236532464901</v>
      </c>
      <c r="R93" s="30"/>
      <c r="S93" s="23"/>
      <c r="T93" s="19"/>
      <c r="U93" s="20" t="str">
        <f t="shared" si="89"/>
        <v>BALI_NT</v>
      </c>
      <c r="V93" s="20">
        <f t="shared" si="89"/>
        <v>2036</v>
      </c>
      <c r="W93" s="30">
        <f>D69*(1-(VLOOKUP(W$75,tech_data!$B$2:$O$15,4,FALSE)/100))</f>
        <v>30.093796016818381</v>
      </c>
      <c r="X93" s="30">
        <f>E69*(1-(VLOOKUP(X$75,tech_data!$B$2:$O$15,4,FALSE)/100))</f>
        <v>18.375543051049338</v>
      </c>
      <c r="Y93" s="30">
        <f>F69*(1-(VLOOKUP(Y$75,tech_data!$B$2:$O$15,4,FALSE)/100))</f>
        <v>5.914059835899403</v>
      </c>
      <c r="Z93" s="30">
        <f>G69*(1-(VLOOKUP(Z$75,tech_data!$B$2:$O$15,4,FALSE)/100))</f>
        <v>12.31981079809937</v>
      </c>
      <c r="AA93" s="30">
        <f>H69*(1-(VLOOKUP(AA$75,tech_data!$B$2:$O$15,4,FALSE)/100))</f>
        <v>32.961565442466387</v>
      </c>
      <c r="AB93" s="30">
        <f>I69*(1-(VLOOKUP(AB$75,tech_data!$B$2:$O$15,4,FALSE)/100))</f>
        <v>0.38717379518817607</v>
      </c>
      <c r="AC93" s="30">
        <f>J69*(1-(VLOOKUP(AC$75,tech_data!$B$2:$O$15,4,FALSE)/100))</f>
        <v>8.5237372256509708E-2</v>
      </c>
      <c r="AD93" s="30">
        <f>K69*(1-(VLOOKUP(AD$75,tech_data!$B$2:$O$15,4,FALSE)/100))</f>
        <v>1.8919443254637678</v>
      </c>
      <c r="AE93" s="30">
        <f>L69*(1-(VLOOKUP(AE$75,tech_data!$B$2:$O$15,4,FALSE)/100))</f>
        <v>2.349557682653397E-7</v>
      </c>
      <c r="AF93" s="30">
        <f>M69*(1-(VLOOKUP(AF$75,tech_data!$B$2:$O$15,4,FALSE)/100))</f>
        <v>11.612896222994735</v>
      </c>
      <c r="AG93" s="30">
        <f>N69*(1-(VLOOKUP(AG$75,tech_data!$B$2:$O$15,4,FALSE)/100))</f>
        <v>5.012826248949299E-8</v>
      </c>
      <c r="AH93" s="30">
        <f>O69*(1-(VLOOKUP(AH$75,tech_data!$B$2:$O$15,4,FALSE)/100))</f>
        <v>0</v>
      </c>
      <c r="AI93" s="30">
        <f>(bali_nt!AI69*3.6/(VLOOKUP(AI$51,tech_data!$B$2:$J$15,4,FALSE)/100))/1000</f>
        <v>0</v>
      </c>
      <c r="AJ93" s="30">
        <f t="shared" si="86"/>
        <v>113.6420271453201</v>
      </c>
      <c r="AK93" s="30"/>
      <c r="AL93" s="23"/>
    </row>
    <row r="94" spans="1:38" x14ac:dyDescent="0.25">
      <c r="A94" s="19"/>
      <c r="B94" s="20" t="str">
        <f t="shared" si="88"/>
        <v>BALI_NT</v>
      </c>
      <c r="C94" s="20">
        <f t="shared" si="88"/>
        <v>2037</v>
      </c>
      <c r="D94" s="30">
        <f t="shared" si="90"/>
        <v>20.893358849314584</v>
      </c>
      <c r="E94" s="30">
        <f t="shared" si="90"/>
        <v>10.187477235555848</v>
      </c>
      <c r="F94" s="30">
        <f t="shared" si="90"/>
        <v>10.645321152817523</v>
      </c>
      <c r="G94" s="30">
        <f t="shared" si="90"/>
        <v>10.494653624835315</v>
      </c>
      <c r="H94" s="30">
        <f t="shared" si="90"/>
        <v>6.4648670408958671</v>
      </c>
      <c r="I94" s="30">
        <f t="shared" si="90"/>
        <v>8.7227034680722753</v>
      </c>
      <c r="J94" s="30">
        <f t="shared" si="90"/>
        <v>0.34094948902603894</v>
      </c>
      <c r="K94" s="30">
        <f t="shared" si="90"/>
        <v>2.7338553776200967</v>
      </c>
      <c r="L94" s="30">
        <f t="shared" si="90"/>
        <v>5.772868999148395E-7</v>
      </c>
      <c r="M94" s="30">
        <f t="shared" si="90"/>
        <v>5.217388158157056</v>
      </c>
      <c r="N94" s="30">
        <f t="shared" si="90"/>
        <v>5.6748976403199582E-7</v>
      </c>
      <c r="O94" s="30">
        <f t="shared" si="90"/>
        <v>0</v>
      </c>
      <c r="P94" s="30">
        <f>(bali_nt!P70*3.6/(VLOOKUP(P$51,tech_data!$B$2:$J$15,4,FALSE)/100))/1000</f>
        <v>1.0783416026641799E-4</v>
      </c>
      <c r="Q94" s="30">
        <f t="shared" si="84"/>
        <v>75.700575541071274</v>
      </c>
      <c r="R94" s="30"/>
      <c r="S94" s="23"/>
      <c r="T94" s="19"/>
      <c r="U94" s="20" t="str">
        <f t="shared" si="89"/>
        <v>BALI_NT</v>
      </c>
      <c r="V94" s="20">
        <f t="shared" si="89"/>
        <v>2037</v>
      </c>
      <c r="W94" s="30">
        <f>D70*(1-(VLOOKUP(W$75,tech_data!$B$2:$O$15,4,FALSE)/100))</f>
        <v>33.141189898912785</v>
      </c>
      <c r="X94" s="30">
        <f>E70*(1-(VLOOKUP(X$75,tech_data!$B$2:$O$15,4,FALSE)/100))</f>
        <v>18.375543051049338</v>
      </c>
      <c r="Y94" s="30">
        <f>F70*(1-(VLOOKUP(Y$75,tech_data!$B$2:$O$15,4,FALSE)/100))</f>
        <v>7.6038008234410874</v>
      </c>
      <c r="Z94" s="30">
        <f>G70*(1-(VLOOKUP(Z$75,tech_data!$B$2:$O$15,4,FALSE)/100))</f>
        <v>12.319810776980587</v>
      </c>
      <c r="AA94" s="30">
        <f>H70*(1-(VLOOKUP(AA$75,tech_data!$B$2:$O$15,4,FALSE)/100))</f>
        <v>41.423036965740181</v>
      </c>
      <c r="AB94" s="30">
        <f>I70*(1-(VLOOKUP(AB$75,tech_data!$B$2:$O$15,4,FALSE)/100))</f>
        <v>0.45908965621433068</v>
      </c>
      <c r="AC94" s="30">
        <f>J70*(1-(VLOOKUP(AC$75,tech_data!$B$2:$O$15,4,FALSE)/100))</f>
        <v>8.5237372256509708E-2</v>
      </c>
      <c r="AD94" s="30">
        <f>K70*(1-(VLOOKUP(AD$75,tech_data!$B$2:$O$15,4,FALSE)/100))</f>
        <v>2.296438517200881</v>
      </c>
      <c r="AE94" s="30">
        <f>L70*(1-(VLOOKUP(AE$75,tech_data!$B$2:$O$15,4,FALSE)/100))</f>
        <v>2.349557682653397E-7</v>
      </c>
      <c r="AF94" s="30">
        <f>M70*(1-(VLOOKUP(AF$75,tech_data!$B$2:$O$15,4,FALSE)/100))</f>
        <v>11.612896222994735</v>
      </c>
      <c r="AG94" s="30">
        <f>N70*(1-(VLOOKUP(AG$75,tech_data!$B$2:$O$15,4,FALSE)/100))</f>
        <v>5.012826248949299E-8</v>
      </c>
      <c r="AH94" s="30">
        <f>O70*(1-(VLOOKUP(AH$75,tech_data!$B$2:$O$15,4,FALSE)/100))</f>
        <v>0</v>
      </c>
      <c r="AI94" s="30">
        <f>(bali_nt!AI70*3.6/(VLOOKUP(AI$51,tech_data!$B$2:$J$15,4,FALSE)/100))/1000</f>
        <v>0</v>
      </c>
      <c r="AJ94" s="30">
        <f t="shared" si="86"/>
        <v>127.31704356987447</v>
      </c>
      <c r="AK94" s="30"/>
      <c r="AL94" s="23"/>
    </row>
    <row r="95" spans="1:38" x14ac:dyDescent="0.25">
      <c r="A95" s="19"/>
      <c r="B95" s="20" t="str">
        <f t="shared" si="88"/>
        <v>BALI_NT</v>
      </c>
      <c r="C95" s="20">
        <f t="shared" si="88"/>
        <v>2038</v>
      </c>
      <c r="D95" s="30">
        <f t="shared" si="90"/>
        <v>22.922322947575747</v>
      </c>
      <c r="E95" s="30">
        <f t="shared" si="90"/>
        <v>10.187477224794067</v>
      </c>
      <c r="F95" s="30">
        <f t="shared" si="90"/>
        <v>13.220062720560112</v>
      </c>
      <c r="G95" s="30">
        <f t="shared" si="90"/>
        <v>10.494653606845239</v>
      </c>
      <c r="H95" s="30">
        <f t="shared" si="90"/>
        <v>8.588778536856589</v>
      </c>
      <c r="I95" s="30">
        <f t="shared" si="90"/>
        <v>9.4059041478207526</v>
      </c>
      <c r="J95" s="30">
        <f t="shared" si="90"/>
        <v>0.34094948902603894</v>
      </c>
      <c r="K95" s="30">
        <f t="shared" si="90"/>
        <v>3.2805750132617044</v>
      </c>
      <c r="L95" s="30">
        <f t="shared" si="90"/>
        <v>5.772868999148395E-7</v>
      </c>
      <c r="M95" s="30">
        <f t="shared" si="90"/>
        <v>5.217388158157056</v>
      </c>
      <c r="N95" s="30">
        <f t="shared" si="90"/>
        <v>5.6748976403199582E-7</v>
      </c>
      <c r="O95" s="30">
        <f t="shared" si="90"/>
        <v>0</v>
      </c>
      <c r="P95" s="30">
        <f>(bali_nt!P71*3.6/(VLOOKUP(P$51,tech_data!$B$2:$J$15,4,FALSE)/100))/1000</f>
        <v>1.1946002358033804E-4</v>
      </c>
      <c r="Q95" s="30">
        <f t="shared" si="84"/>
        <v>83.658112989673967</v>
      </c>
      <c r="R95" s="30"/>
      <c r="S95" s="23"/>
      <c r="T95" s="19"/>
      <c r="U95" s="20" t="str">
        <f t="shared" si="89"/>
        <v>BALI_NT</v>
      </c>
      <c r="V95" s="20">
        <f t="shared" si="89"/>
        <v>2038</v>
      </c>
      <c r="W95" s="30">
        <f>D71*(1-(VLOOKUP(W$75,tech_data!$B$2:$O$15,4,FALSE)/100))</f>
        <v>36.359546744430496</v>
      </c>
      <c r="X95" s="30">
        <f>E71*(1-(VLOOKUP(X$75,tech_data!$B$2:$O$15,4,FALSE)/100))</f>
        <v>18.375543031637896</v>
      </c>
      <c r="Y95" s="30">
        <f>F71*(1-(VLOOKUP(Y$75,tech_data!$B$2:$O$15,4,FALSE)/100))</f>
        <v>9.4429019432572225</v>
      </c>
      <c r="Z95" s="30">
        <f>G71*(1-(VLOOKUP(Z$75,tech_data!$B$2:$O$15,4,FALSE)/100))</f>
        <v>12.319810755861802</v>
      </c>
      <c r="AA95" s="30">
        <f>H71*(1-(VLOOKUP(AA$75,tech_data!$B$2:$O$15,4,FALSE)/100))</f>
        <v>55.031803217636664</v>
      </c>
      <c r="AB95" s="30">
        <f>I71*(1-(VLOOKUP(AB$75,tech_data!$B$2:$O$15,4,FALSE)/100))</f>
        <v>0.49504758672740856</v>
      </c>
      <c r="AC95" s="30">
        <f>J71*(1-(VLOOKUP(AC$75,tech_data!$B$2:$O$15,4,FALSE)/100))</f>
        <v>8.5237372256509708E-2</v>
      </c>
      <c r="AD95" s="30">
        <f>K71*(1-(VLOOKUP(AD$75,tech_data!$B$2:$O$15,4,FALSE)/100))</f>
        <v>2.7556830111398316</v>
      </c>
      <c r="AE95" s="30">
        <f>L71*(1-(VLOOKUP(AE$75,tech_data!$B$2:$O$15,4,FALSE)/100))</f>
        <v>2.349557682653397E-7</v>
      </c>
      <c r="AF95" s="30">
        <f>M71*(1-(VLOOKUP(AF$75,tech_data!$B$2:$O$15,4,FALSE)/100))</f>
        <v>11.612896222994735</v>
      </c>
      <c r="AG95" s="30">
        <f>N71*(1-(VLOOKUP(AG$75,tech_data!$B$2:$O$15,4,FALSE)/100))</f>
        <v>5.012826248949299E-8</v>
      </c>
      <c r="AH95" s="30">
        <f>O71*(1-(VLOOKUP(AH$75,tech_data!$B$2:$O$15,4,FALSE)/100))</f>
        <v>0</v>
      </c>
      <c r="AI95" s="30">
        <f>(bali_nt!AI71*3.6/(VLOOKUP(AI$51,tech_data!$B$2:$J$15,4,FALSE)/100))/1000</f>
        <v>0</v>
      </c>
      <c r="AJ95" s="30">
        <f t="shared" si="86"/>
        <v>146.47847017102654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4AF6-E639-4E91-B9A5-36D39B0928BE}">
  <sheetPr codeName="Sheet11"/>
  <dimension ref="A1:CF96"/>
  <sheetViews>
    <sheetView topLeftCell="A42" zoomScale="85" zoomScaleNormal="85" workbookViewId="0">
      <selection activeCell="N57" sqref="N57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proj_rukn!A82</f>
        <v>KALIMANTAN</v>
      </c>
      <c r="C4" s="20">
        <f>proj_rukn!B82</f>
        <v>2019</v>
      </c>
      <c r="D4" s="30">
        <f>existing_capacity!C6</f>
        <v>2450.5</v>
      </c>
      <c r="E4" s="30">
        <f>existing_capacity!D6</f>
        <v>535.03</v>
      </c>
      <c r="F4" s="30">
        <f>existing_capacity!E6</f>
        <v>60</v>
      </c>
      <c r="G4" s="30">
        <f>existing_capacity!F6</f>
        <v>1724.67</v>
      </c>
      <c r="H4" s="30">
        <f>existing_capacity!G6</f>
        <v>0</v>
      </c>
      <c r="I4" s="30">
        <f>existing_capacity!H6</f>
        <v>264.27</v>
      </c>
      <c r="J4" s="30">
        <f>existing_capacity!I6</f>
        <v>3.46</v>
      </c>
      <c r="K4" s="30">
        <f>existing_capacity!J6</f>
        <v>0.61</v>
      </c>
      <c r="L4" s="30">
        <f>existing_capacity!K6</f>
        <v>0</v>
      </c>
      <c r="M4" s="30">
        <f>existing_capacity!L6</f>
        <v>97.75</v>
      </c>
      <c r="N4" s="30">
        <f>existing_capacity!M6</f>
        <v>0</v>
      </c>
      <c r="O4" s="30">
        <f>existing_capacity!N6</f>
        <v>0</v>
      </c>
      <c r="P4" s="30">
        <v>0</v>
      </c>
      <c r="Q4" s="30">
        <f>SUM(D4:O4)</f>
        <v>5136.2899999999991</v>
      </c>
      <c r="R4" s="30"/>
      <c r="S4" s="36"/>
      <c r="T4" s="19"/>
      <c r="U4" s="20" t="str">
        <f t="shared" ref="U4:V23" si="0">B4</f>
        <v>KALIMANTAN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KALIMANTAN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potential!G6</f>
        <v>182</v>
      </c>
      <c r="AV4" s="30">
        <f>potential!H6</f>
        <v>21581</v>
      </c>
      <c r="AW4" s="30">
        <f>potential!I6</f>
        <v>8100</v>
      </c>
      <c r="AX4" s="30">
        <f>potential!J6</f>
        <v>52725</v>
      </c>
      <c r="AY4" s="30">
        <f>potential!K6</f>
        <v>2526</v>
      </c>
      <c r="AZ4" s="30">
        <f>potential!L6</f>
        <v>5061</v>
      </c>
      <c r="BA4" s="30">
        <f>potential!M6</f>
        <v>0</v>
      </c>
      <c r="BB4" s="30">
        <v>999</v>
      </c>
      <c r="BC4" s="30">
        <v>999</v>
      </c>
      <c r="BD4" s="30">
        <f t="shared" ref="BD4:BD23" si="3">SUM(AU4:BA4)</f>
        <v>90175</v>
      </c>
      <c r="BF4" s="23"/>
      <c r="BG4" s="19"/>
      <c r="BH4" s="20" t="str">
        <f>AO4</f>
        <v>KALIMANTAN</v>
      </c>
      <c r="BI4" s="20">
        <f>AP4</f>
        <v>2019</v>
      </c>
      <c r="BJ4" s="25">
        <f t="shared" ref="BJ4:BJ22" si="4">SUM(K28:L28,N28)/Q28</f>
        <v>4.7336759466989272E-5</v>
      </c>
      <c r="BK4" s="43">
        <f t="shared" ref="BK4:BK23" si="5">$BO$5+((BJ4-$BN$5)*($BO$6-$BO$5)/($BN$6-$BN$5))</f>
        <v>2.7270010190553757E-4</v>
      </c>
      <c r="BL4" s="34">
        <f>BK4*Q28*1000</f>
        <v>6464.5755011453784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KALIMANTAN</v>
      </c>
      <c r="C5" s="20">
        <f>C4+1</f>
        <v>2020</v>
      </c>
      <c r="D5" s="30">
        <f>D4+W5</f>
        <v>2662.3808579283627</v>
      </c>
      <c r="E5" s="30">
        <f t="shared" ref="E5:O20" si="6">E4+X5</f>
        <v>535.02999899999998</v>
      </c>
      <c r="F5" s="30">
        <f t="shared" si="6"/>
        <v>265.29592514176716</v>
      </c>
      <c r="G5" s="30">
        <f t="shared" si="6"/>
        <v>1724.67</v>
      </c>
      <c r="H5" s="30">
        <f t="shared" si="6"/>
        <v>0</v>
      </c>
      <c r="I5" s="30">
        <f t="shared" si="6"/>
        <v>285.23611630559105</v>
      </c>
      <c r="J5" s="30">
        <f t="shared" si="6"/>
        <v>92.384537253633354</v>
      </c>
      <c r="K5" s="30">
        <f t="shared" si="6"/>
        <v>914.83909941933075</v>
      </c>
      <c r="L5" s="30">
        <f t="shared" si="6"/>
        <v>0</v>
      </c>
      <c r="M5" s="30">
        <f t="shared" si="6"/>
        <v>97.75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2.0036432425816071</v>
      </c>
      <c r="Q5" s="30">
        <f t="shared" ref="Q5:Q23" si="7">SUM(D5:O5)</f>
        <v>6577.5865350486847</v>
      </c>
      <c r="R5" s="30"/>
      <c r="S5" s="36"/>
      <c r="T5" s="19"/>
      <c r="U5" s="20" t="str">
        <f t="shared" si="0"/>
        <v>KALIMANTAN</v>
      </c>
      <c r="V5" s="20">
        <f t="shared" si="0"/>
        <v>2020</v>
      </c>
      <c r="W5" s="30">
        <v>211.88085792836281</v>
      </c>
      <c r="X5" s="30">
        <v>-9.9999999747524271E-7</v>
      </c>
      <c r="Y5" s="30">
        <v>205.29592514176719</v>
      </c>
      <c r="Z5" s="30">
        <v>0</v>
      </c>
      <c r="AA5" s="30">
        <v>0</v>
      </c>
      <c r="AB5" s="30">
        <v>20.9661163055911</v>
      </c>
      <c r="AC5" s="30">
        <v>88.92453725363336</v>
      </c>
      <c r="AD5" s="30">
        <v>914.22909941933074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2.0036432425816071</v>
      </c>
      <c r="AJ5" s="34">
        <f t="shared" si="1"/>
        <v>1443.3001782912668</v>
      </c>
      <c r="AM5" s="23"/>
      <c r="AO5" s="20" t="str">
        <f t="shared" si="2"/>
        <v>KALIMANTAN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182</v>
      </c>
      <c r="AV5" s="30">
        <f t="shared" si="9"/>
        <v>21560.03388369441</v>
      </c>
      <c r="AW5" s="30">
        <f t="shared" si="9"/>
        <v>8011.0754627463666</v>
      </c>
      <c r="AX5" s="30">
        <f t="shared" si="9"/>
        <v>51810.770900580668</v>
      </c>
      <c r="AY5" s="30">
        <f t="shared" si="9"/>
        <v>2526</v>
      </c>
      <c r="AZ5" s="30">
        <f t="shared" si="9"/>
        <v>5061</v>
      </c>
      <c r="BA5" s="30">
        <f t="shared" si="9"/>
        <v>0</v>
      </c>
      <c r="BB5" s="30">
        <v>999</v>
      </c>
      <c r="BC5" s="30">
        <v>999</v>
      </c>
      <c r="BD5" s="30">
        <f t="shared" si="3"/>
        <v>89150.880247021443</v>
      </c>
      <c r="BF5" s="23"/>
      <c r="BG5" s="19"/>
      <c r="BH5" s="20" t="str">
        <f t="shared" ref="BH5:BI23" si="10">AO5</f>
        <v>KALIMANTAN</v>
      </c>
      <c r="BI5" s="20">
        <f t="shared" si="10"/>
        <v>2020</v>
      </c>
      <c r="BJ5" s="25">
        <f t="shared" si="4"/>
        <v>6.0970180636900233E-2</v>
      </c>
      <c r="BK5" s="43">
        <f t="shared" si="5"/>
        <v>2.861451433129711E-4</v>
      </c>
      <c r="BL5" s="34">
        <f t="shared" ref="BL5:BL23" si="11">BK5*Q29*1000</f>
        <v>7898.361662256696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KALIMANTAN</v>
      </c>
      <c r="C6" s="20">
        <f t="shared" ref="C6:C23" si="13">C5+1</f>
        <v>2021</v>
      </c>
      <c r="D6" s="30">
        <f t="shared" ref="D6:O21" si="14">D5+W6</f>
        <v>2783.5640594033612</v>
      </c>
      <c r="E6" s="30">
        <f t="shared" si="6"/>
        <v>535.02999799999998</v>
      </c>
      <c r="F6" s="30">
        <f t="shared" si="6"/>
        <v>929.59253869125041</v>
      </c>
      <c r="G6" s="30">
        <f t="shared" si="6"/>
        <v>1724.67</v>
      </c>
      <c r="H6" s="30">
        <f t="shared" si="6"/>
        <v>0</v>
      </c>
      <c r="I6" s="30">
        <f t="shared" si="6"/>
        <v>493.6241890523454</v>
      </c>
      <c r="J6" s="30">
        <f t="shared" si="6"/>
        <v>115.16362188578105</v>
      </c>
      <c r="K6" s="30">
        <f t="shared" si="6"/>
        <v>914.83909941933075</v>
      </c>
      <c r="L6" s="30">
        <f t="shared" si="6"/>
        <v>0</v>
      </c>
      <c r="M6" s="30">
        <f t="shared" si="6"/>
        <v>97.75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2.2447885097933535</v>
      </c>
      <c r="Q6" s="30">
        <f t="shared" si="7"/>
        <v>7594.2335064520685</v>
      </c>
      <c r="R6" s="30"/>
      <c r="S6" s="36"/>
      <c r="T6" s="19"/>
      <c r="U6" s="20" t="str">
        <f t="shared" si="0"/>
        <v>KALIMANTAN</v>
      </c>
      <c r="V6" s="20">
        <f t="shared" si="0"/>
        <v>2021</v>
      </c>
      <c r="W6" s="30">
        <v>121.18320147499836</v>
      </c>
      <c r="X6" s="30">
        <v>-9.9999999747524271E-7</v>
      </c>
      <c r="Y6" s="30">
        <v>664.29661354948325</v>
      </c>
      <c r="Z6" s="30">
        <v>0</v>
      </c>
      <c r="AA6" s="30">
        <v>0</v>
      </c>
      <c r="AB6" s="30">
        <v>208.38807274675432</v>
      </c>
      <c r="AC6" s="30">
        <v>22.779084632147704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0.24114526721174645</v>
      </c>
      <c r="AJ6" s="34">
        <f t="shared" si="1"/>
        <v>1016.8881166705954</v>
      </c>
      <c r="AM6" s="23"/>
      <c r="AO6" s="20" t="str">
        <f t="shared" si="2"/>
        <v>KALIMANTAN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182</v>
      </c>
      <c r="AV6" s="30">
        <f t="shared" si="9"/>
        <v>21351.645810947655</v>
      </c>
      <c r="AW6" s="30">
        <f t="shared" si="9"/>
        <v>7988.2963781142189</v>
      </c>
      <c r="AX6" s="30">
        <f t="shared" si="9"/>
        <v>51810.770900580668</v>
      </c>
      <c r="AY6" s="30">
        <f t="shared" si="9"/>
        <v>2526</v>
      </c>
      <c r="AZ6" s="30">
        <f t="shared" si="9"/>
        <v>5061</v>
      </c>
      <c r="BA6" s="30">
        <f t="shared" si="9"/>
        <v>0</v>
      </c>
      <c r="BB6" s="30">
        <v>999</v>
      </c>
      <c r="BC6" s="30">
        <v>999</v>
      </c>
      <c r="BD6" s="30">
        <f t="shared" si="3"/>
        <v>88919.713089642551</v>
      </c>
      <c r="BF6" s="23"/>
      <c r="BG6" s="19"/>
      <c r="BH6" s="20" t="str">
        <f t="shared" si="10"/>
        <v>KALIMANTAN</v>
      </c>
      <c r="BI6" s="20">
        <f t="shared" si="10"/>
        <v>2021</v>
      </c>
      <c r="BJ6" s="25">
        <f t="shared" si="4"/>
        <v>5.4133543645916389E-2</v>
      </c>
      <c r="BK6" s="43">
        <f t="shared" si="5"/>
        <v>2.8463636825289189E-4</v>
      </c>
      <c r="BL6" s="34">
        <f t="shared" si="11"/>
        <v>8848.9563056054012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KALIMANTAN</v>
      </c>
      <c r="C7" s="20">
        <f t="shared" si="13"/>
        <v>2022</v>
      </c>
      <c r="D7" s="30">
        <f t="shared" si="14"/>
        <v>2896.9232248207077</v>
      </c>
      <c r="E7" s="30">
        <f t="shared" si="6"/>
        <v>535.02999699999998</v>
      </c>
      <c r="F7" s="30">
        <f t="shared" si="6"/>
        <v>1706.0721774177355</v>
      </c>
      <c r="G7" s="30">
        <f t="shared" si="6"/>
        <v>1724.67</v>
      </c>
      <c r="H7" s="30">
        <f t="shared" si="6"/>
        <v>0</v>
      </c>
      <c r="I7" s="30">
        <f t="shared" si="6"/>
        <v>515.31738292402338</v>
      </c>
      <c r="J7" s="30">
        <f t="shared" si="6"/>
        <v>115.16362088578106</v>
      </c>
      <c r="K7" s="30">
        <f t="shared" si="6"/>
        <v>1556.3627599379756</v>
      </c>
      <c r="L7" s="30">
        <f t="shared" si="6"/>
        <v>0</v>
      </c>
      <c r="M7" s="30">
        <f t="shared" si="6"/>
        <v>97.75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2.5858333784873464</v>
      </c>
      <c r="Q7" s="30">
        <f t="shared" si="7"/>
        <v>9147.2891629862224</v>
      </c>
      <c r="R7" s="30"/>
      <c r="S7" s="36"/>
      <c r="T7" s="19"/>
      <c r="U7" s="20" t="str">
        <f t="shared" si="0"/>
        <v>KALIMANTAN</v>
      </c>
      <c r="V7" s="20">
        <f t="shared" si="0"/>
        <v>2022</v>
      </c>
      <c r="W7" s="30">
        <v>113.35916541734662</v>
      </c>
      <c r="X7" s="30">
        <v>-9.9999999747524271E-7</v>
      </c>
      <c r="Y7" s="30">
        <v>776.47963872648495</v>
      </c>
      <c r="Z7" s="30">
        <v>0</v>
      </c>
      <c r="AA7" s="30">
        <v>0</v>
      </c>
      <c r="AB7" s="30">
        <v>21.693193871678019</v>
      </c>
      <c r="AC7" s="30">
        <v>-9.9999999747524271E-7</v>
      </c>
      <c r="AD7" s="30">
        <v>641.52366051864499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0.34104486869399286</v>
      </c>
      <c r="AJ7" s="34">
        <f t="shared" si="1"/>
        <v>1553.3967014028485</v>
      </c>
      <c r="AM7" s="23"/>
      <c r="AO7" s="20" t="str">
        <f t="shared" si="2"/>
        <v>KALIMANTAN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182</v>
      </c>
      <c r="AV7" s="30">
        <f t="shared" si="9"/>
        <v>21329.952617075978</v>
      </c>
      <c r="AW7" s="30">
        <f t="shared" si="9"/>
        <v>7988.2963791142192</v>
      </c>
      <c r="AX7" s="30">
        <f t="shared" si="9"/>
        <v>51169.247240062025</v>
      </c>
      <c r="AY7" s="30">
        <f t="shared" si="9"/>
        <v>2526</v>
      </c>
      <c r="AZ7" s="30">
        <f t="shared" si="9"/>
        <v>5061</v>
      </c>
      <c r="BA7" s="30">
        <f t="shared" si="9"/>
        <v>0</v>
      </c>
      <c r="BB7" s="30">
        <v>999</v>
      </c>
      <c r="BC7" s="30">
        <v>999</v>
      </c>
      <c r="BD7" s="30">
        <f t="shared" si="3"/>
        <v>88256.49623625222</v>
      </c>
      <c r="BF7" s="23"/>
      <c r="BG7" s="19"/>
      <c r="BH7" s="20" t="str">
        <f t="shared" si="10"/>
        <v>KALIMANTAN</v>
      </c>
      <c r="BI7" s="20">
        <f t="shared" si="10"/>
        <v>2022</v>
      </c>
      <c r="BJ7" s="25">
        <f t="shared" si="4"/>
        <v>8.1653870608407939E-2</v>
      </c>
      <c r="BK7" s="43">
        <f t="shared" si="5"/>
        <v>2.9070981972047623E-4</v>
      </c>
      <c r="BL7" s="34">
        <f t="shared" si="11"/>
        <v>10193.35517799712</v>
      </c>
      <c r="BP7" s="23"/>
    </row>
    <row r="8" spans="1:68" x14ac:dyDescent="0.25">
      <c r="A8" s="19"/>
      <c r="B8" s="20" t="str">
        <f t="shared" si="12"/>
        <v>KALIMANTAN</v>
      </c>
      <c r="C8" s="20">
        <f t="shared" si="13"/>
        <v>2023</v>
      </c>
      <c r="D8" s="30">
        <f t="shared" si="14"/>
        <v>2896.9232248207077</v>
      </c>
      <c r="E8" s="30">
        <f t="shared" si="6"/>
        <v>770.89895519885943</v>
      </c>
      <c r="F8" s="30">
        <f t="shared" si="6"/>
        <v>2059.2320184138803</v>
      </c>
      <c r="G8" s="30">
        <f t="shared" si="6"/>
        <v>1724.6700000000012</v>
      </c>
      <c r="H8" s="30">
        <f t="shared" si="6"/>
        <v>91.000090999999998</v>
      </c>
      <c r="I8" s="30">
        <f t="shared" si="6"/>
        <v>584.91630113420206</v>
      </c>
      <c r="J8" s="30">
        <f t="shared" si="6"/>
        <v>133.83480105469803</v>
      </c>
      <c r="K8" s="30">
        <f t="shared" si="6"/>
        <v>1572.4113815967157</v>
      </c>
      <c r="L8" s="30">
        <f t="shared" si="6"/>
        <v>8.3236639128921457</v>
      </c>
      <c r="M8" s="30">
        <f t="shared" si="6"/>
        <v>160.03723777877929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2.789746722053259</v>
      </c>
      <c r="Q8" s="30">
        <f t="shared" si="7"/>
        <v>10002.247674910734</v>
      </c>
      <c r="R8" s="30"/>
      <c r="S8" s="36"/>
      <c r="T8" s="19"/>
      <c r="U8" s="20" t="str">
        <f t="shared" si="0"/>
        <v>KALIMANTAN</v>
      </c>
      <c r="V8" s="20">
        <f t="shared" si="0"/>
        <v>2023</v>
      </c>
      <c r="W8" s="30">
        <v>0</v>
      </c>
      <c r="X8" s="30">
        <v>235.86895819885945</v>
      </c>
      <c r="Y8" s="30">
        <v>353.15984099614496</v>
      </c>
      <c r="Z8" s="30">
        <v>1.2426592198941189E-12</v>
      </c>
      <c r="AA8" s="30">
        <v>91.000090999999998</v>
      </c>
      <c r="AB8" s="30">
        <v>69.598918210178624</v>
      </c>
      <c r="AC8" s="30">
        <v>18.671180168916969</v>
      </c>
      <c r="AD8" s="30">
        <v>16.048621658740075</v>
      </c>
      <c r="AE8" s="30">
        <v>8.3236639128921457</v>
      </c>
      <c r="AF8" s="30">
        <v>62.2872377787793</v>
      </c>
      <c r="AG8" s="30">
        <v>0</v>
      </c>
      <c r="AH8" s="30">
        <v>0</v>
      </c>
      <c r="AI8" s="30">
        <f t="shared" si="8"/>
        <v>0.20391334356591262</v>
      </c>
      <c r="AJ8" s="34">
        <f t="shared" si="1"/>
        <v>855.16242526807878</v>
      </c>
      <c r="AM8" s="23"/>
      <c r="AO8" s="20" t="str">
        <f t="shared" si="2"/>
        <v>KALIMANTAN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90.999909000000002</v>
      </c>
      <c r="AV8" s="30">
        <f t="shared" si="9"/>
        <v>21260.353698865798</v>
      </c>
      <c r="AW8" s="30">
        <f t="shared" si="9"/>
        <v>7969.6251989453021</v>
      </c>
      <c r="AX8" s="30">
        <f t="shared" si="9"/>
        <v>51153.198618403287</v>
      </c>
      <c r="AY8" s="30">
        <f t="shared" si="9"/>
        <v>2517.6763360871078</v>
      </c>
      <c r="AZ8" s="30">
        <f t="shared" si="9"/>
        <v>4998.7127622212211</v>
      </c>
      <c r="BA8" s="30">
        <f t="shared" si="9"/>
        <v>0</v>
      </c>
      <c r="BB8" s="30">
        <v>999</v>
      </c>
      <c r="BC8" s="30">
        <v>999</v>
      </c>
      <c r="BD8" s="30">
        <f t="shared" si="3"/>
        <v>87990.566523522721</v>
      </c>
      <c r="BF8" s="23"/>
      <c r="BG8" s="19"/>
      <c r="BH8" s="20" t="str">
        <f t="shared" si="10"/>
        <v>KALIMANTAN</v>
      </c>
      <c r="BI8" s="20">
        <f t="shared" si="10"/>
        <v>2023</v>
      </c>
      <c r="BJ8" s="25">
        <f t="shared" si="4"/>
        <v>7.6862028206711452E-2</v>
      </c>
      <c r="BK8" s="43">
        <f t="shared" si="5"/>
        <v>2.8965230967320532E-4</v>
      </c>
      <c r="BL8" s="34">
        <f t="shared" si="11"/>
        <v>10997.181578333948</v>
      </c>
      <c r="BP8" s="23"/>
    </row>
    <row r="9" spans="1:68" x14ac:dyDescent="0.25">
      <c r="A9" s="19"/>
      <c r="B9" s="20" t="str">
        <f t="shared" si="12"/>
        <v>KALIMANTAN</v>
      </c>
      <c r="C9" s="20">
        <f t="shared" si="13"/>
        <v>2024</v>
      </c>
      <c r="D9" s="30">
        <f t="shared" si="14"/>
        <v>2896.9232248207077</v>
      </c>
      <c r="E9" s="30">
        <f t="shared" si="6"/>
        <v>823.08629450918852</v>
      </c>
      <c r="F9" s="30">
        <f t="shared" si="6"/>
        <v>2187.0504897792862</v>
      </c>
      <c r="G9" s="30">
        <f t="shared" si="6"/>
        <v>1724.6700000000012</v>
      </c>
      <c r="H9" s="30">
        <f t="shared" si="6"/>
        <v>132.32153260398823</v>
      </c>
      <c r="I9" s="30">
        <f t="shared" si="6"/>
        <v>584.91630113420206</v>
      </c>
      <c r="J9" s="30">
        <f t="shared" si="6"/>
        <v>236.37945759950773</v>
      </c>
      <c r="K9" s="30">
        <f t="shared" si="6"/>
        <v>1614.8846320091791</v>
      </c>
      <c r="L9" s="30">
        <f t="shared" si="6"/>
        <v>21.051978146579501</v>
      </c>
      <c r="M9" s="30">
        <f t="shared" si="6"/>
        <v>181.49716800603389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2.9039310528718008</v>
      </c>
      <c r="Q9" s="30">
        <f t="shared" si="7"/>
        <v>10402.781078608672</v>
      </c>
      <c r="R9" s="30"/>
      <c r="S9" s="36"/>
      <c r="T9" s="19"/>
      <c r="U9" s="20" t="str">
        <f t="shared" si="0"/>
        <v>KALIMANTAN</v>
      </c>
      <c r="V9" s="20">
        <f t="shared" si="0"/>
        <v>2024</v>
      </c>
      <c r="W9" s="30">
        <v>0</v>
      </c>
      <c r="X9" s="30">
        <v>52.187339310329065</v>
      </c>
      <c r="Y9" s="30">
        <v>127.81847136540577</v>
      </c>
      <c r="Z9" s="30">
        <v>0</v>
      </c>
      <c r="AA9" s="30">
        <v>41.321441603988234</v>
      </c>
      <c r="AB9" s="30">
        <v>0</v>
      </c>
      <c r="AC9" s="30">
        <v>102.5446565448097</v>
      </c>
      <c r="AD9" s="30">
        <v>42.473250412463344</v>
      </c>
      <c r="AE9" s="30">
        <v>12.728314233687353</v>
      </c>
      <c r="AF9" s="30">
        <v>21.459930227254599</v>
      </c>
      <c r="AG9" s="30">
        <v>0</v>
      </c>
      <c r="AH9" s="30">
        <v>0</v>
      </c>
      <c r="AI9" s="30">
        <f t="shared" si="8"/>
        <v>0.11418433081854173</v>
      </c>
      <c r="AJ9" s="34">
        <f t="shared" si="1"/>
        <v>400.64758802875656</v>
      </c>
      <c r="AM9" s="23"/>
      <c r="AO9" s="20" t="str">
        <f t="shared" si="2"/>
        <v>KALIMANTAN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49.678467396011769</v>
      </c>
      <c r="AV9" s="30">
        <f t="shared" si="9"/>
        <v>21260.353698865798</v>
      </c>
      <c r="AW9" s="30">
        <f t="shared" si="9"/>
        <v>7867.080542400492</v>
      </c>
      <c r="AX9" s="30">
        <f t="shared" si="9"/>
        <v>51110.725367990824</v>
      </c>
      <c r="AY9" s="30">
        <f t="shared" si="9"/>
        <v>2504.9480218534204</v>
      </c>
      <c r="AZ9" s="30">
        <f t="shared" si="9"/>
        <v>4977.2528319939665</v>
      </c>
      <c r="BA9" s="30">
        <f t="shared" si="9"/>
        <v>0</v>
      </c>
      <c r="BB9" s="30">
        <v>999</v>
      </c>
      <c r="BC9" s="30">
        <v>999</v>
      </c>
      <c r="BD9" s="30">
        <f t="shared" si="3"/>
        <v>87770.038930500508</v>
      </c>
      <c r="BF9" s="23"/>
      <c r="BG9" s="19"/>
      <c r="BH9" s="20" t="str">
        <f t="shared" si="10"/>
        <v>KALIMANTAN</v>
      </c>
      <c r="BI9" s="20">
        <f t="shared" si="10"/>
        <v>2024</v>
      </c>
      <c r="BJ9" s="25">
        <f t="shared" si="4"/>
        <v>7.6803931770669798E-2</v>
      </c>
      <c r="BK9" s="43">
        <f t="shared" si="5"/>
        <v>2.8963948839076854E-4</v>
      </c>
      <c r="BL9" s="34">
        <f t="shared" si="11"/>
        <v>11447.29621042064</v>
      </c>
      <c r="BN9" s="38"/>
      <c r="BP9" s="23"/>
    </row>
    <row r="10" spans="1:68" x14ac:dyDescent="0.25">
      <c r="A10" s="19"/>
      <c r="B10" s="20" t="str">
        <f t="shared" si="12"/>
        <v>KALIMANTAN</v>
      </c>
      <c r="C10" s="20">
        <f t="shared" si="13"/>
        <v>2025</v>
      </c>
      <c r="D10" s="30">
        <f t="shared" si="14"/>
        <v>2896.9232248207077</v>
      </c>
      <c r="E10" s="30">
        <f t="shared" si="6"/>
        <v>939.19873335166403</v>
      </c>
      <c r="F10" s="30">
        <f t="shared" si="6"/>
        <v>2261.5628707109449</v>
      </c>
      <c r="G10" s="30">
        <f t="shared" si="6"/>
        <v>1724.6700000000012</v>
      </c>
      <c r="H10" s="30">
        <f t="shared" si="6"/>
        <v>157.16079112909927</v>
      </c>
      <c r="I10" s="30">
        <f t="shared" si="6"/>
        <v>636.54758998294892</v>
      </c>
      <c r="J10" s="30">
        <f t="shared" si="6"/>
        <v>275.00469005187546</v>
      </c>
      <c r="K10" s="30">
        <f t="shared" si="6"/>
        <v>1701.5879850740323</v>
      </c>
      <c r="L10" s="30">
        <f t="shared" si="6"/>
        <v>94.386116160248676</v>
      </c>
      <c r="M10" s="30">
        <f t="shared" si="6"/>
        <v>234.07334976192163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3.0423034816993106</v>
      </c>
      <c r="Q10" s="30">
        <f t="shared" si="7"/>
        <v>10921.115351043445</v>
      </c>
      <c r="R10" s="30"/>
      <c r="S10" s="36"/>
      <c r="T10" s="19"/>
      <c r="U10" s="20" t="str">
        <f t="shared" si="0"/>
        <v>KALIMANTAN</v>
      </c>
      <c r="V10" s="20">
        <f t="shared" si="0"/>
        <v>2025</v>
      </c>
      <c r="W10" s="30">
        <v>0</v>
      </c>
      <c r="X10" s="30">
        <v>116.11243884247556</v>
      </c>
      <c r="Y10" s="30">
        <v>74.512380931658583</v>
      </c>
      <c r="Z10" s="30">
        <v>0</v>
      </c>
      <c r="AA10" s="30">
        <v>24.839258525111049</v>
      </c>
      <c r="AB10" s="30">
        <v>51.631288848746834</v>
      </c>
      <c r="AC10" s="30">
        <v>38.62523245236774</v>
      </c>
      <c r="AD10" s="30">
        <v>86.703353064853118</v>
      </c>
      <c r="AE10" s="30">
        <v>73.334138013669175</v>
      </c>
      <c r="AF10" s="30">
        <v>52.576181755887738</v>
      </c>
      <c r="AG10" s="30">
        <v>0</v>
      </c>
      <c r="AH10" s="30">
        <v>0</v>
      </c>
      <c r="AI10" s="30">
        <f t="shared" si="8"/>
        <v>0.13837242882750989</v>
      </c>
      <c r="AJ10" s="34">
        <f t="shared" si="1"/>
        <v>518.47264486359745</v>
      </c>
      <c r="AM10" s="23"/>
      <c r="AO10" s="20" t="str">
        <f t="shared" si="2"/>
        <v>KALIMANTAN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24.83920887090072</v>
      </c>
      <c r="AV10" s="30">
        <f t="shared" si="9"/>
        <v>21208.72241001705</v>
      </c>
      <c r="AW10" s="30">
        <f t="shared" si="9"/>
        <v>7828.4553099481245</v>
      </c>
      <c r="AX10" s="30">
        <f t="shared" si="9"/>
        <v>51024.022014925969</v>
      </c>
      <c r="AY10" s="30">
        <f t="shared" si="9"/>
        <v>2431.6138838397515</v>
      </c>
      <c r="AZ10" s="30">
        <f t="shared" si="9"/>
        <v>4924.6766502380788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87442.32947783987</v>
      </c>
      <c r="BF10" s="23"/>
      <c r="BG10" s="19"/>
      <c r="BH10" s="20" t="str">
        <f t="shared" si="10"/>
        <v>KALIMANTAN</v>
      </c>
      <c r="BI10" s="20">
        <f t="shared" si="10"/>
        <v>2025</v>
      </c>
      <c r="BJ10" s="25">
        <f t="shared" si="4"/>
        <v>8.2999943315719693E-2</v>
      </c>
      <c r="BK10" s="43">
        <f t="shared" si="5"/>
        <v>2.9100688404208987E-4</v>
      </c>
      <c r="BL10" s="34">
        <f t="shared" si="11"/>
        <v>11992.760324858684</v>
      </c>
      <c r="BP10" s="23"/>
    </row>
    <row r="11" spans="1:68" x14ac:dyDescent="0.25">
      <c r="A11" s="19"/>
      <c r="B11" s="20" t="str">
        <f t="shared" si="12"/>
        <v>KALIMANTAN</v>
      </c>
      <c r="C11" s="20">
        <f t="shared" si="13"/>
        <v>2026</v>
      </c>
      <c r="D11" s="30">
        <f t="shared" si="14"/>
        <v>2896.9232248207077</v>
      </c>
      <c r="E11" s="30">
        <f t="shared" si="6"/>
        <v>997.40722285178822</v>
      </c>
      <c r="F11" s="30">
        <f t="shared" si="6"/>
        <v>2315.3001571513896</v>
      </c>
      <c r="G11" s="30">
        <f t="shared" si="6"/>
        <v>1724.6700000000012</v>
      </c>
      <c r="H11" s="30">
        <f t="shared" si="6"/>
        <v>169.58040797202554</v>
      </c>
      <c r="I11" s="30">
        <f t="shared" si="6"/>
        <v>643.84181665277151</v>
      </c>
      <c r="J11" s="30">
        <f t="shared" si="6"/>
        <v>296.33014419201277</v>
      </c>
      <c r="K11" s="30">
        <f t="shared" si="6"/>
        <v>1704.5934922180488</v>
      </c>
      <c r="L11" s="30">
        <f t="shared" si="6"/>
        <v>100.07300513364751</v>
      </c>
      <c r="M11" s="30">
        <f t="shared" si="6"/>
        <v>237.23643330096854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3.0846025122602554</v>
      </c>
      <c r="Q11" s="30">
        <f t="shared" si="7"/>
        <v>11085.95590429336</v>
      </c>
      <c r="R11" s="30"/>
      <c r="S11" s="36"/>
      <c r="T11" s="19"/>
      <c r="U11" s="20" t="str">
        <f t="shared" si="0"/>
        <v>KALIMANTAN</v>
      </c>
      <c r="V11" s="20">
        <f t="shared" si="0"/>
        <v>2026</v>
      </c>
      <c r="W11" s="30">
        <v>0</v>
      </c>
      <c r="X11" s="30">
        <v>58.208489500124173</v>
      </c>
      <c r="Y11" s="30">
        <v>53.737286440444464</v>
      </c>
      <c r="Z11" s="30">
        <v>0</v>
      </c>
      <c r="AA11" s="30">
        <v>12.419616842926274</v>
      </c>
      <c r="AB11" s="30">
        <v>7.2942266698225611</v>
      </c>
      <c r="AC11" s="30">
        <v>21.3254541401373</v>
      </c>
      <c r="AD11" s="30">
        <v>3.0055071440165739</v>
      </c>
      <c r="AE11" s="30">
        <v>5.6868889733988341</v>
      </c>
      <c r="AF11" s="30">
        <v>3.1630835390469132</v>
      </c>
      <c r="AG11" s="30">
        <v>0</v>
      </c>
      <c r="AH11" s="30">
        <v>0</v>
      </c>
      <c r="AI11" s="30">
        <f t="shared" si="8"/>
        <v>4.229903056094475E-2</v>
      </c>
      <c r="AJ11" s="34">
        <f t="shared" si="1"/>
        <v>164.88285228047803</v>
      </c>
      <c r="AM11" s="23"/>
      <c r="AO11" s="20" t="str">
        <f t="shared" si="2"/>
        <v>KALIMANTAN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12.419592027974446</v>
      </c>
      <c r="AV11" s="30">
        <f t="shared" si="9"/>
        <v>21201.428183347227</v>
      </c>
      <c r="AW11" s="30">
        <f t="shared" si="9"/>
        <v>7807.129855807987</v>
      </c>
      <c r="AX11" s="30">
        <f t="shared" si="9"/>
        <v>51021.016507781955</v>
      </c>
      <c r="AY11" s="30">
        <f t="shared" si="9"/>
        <v>2425.9269948663527</v>
      </c>
      <c r="AZ11" s="30">
        <f t="shared" si="9"/>
        <v>4921.5135666990318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87389.434700530546</v>
      </c>
      <c r="BF11" s="23"/>
      <c r="BG11" s="19"/>
      <c r="BH11" s="20" t="str">
        <f t="shared" si="10"/>
        <v>KALIMANTAN</v>
      </c>
      <c r="BI11" s="20">
        <f t="shared" si="10"/>
        <v>2026</v>
      </c>
      <c r="BJ11" s="25">
        <f t="shared" si="4"/>
        <v>8.237352785902062E-2</v>
      </c>
      <c r="BK11" s="43">
        <f t="shared" si="5"/>
        <v>2.9086864063095628E-4</v>
      </c>
      <c r="BL11" s="34">
        <f t="shared" si="11"/>
        <v>12159.503103329927</v>
      </c>
      <c r="BP11" s="23"/>
    </row>
    <row r="12" spans="1:68" x14ac:dyDescent="0.25">
      <c r="A12" s="19"/>
      <c r="B12" s="20" t="str">
        <f t="shared" si="12"/>
        <v>KALIMANTAN</v>
      </c>
      <c r="C12" s="20">
        <f t="shared" si="13"/>
        <v>2027</v>
      </c>
      <c r="D12" s="30">
        <f t="shared" si="14"/>
        <v>2896.9232248207077</v>
      </c>
      <c r="E12" s="30">
        <f t="shared" si="6"/>
        <v>997.40722285178822</v>
      </c>
      <c r="F12" s="30">
        <f t="shared" si="6"/>
        <v>3611.9531091728268</v>
      </c>
      <c r="G12" s="30">
        <f t="shared" si="6"/>
        <v>1785.8358123597523</v>
      </c>
      <c r="H12" s="30">
        <f t="shared" si="6"/>
        <v>169.58040797202554</v>
      </c>
      <c r="I12" s="30">
        <f t="shared" si="6"/>
        <v>643.84181665277151</v>
      </c>
      <c r="J12" s="30">
        <f t="shared" si="6"/>
        <v>296.33014419201277</v>
      </c>
      <c r="K12" s="30">
        <f t="shared" si="6"/>
        <v>1704.5934922180488</v>
      </c>
      <c r="L12" s="30">
        <f t="shared" si="6"/>
        <v>549.01948488164157</v>
      </c>
      <c r="M12" s="30">
        <f t="shared" si="6"/>
        <v>237.23643330096854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3.5267968469335571</v>
      </c>
      <c r="Q12" s="30">
        <f t="shared" si="7"/>
        <v>12892.721148422543</v>
      </c>
      <c r="R12" s="30"/>
      <c r="S12" s="36"/>
      <c r="T12" s="19"/>
      <c r="U12" s="20" t="str">
        <f t="shared" si="0"/>
        <v>KALIMANTAN</v>
      </c>
      <c r="V12" s="20">
        <f t="shared" si="0"/>
        <v>2027</v>
      </c>
      <c r="W12" s="30">
        <v>0</v>
      </c>
      <c r="X12" s="30">
        <v>0</v>
      </c>
      <c r="Y12" s="30">
        <v>1296.6529520214372</v>
      </c>
      <c r="Z12" s="30">
        <v>61.165812359751115</v>
      </c>
      <c r="AA12" s="30">
        <v>0</v>
      </c>
      <c r="AB12" s="30">
        <v>0</v>
      </c>
      <c r="AC12" s="30">
        <v>0</v>
      </c>
      <c r="AD12" s="30">
        <v>0</v>
      </c>
      <c r="AE12" s="30">
        <v>448.94647974799403</v>
      </c>
      <c r="AF12" s="30">
        <v>0</v>
      </c>
      <c r="AG12" s="30">
        <v>0</v>
      </c>
      <c r="AH12" s="30">
        <v>0</v>
      </c>
      <c r="AI12" s="30">
        <f t="shared" si="8"/>
        <v>0.44219433467330171</v>
      </c>
      <c r="AJ12" s="34">
        <f t="shared" si="1"/>
        <v>1807.2074384638556</v>
      </c>
      <c r="AM12" s="23"/>
      <c r="AO12" s="20" t="str">
        <f t="shared" si="2"/>
        <v>KALIMANTAN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12.419592027974446</v>
      </c>
      <c r="AV12" s="30">
        <f t="shared" si="9"/>
        <v>21201.428183347227</v>
      </c>
      <c r="AW12" s="30">
        <f t="shared" si="9"/>
        <v>7807.129855807987</v>
      </c>
      <c r="AX12" s="30">
        <f t="shared" si="9"/>
        <v>51021.016507781955</v>
      </c>
      <c r="AY12" s="30">
        <f t="shared" si="9"/>
        <v>1976.9805151183587</v>
      </c>
      <c r="AZ12" s="30">
        <f t="shared" si="9"/>
        <v>4921.5135666990318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86940.488220782543</v>
      </c>
      <c r="BF12" s="23"/>
      <c r="BG12" s="19"/>
      <c r="BH12" s="20" t="str">
        <f t="shared" si="10"/>
        <v>KALIMANTAN</v>
      </c>
      <c r="BI12" s="20">
        <f t="shared" si="10"/>
        <v>2027</v>
      </c>
      <c r="BJ12" s="25">
        <f t="shared" si="4"/>
        <v>0.10247280728142424</v>
      </c>
      <c r="BK12" s="43">
        <f t="shared" si="5"/>
        <v>2.9530434367590054E-4</v>
      </c>
      <c r="BL12" s="34">
        <f t="shared" si="11"/>
        <v>13902.633170612084</v>
      </c>
      <c r="BP12" s="23"/>
    </row>
    <row r="13" spans="1:68" x14ac:dyDescent="0.25">
      <c r="A13" s="19"/>
      <c r="B13" s="20" t="str">
        <f t="shared" si="12"/>
        <v>KALIMANTAN</v>
      </c>
      <c r="C13" s="20">
        <f t="shared" si="13"/>
        <v>2028</v>
      </c>
      <c r="D13" s="30">
        <f t="shared" si="14"/>
        <v>2947.9168463505484</v>
      </c>
      <c r="E13" s="30">
        <f t="shared" si="6"/>
        <v>997.40722285178822</v>
      </c>
      <c r="F13" s="30">
        <f t="shared" si="6"/>
        <v>3611.9531091728268</v>
      </c>
      <c r="G13" s="30">
        <f t="shared" si="6"/>
        <v>1941.0019466768806</v>
      </c>
      <c r="H13" s="30">
        <f t="shared" si="6"/>
        <v>169.58040797202554</v>
      </c>
      <c r="I13" s="30">
        <f t="shared" si="6"/>
        <v>643.84181665277151</v>
      </c>
      <c r="J13" s="30">
        <f t="shared" si="6"/>
        <v>296.33014419201277</v>
      </c>
      <c r="K13" s="30">
        <f t="shared" si="6"/>
        <v>1704.5934922180488</v>
      </c>
      <c r="L13" s="30">
        <f t="shared" si="6"/>
        <v>718.21302588040771</v>
      </c>
      <c r="M13" s="30">
        <f t="shared" si="6"/>
        <v>237.23643330096854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3.6626699619736063</v>
      </c>
      <c r="Q13" s="30">
        <f t="shared" si="7"/>
        <v>13268.074445268279</v>
      </c>
      <c r="R13" s="30"/>
      <c r="S13" s="36"/>
      <c r="T13" s="19"/>
      <c r="U13" s="20" t="str">
        <f t="shared" si="0"/>
        <v>KALIMANTAN</v>
      </c>
      <c r="V13" s="20">
        <f t="shared" si="0"/>
        <v>2028</v>
      </c>
      <c r="W13" s="30">
        <v>50.993621529840631</v>
      </c>
      <c r="X13" s="30">
        <v>0</v>
      </c>
      <c r="Y13" s="30">
        <v>0</v>
      </c>
      <c r="Z13" s="30">
        <v>155.16613431712827</v>
      </c>
      <c r="AA13" s="30">
        <v>0</v>
      </c>
      <c r="AB13" s="30">
        <v>0</v>
      </c>
      <c r="AC13" s="30">
        <v>0</v>
      </c>
      <c r="AD13" s="30">
        <v>0</v>
      </c>
      <c r="AE13" s="30">
        <v>169.19354099876608</v>
      </c>
      <c r="AF13" s="30">
        <v>0</v>
      </c>
      <c r="AG13" s="30">
        <v>0</v>
      </c>
      <c r="AH13" s="30">
        <v>0</v>
      </c>
      <c r="AI13" s="30">
        <f t="shared" si="8"/>
        <v>0.13587311504004917</v>
      </c>
      <c r="AJ13" s="34">
        <f t="shared" si="1"/>
        <v>375.48916996077503</v>
      </c>
      <c r="AM13" s="23"/>
      <c r="AO13" s="20" t="str">
        <f t="shared" si="2"/>
        <v>KALIMANTAN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12.419592027974446</v>
      </c>
      <c r="AV13" s="30">
        <f t="shared" si="9"/>
        <v>21201.428183347227</v>
      </c>
      <c r="AW13" s="30">
        <f t="shared" si="9"/>
        <v>7807.129855807987</v>
      </c>
      <c r="AX13" s="30">
        <f t="shared" si="9"/>
        <v>51021.016507781955</v>
      </c>
      <c r="AY13" s="30">
        <f t="shared" si="9"/>
        <v>1807.7869741195925</v>
      </c>
      <c r="AZ13" s="30">
        <f t="shared" si="9"/>
        <v>4921.5135666990318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86771.294679783779</v>
      </c>
      <c r="BF13" s="23"/>
      <c r="BG13" s="19"/>
      <c r="BH13" s="20" t="str">
        <f t="shared" si="10"/>
        <v>KALIMANTAN</v>
      </c>
      <c r="BI13" s="20">
        <f t="shared" si="10"/>
        <v>2028</v>
      </c>
      <c r="BJ13" s="25">
        <f t="shared" si="4"/>
        <v>0.10992305368683233</v>
      </c>
      <c r="BK13" s="43">
        <f t="shared" si="5"/>
        <v>2.9694853598605958E-4</v>
      </c>
      <c r="BL13" s="34">
        <f t="shared" si="11"/>
        <v>14438.244990099958</v>
      </c>
      <c r="BP13" s="23"/>
    </row>
    <row r="14" spans="1:68" x14ac:dyDescent="0.25">
      <c r="A14" s="19"/>
      <c r="B14" s="20" t="str">
        <f t="shared" si="12"/>
        <v>KALIMANTAN</v>
      </c>
      <c r="C14" s="20">
        <f t="shared" si="13"/>
        <v>2029</v>
      </c>
      <c r="D14" s="30">
        <f t="shared" si="14"/>
        <v>2947.9168463505484</v>
      </c>
      <c r="E14" s="30">
        <f t="shared" si="6"/>
        <v>997.40722285178822</v>
      </c>
      <c r="F14" s="30">
        <f t="shared" si="6"/>
        <v>3611.9531091728268</v>
      </c>
      <c r="G14" s="30">
        <f t="shared" si="6"/>
        <v>1941.0019466768806</v>
      </c>
      <c r="H14" s="30">
        <f t="shared" si="6"/>
        <v>169.58040697202554</v>
      </c>
      <c r="I14" s="30">
        <f t="shared" si="6"/>
        <v>643.93846625296669</v>
      </c>
      <c r="J14" s="30">
        <f t="shared" si="6"/>
        <v>306.13839193175357</v>
      </c>
      <c r="K14" s="30">
        <f t="shared" si="6"/>
        <v>1715.1298397015667</v>
      </c>
      <c r="L14" s="30">
        <f t="shared" si="6"/>
        <v>721.45159040209319</v>
      </c>
      <c r="M14" s="30">
        <f t="shared" si="6"/>
        <v>284.33674166227649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3.6785259178943717</v>
      </c>
      <c r="Q14" s="30">
        <f t="shared" si="7"/>
        <v>13338.854561974727</v>
      </c>
      <c r="R14" s="30"/>
      <c r="S14" s="36"/>
      <c r="T14" s="19"/>
      <c r="U14" s="20" t="str">
        <f t="shared" si="0"/>
        <v>KALIMANTAN</v>
      </c>
      <c r="V14" s="20">
        <f t="shared" si="0"/>
        <v>2029</v>
      </c>
      <c r="W14" s="30">
        <v>0</v>
      </c>
      <c r="X14" s="30">
        <v>0</v>
      </c>
      <c r="Y14" s="30">
        <v>0</v>
      </c>
      <c r="Z14" s="30">
        <v>0</v>
      </c>
      <c r="AA14" s="30">
        <v>-9.9999999991773336E-7</v>
      </c>
      <c r="AB14" s="30">
        <v>9.6649600195181304E-2</v>
      </c>
      <c r="AC14" s="30">
        <v>9.8082477397408177</v>
      </c>
      <c r="AD14" s="30">
        <v>10.536347483517934</v>
      </c>
      <c r="AE14" s="30">
        <v>3.2385645216855115</v>
      </c>
      <c r="AF14" s="30">
        <v>47.100308361307967</v>
      </c>
      <c r="AG14" s="30">
        <v>0</v>
      </c>
      <c r="AH14" s="30">
        <v>0</v>
      </c>
      <c r="AI14" s="30">
        <f t="shared" si="8"/>
        <v>1.5855955920765386E-2</v>
      </c>
      <c r="AJ14" s="34">
        <f t="shared" si="1"/>
        <v>70.795972662368186</v>
      </c>
      <c r="AM14" s="23"/>
      <c r="AO14" s="20" t="str">
        <f t="shared" si="2"/>
        <v>KALIMANTAN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12.419593027974445</v>
      </c>
      <c r="AV14" s="30">
        <f t="shared" si="9"/>
        <v>21201.33153374703</v>
      </c>
      <c r="AW14" s="30">
        <f t="shared" si="9"/>
        <v>7797.321608068246</v>
      </c>
      <c r="AX14" s="30">
        <f t="shared" si="9"/>
        <v>51010.480160298437</v>
      </c>
      <c r="AY14" s="30">
        <f t="shared" si="9"/>
        <v>1804.548409597907</v>
      </c>
      <c r="AZ14" s="30">
        <f t="shared" si="9"/>
        <v>4874.4132583377241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86700.514563077319</v>
      </c>
      <c r="BF14" s="23"/>
      <c r="BG14" s="19"/>
      <c r="BH14" s="20" t="str">
        <f t="shared" si="10"/>
        <v>KALIMANTAN</v>
      </c>
      <c r="BI14" s="20">
        <f t="shared" si="10"/>
        <v>2029</v>
      </c>
      <c r="BJ14" s="25">
        <f t="shared" si="4"/>
        <v>0.11006145186642874</v>
      </c>
      <c r="BK14" s="43">
        <f t="shared" si="5"/>
        <v>2.9697907903259118E-4</v>
      </c>
      <c r="BL14" s="34">
        <f t="shared" si="11"/>
        <v>14500.749168339615</v>
      </c>
      <c r="BP14" s="23"/>
    </row>
    <row r="15" spans="1:68" x14ac:dyDescent="0.25">
      <c r="A15" s="19"/>
      <c r="B15" s="20" t="str">
        <f t="shared" si="12"/>
        <v>KALIMANTAN</v>
      </c>
      <c r="C15" s="20">
        <f t="shared" si="13"/>
        <v>2030</v>
      </c>
      <c r="D15" s="30">
        <f t="shared" si="14"/>
        <v>2947.9168463505484</v>
      </c>
      <c r="E15" s="30">
        <f t="shared" si="6"/>
        <v>997.40722285178822</v>
      </c>
      <c r="F15" s="30">
        <f t="shared" si="6"/>
        <v>3611.9531091728268</v>
      </c>
      <c r="G15" s="30">
        <f t="shared" si="6"/>
        <v>1941.0019466768806</v>
      </c>
      <c r="H15" s="30">
        <f t="shared" si="6"/>
        <v>175.79020969580927</v>
      </c>
      <c r="I15" s="30">
        <f t="shared" si="6"/>
        <v>670.2048189874597</v>
      </c>
      <c r="J15" s="30">
        <f t="shared" si="6"/>
        <v>306.99576340444139</v>
      </c>
      <c r="K15" s="30">
        <f t="shared" si="6"/>
        <v>1721.5298397015667</v>
      </c>
      <c r="L15" s="30">
        <f t="shared" si="6"/>
        <v>732.33630419709152</v>
      </c>
      <c r="M15" s="30">
        <f t="shared" si="6"/>
        <v>284.33674166227649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3.6953941218412432</v>
      </c>
      <c r="Q15" s="30">
        <f t="shared" si="7"/>
        <v>13389.472802700691</v>
      </c>
      <c r="R15" s="30"/>
      <c r="S15" s="36"/>
      <c r="T15" s="19"/>
      <c r="U15" s="20" t="str">
        <f t="shared" si="0"/>
        <v>KALIMANTAN</v>
      </c>
      <c r="V15" s="20">
        <f t="shared" si="0"/>
        <v>2030</v>
      </c>
      <c r="W15" s="30">
        <v>0</v>
      </c>
      <c r="X15" s="30">
        <v>0</v>
      </c>
      <c r="Y15" s="30">
        <v>0</v>
      </c>
      <c r="Z15" s="30">
        <v>0</v>
      </c>
      <c r="AA15" s="30">
        <v>6.2098027237837359</v>
      </c>
      <c r="AB15" s="30">
        <v>26.266352734492962</v>
      </c>
      <c r="AC15" s="30">
        <v>0.85737147268782676</v>
      </c>
      <c r="AD15" s="30">
        <v>6.4</v>
      </c>
      <c r="AE15" s="30">
        <v>10.884713794998282</v>
      </c>
      <c r="AF15" s="30">
        <v>0</v>
      </c>
      <c r="AG15" s="30">
        <v>0</v>
      </c>
      <c r="AH15" s="30">
        <v>0</v>
      </c>
      <c r="AI15" s="30">
        <f t="shared" si="8"/>
        <v>1.6868203946871496E-2</v>
      </c>
      <c r="AJ15" s="34">
        <f t="shared" si="1"/>
        <v>50.635108929909677</v>
      </c>
      <c r="AM15" s="23"/>
      <c r="AO15" s="20" t="str">
        <f t="shared" si="2"/>
        <v>KALIMANTAN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6.209790304190709</v>
      </c>
      <c r="AV15" s="30">
        <f t="shared" si="9"/>
        <v>21175.065181012538</v>
      </c>
      <c r="AW15" s="30">
        <f t="shared" si="9"/>
        <v>7796.4642365955578</v>
      </c>
      <c r="AX15" s="30">
        <f t="shared" si="9"/>
        <v>51004.080160298436</v>
      </c>
      <c r="AY15" s="30">
        <f t="shared" si="9"/>
        <v>1793.6636958029087</v>
      </c>
      <c r="AZ15" s="30">
        <f t="shared" si="9"/>
        <v>4874.4132583377241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86649.896322351357</v>
      </c>
      <c r="BF15" s="23"/>
      <c r="BG15" s="19"/>
      <c r="BH15" s="20" t="str">
        <f t="shared" si="10"/>
        <v>KALIMANTAN</v>
      </c>
      <c r="BI15" s="20">
        <f t="shared" si="10"/>
        <v>2030</v>
      </c>
      <c r="BJ15" s="25">
        <f t="shared" si="4"/>
        <v>0.11051913954632002</v>
      </c>
      <c r="BK15" s="43">
        <f t="shared" si="5"/>
        <v>2.9708008596884307E-4</v>
      </c>
      <c r="BL15" s="34">
        <f t="shared" si="11"/>
        <v>14567.243628298182</v>
      </c>
      <c r="BP15" s="23"/>
    </row>
    <row r="16" spans="1:68" x14ac:dyDescent="0.25">
      <c r="A16" s="19"/>
      <c r="B16" s="20" t="str">
        <f t="shared" si="12"/>
        <v>KALIMANTAN</v>
      </c>
      <c r="C16" s="20">
        <f t="shared" si="13"/>
        <v>2031</v>
      </c>
      <c r="D16" s="30">
        <f t="shared" si="14"/>
        <v>2947.9168463505484</v>
      </c>
      <c r="E16" s="30">
        <f t="shared" si="6"/>
        <v>997.40722285178822</v>
      </c>
      <c r="F16" s="30">
        <f t="shared" si="6"/>
        <v>3611.9531091728268</v>
      </c>
      <c r="G16" s="30">
        <f t="shared" si="6"/>
        <v>1956.3652217975264</v>
      </c>
      <c r="H16" s="30">
        <f t="shared" si="6"/>
        <v>175.79020969580927</v>
      </c>
      <c r="I16" s="30">
        <f t="shared" si="6"/>
        <v>670.2048189874597</v>
      </c>
      <c r="J16" s="30">
        <f t="shared" si="6"/>
        <v>306.99576340444139</v>
      </c>
      <c r="K16" s="30">
        <f t="shared" si="6"/>
        <v>1721.5298397015667</v>
      </c>
      <c r="L16" s="30">
        <f t="shared" si="6"/>
        <v>808.57906896405461</v>
      </c>
      <c r="M16" s="30">
        <f t="shared" si="6"/>
        <v>284.33674166227649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3.7300536661802122</v>
      </c>
      <c r="Q16" s="30">
        <f t="shared" si="7"/>
        <v>13481.0788425883</v>
      </c>
      <c r="R16" s="30"/>
      <c r="S16" s="36"/>
      <c r="T16" s="19"/>
      <c r="U16" s="20" t="str">
        <f t="shared" si="0"/>
        <v>KALIMANTAN</v>
      </c>
      <c r="V16" s="20">
        <f t="shared" si="0"/>
        <v>2031</v>
      </c>
      <c r="W16" s="30">
        <v>0</v>
      </c>
      <c r="X16" s="30">
        <v>0</v>
      </c>
      <c r="Y16" s="30">
        <v>0</v>
      </c>
      <c r="Z16" s="30">
        <v>15.363275120645822</v>
      </c>
      <c r="AA16" s="30">
        <v>0</v>
      </c>
      <c r="AB16" s="30">
        <v>0</v>
      </c>
      <c r="AC16" s="30">
        <v>0</v>
      </c>
      <c r="AD16" s="30">
        <v>0</v>
      </c>
      <c r="AE16" s="30">
        <v>76.242764766963049</v>
      </c>
      <c r="AF16" s="30">
        <v>0</v>
      </c>
      <c r="AG16" s="30">
        <v>0</v>
      </c>
      <c r="AH16" s="30">
        <v>0</v>
      </c>
      <c r="AI16" s="30">
        <f t="shared" si="8"/>
        <v>3.4659544338969006E-2</v>
      </c>
      <c r="AJ16" s="34">
        <f t="shared" si="1"/>
        <v>91.640699431947837</v>
      </c>
      <c r="AM16" s="23"/>
      <c r="AO16" s="20" t="str">
        <f t="shared" si="2"/>
        <v>KALIMANTAN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6.209790304190709</v>
      </c>
      <c r="AV16" s="30">
        <f t="shared" si="9"/>
        <v>21175.065181012538</v>
      </c>
      <c r="AW16" s="30">
        <f t="shared" si="9"/>
        <v>7796.4642365955578</v>
      </c>
      <c r="AX16" s="30">
        <f t="shared" si="9"/>
        <v>51004.080160298436</v>
      </c>
      <c r="AY16" s="30">
        <f t="shared" si="9"/>
        <v>1717.4209310359456</v>
      </c>
      <c r="AZ16" s="30">
        <f t="shared" si="9"/>
        <v>4874.4132583377241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86573.653557584388</v>
      </c>
      <c r="BF16" s="23"/>
      <c r="BG16" s="19"/>
      <c r="BH16" s="20" t="str">
        <f t="shared" si="10"/>
        <v>KALIMANTAN</v>
      </c>
      <c r="BI16" s="20">
        <f t="shared" si="10"/>
        <v>2031</v>
      </c>
      <c r="BJ16" s="25">
        <f t="shared" si="4"/>
        <v>0.11457396139203738</v>
      </c>
      <c r="BK16" s="43">
        <f t="shared" si="5"/>
        <v>2.9797494320376E-4</v>
      </c>
      <c r="BL16" s="34">
        <f t="shared" si="11"/>
        <v>14703.871552082399</v>
      </c>
      <c r="BP16" s="23"/>
    </row>
    <row r="17" spans="1:84" x14ac:dyDescent="0.25">
      <c r="A17" s="19"/>
      <c r="B17" s="20" t="str">
        <f t="shared" si="12"/>
        <v>KALIMANTAN</v>
      </c>
      <c r="C17" s="20">
        <f t="shared" si="13"/>
        <v>2032</v>
      </c>
      <c r="D17" s="30">
        <f t="shared" si="14"/>
        <v>3037.4416478074922</v>
      </c>
      <c r="E17" s="30">
        <f t="shared" si="6"/>
        <v>997.40722285178822</v>
      </c>
      <c r="F17" s="30">
        <f t="shared" si="6"/>
        <v>3615.7966427301108</v>
      </c>
      <c r="G17" s="30">
        <f t="shared" si="6"/>
        <v>2158.0099099701206</v>
      </c>
      <c r="H17" s="30">
        <f t="shared" si="6"/>
        <v>175.79020969580927</v>
      </c>
      <c r="I17" s="30">
        <f t="shared" si="6"/>
        <v>670.2048189874597</v>
      </c>
      <c r="J17" s="30">
        <f t="shared" si="6"/>
        <v>306.99576340444139</v>
      </c>
      <c r="K17" s="30">
        <f t="shared" si="6"/>
        <v>1721.5298397015667</v>
      </c>
      <c r="L17" s="30">
        <f t="shared" si="6"/>
        <v>1036.6919430323755</v>
      </c>
      <c r="M17" s="30">
        <f t="shared" si="6"/>
        <v>284.33674166227649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3.9183348168033461</v>
      </c>
      <c r="Q17" s="30">
        <f t="shared" si="7"/>
        <v>14004.204739843444</v>
      </c>
      <c r="R17" s="30"/>
      <c r="S17" s="36"/>
      <c r="T17" s="19"/>
      <c r="U17" s="20" t="str">
        <f t="shared" si="0"/>
        <v>KALIMANTAN</v>
      </c>
      <c r="V17" s="20">
        <f t="shared" si="0"/>
        <v>2032</v>
      </c>
      <c r="W17" s="30">
        <v>89.524801456943933</v>
      </c>
      <c r="X17" s="30">
        <v>0</v>
      </c>
      <c r="Y17" s="30">
        <v>3.8435335572837737</v>
      </c>
      <c r="Z17" s="30">
        <v>201.6446881725941</v>
      </c>
      <c r="AA17" s="30">
        <v>0</v>
      </c>
      <c r="AB17" s="30">
        <v>0</v>
      </c>
      <c r="AC17" s="30">
        <v>0</v>
      </c>
      <c r="AD17" s="30">
        <v>0</v>
      </c>
      <c r="AE17" s="30">
        <v>228.11287406832105</v>
      </c>
      <c r="AF17" s="30">
        <v>0</v>
      </c>
      <c r="AG17" s="30">
        <v>0</v>
      </c>
      <c r="AH17" s="30">
        <v>0</v>
      </c>
      <c r="AI17" s="30">
        <f t="shared" si="8"/>
        <v>0.18828115062313389</v>
      </c>
      <c r="AJ17" s="34">
        <f t="shared" si="1"/>
        <v>523.31417840576592</v>
      </c>
      <c r="AM17" s="23"/>
      <c r="AO17" s="20" t="str">
        <f t="shared" si="2"/>
        <v>KALIMANTAN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6.209790304190709</v>
      </c>
      <c r="AV17" s="30">
        <f t="shared" si="9"/>
        <v>21175.065181012538</v>
      </c>
      <c r="AW17" s="30">
        <f t="shared" si="9"/>
        <v>7796.4642365955578</v>
      </c>
      <c r="AX17" s="30">
        <f t="shared" si="9"/>
        <v>51004.080160298436</v>
      </c>
      <c r="AY17" s="30">
        <f t="shared" si="9"/>
        <v>1489.3080569676245</v>
      </c>
      <c r="AZ17" s="30">
        <f t="shared" si="9"/>
        <v>4874.4132583377241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86345.540683516068</v>
      </c>
      <c r="BF17" s="23"/>
      <c r="BG17" s="19"/>
      <c r="BH17" s="20" t="str">
        <f t="shared" si="10"/>
        <v>KALIMANTAN</v>
      </c>
      <c r="BI17" s="20">
        <f t="shared" si="10"/>
        <v>2032</v>
      </c>
      <c r="BJ17" s="25">
        <f t="shared" si="4"/>
        <v>0.12340472772994851</v>
      </c>
      <c r="BK17" s="43">
        <f t="shared" si="5"/>
        <v>2.9992380198178177E-4</v>
      </c>
      <c r="BL17" s="34">
        <f t="shared" si="11"/>
        <v>15446.075847838792</v>
      </c>
      <c r="BP17" s="23"/>
    </row>
    <row r="18" spans="1:84" x14ac:dyDescent="0.25">
      <c r="A18" s="19"/>
      <c r="B18" s="20" t="str">
        <f t="shared" si="12"/>
        <v>KALIMANTAN</v>
      </c>
      <c r="C18" s="20">
        <f t="shared" si="13"/>
        <v>2033</v>
      </c>
      <c r="D18" s="30">
        <f t="shared" si="14"/>
        <v>3143.0567968713212</v>
      </c>
      <c r="E18" s="30">
        <f t="shared" si="6"/>
        <v>997.40722285178822</v>
      </c>
      <c r="F18" s="30">
        <f t="shared" si="6"/>
        <v>3902.3848857103276</v>
      </c>
      <c r="G18" s="30">
        <f t="shared" si="6"/>
        <v>2186.4855362269927</v>
      </c>
      <c r="H18" s="30">
        <f t="shared" si="6"/>
        <v>175.79020969580927</v>
      </c>
      <c r="I18" s="30">
        <f t="shared" si="6"/>
        <v>670.2048189874597</v>
      </c>
      <c r="J18" s="30">
        <f t="shared" si="6"/>
        <v>306.99576340444139</v>
      </c>
      <c r="K18" s="30">
        <f t="shared" si="6"/>
        <v>1721.5298397015667</v>
      </c>
      <c r="L18" s="30">
        <f t="shared" si="6"/>
        <v>1270.2844857337168</v>
      </c>
      <c r="M18" s="30">
        <f t="shared" si="6"/>
        <v>284.33674166227649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4.108389699129205</v>
      </c>
      <c r="Q18" s="30">
        <f t="shared" si="7"/>
        <v>14658.476300845703</v>
      </c>
      <c r="R18" s="30"/>
      <c r="S18" s="36"/>
      <c r="T18" s="19"/>
      <c r="U18" s="20" t="str">
        <f t="shared" si="0"/>
        <v>KALIMANTAN</v>
      </c>
      <c r="V18" s="20">
        <f t="shared" si="0"/>
        <v>2033</v>
      </c>
      <c r="W18" s="30">
        <v>105.61514906382915</v>
      </c>
      <c r="X18" s="30">
        <v>0</v>
      </c>
      <c r="Y18" s="30">
        <v>286.58824298021676</v>
      </c>
      <c r="Z18" s="30">
        <v>28.475626256872058</v>
      </c>
      <c r="AA18" s="30">
        <v>0</v>
      </c>
      <c r="AB18" s="30">
        <v>0</v>
      </c>
      <c r="AC18" s="30">
        <v>0</v>
      </c>
      <c r="AD18" s="30">
        <v>0</v>
      </c>
      <c r="AE18" s="30">
        <v>233.59254270134116</v>
      </c>
      <c r="AF18" s="30">
        <v>0</v>
      </c>
      <c r="AG18" s="30">
        <v>0</v>
      </c>
      <c r="AH18" s="30">
        <v>0</v>
      </c>
      <c r="AI18" s="30">
        <f t="shared" si="8"/>
        <v>0.19005488232585899</v>
      </c>
      <c r="AJ18" s="34">
        <f t="shared" si="1"/>
        <v>654.46161588458494</v>
      </c>
      <c r="AM18" s="23"/>
      <c r="AO18" s="20" t="str">
        <f t="shared" si="2"/>
        <v>KALIMANTAN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6.209790304190709</v>
      </c>
      <c r="AV18" s="30">
        <f t="shared" si="9"/>
        <v>21175.065181012538</v>
      </c>
      <c r="AW18" s="30">
        <f t="shared" si="9"/>
        <v>7796.4642365955578</v>
      </c>
      <c r="AX18" s="30">
        <f t="shared" si="9"/>
        <v>51004.080160298436</v>
      </c>
      <c r="AY18" s="30">
        <f t="shared" si="9"/>
        <v>1255.7155142662832</v>
      </c>
      <c r="AZ18" s="30">
        <f t="shared" si="9"/>
        <v>4874.4132583377241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86111.948140814726</v>
      </c>
      <c r="BF18" s="23"/>
      <c r="BG18" s="19"/>
      <c r="BH18" s="20" t="str">
        <f t="shared" si="10"/>
        <v>KALIMANTAN</v>
      </c>
      <c r="BI18" s="20">
        <f t="shared" si="10"/>
        <v>2033</v>
      </c>
      <c r="BJ18" s="25">
        <f t="shared" si="4"/>
        <v>0.13181107450799709</v>
      </c>
      <c r="BK18" s="43">
        <f t="shared" si="5"/>
        <v>3.0177899575348905E-4</v>
      </c>
      <c r="BL18" s="34">
        <f t="shared" si="11"/>
        <v>16195.272193967327</v>
      </c>
      <c r="BP18" s="23"/>
    </row>
    <row r="19" spans="1:84" x14ac:dyDescent="0.25">
      <c r="A19" s="19"/>
      <c r="B19" s="20" t="str">
        <f t="shared" si="12"/>
        <v>KALIMANTAN</v>
      </c>
      <c r="C19" s="20">
        <f t="shared" si="13"/>
        <v>2034</v>
      </c>
      <c r="D19" s="30">
        <f t="shared" si="14"/>
        <v>3417.8658555355555</v>
      </c>
      <c r="E19" s="30">
        <f t="shared" si="6"/>
        <v>997.40722185178822</v>
      </c>
      <c r="F19" s="30">
        <f t="shared" si="6"/>
        <v>4473.8777142191748</v>
      </c>
      <c r="G19" s="30">
        <f t="shared" si="6"/>
        <v>2186.4855362269927</v>
      </c>
      <c r="H19" s="30">
        <f t="shared" si="6"/>
        <v>175.79020969580927</v>
      </c>
      <c r="I19" s="30">
        <f t="shared" si="6"/>
        <v>680.01737844550917</v>
      </c>
      <c r="J19" s="30">
        <f t="shared" si="6"/>
        <v>669.13105413199116</v>
      </c>
      <c r="K19" s="30">
        <f t="shared" si="6"/>
        <v>1721.5298397015667</v>
      </c>
      <c r="L19" s="30">
        <f t="shared" si="6"/>
        <v>1271.8611756890068</v>
      </c>
      <c r="M19" s="30">
        <f t="shared" si="6"/>
        <v>284.33674166227649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4.4618779983295358</v>
      </c>
      <c r="Q19" s="30">
        <f t="shared" si="7"/>
        <v>15878.302727159671</v>
      </c>
      <c r="R19" s="30"/>
      <c r="S19" s="36"/>
      <c r="T19" s="19"/>
      <c r="U19" s="20" t="str">
        <f t="shared" si="0"/>
        <v>KALIMANTAN</v>
      </c>
      <c r="V19" s="20">
        <f t="shared" si="0"/>
        <v>2034</v>
      </c>
      <c r="W19" s="30">
        <v>274.80905866423427</v>
      </c>
      <c r="X19" s="30">
        <v>-9.9999999747524271E-7</v>
      </c>
      <c r="Y19" s="30">
        <v>571.49282850884742</v>
      </c>
      <c r="Z19" s="30">
        <v>0</v>
      </c>
      <c r="AA19" s="30">
        <v>0</v>
      </c>
      <c r="AB19" s="30">
        <v>9.8125594580494262</v>
      </c>
      <c r="AC19" s="30">
        <v>362.13529072754977</v>
      </c>
      <c r="AD19" s="30">
        <v>0</v>
      </c>
      <c r="AE19" s="30">
        <v>1.5766899552900888</v>
      </c>
      <c r="AF19" s="30">
        <v>0</v>
      </c>
      <c r="AG19" s="30">
        <v>0</v>
      </c>
      <c r="AH19" s="30">
        <v>0</v>
      </c>
      <c r="AI19" s="30">
        <f t="shared" si="8"/>
        <v>0.35348829920033076</v>
      </c>
      <c r="AJ19" s="34">
        <f t="shared" si="1"/>
        <v>1220.1799146131711</v>
      </c>
      <c r="AM19" s="23"/>
      <c r="AO19" s="20" t="str">
        <f t="shared" si="2"/>
        <v>KALIMANTAN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6.209790304190709</v>
      </c>
      <c r="AV19" s="30">
        <f t="shared" si="9"/>
        <v>21165.252621554489</v>
      </c>
      <c r="AW19" s="30">
        <f t="shared" si="9"/>
        <v>7434.3289458680083</v>
      </c>
      <c r="AX19" s="30">
        <f t="shared" si="9"/>
        <v>51004.080160298436</v>
      </c>
      <c r="AY19" s="30">
        <f t="shared" si="9"/>
        <v>1254.1388243109932</v>
      </c>
      <c r="AZ19" s="30">
        <f t="shared" si="9"/>
        <v>4874.4132583377241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85738.423600673836</v>
      </c>
      <c r="BF19" s="23"/>
      <c r="BG19" s="19"/>
      <c r="BH19" s="20" t="str">
        <f t="shared" si="10"/>
        <v>KALIMANTAN</v>
      </c>
      <c r="BI19" s="20">
        <f t="shared" si="10"/>
        <v>2034</v>
      </c>
      <c r="BJ19" s="25">
        <f t="shared" si="4"/>
        <v>0.12044188214041249</v>
      </c>
      <c r="BK19" s="43">
        <f t="shared" si="5"/>
        <v>2.9926993261029792E-4</v>
      </c>
      <c r="BL19" s="34">
        <f t="shared" si="11"/>
        <v>17588.723069415031</v>
      </c>
      <c r="BP19" s="23"/>
    </row>
    <row r="20" spans="1:84" x14ac:dyDescent="0.25">
      <c r="A20" s="19"/>
      <c r="B20" s="20" t="str">
        <f t="shared" si="12"/>
        <v>KALIMANTAN</v>
      </c>
      <c r="C20" s="20">
        <f t="shared" si="13"/>
        <v>2035</v>
      </c>
      <c r="D20" s="30">
        <f t="shared" si="14"/>
        <v>3614.5988482540647</v>
      </c>
      <c r="E20" s="30">
        <f t="shared" si="6"/>
        <v>997.40722185178822</v>
      </c>
      <c r="F20" s="30">
        <f t="shared" si="6"/>
        <v>5036.942988697655</v>
      </c>
      <c r="G20" s="30">
        <f t="shared" si="6"/>
        <v>2351.1041853912052</v>
      </c>
      <c r="H20" s="30">
        <f t="shared" si="6"/>
        <v>175.79020969580927</v>
      </c>
      <c r="I20" s="30">
        <f t="shared" si="6"/>
        <v>680.01737844550917</v>
      </c>
      <c r="J20" s="30">
        <f t="shared" si="6"/>
        <v>669.13105413199116</v>
      </c>
      <c r="K20" s="30">
        <f t="shared" si="6"/>
        <v>1721.5298397015667</v>
      </c>
      <c r="L20" s="30">
        <f t="shared" si="6"/>
        <v>1431.830219814678</v>
      </c>
      <c r="M20" s="30">
        <f t="shared" si="6"/>
        <v>284.33674166227649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4.754149378670018</v>
      </c>
      <c r="Q20" s="30">
        <f t="shared" si="7"/>
        <v>16962.688687646543</v>
      </c>
      <c r="R20" s="30"/>
      <c r="S20" s="36"/>
      <c r="T20" s="19"/>
      <c r="U20" s="20" t="str">
        <f t="shared" si="0"/>
        <v>KALIMANTAN</v>
      </c>
      <c r="V20" s="20">
        <f t="shared" si="0"/>
        <v>2035</v>
      </c>
      <c r="W20" s="30">
        <v>196.73299271850922</v>
      </c>
      <c r="X20" s="30">
        <v>0</v>
      </c>
      <c r="Y20" s="30">
        <v>563.06527447847998</v>
      </c>
      <c r="Z20" s="30">
        <v>164.61864916421263</v>
      </c>
      <c r="AA20" s="30">
        <v>0</v>
      </c>
      <c r="AB20" s="30">
        <v>0</v>
      </c>
      <c r="AC20" s="30">
        <v>0</v>
      </c>
      <c r="AD20" s="30">
        <v>0</v>
      </c>
      <c r="AE20" s="30">
        <v>159.96904412567125</v>
      </c>
      <c r="AF20" s="30">
        <v>0</v>
      </c>
      <c r="AG20" s="30">
        <v>0</v>
      </c>
      <c r="AH20" s="30">
        <v>0</v>
      </c>
      <c r="AI20" s="30">
        <f t="shared" si="8"/>
        <v>0.29227138034048217</v>
      </c>
      <c r="AJ20" s="34">
        <f t="shared" si="1"/>
        <v>1084.6782318672135</v>
      </c>
      <c r="AM20" s="23"/>
      <c r="AO20" s="20" t="str">
        <f t="shared" si="2"/>
        <v>KALIMANTAN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6.209790304190709</v>
      </c>
      <c r="AV20" s="30">
        <f t="shared" si="9"/>
        <v>21165.252621554489</v>
      </c>
      <c r="AW20" s="30">
        <f t="shared" si="9"/>
        <v>7434.3289458680083</v>
      </c>
      <c r="AX20" s="30">
        <f t="shared" si="9"/>
        <v>51004.080160298436</v>
      </c>
      <c r="AY20" s="30">
        <f t="shared" si="9"/>
        <v>1094.169780185322</v>
      </c>
      <c r="AZ20" s="30">
        <f t="shared" si="9"/>
        <v>4874.4132583377241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85578.454556548153</v>
      </c>
      <c r="BF20" s="23"/>
      <c r="BG20" s="19"/>
      <c r="BH20" s="20" t="str">
        <f t="shared" si="10"/>
        <v>KALIMANTAN</v>
      </c>
      <c r="BI20" s="20">
        <f t="shared" si="10"/>
        <v>2035</v>
      </c>
      <c r="BJ20" s="25">
        <f t="shared" si="4"/>
        <v>0.12093832799901388</v>
      </c>
      <c r="BK20" s="43">
        <f t="shared" si="5"/>
        <v>2.9937949307564445E-4</v>
      </c>
      <c r="BL20" s="34">
        <f t="shared" si="11"/>
        <v>18740.856850717213</v>
      </c>
      <c r="BP20" s="23"/>
    </row>
    <row r="21" spans="1:84" x14ac:dyDescent="0.25">
      <c r="A21" s="19"/>
      <c r="B21" s="20" t="str">
        <f t="shared" si="12"/>
        <v>KALIMANTAN</v>
      </c>
      <c r="C21" s="20">
        <f t="shared" si="13"/>
        <v>2036</v>
      </c>
      <c r="D21" s="30">
        <f t="shared" si="14"/>
        <v>3695.9304840595205</v>
      </c>
      <c r="E21" s="30">
        <f t="shared" si="14"/>
        <v>997.40722185178822</v>
      </c>
      <c r="F21" s="30">
        <f t="shared" si="14"/>
        <v>5226.1916555747848</v>
      </c>
      <c r="G21" s="30">
        <f t="shared" si="14"/>
        <v>2402.1144377752207</v>
      </c>
      <c r="H21" s="30">
        <f t="shared" si="14"/>
        <v>175.79020969580927</v>
      </c>
      <c r="I21" s="30">
        <f t="shared" si="14"/>
        <v>680.01737844550917</v>
      </c>
      <c r="J21" s="30">
        <f t="shared" si="14"/>
        <v>669.13105413199116</v>
      </c>
      <c r="K21" s="30">
        <f t="shared" si="14"/>
        <v>1721.5298397015667</v>
      </c>
      <c r="L21" s="30">
        <f t="shared" si="14"/>
        <v>1658.1219160097096</v>
      </c>
      <c r="M21" s="30">
        <f t="shared" si="14"/>
        <v>284.33674166227649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4.9224032085121445</v>
      </c>
      <c r="Q21" s="30">
        <f t="shared" si="7"/>
        <v>17510.570938908175</v>
      </c>
      <c r="R21" s="30"/>
      <c r="S21" s="36"/>
      <c r="T21" s="19"/>
      <c r="U21" s="20" t="str">
        <f t="shared" si="0"/>
        <v>KALIMANTAN</v>
      </c>
      <c r="V21" s="20">
        <f t="shared" si="0"/>
        <v>2036</v>
      </c>
      <c r="W21" s="30">
        <v>81.331635805455932</v>
      </c>
      <c r="X21" s="30">
        <v>0</v>
      </c>
      <c r="Y21" s="30">
        <v>189.24866687713009</v>
      </c>
      <c r="Z21" s="30">
        <v>51.010252384015587</v>
      </c>
      <c r="AA21" s="30">
        <v>0</v>
      </c>
      <c r="AB21" s="30">
        <v>0</v>
      </c>
      <c r="AC21" s="30">
        <v>0</v>
      </c>
      <c r="AD21" s="30">
        <v>0</v>
      </c>
      <c r="AE21" s="30">
        <v>226.29169619503151</v>
      </c>
      <c r="AF21" s="30">
        <v>0</v>
      </c>
      <c r="AG21" s="30">
        <v>0</v>
      </c>
      <c r="AH21" s="30">
        <v>0</v>
      </c>
      <c r="AI21" s="30">
        <f t="shared" si="8"/>
        <v>0.16825382984212656</v>
      </c>
      <c r="AJ21" s="34">
        <f t="shared" si="1"/>
        <v>548.0505050914752</v>
      </c>
      <c r="AM21" s="23"/>
      <c r="AO21" s="20" t="str">
        <f t="shared" si="2"/>
        <v>KALIMANTAN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6.209790304190709</v>
      </c>
      <c r="AV21" s="30">
        <f t="shared" si="15"/>
        <v>21165.252621554489</v>
      </c>
      <c r="AW21" s="30">
        <f t="shared" si="15"/>
        <v>7434.3289458680083</v>
      </c>
      <c r="AX21" s="30">
        <f t="shared" si="15"/>
        <v>51004.080160298436</v>
      </c>
      <c r="AY21" s="30">
        <f t="shared" si="15"/>
        <v>867.87808399029052</v>
      </c>
      <c r="AZ21" s="30">
        <f t="shared" si="15"/>
        <v>4874.4132583377241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85352.162860353128</v>
      </c>
      <c r="BF21" s="23"/>
      <c r="BG21" s="19"/>
      <c r="BH21" s="20" t="str">
        <f t="shared" si="10"/>
        <v>KALIMANTAN</v>
      </c>
      <c r="BI21" s="20">
        <f t="shared" si="10"/>
        <v>2036</v>
      </c>
      <c r="BJ21" s="25">
        <f t="shared" si="4"/>
        <v>0.12822782898655607</v>
      </c>
      <c r="BK21" s="43">
        <f t="shared" si="5"/>
        <v>3.0098821053496411E-4</v>
      </c>
      <c r="BL21" s="34">
        <f t="shared" si="11"/>
        <v>19404.113447954875</v>
      </c>
      <c r="BP21" s="23"/>
    </row>
    <row r="22" spans="1:84" x14ac:dyDescent="0.25">
      <c r="A22" s="19"/>
      <c r="B22" s="20" t="str">
        <f t="shared" si="12"/>
        <v>KALIMANTAN</v>
      </c>
      <c r="C22" s="20">
        <f t="shared" si="13"/>
        <v>2037</v>
      </c>
      <c r="D22" s="30">
        <f t="shared" ref="D22:O23" si="16">D21+W22</f>
        <v>3775.6614276002329</v>
      </c>
      <c r="E22" s="30">
        <f t="shared" si="16"/>
        <v>1204.1381275334263</v>
      </c>
      <c r="F22" s="30">
        <f t="shared" si="16"/>
        <v>5282.4477775712312</v>
      </c>
      <c r="G22" s="30">
        <f t="shared" si="16"/>
        <v>2402.1144377752207</v>
      </c>
      <c r="H22" s="30">
        <f t="shared" si="16"/>
        <v>176.41119176742083</v>
      </c>
      <c r="I22" s="30">
        <f t="shared" si="16"/>
        <v>703.11154858163593</v>
      </c>
      <c r="J22" s="30">
        <f t="shared" si="16"/>
        <v>677.6064223325692</v>
      </c>
      <c r="K22" s="30">
        <f t="shared" si="16"/>
        <v>1786.7022232640861</v>
      </c>
      <c r="L22" s="30">
        <f t="shared" si="16"/>
        <v>1777.1821592564088</v>
      </c>
      <c r="M22" s="30">
        <f t="shared" si="16"/>
        <v>310.3143221724427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5.0788338871483951</v>
      </c>
      <c r="Q22" s="30">
        <f t="shared" si="7"/>
        <v>18095.689637854673</v>
      </c>
      <c r="R22" s="30"/>
      <c r="S22" s="36"/>
      <c r="T22" s="19"/>
      <c r="U22" s="20" t="str">
        <f t="shared" si="0"/>
        <v>KALIMANTAN</v>
      </c>
      <c r="V22" s="20">
        <f t="shared" si="0"/>
        <v>2037</v>
      </c>
      <c r="W22" s="30">
        <v>79.730943540712559</v>
      </c>
      <c r="X22" s="30">
        <v>206.73090568163803</v>
      </c>
      <c r="Y22" s="30">
        <v>56.256121996446311</v>
      </c>
      <c r="Z22" s="30">
        <v>0</v>
      </c>
      <c r="AA22" s="30">
        <v>0.62098207161156771</v>
      </c>
      <c r="AB22" s="30">
        <v>23.094170136126731</v>
      </c>
      <c r="AC22" s="30">
        <v>8.4753682005780142</v>
      </c>
      <c r="AD22" s="30">
        <v>65.172383562519443</v>
      </c>
      <c r="AE22" s="30">
        <v>119.06024324669909</v>
      </c>
      <c r="AF22" s="30">
        <v>25.977580510166188</v>
      </c>
      <c r="AG22" s="30">
        <v>0</v>
      </c>
      <c r="AH22" s="30">
        <v>0</v>
      </c>
      <c r="AI22" s="30">
        <f t="shared" si="8"/>
        <v>0.1564306786362506</v>
      </c>
      <c r="AJ22" s="34">
        <f t="shared" si="1"/>
        <v>585.27512962513413</v>
      </c>
      <c r="AM22" s="23"/>
      <c r="AO22" s="20" t="str">
        <f t="shared" si="2"/>
        <v>KALIMANTAN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5.5888082325791411</v>
      </c>
      <c r="AV22" s="30">
        <f t="shared" si="15"/>
        <v>21142.158451418363</v>
      </c>
      <c r="AW22" s="30">
        <f t="shared" si="15"/>
        <v>7425.8535776674307</v>
      </c>
      <c r="AX22" s="30">
        <f t="shared" si="15"/>
        <v>50938.907776735919</v>
      </c>
      <c r="AY22" s="30">
        <f t="shared" si="15"/>
        <v>748.81784074359143</v>
      </c>
      <c r="AZ22" s="30">
        <f t="shared" si="15"/>
        <v>4848.4356778275578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85109.762132625445</v>
      </c>
      <c r="BF22" s="23"/>
      <c r="BG22" s="19"/>
      <c r="BH22" s="20" t="str">
        <f t="shared" si="10"/>
        <v>KALIMANTAN</v>
      </c>
      <c r="BI22" s="20">
        <f t="shared" si="10"/>
        <v>2037</v>
      </c>
      <c r="BJ22" s="25">
        <f t="shared" si="4"/>
        <v>0.13194439027143112</v>
      </c>
      <c r="BK22" s="43">
        <f t="shared" si="5"/>
        <v>3.0180841716335034E-4</v>
      </c>
      <c r="BL22" s="34">
        <f t="shared" si="11"/>
        <v>20020.763183138977</v>
      </c>
      <c r="BP22" s="23"/>
    </row>
    <row r="23" spans="1:84" x14ac:dyDescent="0.25">
      <c r="A23" s="19"/>
      <c r="B23" s="20" t="str">
        <f t="shared" si="12"/>
        <v>KALIMANTAN</v>
      </c>
      <c r="C23" s="20">
        <f t="shared" si="13"/>
        <v>2038</v>
      </c>
      <c r="D23" s="30">
        <f t="shared" si="16"/>
        <v>3896.3440832645692</v>
      </c>
      <c r="E23" s="30">
        <f t="shared" si="16"/>
        <v>1204.1381275334263</v>
      </c>
      <c r="F23" s="30">
        <f t="shared" si="16"/>
        <v>5670.9436069830626</v>
      </c>
      <c r="G23" s="30">
        <f t="shared" si="16"/>
        <v>2409.271954257782</v>
      </c>
      <c r="H23" s="30">
        <f t="shared" si="16"/>
        <v>176.41119176742083</v>
      </c>
      <c r="I23" s="30">
        <f t="shared" si="16"/>
        <v>703.11154858163593</v>
      </c>
      <c r="J23" s="30">
        <f t="shared" si="16"/>
        <v>677.6064223325692</v>
      </c>
      <c r="K23" s="30">
        <f t="shared" si="16"/>
        <v>1786.7022232640861</v>
      </c>
      <c r="L23" s="30">
        <f t="shared" si="16"/>
        <v>2077.5712554101115</v>
      </c>
      <c r="M23" s="30">
        <f t="shared" si="16"/>
        <v>310.3143221724427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5.3117955327554025</v>
      </c>
      <c r="Q23" s="30">
        <f t="shared" si="7"/>
        <v>18912.414735567105</v>
      </c>
      <c r="R23" s="30"/>
      <c r="S23" s="36"/>
      <c r="T23" s="19"/>
      <c r="U23" s="20" t="str">
        <f t="shared" si="0"/>
        <v>KALIMANTAN</v>
      </c>
      <c r="V23" s="20">
        <f t="shared" si="0"/>
        <v>2038</v>
      </c>
      <c r="W23" s="30">
        <v>120.68265566433631</v>
      </c>
      <c r="X23" s="30">
        <v>0</v>
      </c>
      <c r="Y23" s="30">
        <v>388.49582941183121</v>
      </c>
      <c r="Z23" s="30">
        <v>7.1575164825612383</v>
      </c>
      <c r="AA23" s="30">
        <v>0</v>
      </c>
      <c r="AB23" s="30">
        <v>0</v>
      </c>
      <c r="AC23" s="30">
        <v>0</v>
      </c>
      <c r="AD23" s="30">
        <v>0</v>
      </c>
      <c r="AE23" s="30">
        <v>300.3890961537025</v>
      </c>
      <c r="AF23" s="30">
        <v>0</v>
      </c>
      <c r="AG23" s="30">
        <v>0</v>
      </c>
      <c r="AH23" s="30">
        <v>0</v>
      </c>
      <c r="AI23" s="30">
        <f t="shared" si="8"/>
        <v>0.23296164560700738</v>
      </c>
      <c r="AJ23" s="34">
        <f t="shared" si="1"/>
        <v>816.95805935803833</v>
      </c>
      <c r="AM23" s="23"/>
      <c r="AO23" s="20" t="str">
        <f t="shared" si="2"/>
        <v>KALIMANTAN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5.5888082325791411</v>
      </c>
      <c r="AV23" s="30">
        <f t="shared" si="15"/>
        <v>21142.158451418363</v>
      </c>
      <c r="AW23" s="30">
        <f t="shared" si="15"/>
        <v>7425.8535776674307</v>
      </c>
      <c r="AX23" s="30">
        <f t="shared" si="15"/>
        <v>50938.907776735919</v>
      </c>
      <c r="AY23" s="30">
        <f t="shared" si="15"/>
        <v>448.42874458988894</v>
      </c>
      <c r="AZ23" s="30">
        <f t="shared" si="15"/>
        <v>4848.4356778275578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84809.373036471748</v>
      </c>
      <c r="BF23" s="23"/>
      <c r="BG23" s="19"/>
      <c r="BH23" s="20" t="str">
        <f t="shared" si="10"/>
        <v>KALIMANTAN</v>
      </c>
      <c r="BI23" s="20">
        <f t="shared" si="10"/>
        <v>2038</v>
      </c>
      <c r="BJ23" s="25">
        <f>SUM(K47:L47,N47)/Q47</f>
        <v>0.14032905577001997</v>
      </c>
      <c r="BK23" s="43">
        <f t="shared" si="5"/>
        <v>3.0365882610096991E-4</v>
      </c>
      <c r="BL23" s="34">
        <f t="shared" si="11"/>
        <v>20939.097990121798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KALIMANTAN</v>
      </c>
      <c r="C28" s="20">
        <f>C4</f>
        <v>2019</v>
      </c>
      <c r="D28" s="30">
        <f>(D4*(VLOOKUP(D$27,tech_data!$B$2:$O$15,6, FALSE)/100)*(1-(VLOOKUP(D$27,tech_data!$B$2:$O$15,7, FALSE)/100))*8760)/1000</f>
        <v>11882.833906666667</v>
      </c>
      <c r="E28" s="30">
        <f>(E4*(VLOOKUP(E$27,tech_data!$B$2:$O$15,6, FALSE)/100)*(1-(VLOOKUP(E$27,tech_data!$B$2:$O$15,7, FALSE)/100))*8760)/1000</f>
        <v>1599.4099568953845</v>
      </c>
      <c r="F28" s="30">
        <f>(F4*(VLOOKUP(F$27,tech_data!$B$2:$O$15,6, FALSE)/100)*(1-(VLOOKUP(F$27,tech_data!$B$2:$O$15,7, FALSE)/100))*8760)/1000</f>
        <v>166.04916923076922</v>
      </c>
      <c r="G28" s="30">
        <f>(G4*(VLOOKUP(G$27,tech_data!$B$2:$O$15,6, FALSE)/100)*(1-(VLOOKUP(G$27,tech_data!$B$2:$O$15,7, FALSE)/100))*8760)/1000</f>
        <v>8618.5952174769227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1173.1734044307691</v>
      </c>
      <c r="J28" s="30">
        <f>(J4*(VLOOKUP(J$27,tech_data!$B$2:$O$15,6, FALSE)/100)*(1-(VLOOKUP(J$27,tech_data!$B$2:$O$15,7, FALSE)/100))*8760)/1000</f>
        <v>20.479963569230772</v>
      </c>
      <c r="K28" s="30">
        <f>(K4*(VLOOKUP(K$27,tech_data!$B$2:$O$15,6, FALSE)/100)*(1-(VLOOKUP(K$27,tech_data!$B$2:$O$15,7, FALSE)/100))*8760)/1000</f>
        <v>1.1221559999999999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244.14145269230769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23705.805226962057</v>
      </c>
      <c r="R28" s="34">
        <f>proj_rukn!D82</f>
        <v>14441</v>
      </c>
      <c r="S28" s="35"/>
      <c r="T28" s="19"/>
      <c r="U28" s="20" t="str">
        <f t="shared" ref="U28:V47" si="18">B28</f>
        <v>KALIMANTAN</v>
      </c>
      <c r="V28" s="20">
        <f t="shared" si="18"/>
        <v>2019</v>
      </c>
      <c r="W28" s="29">
        <f t="shared" ref="W28:AI47" si="19">D28/$Q28</f>
        <v>0.5012626144903779</v>
      </c>
      <c r="X28" s="29">
        <f t="shared" si="19"/>
        <v>6.7469125877921171E-2</v>
      </c>
      <c r="Y28" s="29">
        <f t="shared" si="19"/>
        <v>7.0045783149315418E-3</v>
      </c>
      <c r="Z28" s="29">
        <f t="shared" si="19"/>
        <v>0.36356475280892248</v>
      </c>
      <c r="AA28" s="29">
        <f t="shared" si="19"/>
        <v>0</v>
      </c>
      <c r="AB28" s="29">
        <f t="shared" si="19"/>
        <v>4.9488865414976393E-2</v>
      </c>
      <c r="AC28" s="29">
        <f t="shared" si="19"/>
        <v>8.6392186948105272E-4</v>
      </c>
      <c r="AD28" s="29">
        <f t="shared" si="19"/>
        <v>4.7336759466989272E-5</v>
      </c>
      <c r="AE28" s="29">
        <f t="shared" si="19"/>
        <v>0</v>
      </c>
      <c r="AF28" s="29">
        <f t="shared" si="19"/>
        <v>1.0298804463922227E-2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0.99999999999999967</v>
      </c>
      <c r="AM28" s="23"/>
      <c r="AO28" s="20" t="str">
        <f>B28</f>
        <v>KALIMANTAN</v>
      </c>
      <c r="AP28" s="20">
        <f>C28</f>
        <v>2019</v>
      </c>
      <c r="AQ28" s="25">
        <f t="shared" ref="AQ28:AQ47" si="21">D28/Q28</f>
        <v>0.5012626144903779</v>
      </c>
      <c r="AR28" s="25">
        <f t="shared" ref="AR28:AR47" si="22">SUM(E28:F28)/Q28</f>
        <v>7.4473704192852708E-2</v>
      </c>
      <c r="AS28" s="25">
        <f t="shared" ref="AS28:AS47" si="23">G28/Q28</f>
        <v>0.36356475280892248</v>
      </c>
      <c r="AT28" s="37">
        <f t="shared" ref="AT28:AT47" si="24">SUM(H28:N28)/Q28</f>
        <v>6.0698928507846653E-2</v>
      </c>
      <c r="AU28" s="24">
        <f>SUM(AQ28:AT28)</f>
        <v>0.99999999999999967</v>
      </c>
      <c r="AW28" s="24">
        <f>$BD$29+((AP28-$BC$29)*($BD$30-$BD$29)/($BC$30-$BC$29))</f>
        <v>0.5012626144903779</v>
      </c>
      <c r="AX28" s="24">
        <f t="shared" ref="AX28:AX47" si="25">$BE$29+((AP28-$BC$29)*($BE$30-$BE$29)/($BC$30-$BC$29))</f>
        <v>0.19239999999999999</v>
      </c>
      <c r="AY28" s="24">
        <f>BF29</f>
        <v>0.36356475280892248</v>
      </c>
      <c r="AZ28" s="25">
        <f>$BG$29+((AP28-$BC$29)*($BG$30-$BG$29)/($BC$30-$BC$29))</f>
        <v>0.1166</v>
      </c>
      <c r="BA28" s="24">
        <f>SUM(AW28:AZ28)</f>
        <v>1.1738273672993005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KALIMANTAN</v>
      </c>
      <c r="BL28" s="20">
        <f>C4</f>
        <v>2019</v>
      </c>
      <c r="BM28" s="34">
        <f>proj_rukn!E82</f>
        <v>2003</v>
      </c>
      <c r="BN28" s="30">
        <f t="shared" ref="BN28:BN47" si="26">(1+$CD$28)*BM28*$CD$29</f>
        <v>2303.4499999999998</v>
      </c>
      <c r="BO28" s="30">
        <f>SUM(D4:I4,M4,O4:P4)</f>
        <v>5132.2199999999993</v>
      </c>
      <c r="BQ28" s="30">
        <f t="shared" ref="BQ28:BQ47" si="27">BN28*$CD$30</f>
        <v>921.38</v>
      </c>
      <c r="BR28" s="30">
        <f>SUM(D4,F4,H4,M4)</f>
        <v>2608.25</v>
      </c>
      <c r="BS28" s="30"/>
      <c r="BT28" s="30">
        <f t="shared" ref="BT28:BT47" si="28">BN28*$CD$31</f>
        <v>460.69</v>
      </c>
      <c r="BU28" s="30">
        <f>SUM(E4,G4,P4,I4)</f>
        <v>2523.9699999999998</v>
      </c>
      <c r="BW28" s="30">
        <f t="shared" ref="BW28:BW47" si="29">$CD$32*SUM(H4:O4)</f>
        <v>0.18304499999999999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7.7986153348440028E-4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KALIMANTAN</v>
      </c>
      <c r="C29" s="20">
        <f t="shared" si="31"/>
        <v>2020</v>
      </c>
      <c r="D29" s="30">
        <f>(D5*(VLOOKUP(D$27,tech_data!$B$2:$O$15,6, FALSE)/100)*(1-(VLOOKUP(D$27,tech_data!$B$2:$O$15,7, FALSE)/100))*8760)/1000</f>
        <v>12910.27526262046</v>
      </c>
      <c r="E29" s="30">
        <f>(E5*(VLOOKUP(E$27,tech_data!$B$2:$O$15,6, FALSE)/100)*(1-(VLOOKUP(E$27,tech_data!$B$2:$O$15,7, FALSE)/100))*8760)/1000</f>
        <v>1599.4099539060007</v>
      </c>
      <c r="F29" s="30">
        <f>(F5*(VLOOKUP(F$27,tech_data!$B$2:$O$15,6, FALSE)/100)*(1-(VLOOKUP(F$27,tech_data!$B$2:$O$15,7, FALSE)/100))*8760)/1000</f>
        <v>734.20279950164615</v>
      </c>
      <c r="G29" s="30">
        <f>(G5*(VLOOKUP(G$27,tech_data!$B$2:$O$15,6, FALSE)/100)*(1-(VLOOKUP(G$27,tech_data!$B$2:$O$15,7, FALSE)/100))*8760)/1000</f>
        <v>8618.5952174769227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1266.2482522906157</v>
      </c>
      <c r="J29" s="30">
        <f>(J5*(VLOOKUP(J$27,tech_data!$B$2:$O$15,6, FALSE)/100)*(1-(VLOOKUP(J$27,tech_data!$B$2:$O$15,7, FALSE)/100))*8760)/1000</f>
        <v>546.83004546666302</v>
      </c>
      <c r="K29" s="30">
        <f>(K5*(VLOOKUP(K$27,tech_data!$B$2:$O$15,6, FALSE)/100)*(1-(VLOOKUP(K$27,tech_data!$B$2:$O$15,7, FALSE)/100))*8760)/1000</f>
        <v>1682.9380072918009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244.14145269230769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7.1267524844823873</v>
      </c>
      <c r="Q29" s="34">
        <f t="shared" si="17"/>
        <v>27602.640991246415</v>
      </c>
      <c r="R29" s="34">
        <f>proj_rukn!D83</f>
        <v>15363</v>
      </c>
      <c r="S29" s="35"/>
      <c r="T29" s="19"/>
      <c r="U29" s="20" t="str">
        <f t="shared" si="18"/>
        <v>KALIMANTAN</v>
      </c>
      <c r="V29" s="20">
        <f t="shared" si="18"/>
        <v>2020</v>
      </c>
      <c r="W29" s="29">
        <f t="shared" si="19"/>
        <v>0.46771884134980696</v>
      </c>
      <c r="X29" s="29">
        <f t="shared" si="19"/>
        <v>5.7944091451728089E-2</v>
      </c>
      <c r="Y29" s="29">
        <f t="shared" si="19"/>
        <v>2.6599005498585546E-2</v>
      </c>
      <c r="Z29" s="29">
        <f t="shared" si="19"/>
        <v>0.31223806519854841</v>
      </c>
      <c r="AA29" s="29">
        <f t="shared" si="19"/>
        <v>0</v>
      </c>
      <c r="AB29" s="29">
        <f t="shared" si="19"/>
        <v>4.5874170253932554E-2</v>
      </c>
      <c r="AC29" s="29">
        <f t="shared" si="19"/>
        <v>1.9810787150406312E-2</v>
      </c>
      <c r="AD29" s="29">
        <f t="shared" si="19"/>
        <v>6.0970180636900233E-2</v>
      </c>
      <c r="AE29" s="29">
        <f t="shared" si="19"/>
        <v>0</v>
      </c>
      <c r="AF29" s="29">
        <f t="shared" si="19"/>
        <v>8.8448584600919859E-3</v>
      </c>
      <c r="AG29" s="29">
        <f t="shared" si="19"/>
        <v>0</v>
      </c>
      <c r="AH29" s="29">
        <f t="shared" si="19"/>
        <v>0</v>
      </c>
      <c r="AI29" s="29">
        <f t="shared" si="19"/>
        <v>2.581909639277808E-4</v>
      </c>
      <c r="AJ29" s="29">
        <f t="shared" si="20"/>
        <v>1</v>
      </c>
      <c r="AM29" s="23"/>
      <c r="AO29" s="20" t="str">
        <f>AO28</f>
        <v>KALIMANTAN</v>
      </c>
      <c r="AP29" s="20">
        <f>AP28+1</f>
        <v>2020</v>
      </c>
      <c r="AQ29" s="25">
        <f t="shared" si="21"/>
        <v>0.46771884134980696</v>
      </c>
      <c r="AR29" s="25">
        <f t="shared" si="22"/>
        <v>8.4543096950313631E-2</v>
      </c>
      <c r="AS29" s="25">
        <f t="shared" si="23"/>
        <v>0.31223806519854841</v>
      </c>
      <c r="AT29" s="37">
        <f t="shared" si="24"/>
        <v>0.1354999965013311</v>
      </c>
      <c r="AU29" s="24">
        <f t="shared" ref="AU29:AU47" si="32">SUM(AQ29:AT29)</f>
        <v>1</v>
      </c>
      <c r="AW29" s="24">
        <f>$BD$29+((AP29-$BC$29)*($BD$30-$BD$29)/($BC$30-$BC$29))</f>
        <v>0.46771884540864828</v>
      </c>
      <c r="AX29" s="24">
        <f t="shared" si="25"/>
        <v>0.19699999999999998</v>
      </c>
      <c r="AY29" s="24">
        <f>AY28*0.98</f>
        <v>0.35629345775274401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1.1565123031613922</v>
      </c>
      <c r="BC29" s="20">
        <v>2019</v>
      </c>
      <c r="BD29" s="25">
        <f>AQ28</f>
        <v>0.5012626144903779</v>
      </c>
      <c r="BE29" s="25">
        <v>0.19239999999999999</v>
      </c>
      <c r="BF29" s="25">
        <f>AS28</f>
        <v>0.36356475280892248</v>
      </c>
      <c r="BG29" s="25">
        <v>0.1166</v>
      </c>
      <c r="BH29" s="24">
        <f>SUM(BD29:BG29)</f>
        <v>1.1738273672993005</v>
      </c>
      <c r="BJ29" s="19"/>
      <c r="BK29" s="20" t="str">
        <f>BK28</f>
        <v>KALIMANTAN</v>
      </c>
      <c r="BL29" s="20">
        <f>BL28+1</f>
        <v>2020</v>
      </c>
      <c r="BM29" s="34">
        <f>proj_rukn!E83</f>
        <v>2214</v>
      </c>
      <c r="BN29" s="30">
        <f t="shared" si="26"/>
        <v>2546.1</v>
      </c>
      <c r="BO29" s="30">
        <f t="shared" ref="BO29:BO47" si="35">SUM(D5:I5,M5,O5:P5)</f>
        <v>5572.3665416183021</v>
      </c>
      <c r="BQ29" s="30">
        <f t="shared" si="27"/>
        <v>1018.44</v>
      </c>
      <c r="BR29" s="30">
        <f t="shared" ref="BR29:BR47" si="36">SUM(D5,F5,H5,M5)</f>
        <v>3025.4267830701301</v>
      </c>
      <c r="BS29" s="30"/>
      <c r="BT29" s="30">
        <f t="shared" si="28"/>
        <v>509.22</v>
      </c>
      <c r="BU29" s="30">
        <f t="shared" ref="BU29:BU47" si="37">SUM(E5,G5,P5,I5)</f>
        <v>2546.9397585481729</v>
      </c>
      <c r="BW29" s="30">
        <f t="shared" si="29"/>
        <v>0.69510487648927755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0.44996444436292876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KALIMANTAN</v>
      </c>
      <c r="C30" s="20">
        <f t="shared" si="31"/>
        <v>2021</v>
      </c>
      <c r="D30" s="30">
        <f>(D6*(VLOOKUP(D$27,tech_data!$B$2:$O$15,6, FALSE)/100)*(1-(VLOOKUP(D$27,tech_data!$B$2:$O$15,7, FALSE)/100))*8760)/1000</f>
        <v>13497.910380108944</v>
      </c>
      <c r="E30" s="30">
        <f>(E6*(VLOOKUP(E$27,tech_data!$B$2:$O$15,6, FALSE)/100)*(1-(VLOOKUP(E$27,tech_data!$B$2:$O$15,7, FALSE)/100))*8760)/1000</f>
        <v>1599.4099509166172</v>
      </c>
      <c r="F30" s="30">
        <f>(F6*(VLOOKUP(F$27,tech_data!$B$2:$O$15,6, FALSE)/100)*(1-(VLOOKUP(F$27,tech_data!$B$2:$O$15,7, FALSE)/100))*8760)/1000</f>
        <v>2572.6344795467307</v>
      </c>
      <c r="G30" s="30">
        <f>(G6*(VLOOKUP(G$27,tech_data!$B$2:$O$15,6, FALSE)/100)*(1-(VLOOKUP(G$27,tech_data!$B$2:$O$15,7, FALSE)/100))*8760)/1000</f>
        <v>8618.5952174769227</v>
      </c>
      <c r="H30" s="30">
        <f>(H6*(VLOOKUP(H$27,tech_data!$B$2:$O$15,6, FALSE)/100)*(1-(VLOOKUP(H$27,tech_data!$B$2:$O$15,7, FALSE)/100))*8760)/1000</f>
        <v>0</v>
      </c>
      <c r="I30" s="30">
        <f>(I6*(VLOOKUP(I$27,tech_data!$B$2:$O$15,6, FALSE)/100)*(1-(VLOOKUP(I$27,tech_data!$B$2:$O$15,7, FALSE)/100))*8760)/1000</f>
        <v>2191.3451030382475</v>
      </c>
      <c r="J30" s="30">
        <f>(J6*(VLOOKUP(J$27,tech_data!$B$2:$O$15,6, FALSE)/100)*(1-(VLOOKUP(J$27,tech_data!$B$2:$O$15,7, FALSE)/100))*8760)/1000</f>
        <v>681.66091928366006</v>
      </c>
      <c r="K30" s="30">
        <f>(K6*(VLOOKUP(K$27,tech_data!$B$2:$O$15,6, FALSE)/100)*(1-(VLOOKUP(K$27,tech_data!$B$2:$O$15,7, FALSE)/100))*8760)/1000</f>
        <v>1682.9380072918009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244.14145269230769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7.9844813434424102</v>
      </c>
      <c r="Q30" s="34">
        <f t="shared" si="17"/>
        <v>31088.635510355227</v>
      </c>
      <c r="R30" s="34">
        <f>proj_rukn!D84</f>
        <v>18197</v>
      </c>
      <c r="S30" s="35"/>
      <c r="T30" s="19"/>
      <c r="U30" s="20" t="str">
        <f t="shared" si="18"/>
        <v>KALIMANTAN</v>
      </c>
      <c r="V30" s="20">
        <f t="shared" si="18"/>
        <v>2021</v>
      </c>
      <c r="W30" s="29">
        <f t="shared" si="19"/>
        <v>0.43417506617853857</v>
      </c>
      <c r="X30" s="29">
        <f t="shared" si="19"/>
        <v>5.1446772258109369E-2</v>
      </c>
      <c r="Y30" s="29">
        <f t="shared" si="19"/>
        <v>8.275160480072595E-2</v>
      </c>
      <c r="Z30" s="29">
        <f t="shared" si="19"/>
        <v>0.27722655163190352</v>
      </c>
      <c r="AA30" s="29">
        <f t="shared" si="19"/>
        <v>0</v>
      </c>
      <c r="AB30" s="29">
        <f t="shared" si="19"/>
        <v>7.048701453327981E-2</v>
      </c>
      <c r="AC30" s="29">
        <f t="shared" si="19"/>
        <v>2.1926369816282466E-2</v>
      </c>
      <c r="AD30" s="29">
        <f t="shared" si="19"/>
        <v>5.4133543645916389E-2</v>
      </c>
      <c r="AE30" s="29">
        <f t="shared" si="19"/>
        <v>0</v>
      </c>
      <c r="AF30" s="29">
        <f t="shared" si="19"/>
        <v>7.8530771352440763E-3</v>
      </c>
      <c r="AG30" s="29">
        <f t="shared" si="19"/>
        <v>0</v>
      </c>
      <c r="AH30" s="29">
        <f t="shared" si="19"/>
        <v>0</v>
      </c>
      <c r="AI30" s="29">
        <f t="shared" si="19"/>
        <v>2.568295845851093E-4</v>
      </c>
      <c r="AJ30" s="29">
        <f t="shared" si="20"/>
        <v>1</v>
      </c>
      <c r="AM30" s="23"/>
      <c r="AO30" s="20" t="str">
        <f t="shared" ref="AO30:AO47" si="39">AO29</f>
        <v>KALIMANTAN</v>
      </c>
      <c r="AP30" s="20">
        <f t="shared" ref="AP30:AP47" si="40">AP29+1</f>
        <v>2021</v>
      </c>
      <c r="AQ30" s="25">
        <f t="shared" si="21"/>
        <v>0.43417506617853857</v>
      </c>
      <c r="AR30" s="25">
        <f t="shared" si="22"/>
        <v>0.13419837705883531</v>
      </c>
      <c r="AS30" s="25">
        <f t="shared" si="23"/>
        <v>0.27722655163190352</v>
      </c>
      <c r="AT30" s="37">
        <f t="shared" si="24"/>
        <v>0.15440000513072275</v>
      </c>
      <c r="AU30" s="24">
        <f t="shared" si="32"/>
        <v>1.0000000000000002</v>
      </c>
      <c r="AW30" s="24">
        <f t="shared" ref="AW30:AW34" si="41">$BD$29+((AP30-$BC$29)*($BD$30-$BD$29)/($BC$30-$BC$29))</f>
        <v>0.4341750763269186</v>
      </c>
      <c r="AX30" s="24">
        <f t="shared" si="25"/>
        <v>0.2016</v>
      </c>
      <c r="AY30" s="24">
        <f t="shared" ref="AY30:AY47" si="42">AY29*0.98</f>
        <v>0.34916758859768915</v>
      </c>
      <c r="AZ30" s="25">
        <f t="shared" si="33"/>
        <v>0.15440000000000001</v>
      </c>
      <c r="BA30" s="24">
        <f t="shared" si="34"/>
        <v>1.1393426649246077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KALIMANTAN</v>
      </c>
      <c r="BL30" s="20">
        <f t="shared" ref="BL30:BL47" si="45">BL29+1</f>
        <v>2021</v>
      </c>
      <c r="BM30" s="34">
        <f>proj_rukn!E84</f>
        <v>2416</v>
      </c>
      <c r="BN30" s="30">
        <f t="shared" si="26"/>
        <v>2778.3999999999996</v>
      </c>
      <c r="BO30" s="30">
        <f t="shared" si="35"/>
        <v>6566.4755736567504</v>
      </c>
      <c r="BQ30" s="30">
        <f t="shared" si="27"/>
        <v>1111.3599999999999</v>
      </c>
      <c r="BR30" s="30">
        <f t="shared" si="36"/>
        <v>3810.9065980946116</v>
      </c>
      <c r="BS30" s="30"/>
      <c r="BT30" s="30">
        <f t="shared" si="28"/>
        <v>555.67999999999995</v>
      </c>
      <c r="BU30" s="30">
        <f t="shared" si="37"/>
        <v>2755.5689755621388</v>
      </c>
      <c r="BW30" s="30">
        <f t="shared" si="29"/>
        <v>0.81068845517872867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0.35060584097833569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KALIMANTAN</v>
      </c>
      <c r="C31" s="20">
        <f t="shared" si="31"/>
        <v>2022</v>
      </c>
      <c r="D31" s="30">
        <f>(D7*(VLOOKUP(D$27,tech_data!$B$2:$O$15,6, FALSE)/100)*(1-(VLOOKUP(D$27,tech_data!$B$2:$O$15,7, FALSE)/100))*8760)/1000</f>
        <v>14047.605599228586</v>
      </c>
      <c r="E31" s="30">
        <f>(E7*(VLOOKUP(E$27,tech_data!$B$2:$O$15,6, FALSE)/100)*(1-(VLOOKUP(E$27,tech_data!$B$2:$O$15,7, FALSE)/100))*8760)/1000</f>
        <v>1599.4099479272336</v>
      </c>
      <c r="F31" s="30">
        <f>(F7*(VLOOKUP(F$27,tech_data!$B$2:$O$15,6, FALSE)/100)*(1-(VLOOKUP(F$27,tech_data!$B$2:$O$15,7, FALSE)/100))*8760)/1000</f>
        <v>4721.5311284657409</v>
      </c>
      <c r="G31" s="30">
        <f>(G7*(VLOOKUP(G$27,tech_data!$B$2:$O$15,6, FALSE)/100)*(1-(VLOOKUP(G$27,tech_data!$B$2:$O$15,7, FALSE)/100))*8760)/1000</f>
        <v>8618.5952174769227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2287.6476652186434</v>
      </c>
      <c r="J31" s="30">
        <f>(J7*(VLOOKUP(J$27,tech_data!$B$2:$O$15,6, FALSE)/100)*(1-(VLOOKUP(J$27,tech_data!$B$2:$O$15,7, FALSE)/100))*8760)/1000</f>
        <v>681.66091336459522</v>
      </c>
      <c r="K31" s="30">
        <f>(K7*(VLOOKUP(K$27,tech_data!$B$2:$O$15,6, FALSE)/100)*(1-(VLOOKUP(K$27,tech_data!$B$2:$O$15,7, FALSE)/100))*8760)/1000</f>
        <v>2863.0849331818999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244.14145269230769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9.1975427875312459</v>
      </c>
      <c r="Q31" s="34">
        <f t="shared" si="17"/>
        <v>35063.676857555933</v>
      </c>
      <c r="R31" s="34">
        <f>proj_rukn!D85</f>
        <v>19061</v>
      </c>
      <c r="S31" s="35"/>
      <c r="T31" s="19"/>
      <c r="U31" s="20" t="str">
        <f t="shared" si="18"/>
        <v>KALIMANTAN</v>
      </c>
      <c r="V31" s="20">
        <f t="shared" si="18"/>
        <v>2022</v>
      </c>
      <c r="W31" s="29">
        <f t="shared" si="19"/>
        <v>0.40063127595819842</v>
      </c>
      <c r="X31" s="29">
        <f t="shared" si="19"/>
        <v>4.5614438965563706E-2</v>
      </c>
      <c r="Y31" s="29">
        <f t="shared" si="19"/>
        <v>0.13465590467442065</v>
      </c>
      <c r="Z31" s="29">
        <f t="shared" si="19"/>
        <v>0.24579838710268306</v>
      </c>
      <c r="AA31" s="29">
        <f t="shared" si="19"/>
        <v>0</v>
      </c>
      <c r="AB31" s="29">
        <f t="shared" si="19"/>
        <v>6.5242663355359845E-2</v>
      </c>
      <c r="AC31" s="29">
        <f t="shared" si="19"/>
        <v>1.9440656954882441E-2</v>
      </c>
      <c r="AD31" s="29">
        <f t="shared" si="19"/>
        <v>8.1653870608407939E-2</v>
      </c>
      <c r="AE31" s="29">
        <f t="shared" si="19"/>
        <v>0</v>
      </c>
      <c r="AF31" s="29">
        <f t="shared" si="19"/>
        <v>6.9628023804838715E-3</v>
      </c>
      <c r="AG31" s="29">
        <f t="shared" si="19"/>
        <v>0</v>
      </c>
      <c r="AH31" s="29">
        <f t="shared" si="19"/>
        <v>0</v>
      </c>
      <c r="AI31" s="29">
        <f t="shared" si="19"/>
        <v>2.6230970656316812E-4</v>
      </c>
      <c r="AJ31" s="29">
        <f t="shared" si="20"/>
        <v>0.99999999999999989</v>
      </c>
      <c r="AM31" s="23"/>
      <c r="AO31" s="20" t="str">
        <f t="shared" si="39"/>
        <v>KALIMANTAN</v>
      </c>
      <c r="AP31" s="20">
        <f t="shared" si="40"/>
        <v>2022</v>
      </c>
      <c r="AQ31" s="25">
        <f t="shared" si="21"/>
        <v>0.40063127595819842</v>
      </c>
      <c r="AR31" s="25">
        <f t="shared" si="22"/>
        <v>0.18027034363998434</v>
      </c>
      <c r="AS31" s="25">
        <f t="shared" si="23"/>
        <v>0.24579838710268306</v>
      </c>
      <c r="AT31" s="37">
        <f t="shared" si="24"/>
        <v>0.17329999329913409</v>
      </c>
      <c r="AU31" s="24">
        <f t="shared" si="32"/>
        <v>1</v>
      </c>
      <c r="AW31" s="24">
        <f t="shared" si="41"/>
        <v>0.40063130724518897</v>
      </c>
      <c r="AX31" s="24">
        <f t="shared" si="25"/>
        <v>0.20619999999999999</v>
      </c>
      <c r="AY31" s="24">
        <f t="shared" si="42"/>
        <v>0.34218423682573534</v>
      </c>
      <c r="AZ31" s="25">
        <f t="shared" si="33"/>
        <v>0.17330000000000001</v>
      </c>
      <c r="BA31" s="24">
        <f t="shared" si="34"/>
        <v>1.1223155440709243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KALIMANTAN</v>
      </c>
      <c r="BL31" s="20">
        <f t="shared" si="45"/>
        <v>2022</v>
      </c>
      <c r="BM31" s="34">
        <f>proj_rukn!E85</f>
        <v>2611</v>
      </c>
      <c r="BN31" s="30">
        <f t="shared" si="26"/>
        <v>3002.6499999999996</v>
      </c>
      <c r="BO31" s="30">
        <f t="shared" si="35"/>
        <v>7478.3486155409537</v>
      </c>
      <c r="BQ31" s="30">
        <f t="shared" si="27"/>
        <v>1201.06</v>
      </c>
      <c r="BR31" s="30">
        <f t="shared" si="36"/>
        <v>4700.7454022384427</v>
      </c>
      <c r="BS31" s="30"/>
      <c r="BT31" s="30">
        <f t="shared" si="28"/>
        <v>600.53</v>
      </c>
      <c r="BU31" s="30">
        <f t="shared" si="37"/>
        <v>2777.603213302511</v>
      </c>
      <c r="BW31" s="30">
        <f t="shared" si="29"/>
        <v>1.1422968818738901</v>
      </c>
      <c r="BX31" s="30">
        <f t="shared" si="38"/>
        <v>0</v>
      </c>
      <c r="BZ31" s="24">
        <f t="shared" si="46"/>
        <v>5.6007000000000008E-2</v>
      </c>
      <c r="CA31" s="24">
        <f t="shared" si="30"/>
        <v>0.47117065069624514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KALIMANTAN</v>
      </c>
      <c r="C32" s="20">
        <f t="shared" si="31"/>
        <v>2023</v>
      </c>
      <c r="D32" s="30">
        <f>(D8*(VLOOKUP(D$27,tech_data!$B$2:$O$15,6, FALSE)/100)*(1-(VLOOKUP(D$27,tech_data!$B$2:$O$15,7, FALSE)/100))*8760)/1000</f>
        <v>14047.605599228586</v>
      </c>
      <c r="E32" s="30">
        <f>(E8*(VLOOKUP(E$27,tech_data!$B$2:$O$15,6, FALSE)/100)*(1-(VLOOKUP(E$27,tech_data!$B$2:$O$15,7, FALSE)/100))*8760)/1000</f>
        <v>2304.5127650885083</v>
      </c>
      <c r="F32" s="30">
        <f>(F8*(VLOOKUP(F$27,tech_data!$B$2:$O$15,6, FALSE)/100)*(1-(VLOOKUP(F$27,tech_data!$B$2:$O$15,7, FALSE)/100))*8760)/1000</f>
        <v>5698.8960985170816</v>
      </c>
      <c r="G32" s="30">
        <f>(G8*(VLOOKUP(G$27,tech_data!$B$2:$O$15,6, FALSE)/100)*(1-(VLOOKUP(G$27,tech_data!$B$2:$O$15,7, FALSE)/100))*8760)/1000</f>
        <v>8618.5952174769282</v>
      </c>
      <c r="H32" s="30">
        <f>(H8*(VLOOKUP(H$27,tech_data!$B$2:$O$15,6, FALSE)/100)*(1-(VLOOKUP(H$27,tech_data!$B$2:$O$15,7, FALSE)/100))*8760)/1000</f>
        <v>590.51219051160001</v>
      </c>
      <c r="I32" s="30">
        <f>(I8*(VLOOKUP(I$27,tech_data!$B$2:$O$15,6, FALSE)/100)*(1-(VLOOKUP(I$27,tech_data!$B$2:$O$15,7, FALSE)/100))*8760)/1000</f>
        <v>2596.6180357538306</v>
      </c>
      <c r="J32" s="30">
        <f>(J8*(VLOOKUP(J$27,tech_data!$B$2:$O$15,6, FALSE)/100)*(1-(VLOOKUP(J$27,tech_data!$B$2:$O$15,7, FALSE)/100))*8760)/1000</f>
        <v>792.17683522990274</v>
      </c>
      <c r="K32" s="30">
        <f>(K8*(VLOOKUP(K$27,tech_data!$B$2:$O$15,6, FALSE)/100)*(1-(VLOOKUP(K$27,tech_data!$B$2:$O$15,7, FALSE)/100))*8760)/1000</f>
        <v>2892.6079775853182</v>
      </c>
      <c r="L32" s="30">
        <f>(L8*(VLOOKUP(L$27,tech_data!$B$2:$O$15,6, FALSE)/100)*(1-(VLOOKUP(L$27,tech_data!$B$2:$O$15,7, FALSE)/100))*8760)/1000</f>
        <v>25.599999495500587</v>
      </c>
      <c r="M32" s="30">
        <f>(M8*(VLOOKUP(M$27,tech_data!$B$2:$O$15,6, FALSE)/100)*(1-(VLOOKUP(M$27,tech_data!$B$2:$O$15,7, FALSE)/100))*8760)/1000</f>
        <v>399.71072855422443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9.9228415318351697</v>
      </c>
      <c r="Q32" s="34">
        <f t="shared" si="17"/>
        <v>37966.835447441474</v>
      </c>
      <c r="R32" s="34">
        <f>proj_rukn!D86</f>
        <v>22010</v>
      </c>
      <c r="S32" s="35"/>
      <c r="T32" s="19"/>
      <c r="U32" s="20" t="str">
        <f t="shared" si="18"/>
        <v>KALIMANTAN</v>
      </c>
      <c r="V32" s="20">
        <f t="shared" si="18"/>
        <v>2023</v>
      </c>
      <c r="W32" s="29">
        <f t="shared" si="19"/>
        <v>0.36999674673110611</v>
      </c>
      <c r="X32" s="29">
        <f t="shared" si="19"/>
        <v>6.069804707002005E-2</v>
      </c>
      <c r="Y32" s="29">
        <f t="shared" si="19"/>
        <v>0.15010195164688453</v>
      </c>
      <c r="Z32" s="29">
        <f t="shared" si="19"/>
        <v>0.22700325470654209</v>
      </c>
      <c r="AA32" s="29">
        <f t="shared" si="19"/>
        <v>1.5553368711202232E-2</v>
      </c>
      <c r="AB32" s="29">
        <f t="shared" si="19"/>
        <v>6.8391742560382732E-2</v>
      </c>
      <c r="AC32" s="29">
        <f t="shared" si="19"/>
        <v>2.0864968752176746E-2</v>
      </c>
      <c r="AD32" s="29">
        <f t="shared" si="19"/>
        <v>7.6187755537056395E-2</v>
      </c>
      <c r="AE32" s="29">
        <f t="shared" si="19"/>
        <v>6.742726696550563E-4</v>
      </c>
      <c r="AF32" s="29">
        <f t="shared" si="19"/>
        <v>1.0527891614974203E-2</v>
      </c>
      <c r="AG32" s="29">
        <f t="shared" si="19"/>
        <v>0</v>
      </c>
      <c r="AH32" s="29">
        <f t="shared" si="19"/>
        <v>0</v>
      </c>
      <c r="AI32" s="29">
        <f t="shared" si="19"/>
        <v>2.6135550711282299E-4</v>
      </c>
      <c r="AJ32" s="29">
        <f t="shared" si="20"/>
        <v>1.0000000000000002</v>
      </c>
      <c r="AM32" s="23"/>
      <c r="AO32" s="20" t="str">
        <f t="shared" si="39"/>
        <v>KALIMANTAN</v>
      </c>
      <c r="AP32" s="20">
        <f t="shared" si="40"/>
        <v>2023</v>
      </c>
      <c r="AQ32" s="25">
        <f t="shared" si="21"/>
        <v>0.36999674673110611</v>
      </c>
      <c r="AR32" s="25">
        <f t="shared" si="22"/>
        <v>0.21079999871690455</v>
      </c>
      <c r="AS32" s="25">
        <f t="shared" si="23"/>
        <v>0.22700325470654209</v>
      </c>
      <c r="AT32" s="37">
        <f t="shared" si="24"/>
        <v>0.19219999984544736</v>
      </c>
      <c r="AU32" s="24">
        <f t="shared" si="32"/>
        <v>1</v>
      </c>
      <c r="AW32" s="24">
        <f t="shared" si="41"/>
        <v>0.36708753816345929</v>
      </c>
      <c r="AX32" s="24">
        <f t="shared" si="25"/>
        <v>0.21079999999999999</v>
      </c>
      <c r="AY32" s="24">
        <f t="shared" si="42"/>
        <v>0.33534055208922064</v>
      </c>
      <c r="AZ32" s="25">
        <f t="shared" si="33"/>
        <v>0.19220000000000001</v>
      </c>
      <c r="BA32" s="24">
        <f t="shared" si="34"/>
        <v>1.1054280902526799</v>
      </c>
      <c r="BJ32" s="19"/>
      <c r="BK32" s="20" t="str">
        <f t="shared" si="44"/>
        <v>KALIMANTAN</v>
      </c>
      <c r="BL32" s="20">
        <f t="shared" si="45"/>
        <v>2023</v>
      </c>
      <c r="BM32" s="34">
        <f>proj_rukn!E86</f>
        <v>2814</v>
      </c>
      <c r="BN32" s="30">
        <f t="shared" si="26"/>
        <v>3236.1</v>
      </c>
      <c r="BO32" s="30">
        <f t="shared" si="35"/>
        <v>8290.4675750684819</v>
      </c>
      <c r="BQ32" s="30">
        <f t="shared" si="27"/>
        <v>1294.44</v>
      </c>
      <c r="BR32" s="30">
        <f t="shared" si="36"/>
        <v>5207.1925720133668</v>
      </c>
      <c r="BS32" s="30"/>
      <c r="BT32" s="30">
        <f t="shared" si="28"/>
        <v>647.22</v>
      </c>
      <c r="BU32" s="30">
        <f t="shared" si="37"/>
        <v>3083.275003055116</v>
      </c>
      <c r="BW32" s="30">
        <f t="shared" si="29"/>
        <v>1.2752617382386437</v>
      </c>
      <c r="BX32" s="30">
        <f t="shared" si="38"/>
        <v>0</v>
      </c>
      <c r="BZ32" s="24">
        <f t="shared" si="46"/>
        <v>5.8807350000000008E-2</v>
      </c>
      <c r="CA32" s="24">
        <f t="shared" si="30"/>
        <v>0.39639831216608118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KALIMANTAN</v>
      </c>
      <c r="C33" s="20">
        <f t="shared" si="31"/>
        <v>2024</v>
      </c>
      <c r="D33" s="30">
        <f>(D9*(VLOOKUP(D$27,tech_data!$B$2:$O$15,6, FALSE)/100)*(1-(VLOOKUP(D$27,tech_data!$B$2:$O$15,7, FALSE)/100))*8760)/1000</f>
        <v>14047.605599228586</v>
      </c>
      <c r="E33" s="30">
        <f>(E9*(VLOOKUP(E$27,tech_data!$B$2:$O$15,6, FALSE)/100)*(1-(VLOOKUP(E$27,tech_data!$B$2:$O$15,7, FALSE)/100))*8760)/1000</f>
        <v>2460.5207461677342</v>
      </c>
      <c r="F33" s="30">
        <f>(F9*(VLOOKUP(F$27,tech_data!$B$2:$O$15,6, FALSE)/100)*(1-(VLOOKUP(F$27,tech_data!$B$2:$O$15,7, FALSE)/100))*8760)/1000</f>
        <v>6052.6319482266244</v>
      </c>
      <c r="G33" s="30">
        <f>(G9*(VLOOKUP(G$27,tech_data!$B$2:$O$15,6, FALSE)/100)*(1-(VLOOKUP(G$27,tech_data!$B$2:$O$15,7, FALSE)/100))*8760)/1000</f>
        <v>8618.5952174769282</v>
      </c>
      <c r="H33" s="30">
        <f>(H9*(VLOOKUP(H$27,tech_data!$B$2:$O$15,6, FALSE)/100)*(1-(VLOOKUP(H$27,tech_data!$B$2:$O$15,7, FALSE)/100))*8760)/1000</f>
        <v>858.65274651025561</v>
      </c>
      <c r="I33" s="30">
        <f>(I9*(VLOOKUP(I$27,tech_data!$B$2:$O$15,6, FALSE)/100)*(1-(VLOOKUP(I$27,tech_data!$B$2:$O$15,7, FALSE)/100))*8760)/1000</f>
        <v>2596.6180357538306</v>
      </c>
      <c r="J33" s="30">
        <f>(J9*(VLOOKUP(J$27,tech_data!$B$2:$O$15,6, FALSE)/100)*(1-(VLOOKUP(J$27,tech_data!$B$2:$O$15,7, FALSE)/100))*8760)/1000</f>
        <v>1399.1452832810546</v>
      </c>
      <c r="K33" s="30">
        <f>(K9*(VLOOKUP(K$27,tech_data!$B$2:$O$15,6, FALSE)/100)*(1-(VLOOKUP(K$27,tech_data!$B$2:$O$15,7, FALSE)/100))*8760)/1000</f>
        <v>2970.7417690440857</v>
      </c>
      <c r="L33" s="30">
        <f>(L9*(VLOOKUP(L$27,tech_data!$B$2:$O$15,6, FALSE)/100)*(1-(VLOOKUP(L$27,tech_data!$B$2:$O$15,7, FALSE)/100))*8760)/1000</f>
        <v>64.746803279382689</v>
      </c>
      <c r="M33" s="30">
        <f>(M9*(VLOOKUP(M$27,tech_data!$B$2:$O$15,6, FALSE)/100)*(1-(VLOOKUP(M$27,tech_data!$B$2:$O$15,7, FALSE)/100))*8760)/1000</f>
        <v>453.30928139675649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10.328983426787236</v>
      </c>
      <c r="Q33" s="34">
        <f t="shared" si="17"/>
        <v>39522.567430365241</v>
      </c>
      <c r="R33" s="34">
        <f>proj_rukn!D87</f>
        <v>27410</v>
      </c>
      <c r="S33" s="35"/>
      <c r="T33" s="19"/>
      <c r="U33" s="20" t="str">
        <f t="shared" si="18"/>
        <v>KALIMANTAN</v>
      </c>
      <c r="V33" s="20">
        <f t="shared" si="18"/>
        <v>2024</v>
      </c>
      <c r="W33" s="29">
        <f t="shared" si="19"/>
        <v>0.35543251647249496</v>
      </c>
      <c r="X33" s="29">
        <f t="shared" si="19"/>
        <v>6.2256095849616104E-2</v>
      </c>
      <c r="Y33" s="29">
        <f t="shared" si="19"/>
        <v>0.15314369338203415</v>
      </c>
      <c r="Z33" s="29">
        <f t="shared" si="19"/>
        <v>0.21806769594768913</v>
      </c>
      <c r="AA33" s="29">
        <f t="shared" si="19"/>
        <v>2.17256317678024E-2</v>
      </c>
      <c r="AB33" s="29">
        <f t="shared" si="19"/>
        <v>6.5699629466856077E-2</v>
      </c>
      <c r="AC33" s="29">
        <f t="shared" si="19"/>
        <v>3.5401173917818135E-2</v>
      </c>
      <c r="AD33" s="29">
        <f t="shared" si="19"/>
        <v>7.5165708155934749E-2</v>
      </c>
      <c r="AE33" s="29">
        <f t="shared" si="19"/>
        <v>1.6382236147350496E-3</v>
      </c>
      <c r="AF33" s="29">
        <f t="shared" si="19"/>
        <v>1.1469631425019174E-2</v>
      </c>
      <c r="AG33" s="29">
        <f t="shared" si="19"/>
        <v>0</v>
      </c>
      <c r="AH33" s="29">
        <f t="shared" si="19"/>
        <v>0</v>
      </c>
      <c r="AI33" s="29">
        <f t="shared" si="19"/>
        <v>2.6134393837105494E-4</v>
      </c>
      <c r="AJ33" s="29">
        <f t="shared" si="20"/>
        <v>1</v>
      </c>
      <c r="AM33" s="23"/>
      <c r="AO33" s="20" t="str">
        <f t="shared" si="39"/>
        <v>KALIMANTAN</v>
      </c>
      <c r="AP33" s="20">
        <f t="shared" si="40"/>
        <v>2024</v>
      </c>
      <c r="AQ33" s="25">
        <f t="shared" si="21"/>
        <v>0.35543251647249496</v>
      </c>
      <c r="AR33" s="25">
        <f t="shared" si="22"/>
        <v>0.21539978923165029</v>
      </c>
      <c r="AS33" s="25">
        <f t="shared" si="23"/>
        <v>0.21806769594768913</v>
      </c>
      <c r="AT33" s="37">
        <f t="shared" si="24"/>
        <v>0.21109999834816562</v>
      </c>
      <c r="AU33" s="24">
        <f t="shared" si="32"/>
        <v>1</v>
      </c>
      <c r="AW33" s="24">
        <f t="shared" si="41"/>
        <v>0.33354376908172967</v>
      </c>
      <c r="AX33" s="24">
        <f t="shared" si="25"/>
        <v>0.21540000000000001</v>
      </c>
      <c r="AY33" s="24">
        <f t="shared" si="42"/>
        <v>0.3286337410474362</v>
      </c>
      <c r="AZ33" s="25">
        <f t="shared" si="33"/>
        <v>0.21110000000000001</v>
      </c>
      <c r="BA33" s="24">
        <f t="shared" si="34"/>
        <v>1.0886775101291659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KALIMANTAN</v>
      </c>
      <c r="BL33" s="20">
        <f t="shared" si="45"/>
        <v>2024</v>
      </c>
      <c r="BM33" s="34">
        <f>proj_rukn!E87</f>
        <v>3018</v>
      </c>
      <c r="BN33" s="30">
        <f t="shared" si="26"/>
        <v>3470.7</v>
      </c>
      <c r="BO33" s="30">
        <f t="shared" si="35"/>
        <v>8533.3689419062775</v>
      </c>
      <c r="BQ33" s="30">
        <f t="shared" si="27"/>
        <v>1388.28</v>
      </c>
      <c r="BR33" s="30">
        <f t="shared" si="36"/>
        <v>5397.792415210015</v>
      </c>
      <c r="BS33" s="30"/>
      <c r="BT33" s="30">
        <f t="shared" si="28"/>
        <v>694.14</v>
      </c>
      <c r="BU33" s="30">
        <f t="shared" si="37"/>
        <v>3135.5765266962635</v>
      </c>
      <c r="BW33" s="30">
        <f t="shared" si="29"/>
        <v>1.3855255347497453</v>
      </c>
      <c r="BX33" s="30">
        <f t="shared" si="38"/>
        <v>0</v>
      </c>
      <c r="BZ33" s="24">
        <f t="shared" si="46"/>
        <v>6.1747717500000014E-2</v>
      </c>
      <c r="CA33" s="24">
        <f t="shared" si="30"/>
        <v>0.35606683441069725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KALIMANTAN</v>
      </c>
      <c r="C34" s="20">
        <f t="shared" si="31"/>
        <v>2025</v>
      </c>
      <c r="D34" s="30">
        <f>(D10*(VLOOKUP(D$27,tech_data!$B$2:$O$15,6, FALSE)/100)*(1-(VLOOKUP(D$27,tech_data!$B$2:$O$15,7, FALSE)/100))*8760)/1000</f>
        <v>14047.605599228586</v>
      </c>
      <c r="E34" s="30">
        <f>(E10*(VLOOKUP(E$27,tech_data!$B$2:$O$15,6, FALSE)/100)*(1-(VLOOKUP(E$27,tech_data!$B$2:$O$15,7, FALSE)/100))*8760)/1000</f>
        <v>2807.6253773175049</v>
      </c>
      <c r="F34" s="30">
        <f>(F10*(VLOOKUP(F$27,tech_data!$B$2:$O$15,6, FALSE)/100)*(1-(VLOOKUP(F$27,tech_data!$B$2:$O$15,7, FALSE)/100))*8760)/1000</f>
        <v>6258.843930745099</v>
      </c>
      <c r="G34" s="30">
        <f>(G10*(VLOOKUP(G$27,tech_data!$B$2:$O$15,6, FALSE)/100)*(1-(VLOOKUP(G$27,tech_data!$B$2:$O$15,7, FALSE)/100))*8760)/1000</f>
        <v>8618.5952174769282</v>
      </c>
      <c r="H34" s="30">
        <f>(H10*(VLOOKUP(H$27,tech_data!$B$2:$O$15,6, FALSE)/100)*(1-(VLOOKUP(H$27,tech_data!$B$2:$O$15,7, FALSE)/100))*8760)/1000</f>
        <v>1019.8381343616508</v>
      </c>
      <c r="I34" s="30">
        <f>(I10*(VLOOKUP(I$27,tech_data!$B$2:$O$15,6, FALSE)/100)*(1-(VLOOKUP(I$27,tech_data!$B$2:$O$15,7, FALSE)/100))*8760)/1000</f>
        <v>2825.8247369073206</v>
      </c>
      <c r="J34" s="30">
        <f>(J10*(VLOOKUP(J$27,tech_data!$B$2:$O$15,6, FALSE)/100)*(1-(VLOOKUP(J$27,tech_data!$B$2:$O$15,7, FALSE)/100))*8760)/1000</f>
        <v>1627.7705299508698</v>
      </c>
      <c r="K34" s="30">
        <f>(K10*(VLOOKUP(K$27,tech_data!$B$2:$O$15,6, FALSE)/100)*(1-(VLOOKUP(K$27,tech_data!$B$2:$O$15,7, FALSE)/100))*8760)/1000</f>
        <v>3130.2412573421893</v>
      </c>
      <c r="L34" s="30">
        <f>(L10*(VLOOKUP(L$27,tech_data!$B$2:$O$15,6, FALSE)/100)*(1-(VLOOKUP(L$27,tech_data!$B$2:$O$15,7, FALSE)/100))*8760)/1000</f>
        <v>290.29097659050751</v>
      </c>
      <c r="M34" s="30">
        <f>(M10*(VLOOKUP(M$27,tech_data!$B$2:$O$15,6, FALSE)/100)*(1-(VLOOKUP(M$27,tech_data!$B$2:$O$15,7, FALSE)/100))*8760)/1000</f>
        <v>584.62411915529594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10.821159893122488</v>
      </c>
      <c r="Q34" s="34">
        <f t="shared" si="17"/>
        <v>41211.259879075944</v>
      </c>
      <c r="R34" s="34">
        <f>proj_rukn!D88</f>
        <v>33090</v>
      </c>
      <c r="S34" s="35"/>
      <c r="T34" s="19"/>
      <c r="U34" s="20" t="str">
        <f t="shared" si="18"/>
        <v>KALIMANTAN</v>
      </c>
      <c r="V34" s="20">
        <f t="shared" si="18"/>
        <v>2025</v>
      </c>
      <c r="W34" s="29">
        <f t="shared" si="19"/>
        <v>0.34086814235836865</v>
      </c>
      <c r="X34" s="29">
        <f t="shared" si="19"/>
        <v>6.8127627875385857E-2</v>
      </c>
      <c r="Y34" s="29">
        <f t="shared" si="19"/>
        <v>0.15187218127060662</v>
      </c>
      <c r="Z34" s="29">
        <f t="shared" si="19"/>
        <v>0.20913204892949216</v>
      </c>
      <c r="AA34" s="29">
        <f t="shared" si="19"/>
        <v>2.4746589581442276E-2</v>
      </c>
      <c r="AB34" s="29">
        <f t="shared" si="19"/>
        <v>6.8569239212753777E-2</v>
      </c>
      <c r="AC34" s="29">
        <f t="shared" si="19"/>
        <v>3.9498198665295657E-2</v>
      </c>
      <c r="AD34" s="29">
        <f t="shared" si="19"/>
        <v>7.5955970929476396E-2</v>
      </c>
      <c r="AE34" s="29">
        <f t="shared" si="19"/>
        <v>7.0439723862433037E-3</v>
      </c>
      <c r="AF34" s="29">
        <f t="shared" si="19"/>
        <v>1.4186028790935489E-2</v>
      </c>
      <c r="AG34" s="29">
        <f t="shared" si="19"/>
        <v>0</v>
      </c>
      <c r="AH34" s="29">
        <f t="shared" si="19"/>
        <v>0</v>
      </c>
      <c r="AI34" s="29">
        <f t="shared" si="19"/>
        <v>2.625777499856703E-4</v>
      </c>
      <c r="AJ34" s="29">
        <f t="shared" si="20"/>
        <v>1.0000000000000002</v>
      </c>
      <c r="AM34" s="23"/>
      <c r="AO34" s="20" t="str">
        <f t="shared" si="39"/>
        <v>KALIMANTAN</v>
      </c>
      <c r="AP34" s="20">
        <f t="shared" si="40"/>
        <v>2025</v>
      </c>
      <c r="AQ34" s="25">
        <f t="shared" si="21"/>
        <v>0.34086814235836865</v>
      </c>
      <c r="AR34" s="25">
        <f t="shared" si="22"/>
        <v>0.21999980914599246</v>
      </c>
      <c r="AS34" s="25">
        <f t="shared" si="23"/>
        <v>0.20913204892949216</v>
      </c>
      <c r="AT34" s="37">
        <f t="shared" si="24"/>
        <v>0.22999999956614692</v>
      </c>
      <c r="AU34" s="24">
        <f t="shared" si="32"/>
        <v>1</v>
      </c>
      <c r="AW34" s="24">
        <f t="shared" si="41"/>
        <v>0.30000000000000004</v>
      </c>
      <c r="AX34" s="24">
        <f t="shared" si="25"/>
        <v>0.22</v>
      </c>
      <c r="AY34" s="24">
        <f t="shared" si="42"/>
        <v>0.32206106622648745</v>
      </c>
      <c r="AZ34" s="25">
        <f t="shared" si="33"/>
        <v>0.23</v>
      </c>
      <c r="BA34" s="24">
        <f t="shared" si="34"/>
        <v>1.0720610662264876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KALIMANTAN</v>
      </c>
      <c r="BL34" s="20">
        <f t="shared" si="45"/>
        <v>2025</v>
      </c>
      <c r="BM34" s="34">
        <f>proj_rukn!E88</f>
        <v>3235</v>
      </c>
      <c r="BN34" s="30">
        <f t="shared" si="26"/>
        <v>3720.2499999999995</v>
      </c>
      <c r="BO34" s="30">
        <f t="shared" si="35"/>
        <v>8853.1788632389871</v>
      </c>
      <c r="BQ34" s="30">
        <f t="shared" si="27"/>
        <v>1488.1</v>
      </c>
      <c r="BR34" s="30">
        <f t="shared" si="36"/>
        <v>5549.7202364226732</v>
      </c>
      <c r="BS34" s="30"/>
      <c r="BT34" s="30">
        <f t="shared" si="28"/>
        <v>744.05</v>
      </c>
      <c r="BU34" s="30">
        <f t="shared" si="37"/>
        <v>3303.4586268163139</v>
      </c>
      <c r="BW34" s="30">
        <f t="shared" si="29"/>
        <v>1.5493802610800631</v>
      </c>
      <c r="BX34" s="30">
        <f t="shared" si="38"/>
        <v>0</v>
      </c>
      <c r="BZ34" s="24">
        <f t="shared" si="46"/>
        <v>6.4835103375000022E-2</v>
      </c>
      <c r="CA34" s="24">
        <f t="shared" si="30"/>
        <v>0.33024335249023257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KALIMANTAN</v>
      </c>
      <c r="C35" s="20">
        <f t="shared" si="31"/>
        <v>2026</v>
      </c>
      <c r="D35" s="30">
        <f>(D11*(VLOOKUP(D$27,tech_data!$B$2:$O$15,6, FALSE)/100)*(1-(VLOOKUP(D$27,tech_data!$B$2:$O$15,7, FALSE)/100))*8760)/1000</f>
        <v>14047.605599228586</v>
      </c>
      <c r="E35" s="30">
        <f>(E11*(VLOOKUP(E$27,tech_data!$B$2:$O$15,6, FALSE)/100)*(1-(VLOOKUP(E$27,tech_data!$B$2:$O$15,7, FALSE)/100))*8760)/1000</f>
        <v>2981.6328865830396</v>
      </c>
      <c r="F35" s="30">
        <f>(F11*(VLOOKUP(F$27,tech_data!$B$2:$O$15,6, FALSE)/100)*(1-(VLOOKUP(F$27,tech_data!$B$2:$O$15,7, FALSE)/100))*8760)/1000</f>
        <v>6407.5611269142946</v>
      </c>
      <c r="G35" s="30">
        <f>(G11*(VLOOKUP(G$27,tech_data!$B$2:$O$15,6, FALSE)/100)*(1-(VLOOKUP(G$27,tech_data!$B$2:$O$15,7, FALSE)/100))*8760)/1000</f>
        <v>8618.5952174769282</v>
      </c>
      <c r="H35" s="30">
        <f>(H11*(VLOOKUP(H$27,tech_data!$B$2:$O$15,6, FALSE)/100)*(1-(VLOOKUP(H$27,tech_data!$B$2:$O$15,7, FALSE)/100))*8760)/1000</f>
        <v>1100.4307476946544</v>
      </c>
      <c r="I35" s="30">
        <f>(I11*(VLOOKUP(I$27,tech_data!$B$2:$O$15,6, FALSE)/100)*(1-(VLOOKUP(I$27,tech_data!$B$2:$O$15,7, FALSE)/100))*8760)/1000</f>
        <v>2858.2059861407765</v>
      </c>
      <c r="J35" s="30">
        <f>(J11*(VLOOKUP(J$27,tech_data!$B$2:$O$15,6, FALSE)/100)*(1-(VLOOKUP(J$27,tech_data!$B$2:$O$15,7, FALSE)/100))*8760)/1000</f>
        <v>1753.9972709587637</v>
      </c>
      <c r="K35" s="30">
        <f>(K11*(VLOOKUP(K$27,tech_data!$B$2:$O$15,6, FALSE)/100)*(1-(VLOOKUP(K$27,tech_data!$B$2:$O$15,7, FALSE)/100))*8760)/1000</f>
        <v>3135.7701882843226</v>
      </c>
      <c r="L35" s="30">
        <f>(L11*(VLOOKUP(L$27,tech_data!$B$2:$O$15,6, FALSE)/100)*(1-(VLOOKUP(L$27,tech_data!$B$2:$O$15,7, FALSE)/100))*8760)/1000</f>
        <v>307.78139383626973</v>
      </c>
      <c r="M35" s="30">
        <f>(M11*(VLOOKUP(M$27,tech_data!$B$2:$O$15,6, FALSE)/100)*(1-(VLOOKUP(M$27,tech_data!$B$2:$O$15,7, FALSE)/100))*8760)/1000</f>
        <v>592.52427066639609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10.971613184773849</v>
      </c>
      <c r="Q35" s="34">
        <f t="shared" si="17"/>
        <v>41804.104687784027</v>
      </c>
      <c r="R35" s="34">
        <f>proj_rukn!D89</f>
        <v>38999</v>
      </c>
      <c r="S35" s="35"/>
      <c r="T35" s="19"/>
      <c r="U35" s="20" t="str">
        <f t="shared" si="18"/>
        <v>KALIMANTAN</v>
      </c>
      <c r="V35" s="20">
        <f t="shared" si="18"/>
        <v>2026</v>
      </c>
      <c r="W35" s="29">
        <f t="shared" si="19"/>
        <v>0.33603412162857704</v>
      </c>
      <c r="X35" s="29">
        <f t="shared" si="19"/>
        <v>7.1323926414678857E-2</v>
      </c>
      <c r="Y35" s="29">
        <f t="shared" si="19"/>
        <v>0.15327588462351902</v>
      </c>
      <c r="Z35" s="29">
        <f t="shared" si="19"/>
        <v>0.20616624328747912</v>
      </c>
      <c r="AA35" s="29">
        <f t="shared" si="19"/>
        <v>2.6323509519298991E-2</v>
      </c>
      <c r="AB35" s="29">
        <f t="shared" si="19"/>
        <v>6.8371419684440701E-2</v>
      </c>
      <c r="AC35" s="29">
        <f t="shared" si="19"/>
        <v>4.1957537042321011E-2</v>
      </c>
      <c r="AD35" s="29">
        <f t="shared" si="19"/>
        <v>7.5011059600581659E-2</v>
      </c>
      <c r="AE35" s="29">
        <f t="shared" si="19"/>
        <v>7.3624682584389721E-3</v>
      </c>
      <c r="AF35" s="29">
        <f t="shared" si="19"/>
        <v>1.4173829940664731E-2</v>
      </c>
      <c r="AG35" s="29">
        <f t="shared" si="19"/>
        <v>0</v>
      </c>
      <c r="AH35" s="29">
        <f t="shared" si="19"/>
        <v>0</v>
      </c>
      <c r="AI35" s="29">
        <f t="shared" si="19"/>
        <v>2.6245301189239359E-4</v>
      </c>
      <c r="AJ35" s="29">
        <f t="shared" si="20"/>
        <v>1</v>
      </c>
      <c r="AM35" s="23"/>
      <c r="AO35" s="20" t="str">
        <f t="shared" si="39"/>
        <v>KALIMANTAN</v>
      </c>
      <c r="AP35" s="20">
        <f t="shared" si="40"/>
        <v>2026</v>
      </c>
      <c r="AQ35" s="25">
        <f t="shared" si="21"/>
        <v>0.33603412162857704</v>
      </c>
      <c r="AR35" s="25">
        <f t="shared" si="22"/>
        <v>0.22459981103819787</v>
      </c>
      <c r="AS35" s="25">
        <f t="shared" si="23"/>
        <v>0.20616624328747912</v>
      </c>
      <c r="AT35" s="37">
        <f t="shared" si="24"/>
        <v>0.23319982404574607</v>
      </c>
      <c r="AU35" s="24">
        <f t="shared" si="32"/>
        <v>1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0.31561984490195771</v>
      </c>
      <c r="AZ35" s="25">
        <f t="shared" ref="AZ35:AZ47" si="47">$BG$30+((AP35-$BC$30)*($BG$31-$BG$30)/($BC$31-$BC$30))</f>
        <v>0.23320000000000002</v>
      </c>
      <c r="BA35" s="24">
        <f t="shared" si="34"/>
        <v>1.0714198449019576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KALIMANTAN</v>
      </c>
      <c r="BL35" s="20">
        <f t="shared" si="45"/>
        <v>2026</v>
      </c>
      <c r="BM35" s="34">
        <f>proj_rukn!E89</f>
        <v>3435</v>
      </c>
      <c r="BN35" s="30">
        <f t="shared" si="26"/>
        <v>3950.2499999999995</v>
      </c>
      <c r="BO35" s="30">
        <f t="shared" si="35"/>
        <v>8988.0438652619123</v>
      </c>
      <c r="BQ35" s="30">
        <f t="shared" si="27"/>
        <v>1580.1</v>
      </c>
      <c r="BR35" s="30">
        <f t="shared" si="36"/>
        <v>5619.0402232450906</v>
      </c>
      <c r="BS35" s="30"/>
      <c r="BT35" s="30">
        <f t="shared" si="28"/>
        <v>790.05</v>
      </c>
      <c r="BU35" s="30">
        <f t="shared" si="37"/>
        <v>3369.0036420168208</v>
      </c>
      <c r="BW35" s="30">
        <f t="shared" si="29"/>
        <v>1.5758276497347377</v>
      </c>
      <c r="BX35" s="30">
        <f t="shared" si="38"/>
        <v>0</v>
      </c>
      <c r="BZ35" s="24">
        <f t="shared" si="46"/>
        <v>6.8076858543750021E-2</v>
      </c>
      <c r="CA35" s="24">
        <f t="shared" si="30"/>
        <v>0.32166001800184452</v>
      </c>
      <c r="CF35" s="23"/>
    </row>
    <row r="36" spans="1:84" x14ac:dyDescent="0.25">
      <c r="A36" s="19"/>
      <c r="B36" s="20" t="str">
        <f t="shared" si="31"/>
        <v>KALIMANTAN</v>
      </c>
      <c r="C36" s="20">
        <f t="shared" si="31"/>
        <v>2027</v>
      </c>
      <c r="D36" s="30">
        <f>(D12*(VLOOKUP(D$27,tech_data!$B$2:$O$15,6, FALSE)/100)*(1-(VLOOKUP(D$27,tech_data!$B$2:$O$15,7, FALSE)/100))*8760)/1000</f>
        <v>14047.605599228586</v>
      </c>
      <c r="E36" s="30">
        <f>(E12*(VLOOKUP(E$27,tech_data!$B$2:$O$15,6, FALSE)/100)*(1-(VLOOKUP(E$27,tech_data!$B$2:$O$15,7, FALSE)/100))*8760)/1000</f>
        <v>2981.6328865830396</v>
      </c>
      <c r="F36" s="30">
        <f>(F12*(VLOOKUP(F$27,tech_data!$B$2:$O$15,6, FALSE)/100)*(1-(VLOOKUP(F$27,tech_data!$B$2:$O$15,7, FALSE)/100))*8760)/1000</f>
        <v>9996.0302179773626</v>
      </c>
      <c r="G36" s="30">
        <f>(G12*(VLOOKUP(G$27,tech_data!$B$2:$O$15,6, FALSE)/100)*(1-(VLOOKUP(G$27,tech_data!$B$2:$O$15,7, FALSE)/100))*8760)/1000</f>
        <v>8924.25564983607</v>
      </c>
      <c r="H36" s="30">
        <f>(H12*(VLOOKUP(H$27,tech_data!$B$2:$O$15,6, FALSE)/100)*(1-(VLOOKUP(H$27,tech_data!$B$2:$O$15,7, FALSE)/100))*8760)/1000</f>
        <v>1100.4307476946544</v>
      </c>
      <c r="I36" s="30">
        <f>(I12*(VLOOKUP(I$27,tech_data!$B$2:$O$15,6, FALSE)/100)*(1-(VLOOKUP(I$27,tech_data!$B$2:$O$15,7, FALSE)/100))*8760)/1000</f>
        <v>2858.2059861407765</v>
      </c>
      <c r="J36" s="30">
        <f>(J12*(VLOOKUP(J$27,tech_data!$B$2:$O$15,6, FALSE)/100)*(1-(VLOOKUP(J$27,tech_data!$B$2:$O$15,7, FALSE)/100))*8760)/1000</f>
        <v>1753.9972709587637</v>
      </c>
      <c r="K36" s="30">
        <f>(K12*(VLOOKUP(K$27,tech_data!$B$2:$O$15,6, FALSE)/100)*(1-(VLOOKUP(K$27,tech_data!$B$2:$O$15,7, FALSE)/100))*8760)/1000</f>
        <v>3135.7701882843226</v>
      </c>
      <c r="L36" s="30">
        <f>(L12*(VLOOKUP(L$27,tech_data!$B$2:$O$15,6, FALSE)/100)*(1-(VLOOKUP(L$27,tech_data!$B$2:$O$15,7, FALSE)/100))*8760)/1000</f>
        <v>1688.5470969366049</v>
      </c>
      <c r="M36" s="30">
        <f>(M12*(VLOOKUP(M$27,tech_data!$B$2:$O$15,6, FALSE)/100)*(1-(VLOOKUP(M$27,tech_data!$B$2:$O$15,7, FALSE)/100))*8760)/1000</f>
        <v>592.52427066639609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12.544452853175365</v>
      </c>
      <c r="Q36" s="34">
        <f t="shared" si="17"/>
        <v>47078.999914306587</v>
      </c>
      <c r="R36" s="34">
        <f>proj_rukn!D90</f>
        <v>47079</v>
      </c>
      <c r="S36" s="35"/>
      <c r="T36" s="19"/>
      <c r="U36" s="20" t="str">
        <f t="shared" si="18"/>
        <v>KALIMANTAN</v>
      </c>
      <c r="V36" s="20">
        <f t="shared" si="18"/>
        <v>2027</v>
      </c>
      <c r="W36" s="29">
        <f t="shared" si="19"/>
        <v>0.29838368752093508</v>
      </c>
      <c r="X36" s="29">
        <f t="shared" si="19"/>
        <v>6.3332545126494222E-2</v>
      </c>
      <c r="Y36" s="29">
        <f t="shared" si="19"/>
        <v>0.2123246083428319</v>
      </c>
      <c r="Z36" s="29">
        <f t="shared" si="19"/>
        <v>0.18955915941460186</v>
      </c>
      <c r="AA36" s="29">
        <f t="shared" si="19"/>
        <v>2.3374131772078071E-2</v>
      </c>
      <c r="AB36" s="29">
        <f t="shared" si="19"/>
        <v>6.0710847540162198E-2</v>
      </c>
      <c r="AC36" s="29">
        <f t="shared" si="19"/>
        <v>3.7256468364905745E-2</v>
      </c>
      <c r="AD36" s="29">
        <f t="shared" si="19"/>
        <v>6.6606559060134365E-2</v>
      </c>
      <c r="AE36" s="29">
        <f t="shared" si="19"/>
        <v>3.5866248221289879E-2</v>
      </c>
      <c r="AF36" s="29">
        <f t="shared" si="19"/>
        <v>1.2585744636566441E-2</v>
      </c>
      <c r="AG36" s="29">
        <f t="shared" si="19"/>
        <v>0</v>
      </c>
      <c r="AH36" s="29">
        <f t="shared" si="19"/>
        <v>0</v>
      </c>
      <c r="AI36" s="29">
        <f t="shared" si="19"/>
        <v>2.6645538087063947E-4</v>
      </c>
      <c r="AJ36" s="29">
        <f t="shared" si="20"/>
        <v>0.99999999999999978</v>
      </c>
      <c r="AM36" s="23"/>
      <c r="AO36" s="20" t="str">
        <f t="shared" si="39"/>
        <v>KALIMANTAN</v>
      </c>
      <c r="AP36" s="20">
        <f t="shared" si="40"/>
        <v>2027</v>
      </c>
      <c r="AQ36" s="25">
        <f t="shared" si="21"/>
        <v>0.29838368752093508</v>
      </c>
      <c r="AR36" s="25">
        <f t="shared" si="22"/>
        <v>0.27565715346932612</v>
      </c>
      <c r="AS36" s="25">
        <f t="shared" si="23"/>
        <v>0.18955915941460186</v>
      </c>
      <c r="AT36" s="37">
        <f t="shared" si="24"/>
        <v>0.23639999959513669</v>
      </c>
      <c r="AU36" s="24">
        <f t="shared" si="32"/>
        <v>0.99999999999999978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0.30930744800391857</v>
      </c>
      <c r="AZ36" s="25">
        <f t="shared" si="47"/>
        <v>0.2364</v>
      </c>
      <c r="BA36" s="24">
        <f t="shared" si="34"/>
        <v>1.0709074480039185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KALIMANTAN</v>
      </c>
      <c r="BL36" s="20">
        <f t="shared" si="45"/>
        <v>2027</v>
      </c>
      <c r="BM36" s="34">
        <f>proj_rukn!E90</f>
        <v>3653</v>
      </c>
      <c r="BN36" s="30">
        <f t="shared" si="26"/>
        <v>4200.95</v>
      </c>
      <c r="BO36" s="30">
        <f t="shared" si="35"/>
        <v>10346.304823977775</v>
      </c>
      <c r="BQ36" s="30">
        <f t="shared" si="27"/>
        <v>1680.38</v>
      </c>
      <c r="BR36" s="30">
        <f t="shared" si="36"/>
        <v>6915.6931752665278</v>
      </c>
      <c r="BS36" s="30"/>
      <c r="BT36" s="30">
        <f t="shared" si="28"/>
        <v>840.19</v>
      </c>
      <c r="BU36" s="30">
        <f t="shared" si="37"/>
        <v>3430.6116487112458</v>
      </c>
      <c r="BW36" s="30">
        <f t="shared" si="29"/>
        <v>1.8003008896087347</v>
      </c>
      <c r="BX36" s="30">
        <f t="shared" si="38"/>
        <v>0</v>
      </c>
      <c r="BZ36" s="24">
        <f t="shared" si="46"/>
        <v>7.1480701470937519E-2</v>
      </c>
      <c r="CA36" s="24">
        <f t="shared" si="30"/>
        <v>0.28175363440865514</v>
      </c>
      <c r="CF36" s="23"/>
    </row>
    <row r="37" spans="1:84" x14ac:dyDescent="0.25">
      <c r="A37" s="19"/>
      <c r="B37" s="20" t="str">
        <f t="shared" si="31"/>
        <v>KALIMANTAN</v>
      </c>
      <c r="C37" s="20">
        <f t="shared" si="31"/>
        <v>2028</v>
      </c>
      <c r="D37" s="30">
        <f>(D13*(VLOOKUP(D$27,tech_data!$B$2:$O$15,6, FALSE)/100)*(1-(VLOOKUP(D$27,tech_data!$B$2:$O$15,7, FALSE)/100))*8760)/1000</f>
        <v>14294.881149091274</v>
      </c>
      <c r="E37" s="30">
        <f>(E13*(VLOOKUP(E$27,tech_data!$B$2:$O$15,6, FALSE)/100)*(1-(VLOOKUP(E$27,tech_data!$B$2:$O$15,7, FALSE)/100))*8760)/1000</f>
        <v>2981.6328865830396</v>
      </c>
      <c r="F37" s="30">
        <f>(F13*(VLOOKUP(F$27,tech_data!$B$2:$O$15,6, FALSE)/100)*(1-(VLOOKUP(F$27,tech_data!$B$2:$O$15,7, FALSE)/100))*8760)/1000</f>
        <v>9996.0302179773626</v>
      </c>
      <c r="G37" s="30">
        <f>(G13*(VLOOKUP(G$27,tech_data!$B$2:$O$15,6, FALSE)/100)*(1-(VLOOKUP(G$27,tech_data!$B$2:$O$15,7, FALSE)/100))*8760)/1000</f>
        <v>9699.6585403252575</v>
      </c>
      <c r="H37" s="30">
        <f>(H13*(VLOOKUP(H$27,tech_data!$B$2:$O$15,6, FALSE)/100)*(1-(VLOOKUP(H$27,tech_data!$B$2:$O$15,7, FALSE)/100))*8760)/1000</f>
        <v>1100.4307476946544</v>
      </c>
      <c r="I37" s="30">
        <f>(I13*(VLOOKUP(I$27,tech_data!$B$2:$O$15,6, FALSE)/100)*(1-(VLOOKUP(I$27,tech_data!$B$2:$O$15,7, FALSE)/100))*8760)/1000</f>
        <v>2858.2059861407765</v>
      </c>
      <c r="J37" s="30">
        <f>(J13*(VLOOKUP(J$27,tech_data!$B$2:$O$15,6, FALSE)/100)*(1-(VLOOKUP(J$27,tech_data!$B$2:$O$15,7, FALSE)/100))*8760)/1000</f>
        <v>1753.9972709587637</v>
      </c>
      <c r="K37" s="30">
        <f>(K13*(VLOOKUP(K$27,tech_data!$B$2:$O$15,6, FALSE)/100)*(1-(VLOOKUP(K$27,tech_data!$B$2:$O$15,7, FALSE)/100))*8760)/1000</f>
        <v>3135.7701882843226</v>
      </c>
      <c r="L37" s="30">
        <f>(L13*(VLOOKUP(L$27,tech_data!$B$2:$O$15,6, FALSE)/100)*(1-(VLOOKUP(L$27,tech_data!$B$2:$O$15,7, FALSE)/100))*8760)/1000</f>
        <v>2208.9134415582002</v>
      </c>
      <c r="M37" s="30">
        <f>(M13*(VLOOKUP(M$27,tech_data!$B$2:$O$15,6, FALSE)/100)*(1-(VLOOKUP(M$27,tech_data!$B$2:$O$15,7, FALSE)/100))*8760)/1000</f>
        <v>592.52427066639609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13.02773951799019</v>
      </c>
      <c r="Q37" s="34">
        <f t="shared" si="17"/>
        <v>48622.04469928005</v>
      </c>
      <c r="R37" s="34">
        <f>proj_rukn!D91</f>
        <v>48622</v>
      </c>
      <c r="S37" s="35"/>
      <c r="T37" s="19"/>
      <c r="U37" s="20" t="str">
        <f t="shared" si="18"/>
        <v>KALIMANTAN</v>
      </c>
      <c r="V37" s="20">
        <f t="shared" si="18"/>
        <v>2028</v>
      </c>
      <c r="W37" s="29">
        <f t="shared" si="19"/>
        <v>0.29400000015431149</v>
      </c>
      <c r="X37" s="29">
        <f t="shared" si="19"/>
        <v>6.1322655289879013E-2</v>
      </c>
      <c r="Y37" s="29">
        <f t="shared" si="19"/>
        <v>0.20558638123512266</v>
      </c>
      <c r="Z37" s="29">
        <f t="shared" si="19"/>
        <v>0.19949096341620698</v>
      </c>
      <c r="AA37" s="29">
        <f t="shared" si="19"/>
        <v>2.2632342068307724E-2</v>
      </c>
      <c r="AB37" s="29">
        <f t="shared" si="19"/>
        <v>5.8784158581119857E-2</v>
      </c>
      <c r="AC37" s="29">
        <f t="shared" si="19"/>
        <v>3.6074115800908212E-2</v>
      </c>
      <c r="AD37" s="29">
        <f t="shared" si="19"/>
        <v>6.4492766762043519E-2</v>
      </c>
      <c r="AE37" s="29">
        <f t="shared" si="19"/>
        <v>4.5430286924788822E-2</v>
      </c>
      <c r="AF37" s="29">
        <f t="shared" si="19"/>
        <v>1.2186329767311691E-2</v>
      </c>
      <c r="AG37" s="29">
        <f t="shared" si="19"/>
        <v>0</v>
      </c>
      <c r="AH37" s="29">
        <f t="shared" si="19"/>
        <v>0</v>
      </c>
      <c r="AI37" s="29">
        <f t="shared" si="19"/>
        <v>2.6793894823972904E-4</v>
      </c>
      <c r="AJ37" s="29">
        <f t="shared" si="20"/>
        <v>1</v>
      </c>
      <c r="AM37" s="23"/>
      <c r="AO37" s="20" t="str">
        <f t="shared" si="39"/>
        <v>KALIMANTAN</v>
      </c>
      <c r="AP37" s="20">
        <f t="shared" si="40"/>
        <v>2028</v>
      </c>
      <c r="AQ37" s="25">
        <f t="shared" si="21"/>
        <v>0.29400000015431149</v>
      </c>
      <c r="AR37" s="25">
        <f t="shared" si="22"/>
        <v>0.2669090365250017</v>
      </c>
      <c r="AS37" s="25">
        <f t="shared" si="23"/>
        <v>0.19949096341620698</v>
      </c>
      <c r="AT37" s="37">
        <f t="shared" si="24"/>
        <v>0.23959999990447983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0.30312129904384022</v>
      </c>
      <c r="AZ37" s="25">
        <f t="shared" si="47"/>
        <v>0.23960000000000001</v>
      </c>
      <c r="BA37" s="24">
        <f t="shared" si="34"/>
        <v>1.0705212990438402</v>
      </c>
      <c r="BJ37" s="19"/>
      <c r="BK37" s="20" t="str">
        <f t="shared" si="44"/>
        <v>KALIMANTAN</v>
      </c>
      <c r="BL37" s="20">
        <f t="shared" si="45"/>
        <v>2028</v>
      </c>
      <c r="BM37" s="34">
        <f>proj_rukn!E91</f>
        <v>3881</v>
      </c>
      <c r="BN37" s="30">
        <f t="shared" si="26"/>
        <v>4463.1499999999996</v>
      </c>
      <c r="BO37" s="30">
        <f t="shared" si="35"/>
        <v>10552.600452939783</v>
      </c>
      <c r="BQ37" s="30">
        <f t="shared" si="27"/>
        <v>1785.26</v>
      </c>
      <c r="BR37" s="30">
        <f t="shared" si="36"/>
        <v>6966.686796796369</v>
      </c>
      <c r="BS37" s="30"/>
      <c r="BT37" s="30">
        <f t="shared" si="28"/>
        <v>892.63</v>
      </c>
      <c r="BU37" s="30">
        <f t="shared" si="37"/>
        <v>3585.9136561434143</v>
      </c>
      <c r="BW37" s="30">
        <f t="shared" si="29"/>
        <v>1.8848976601081178</v>
      </c>
      <c r="BX37" s="30">
        <f t="shared" si="38"/>
        <v>0</v>
      </c>
      <c r="BZ37" s="24">
        <f t="shared" si="46"/>
        <v>7.5054736544484399E-2</v>
      </c>
      <c r="CA37" s="24">
        <f t="shared" si="30"/>
        <v>0.26916847574188035</v>
      </c>
      <c r="CF37" s="23"/>
    </row>
    <row r="38" spans="1:84" x14ac:dyDescent="0.25">
      <c r="A38" s="19"/>
      <c r="B38" s="20" t="str">
        <f t="shared" si="31"/>
        <v>KALIMANTAN</v>
      </c>
      <c r="C38" s="20">
        <f t="shared" si="31"/>
        <v>2029</v>
      </c>
      <c r="D38" s="30">
        <f>(D14*(VLOOKUP(D$27,tech_data!$B$2:$O$15,6, FALSE)/100)*(1-(VLOOKUP(D$27,tech_data!$B$2:$O$15,7, FALSE)/100))*8760)/1000</f>
        <v>14294.881149091274</v>
      </c>
      <c r="E38" s="30">
        <f>(E14*(VLOOKUP(E$27,tech_data!$B$2:$O$15,6, FALSE)/100)*(1-(VLOOKUP(E$27,tech_data!$B$2:$O$15,7, FALSE)/100))*8760)/1000</f>
        <v>2981.6328865830396</v>
      </c>
      <c r="F38" s="30">
        <f>(F14*(VLOOKUP(F$27,tech_data!$B$2:$O$15,6, FALSE)/100)*(1-(VLOOKUP(F$27,tech_data!$B$2:$O$15,7, FALSE)/100))*8760)/1000</f>
        <v>9996.0302179773626</v>
      </c>
      <c r="G38" s="30">
        <f>(G14*(VLOOKUP(G$27,tech_data!$B$2:$O$15,6, FALSE)/100)*(1-(VLOOKUP(G$27,tech_data!$B$2:$O$15,7, FALSE)/100))*8760)/1000</f>
        <v>9699.6585403252575</v>
      </c>
      <c r="H38" s="30">
        <f>(H14*(VLOOKUP(H$27,tech_data!$B$2:$O$15,6, FALSE)/100)*(1-(VLOOKUP(H$27,tech_data!$B$2:$O$15,7, FALSE)/100))*8760)/1000</f>
        <v>1100.4307412055159</v>
      </c>
      <c r="I38" s="30">
        <f>(I14*(VLOOKUP(I$27,tech_data!$B$2:$O$15,6, FALSE)/100)*(1-(VLOOKUP(I$27,tech_data!$B$2:$O$15,7, FALSE)/100))*8760)/1000</f>
        <v>2858.6350425622318</v>
      </c>
      <c r="J38" s="30">
        <f>(J14*(VLOOKUP(J$27,tech_data!$B$2:$O$15,6, FALSE)/100)*(1-(VLOOKUP(J$27,tech_data!$B$2:$O$15,7, FALSE)/100))*8760)/1000</f>
        <v>1812.0529230939896</v>
      </c>
      <c r="K38" s="30">
        <f>(K14*(VLOOKUP(K$27,tech_data!$B$2:$O$15,6, FALSE)/100)*(1-(VLOOKUP(K$27,tech_data!$B$2:$O$15,7, FALSE)/100))*8760)/1000</f>
        <v>3155.152853115002</v>
      </c>
      <c r="L38" s="30">
        <f>(L14*(VLOOKUP(L$27,tech_data!$B$2:$O$15,6, FALSE)/100)*(1-(VLOOKUP(L$27,tech_data!$B$2:$O$15,7, FALSE)/100))*8760)/1000</f>
        <v>2218.8738689599941</v>
      </c>
      <c r="M38" s="30">
        <f>(M14*(VLOOKUP(M$27,tech_data!$B$2:$O$15,6, FALSE)/100)*(1-(VLOOKUP(M$27,tech_data!$B$2:$O$15,7, FALSE)/100))*8760)/1000</f>
        <v>710.16250806368885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13.084137518817204</v>
      </c>
      <c r="Q38" s="34">
        <f t="shared" si="17"/>
        <v>48827.510730977345</v>
      </c>
      <c r="R38" s="34">
        <f>proj_rukn!D92</f>
        <v>46241</v>
      </c>
      <c r="S38" s="35"/>
      <c r="T38" s="19"/>
      <c r="U38" s="20" t="str">
        <f t="shared" si="18"/>
        <v>KALIMANTAN</v>
      </c>
      <c r="V38" s="20">
        <f t="shared" si="18"/>
        <v>2029</v>
      </c>
      <c r="W38" s="29">
        <f t="shared" si="19"/>
        <v>0.29276284895724286</v>
      </c>
      <c r="X38" s="29">
        <f t="shared" si="19"/>
        <v>6.1064609724030439E-2</v>
      </c>
      <c r="Y38" s="29">
        <f t="shared" si="19"/>
        <v>0.20472127430480785</v>
      </c>
      <c r="Z38" s="29">
        <f t="shared" si="19"/>
        <v>0.1986515059874138</v>
      </c>
      <c r="AA38" s="29">
        <f t="shared" si="19"/>
        <v>2.2537105101845305E-2</v>
      </c>
      <c r="AB38" s="29">
        <f t="shared" si="19"/>
        <v>5.8545582188539565E-2</v>
      </c>
      <c r="AC38" s="29">
        <f t="shared" si="19"/>
        <v>3.7111310733774099E-2</v>
      </c>
      <c r="AD38" s="29">
        <f t="shared" si="19"/>
        <v>6.4618343345389864E-2</v>
      </c>
      <c r="AE38" s="29">
        <f t="shared" si="19"/>
        <v>4.5443108521038882E-2</v>
      </c>
      <c r="AF38" s="29">
        <f t="shared" si="19"/>
        <v>1.4544311135917578E-2</v>
      </c>
      <c r="AG38" s="29">
        <f t="shared" si="19"/>
        <v>0</v>
      </c>
      <c r="AH38" s="29">
        <f t="shared" si="19"/>
        <v>0</v>
      </c>
      <c r="AI38" s="29">
        <f t="shared" si="19"/>
        <v>2.6796650746556107E-4</v>
      </c>
      <c r="AJ38" s="29">
        <f t="shared" si="20"/>
        <v>1</v>
      </c>
      <c r="AM38" s="23"/>
      <c r="AO38" s="20" t="str">
        <f t="shared" si="39"/>
        <v>KALIMANTAN</v>
      </c>
      <c r="AP38" s="20">
        <f t="shared" si="40"/>
        <v>2029</v>
      </c>
      <c r="AQ38" s="25">
        <f t="shared" si="21"/>
        <v>0.29276284895724286</v>
      </c>
      <c r="AR38" s="25">
        <f t="shared" si="22"/>
        <v>0.26578588402883829</v>
      </c>
      <c r="AS38" s="25">
        <f t="shared" si="23"/>
        <v>0.1986515059874138</v>
      </c>
      <c r="AT38" s="37">
        <f t="shared" si="24"/>
        <v>0.24279976102650533</v>
      </c>
      <c r="AU38" s="24">
        <f t="shared" si="32"/>
        <v>1.0000000000000002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0.29705887306296341</v>
      </c>
      <c r="AZ38" s="25">
        <f t="shared" si="47"/>
        <v>0.24280000000000002</v>
      </c>
      <c r="BA38" s="24">
        <f t="shared" si="34"/>
        <v>1.0702588730629634</v>
      </c>
      <c r="BJ38" s="19"/>
      <c r="BK38" s="20" t="str">
        <f t="shared" si="44"/>
        <v>KALIMANTAN</v>
      </c>
      <c r="BL38" s="20">
        <f t="shared" si="45"/>
        <v>2029</v>
      </c>
      <c r="BM38" s="34">
        <f>proj_rukn!E92</f>
        <v>4177.3094603356412</v>
      </c>
      <c r="BN38" s="30">
        <f t="shared" si="26"/>
        <v>4803.9058793859867</v>
      </c>
      <c r="BO38" s="30">
        <f t="shared" si="35"/>
        <v>10599.813265857207</v>
      </c>
      <c r="BQ38" s="30">
        <f t="shared" si="27"/>
        <v>1921.5623517543947</v>
      </c>
      <c r="BR38" s="30">
        <f t="shared" si="36"/>
        <v>7013.7871041576773</v>
      </c>
      <c r="BS38" s="30"/>
      <c r="BT38" s="30">
        <f t="shared" si="28"/>
        <v>960.78117587719737</v>
      </c>
      <c r="BU38" s="30">
        <f t="shared" si="37"/>
        <v>3586.0261616995294</v>
      </c>
      <c r="BW38" s="30">
        <f t="shared" si="29"/>
        <v>1.9202877184613409</v>
      </c>
      <c r="BX38" s="30">
        <f t="shared" si="38"/>
        <v>0</v>
      </c>
      <c r="BZ38" s="24">
        <f t="shared" si="46"/>
        <v>7.8807473371708625E-2</v>
      </c>
      <c r="CA38" s="24">
        <f t="shared" si="30"/>
        <v>0.26613841410797673</v>
      </c>
      <c r="CF38" s="23"/>
    </row>
    <row r="39" spans="1:84" x14ac:dyDescent="0.25">
      <c r="A39" s="19"/>
      <c r="B39" s="20" t="str">
        <f t="shared" si="31"/>
        <v>KALIMANTAN</v>
      </c>
      <c r="C39" s="20">
        <f t="shared" si="31"/>
        <v>2030</v>
      </c>
      <c r="D39" s="30">
        <f>(D15*(VLOOKUP(D$27,tech_data!$B$2:$O$15,6, FALSE)/100)*(1-(VLOOKUP(D$27,tech_data!$B$2:$O$15,7, FALSE)/100))*8760)/1000</f>
        <v>14294.881149091274</v>
      </c>
      <c r="E39" s="30">
        <f>(E15*(VLOOKUP(E$27,tech_data!$B$2:$O$15,6, FALSE)/100)*(1-(VLOOKUP(E$27,tech_data!$B$2:$O$15,7, FALSE)/100))*8760)/1000</f>
        <v>2981.6328865830396</v>
      </c>
      <c r="F39" s="30">
        <f>(F15*(VLOOKUP(F$27,tech_data!$B$2:$O$15,6, FALSE)/100)*(1-(VLOOKUP(F$27,tech_data!$B$2:$O$15,7, FALSE)/100))*8760)/1000</f>
        <v>9996.0302179773626</v>
      </c>
      <c r="G39" s="30">
        <f>(G15*(VLOOKUP(G$27,tech_data!$B$2:$O$15,6, FALSE)/100)*(1-(VLOOKUP(G$27,tech_data!$B$2:$O$15,7, FALSE)/100))*8760)/1000</f>
        <v>9699.6585403252575</v>
      </c>
      <c r="H39" s="30">
        <f>(H15*(VLOOKUP(H$27,tech_data!$B$2:$O$15,6, FALSE)/100)*(1-(VLOOKUP(H$27,tech_data!$B$2:$O$15,7, FALSE)/100))*8760)/1000</f>
        <v>1140.7270108989874</v>
      </c>
      <c r="I39" s="30">
        <f>(I15*(VLOOKUP(I$27,tech_data!$B$2:$O$15,6, FALSE)/100)*(1-(VLOOKUP(I$27,tech_data!$B$2:$O$15,7, FALSE)/100))*8760)/1000</f>
        <v>2975.239221846693</v>
      </c>
      <c r="J39" s="30">
        <f>(J15*(VLOOKUP(J$27,tech_data!$B$2:$O$15,6, FALSE)/100)*(1-(VLOOKUP(J$27,tech_data!$B$2:$O$15,7, FALSE)/100))*8760)/1000</f>
        <v>1817.1277602402163</v>
      </c>
      <c r="K39" s="30">
        <f>(K15*(VLOOKUP(K$27,tech_data!$B$2:$O$15,6, FALSE)/100)*(1-(VLOOKUP(K$27,tech_data!$B$2:$O$15,7, FALSE)/100))*8760)/1000</f>
        <v>3166.926293115002</v>
      </c>
      <c r="L39" s="30">
        <f>(L15*(VLOOKUP(L$27,tech_data!$B$2:$O$15,6, FALSE)/100)*(1-(VLOOKUP(L$27,tech_data!$B$2:$O$15,7, FALSE)/100))*8760)/1000</f>
        <v>2252.3505530953353</v>
      </c>
      <c r="M39" s="30">
        <f>(M15*(VLOOKUP(M$27,tech_data!$B$2:$O$15,6, FALSE)/100)*(1-(VLOOKUP(M$27,tech_data!$B$2:$O$15,7, FALSE)/100))*8760)/1000</f>
        <v>710.16250806368885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13.144135981533667</v>
      </c>
      <c r="Q39" s="34">
        <f t="shared" si="17"/>
        <v>49034.736141236855</v>
      </c>
      <c r="R39" s="34">
        <f>proj_rukn!D93</f>
        <v>46979</v>
      </c>
      <c r="S39" s="35"/>
      <c r="T39" s="19"/>
      <c r="U39" s="20" t="str">
        <f t="shared" si="18"/>
        <v>KALIMANTAN</v>
      </c>
      <c r="V39" s="20">
        <f t="shared" si="18"/>
        <v>2030</v>
      </c>
      <c r="W39" s="29">
        <f t="shared" si="19"/>
        <v>0.29152560560165175</v>
      </c>
      <c r="X39" s="29">
        <f t="shared" si="19"/>
        <v>6.0806544935714843E-2</v>
      </c>
      <c r="Y39" s="29">
        <f t="shared" si="19"/>
        <v>0.20385610293048928</v>
      </c>
      <c r="Z39" s="29">
        <f t="shared" si="19"/>
        <v>0.19781198602531305</v>
      </c>
      <c r="AA39" s="29">
        <f t="shared" si="19"/>
        <v>2.3263651457475013E-2</v>
      </c>
      <c r="AB39" s="29">
        <f t="shared" si="19"/>
        <v>6.0676154415861112E-2</v>
      </c>
      <c r="AC39" s="29">
        <f t="shared" si="19"/>
        <v>3.7057969579080946E-2</v>
      </c>
      <c r="AD39" s="29">
        <f t="shared" si="19"/>
        <v>6.4585364220033081E-2</v>
      </c>
      <c r="AE39" s="29">
        <f t="shared" si="19"/>
        <v>4.5933775326286924E-2</v>
      </c>
      <c r="AF39" s="29">
        <f t="shared" si="19"/>
        <v>1.4482845508094044E-2</v>
      </c>
      <c r="AG39" s="29">
        <f t="shared" si="19"/>
        <v>0</v>
      </c>
      <c r="AH39" s="29">
        <f t="shared" si="19"/>
        <v>0</v>
      </c>
      <c r="AI39" s="29">
        <f t="shared" si="19"/>
        <v>2.6805764680111764E-4</v>
      </c>
      <c r="AJ39" s="29">
        <f t="shared" si="20"/>
        <v>1.0000000000000002</v>
      </c>
      <c r="AM39" s="23"/>
      <c r="AO39" s="20" t="str">
        <f t="shared" si="39"/>
        <v>KALIMANTAN</v>
      </c>
      <c r="AP39" s="20">
        <f t="shared" si="40"/>
        <v>2030</v>
      </c>
      <c r="AQ39" s="25">
        <f t="shared" si="21"/>
        <v>0.29152560560165175</v>
      </c>
      <c r="AR39" s="25">
        <f t="shared" si="22"/>
        <v>0.26466264786620414</v>
      </c>
      <c r="AS39" s="25">
        <f t="shared" si="23"/>
        <v>0.19781198602531305</v>
      </c>
      <c r="AT39" s="37">
        <f t="shared" si="24"/>
        <v>0.24599976050683112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0.29111769560170414</v>
      </c>
      <c r="AZ39" s="25">
        <f t="shared" si="47"/>
        <v>0.246</v>
      </c>
      <c r="BA39" s="24">
        <f t="shared" si="34"/>
        <v>1.0701176956017042</v>
      </c>
      <c r="BJ39" s="19"/>
      <c r="BK39" s="20" t="str">
        <f t="shared" si="44"/>
        <v>KALIMANTAN</v>
      </c>
      <c r="BL39" s="20">
        <f t="shared" si="45"/>
        <v>2030</v>
      </c>
      <c r="BM39" s="34">
        <f>proj_rukn!E93</f>
        <v>4496.2417746481951</v>
      </c>
      <c r="BN39" s="30">
        <f t="shared" si="26"/>
        <v>5170.6780408454242</v>
      </c>
      <c r="BO39" s="30">
        <f t="shared" si="35"/>
        <v>10632.306289519433</v>
      </c>
      <c r="BQ39" s="30">
        <f t="shared" si="27"/>
        <v>2068.2712163381698</v>
      </c>
      <c r="BR39" s="30">
        <f t="shared" si="36"/>
        <v>7019.9969068814617</v>
      </c>
      <c r="BS39" s="30"/>
      <c r="BT39" s="30">
        <f t="shared" si="28"/>
        <v>1034.1356081690849</v>
      </c>
      <c r="BU39" s="30">
        <f t="shared" si="37"/>
        <v>3612.30938263797</v>
      </c>
      <c r="BW39" s="30">
        <f t="shared" si="29"/>
        <v>1.9455968388243225</v>
      </c>
      <c r="BX39" s="30">
        <f t="shared" si="38"/>
        <v>0</v>
      </c>
      <c r="BZ39" s="24">
        <f t="shared" si="46"/>
        <v>8.2747847040294059E-2</v>
      </c>
      <c r="CA39" s="24">
        <f t="shared" si="30"/>
        <v>0.26254238657374473</v>
      </c>
      <c r="CF39" s="23"/>
    </row>
    <row r="40" spans="1:84" x14ac:dyDescent="0.25">
      <c r="A40" s="19"/>
      <c r="B40" s="20" t="str">
        <f t="shared" si="31"/>
        <v>KALIMANTAN</v>
      </c>
      <c r="C40" s="20">
        <f t="shared" si="31"/>
        <v>2031</v>
      </c>
      <c r="D40" s="30">
        <f>(D16*(VLOOKUP(D$27,tech_data!$B$2:$O$15,6, FALSE)/100)*(1-(VLOOKUP(D$27,tech_data!$B$2:$O$15,7, FALSE)/100))*8760)/1000</f>
        <v>14294.881149091274</v>
      </c>
      <c r="E40" s="30">
        <f>(E16*(VLOOKUP(E$27,tech_data!$B$2:$O$15,6, FALSE)/100)*(1-(VLOOKUP(E$27,tech_data!$B$2:$O$15,7, FALSE)/100))*8760)/1000</f>
        <v>2981.6328865830396</v>
      </c>
      <c r="F40" s="30">
        <f>(F16*(VLOOKUP(F$27,tech_data!$B$2:$O$15,6, FALSE)/100)*(1-(VLOOKUP(F$27,tech_data!$B$2:$O$15,7, FALSE)/100))*8760)/1000</f>
        <v>9996.0302179773626</v>
      </c>
      <c r="G40" s="30">
        <f>(G16*(VLOOKUP(G$27,tech_data!$B$2:$O$15,6, FALSE)/100)*(1-(VLOOKUP(G$27,tech_data!$B$2:$O$15,7, FALSE)/100))*8760)/1000</f>
        <v>9776.4325605607683</v>
      </c>
      <c r="H40" s="30">
        <f>(H16*(VLOOKUP(H$27,tech_data!$B$2:$O$15,6, FALSE)/100)*(1-(VLOOKUP(H$27,tech_data!$B$2:$O$15,7, FALSE)/100))*8760)/1000</f>
        <v>1140.7270108989874</v>
      </c>
      <c r="I40" s="30">
        <f>(I16*(VLOOKUP(I$27,tech_data!$B$2:$O$15,6, FALSE)/100)*(1-(VLOOKUP(I$27,tech_data!$B$2:$O$15,7, FALSE)/100))*8760)/1000</f>
        <v>2975.239221846693</v>
      </c>
      <c r="J40" s="30">
        <f>(J16*(VLOOKUP(J$27,tech_data!$B$2:$O$15,6, FALSE)/100)*(1-(VLOOKUP(J$27,tech_data!$B$2:$O$15,7, FALSE)/100))*8760)/1000</f>
        <v>1817.1277602402163</v>
      </c>
      <c r="K40" s="30">
        <f>(K16*(VLOOKUP(K$27,tech_data!$B$2:$O$15,6, FALSE)/100)*(1-(VLOOKUP(K$27,tech_data!$B$2:$O$15,7, FALSE)/100))*8760)/1000</f>
        <v>3166.926293115002</v>
      </c>
      <c r="L40" s="30">
        <f>(L16*(VLOOKUP(L$27,tech_data!$B$2:$O$15,6, FALSE)/100)*(1-(VLOOKUP(L$27,tech_data!$B$2:$O$15,7, FALSE)/100))*8760)/1000</f>
        <v>2486.8404075627586</v>
      </c>
      <c r="M40" s="30">
        <f>(M16*(VLOOKUP(M$27,tech_data!$B$2:$O$15,6, FALSE)/100)*(1-(VLOOKUP(M$27,tech_data!$B$2:$O$15,7, FALSE)/100))*8760)/1000</f>
        <v>710.16250806368885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13.26741640814819</v>
      </c>
      <c r="Q40" s="34">
        <f t="shared" si="17"/>
        <v>49346.00001593979</v>
      </c>
      <c r="R40" s="34">
        <f>proj_rukn!D94</f>
        <v>49346</v>
      </c>
      <c r="S40" s="35"/>
      <c r="T40" s="19"/>
      <c r="U40" s="20" t="str">
        <f t="shared" si="18"/>
        <v>KALIMANTAN</v>
      </c>
      <c r="V40" s="20">
        <f t="shared" si="18"/>
        <v>2031</v>
      </c>
      <c r="W40" s="29">
        <f t="shared" si="19"/>
        <v>0.28968672525582073</v>
      </c>
      <c r="X40" s="29">
        <f t="shared" si="19"/>
        <v>6.042299042718579E-2</v>
      </c>
      <c r="Y40" s="29">
        <f t="shared" si="19"/>
        <v>0.20257022280931455</v>
      </c>
      <c r="Z40" s="29">
        <f t="shared" si="19"/>
        <v>0.198120061553171</v>
      </c>
      <c r="AA40" s="29">
        <f t="shared" si="19"/>
        <v>2.3116909385370824E-2</v>
      </c>
      <c r="AB40" s="29">
        <f t="shared" si="19"/>
        <v>6.0293422382475349E-2</v>
      </c>
      <c r="AC40" s="29">
        <f t="shared" si="19"/>
        <v>3.6824215937527785E-2</v>
      </c>
      <c r="AD40" s="29">
        <f t="shared" si="19"/>
        <v>6.4177973738337835E-2</v>
      </c>
      <c r="AE40" s="29">
        <f t="shared" si="19"/>
        <v>5.0395987653699535E-2</v>
      </c>
      <c r="AF40" s="29">
        <f t="shared" si="19"/>
        <v>1.4391490857096654E-2</v>
      </c>
      <c r="AG40" s="29">
        <f t="shared" si="19"/>
        <v>0</v>
      </c>
      <c r="AH40" s="29">
        <f t="shared" si="19"/>
        <v>0</v>
      </c>
      <c r="AI40" s="29">
        <f t="shared" si="19"/>
        <v>2.6886508336770024E-4</v>
      </c>
      <c r="AJ40" s="29">
        <f t="shared" si="20"/>
        <v>1.0000000000000002</v>
      </c>
      <c r="AM40" s="23"/>
      <c r="AO40" s="20" t="str">
        <f t="shared" si="39"/>
        <v>KALIMANTAN</v>
      </c>
      <c r="AP40" s="20">
        <f t="shared" si="40"/>
        <v>2031</v>
      </c>
      <c r="AQ40" s="25">
        <f t="shared" si="21"/>
        <v>0.28968672525582073</v>
      </c>
      <c r="AR40" s="25">
        <f t="shared" si="22"/>
        <v>0.26299321323650032</v>
      </c>
      <c r="AS40" s="25">
        <f t="shared" si="23"/>
        <v>0.198120061553171</v>
      </c>
      <c r="AT40" s="37">
        <f t="shared" si="24"/>
        <v>0.24919999995450798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0.28529534168967008</v>
      </c>
      <c r="AZ40" s="25">
        <f t="shared" si="47"/>
        <v>0.2492</v>
      </c>
      <c r="BA40" s="24">
        <f t="shared" si="34"/>
        <v>1.0700953416896701</v>
      </c>
      <c r="BJ40" s="19"/>
      <c r="BK40" s="20" t="str">
        <f t="shared" si="44"/>
        <v>KALIMANTAN</v>
      </c>
      <c r="BL40" s="20">
        <f t="shared" si="45"/>
        <v>2031</v>
      </c>
      <c r="BM40" s="34">
        <f>proj_rukn!E94</f>
        <v>4839.5241693363096</v>
      </c>
      <c r="BN40" s="30">
        <f t="shared" si="26"/>
        <v>5565.452794736756</v>
      </c>
      <c r="BO40" s="30">
        <f t="shared" si="35"/>
        <v>10647.704224184417</v>
      </c>
      <c r="BQ40" s="30">
        <f t="shared" si="27"/>
        <v>2226.1811178947023</v>
      </c>
      <c r="BR40" s="30">
        <f t="shared" si="36"/>
        <v>7019.9969068814617</v>
      </c>
      <c r="BS40" s="30"/>
      <c r="BT40" s="30">
        <f t="shared" si="28"/>
        <v>1113.0905589473512</v>
      </c>
      <c r="BU40" s="30">
        <f t="shared" si="37"/>
        <v>3627.7073173029548</v>
      </c>
      <c r="BW40" s="30">
        <f t="shared" si="29"/>
        <v>1.9837182212078039</v>
      </c>
      <c r="BX40" s="30">
        <f t="shared" si="38"/>
        <v>0</v>
      </c>
      <c r="BZ40" s="24">
        <f t="shared" si="46"/>
        <v>8.6885239392308772E-2</v>
      </c>
      <c r="CA40" s="24">
        <f t="shared" si="30"/>
        <v>0.25753601023296013</v>
      </c>
      <c r="CF40" s="23"/>
    </row>
    <row r="41" spans="1:84" x14ac:dyDescent="0.25">
      <c r="A41" s="19"/>
      <c r="B41" s="20" t="str">
        <f t="shared" si="31"/>
        <v>KALIMANTAN</v>
      </c>
      <c r="C41" s="20">
        <f t="shared" si="31"/>
        <v>2032</v>
      </c>
      <c r="D41" s="30">
        <f>(D17*(VLOOKUP(D$27,tech_data!$B$2:$O$15,6, FALSE)/100)*(1-(VLOOKUP(D$27,tech_data!$B$2:$O$15,7, FALSE)/100))*8760)/1000</f>
        <v>14729.000041660207</v>
      </c>
      <c r="E41" s="30">
        <f>(E17*(VLOOKUP(E$27,tech_data!$B$2:$O$15,6, FALSE)/100)*(1-(VLOOKUP(E$27,tech_data!$B$2:$O$15,7, FALSE)/100))*8760)/1000</f>
        <v>2981.6328865830396</v>
      </c>
      <c r="F41" s="30">
        <f>(F17*(VLOOKUP(F$27,tech_data!$B$2:$O$15,6, FALSE)/100)*(1-(VLOOKUP(F$27,tech_data!$B$2:$O$15,7, FALSE)/100))*8760)/1000</f>
        <v>10006.667143878989</v>
      </c>
      <c r="G41" s="30">
        <f>(G17*(VLOOKUP(G$27,tech_data!$B$2:$O$15,6, FALSE)/100)*(1-(VLOOKUP(G$27,tech_data!$B$2:$O$15,7, FALSE)/100))*8760)/1000</f>
        <v>10784.100082529576</v>
      </c>
      <c r="H41" s="30">
        <f>(H17*(VLOOKUP(H$27,tech_data!$B$2:$O$15,6, FALSE)/100)*(1-(VLOOKUP(H$27,tech_data!$B$2:$O$15,7, FALSE)/100))*8760)/1000</f>
        <v>1140.7270108989874</v>
      </c>
      <c r="I41" s="30">
        <f>(I17*(VLOOKUP(I$27,tech_data!$B$2:$O$15,6, FALSE)/100)*(1-(VLOOKUP(I$27,tech_data!$B$2:$O$15,7, FALSE)/100))*8760)/1000</f>
        <v>2975.239221846693</v>
      </c>
      <c r="J41" s="30">
        <f>(J17*(VLOOKUP(J$27,tech_data!$B$2:$O$15,6, FALSE)/100)*(1-(VLOOKUP(J$27,tech_data!$B$2:$O$15,7, FALSE)/100))*8760)/1000</f>
        <v>1817.1277602402163</v>
      </c>
      <c r="K41" s="30">
        <f>(K17*(VLOOKUP(K$27,tech_data!$B$2:$O$15,6, FALSE)/100)*(1-(VLOOKUP(K$27,tech_data!$B$2:$O$15,7, FALSE)/100))*8760)/1000</f>
        <v>3166.926293115002</v>
      </c>
      <c r="L41" s="30">
        <f>(L17*(VLOOKUP(L$27,tech_data!$B$2:$O$15,6, FALSE)/100)*(1-(VLOOKUP(L$27,tech_data!$B$2:$O$15,7, FALSE)/100))*8760)/1000</f>
        <v>3188.4172038124702</v>
      </c>
      <c r="M41" s="30">
        <f>(M17*(VLOOKUP(M$27,tech_data!$B$2:$O$15,6, FALSE)/100)*(1-(VLOOKUP(M$27,tech_data!$B$2:$O$15,7, FALSE)/100))*8760)/1000</f>
        <v>710.16250806368885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13.937113053473002</v>
      </c>
      <c r="Q41" s="34">
        <f t="shared" si="17"/>
        <v>51500.000152628869</v>
      </c>
      <c r="R41" s="34">
        <f>proj_rukn!D95</f>
        <v>51500</v>
      </c>
      <c r="S41" s="35"/>
      <c r="T41" s="19"/>
      <c r="U41" s="20" t="str">
        <f t="shared" si="18"/>
        <v>KALIMANTAN</v>
      </c>
      <c r="V41" s="20">
        <f t="shared" si="18"/>
        <v>2032</v>
      </c>
      <c r="W41" s="29">
        <f t="shared" si="19"/>
        <v>0.28599999996132719</v>
      </c>
      <c r="X41" s="29">
        <f t="shared" si="19"/>
        <v>5.7895784033912073E-2</v>
      </c>
      <c r="Y41" s="29">
        <f t="shared" si="19"/>
        <v>0.19430421581014673</v>
      </c>
      <c r="Z41" s="29">
        <f t="shared" si="19"/>
        <v>0.2094000009819241</v>
      </c>
      <c r="AA41" s="29">
        <f t="shared" si="19"/>
        <v>2.2150038980936933E-2</v>
      </c>
      <c r="AB41" s="29">
        <f t="shared" si="19"/>
        <v>5.777163520444803E-2</v>
      </c>
      <c r="AC41" s="29">
        <f t="shared" si="19"/>
        <v>3.5284034074851534E-2</v>
      </c>
      <c r="AD41" s="29">
        <f t="shared" si="19"/>
        <v>6.1493714247170601E-2</v>
      </c>
      <c r="AE41" s="29">
        <f t="shared" si="19"/>
        <v>6.1911013482777909E-2</v>
      </c>
      <c r="AF41" s="29">
        <f t="shared" si="19"/>
        <v>1.378956322250492E-2</v>
      </c>
      <c r="AG41" s="29">
        <f t="shared" si="19"/>
        <v>0</v>
      </c>
      <c r="AH41" s="29">
        <f t="shared" si="19"/>
        <v>0</v>
      </c>
      <c r="AI41" s="29">
        <f t="shared" si="19"/>
        <v>2.7062355363433076E-4</v>
      </c>
      <c r="AJ41" s="29">
        <f t="shared" si="20"/>
        <v>1</v>
      </c>
      <c r="AM41" s="23"/>
      <c r="AO41" s="20" t="str">
        <f t="shared" si="39"/>
        <v>KALIMANTAN</v>
      </c>
      <c r="AP41" s="20">
        <f t="shared" si="40"/>
        <v>2032</v>
      </c>
      <c r="AQ41" s="25">
        <f t="shared" si="21"/>
        <v>0.28599999996132719</v>
      </c>
      <c r="AR41" s="25">
        <f t="shared" si="22"/>
        <v>0.25219999984405883</v>
      </c>
      <c r="AS41" s="25">
        <f t="shared" si="23"/>
        <v>0.2094000009819241</v>
      </c>
      <c r="AT41" s="37">
        <f t="shared" si="24"/>
        <v>0.25239999921268996</v>
      </c>
      <c r="AU41" s="24">
        <f t="shared" si="32"/>
        <v>1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0.27958943485587667</v>
      </c>
      <c r="AZ41" s="25">
        <f t="shared" si="47"/>
        <v>0.25240000000000001</v>
      </c>
      <c r="BA41" s="24">
        <f t="shared" si="34"/>
        <v>1.0701894348558767</v>
      </c>
      <c r="BJ41" s="19"/>
      <c r="BK41" s="20" t="str">
        <f t="shared" si="44"/>
        <v>KALIMANTAN</v>
      </c>
      <c r="BL41" s="20">
        <f t="shared" si="45"/>
        <v>2032</v>
      </c>
      <c r="BM41" s="34">
        <f>proj_rukn!E95</f>
        <v>5209.0157423580395</v>
      </c>
      <c r="BN41" s="30">
        <f t="shared" si="26"/>
        <v>5990.3681037117449</v>
      </c>
      <c r="BO41" s="30">
        <f t="shared" si="35"/>
        <v>10942.905528521862</v>
      </c>
      <c r="BQ41" s="30">
        <f t="shared" si="27"/>
        <v>2396.147241484698</v>
      </c>
      <c r="BR41" s="30">
        <f t="shared" si="36"/>
        <v>7113.3652418956899</v>
      </c>
      <c r="BS41" s="30"/>
      <c r="BT41" s="30">
        <f t="shared" si="28"/>
        <v>1198.073620742349</v>
      </c>
      <c r="BU41" s="30">
        <f t="shared" si="37"/>
        <v>3829.540286626172</v>
      </c>
      <c r="BW41" s="30">
        <f t="shared" si="29"/>
        <v>2.0977746582419647</v>
      </c>
      <c r="BX41" s="30">
        <f t="shared" si="38"/>
        <v>0</v>
      </c>
      <c r="BZ41" s="24">
        <f t="shared" si="46"/>
        <v>9.1229501361924217E-2</v>
      </c>
      <c r="CA41" s="24">
        <f t="shared" si="30"/>
        <v>0.24363595261088603</v>
      </c>
      <c r="CF41" s="23"/>
    </row>
    <row r="42" spans="1:84" x14ac:dyDescent="0.25">
      <c r="A42" s="19"/>
      <c r="B42" s="20" t="str">
        <f t="shared" si="31"/>
        <v>KALIMANTAN</v>
      </c>
      <c r="C42" s="20">
        <f t="shared" si="31"/>
        <v>2033</v>
      </c>
      <c r="D42" s="30">
        <f>(D18*(VLOOKUP(D$27,tech_data!$B$2:$O$15,6, FALSE)/100)*(1-(VLOOKUP(D$27,tech_data!$B$2:$O$15,7, FALSE)/100))*8760)/1000</f>
        <v>15241.143389692579</v>
      </c>
      <c r="E42" s="30">
        <f>(E18*(VLOOKUP(E$27,tech_data!$B$2:$O$15,6, FALSE)/100)*(1-(VLOOKUP(E$27,tech_data!$B$2:$O$15,7, FALSE)/100))*8760)/1000</f>
        <v>2981.6328865830396</v>
      </c>
      <c r="F42" s="30">
        <f>(F18*(VLOOKUP(F$27,tech_data!$B$2:$O$15,6, FALSE)/100)*(1-(VLOOKUP(F$27,tech_data!$B$2:$O$15,7, FALSE)/100))*8760)/1000</f>
        <v>10799.796138181835</v>
      </c>
      <c r="G42" s="30">
        <f>(G18*(VLOOKUP(G$27,tech_data!$B$2:$O$15,6, FALSE)/100)*(1-(VLOOKUP(G$27,tech_data!$B$2:$O$15,7, FALSE)/100))*8760)/1000</f>
        <v>10926.39970870278</v>
      </c>
      <c r="H42" s="30">
        <f>(H18*(VLOOKUP(H$27,tech_data!$B$2:$O$15,6, FALSE)/100)*(1-(VLOOKUP(H$27,tech_data!$B$2:$O$15,7, FALSE)/100))*8760)/1000</f>
        <v>1140.7270108989874</v>
      </c>
      <c r="I42" s="30">
        <f>(I18*(VLOOKUP(I$27,tech_data!$B$2:$O$15,6, FALSE)/100)*(1-(VLOOKUP(I$27,tech_data!$B$2:$O$15,7, FALSE)/100))*8760)/1000</f>
        <v>2975.239221846693</v>
      </c>
      <c r="J42" s="30">
        <f>(J18*(VLOOKUP(J$27,tech_data!$B$2:$O$15,6, FALSE)/100)*(1-(VLOOKUP(J$27,tech_data!$B$2:$O$15,7, FALSE)/100))*8760)/1000</f>
        <v>1817.1277602402163</v>
      </c>
      <c r="K42" s="30">
        <f>(K18*(VLOOKUP(K$27,tech_data!$B$2:$O$15,6, FALSE)/100)*(1-(VLOOKUP(K$27,tech_data!$B$2:$O$15,7, FALSE)/100))*8760)/1000</f>
        <v>3166.926293115002</v>
      </c>
      <c r="L42" s="30">
        <f>(L18*(VLOOKUP(L$27,tech_data!$B$2:$O$15,6, FALSE)/100)*(1-(VLOOKUP(L$27,tech_data!$B$2:$O$15,7, FALSE)/100))*8760)/1000</f>
        <v>3906.8470969326058</v>
      </c>
      <c r="M42" s="30">
        <f>(M18*(VLOOKUP(M$27,tech_data!$B$2:$O$15,6, FALSE)/100)*(1-(VLOOKUP(M$27,tech_data!$B$2:$O$15,7, FALSE)/100))*8760)/1000</f>
        <v>710.16250806368885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14.613118679633596</v>
      </c>
      <c r="Q42" s="34">
        <f t="shared" si="17"/>
        <v>53666.002014257429</v>
      </c>
      <c r="R42" s="34">
        <f>proj_rukn!D96</f>
        <v>53666</v>
      </c>
      <c r="S42" s="35"/>
      <c r="T42" s="19"/>
      <c r="U42" s="20" t="str">
        <f t="shared" si="18"/>
        <v>KALIMANTAN</v>
      </c>
      <c r="V42" s="20">
        <f t="shared" si="18"/>
        <v>2033</v>
      </c>
      <c r="W42" s="29">
        <f t="shared" si="19"/>
        <v>0.283999977968239</v>
      </c>
      <c r="X42" s="29">
        <f t="shared" si="19"/>
        <v>5.5559064858062474E-2</v>
      </c>
      <c r="Y42" s="29">
        <f t="shared" si="19"/>
        <v>0.20124092969162594</v>
      </c>
      <c r="Z42" s="29">
        <f t="shared" si="19"/>
        <v>0.20360003165132307</v>
      </c>
      <c r="AA42" s="29">
        <f t="shared" si="19"/>
        <v>2.1256046064246241E-2</v>
      </c>
      <c r="AB42" s="29">
        <f t="shared" si="19"/>
        <v>5.5439926772563798E-2</v>
      </c>
      <c r="AC42" s="29">
        <f t="shared" si="19"/>
        <v>3.3859942832288131E-2</v>
      </c>
      <c r="AD42" s="29">
        <f t="shared" si="19"/>
        <v>5.9011779790744345E-2</v>
      </c>
      <c r="AE42" s="29">
        <f t="shared" si="19"/>
        <v>7.2799294717252744E-2</v>
      </c>
      <c r="AF42" s="29">
        <f t="shared" si="19"/>
        <v>1.3233005653654248E-2</v>
      </c>
      <c r="AG42" s="29">
        <f t="shared" si="19"/>
        <v>0</v>
      </c>
      <c r="AH42" s="29">
        <f t="shared" si="19"/>
        <v>0</v>
      </c>
      <c r="AI42" s="29">
        <f t="shared" si="19"/>
        <v>2.7229750924526359E-4</v>
      </c>
      <c r="AJ42" s="29">
        <f t="shared" si="20"/>
        <v>1</v>
      </c>
      <c r="AM42" s="23"/>
      <c r="AO42" s="20" t="str">
        <f t="shared" si="39"/>
        <v>KALIMANTAN</v>
      </c>
      <c r="AP42" s="20">
        <f t="shared" si="40"/>
        <v>2033</v>
      </c>
      <c r="AQ42" s="25">
        <f t="shared" si="21"/>
        <v>0.283999977968239</v>
      </c>
      <c r="AR42" s="25">
        <f t="shared" si="22"/>
        <v>0.25679999454968844</v>
      </c>
      <c r="AS42" s="25">
        <f t="shared" si="23"/>
        <v>0.20360003165132307</v>
      </c>
      <c r="AT42" s="37">
        <f t="shared" si="24"/>
        <v>0.25559999583074955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0.27399764615875916</v>
      </c>
      <c r="AZ42" s="25">
        <f t="shared" si="47"/>
        <v>0.25559999999999999</v>
      </c>
      <c r="BA42" s="24">
        <f t="shared" si="34"/>
        <v>1.0703976461587592</v>
      </c>
      <c r="BJ42" s="19"/>
      <c r="BK42" s="20" t="str">
        <f t="shared" si="44"/>
        <v>KALIMANTAN</v>
      </c>
      <c r="BL42" s="20">
        <f t="shared" si="45"/>
        <v>2033</v>
      </c>
      <c r="BM42" s="34">
        <f>proj_rukn!E96</f>
        <v>5606.7175314582637</v>
      </c>
      <c r="BN42" s="30">
        <f t="shared" si="26"/>
        <v>6447.7251611770025</v>
      </c>
      <c r="BO42" s="30">
        <f t="shared" si="35"/>
        <v>11363.774601705107</v>
      </c>
      <c r="BQ42" s="30">
        <f t="shared" si="27"/>
        <v>2579.0900644708013</v>
      </c>
      <c r="BR42" s="30">
        <f t="shared" si="36"/>
        <v>7505.5686339397353</v>
      </c>
      <c r="BS42" s="30"/>
      <c r="BT42" s="30">
        <f t="shared" si="28"/>
        <v>1289.5450322354006</v>
      </c>
      <c r="BU42" s="30">
        <f t="shared" si="37"/>
        <v>3858.2059677653697</v>
      </c>
      <c r="BW42" s="30">
        <f t="shared" si="29"/>
        <v>2.2145709295926355</v>
      </c>
      <c r="BX42" s="30">
        <f t="shared" si="38"/>
        <v>0</v>
      </c>
      <c r="BZ42" s="24">
        <f t="shared" si="46"/>
        <v>9.5790976430020436E-2</v>
      </c>
      <c r="CA42" s="24">
        <f t="shared" si="30"/>
        <v>0.23087551155446864</v>
      </c>
      <c r="CF42" s="23"/>
    </row>
    <row r="43" spans="1:84" x14ac:dyDescent="0.25">
      <c r="A43" s="19"/>
      <c r="B43" s="20" t="str">
        <f t="shared" si="31"/>
        <v>KALIMANTAN</v>
      </c>
      <c r="C43" s="20">
        <f t="shared" si="31"/>
        <v>2034</v>
      </c>
      <c r="D43" s="30">
        <f>(D19*(VLOOKUP(D$27,tech_data!$B$2:$O$15,6, FALSE)/100)*(1-(VLOOKUP(D$27,tech_data!$B$2:$O$15,7, FALSE)/100))*8760)/1000</f>
        <v>16573.732820484056</v>
      </c>
      <c r="E43" s="30">
        <f>(E19*(VLOOKUP(E$27,tech_data!$B$2:$O$15,6, FALSE)/100)*(1-(VLOOKUP(E$27,tech_data!$B$2:$O$15,7, FALSE)/100))*8760)/1000</f>
        <v>2981.6328835936561</v>
      </c>
      <c r="F43" s="30">
        <f>(F19*(VLOOKUP(F$27,tech_data!$B$2:$O$15,6, FALSE)/100)*(1-(VLOOKUP(F$27,tech_data!$B$2:$O$15,7, FALSE)/100))*8760)/1000</f>
        <v>12381.394628102445</v>
      </c>
      <c r="G43" s="30">
        <f>(G19*(VLOOKUP(G$27,tech_data!$B$2:$O$15,6, FALSE)/100)*(1-(VLOOKUP(G$27,tech_data!$B$2:$O$15,7, FALSE)/100))*8760)/1000</f>
        <v>10926.39970870278</v>
      </c>
      <c r="H43" s="30">
        <f>(H19*(VLOOKUP(H$27,tech_data!$B$2:$O$15,6, FALSE)/100)*(1-(VLOOKUP(H$27,tech_data!$B$2:$O$15,7, FALSE)/100))*8760)/1000</f>
        <v>1140.7270108989874</v>
      </c>
      <c r="I43" s="30">
        <f>(I19*(VLOOKUP(I$27,tech_data!$B$2:$O$15,6, FALSE)/100)*(1-(VLOOKUP(I$27,tech_data!$B$2:$O$15,7, FALSE)/100))*8760)/1000</f>
        <v>3018.8001019525668</v>
      </c>
      <c r="J43" s="30">
        <f>(J19*(VLOOKUP(J$27,tech_data!$B$2:$O$15,6, FALSE)/100)*(1-(VLOOKUP(J$27,tech_data!$B$2:$O$15,7, FALSE)/100))*8760)/1000</f>
        <v>3960.6299455676767</v>
      </c>
      <c r="K43" s="30">
        <f>(K19*(VLOOKUP(K$27,tech_data!$B$2:$O$15,6, FALSE)/100)*(1-(VLOOKUP(K$27,tech_data!$B$2:$O$15,7, FALSE)/100))*8760)/1000</f>
        <v>3166.926293115002</v>
      </c>
      <c r="L43" s="30">
        <f>(L19*(VLOOKUP(L$27,tech_data!$B$2:$O$15,6, FALSE)/100)*(1-(VLOOKUP(L$27,tech_data!$B$2:$O$15,7, FALSE)/100))*8760)/1000</f>
        <v>3911.6963150752881</v>
      </c>
      <c r="M43" s="30">
        <f>(M19*(VLOOKUP(M$27,tech_data!$B$2:$O$15,6, FALSE)/100)*(1-(VLOOKUP(M$27,tech_data!$B$2:$O$15,7, FALSE)/100))*8760)/1000</f>
        <v>710.16250806368885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15.870440123402945</v>
      </c>
      <c r="Q43" s="34">
        <f t="shared" si="17"/>
        <v>58772.102215556151</v>
      </c>
      <c r="R43" s="34">
        <f>proj_rukn!D97</f>
        <v>58995</v>
      </c>
      <c r="S43" s="35"/>
      <c r="T43" s="19"/>
      <c r="U43" s="20" t="str">
        <f t="shared" si="18"/>
        <v>KALIMANTAN</v>
      </c>
      <c r="V43" s="20">
        <f t="shared" si="18"/>
        <v>2034</v>
      </c>
      <c r="W43" s="29">
        <f t="shared" si="19"/>
        <v>0.28199999992678876</v>
      </c>
      <c r="X43" s="29">
        <f t="shared" si="19"/>
        <v>5.073211219598777E-2</v>
      </c>
      <c r="Y43" s="29">
        <f t="shared" si="19"/>
        <v>0.2106678876772467</v>
      </c>
      <c r="Z43" s="29">
        <f t="shared" si="19"/>
        <v>0.18591133032179877</v>
      </c>
      <c r="AA43" s="29">
        <f t="shared" si="19"/>
        <v>1.9409328029737431E-2</v>
      </c>
      <c r="AB43" s="29">
        <f t="shared" si="19"/>
        <v>5.1364507787736283E-2</v>
      </c>
      <c r="AC43" s="29">
        <f t="shared" si="19"/>
        <v>6.738962528584444E-2</v>
      </c>
      <c r="AD43" s="29">
        <f t="shared" si="19"/>
        <v>5.3884856483434773E-2</v>
      </c>
      <c r="AE43" s="29">
        <f t="shared" si="19"/>
        <v>6.6557025656977728E-2</v>
      </c>
      <c r="AF43" s="29">
        <f t="shared" si="19"/>
        <v>1.20833266344473E-2</v>
      </c>
      <c r="AG43" s="29">
        <f t="shared" si="19"/>
        <v>0</v>
      </c>
      <c r="AH43" s="29">
        <f t="shared" si="19"/>
        <v>0</v>
      </c>
      <c r="AI43" s="29">
        <f t="shared" si="19"/>
        <v>2.7003356227067651E-4</v>
      </c>
      <c r="AJ43" s="29">
        <f t="shared" si="20"/>
        <v>0.99999999999999989</v>
      </c>
      <c r="AM43" s="23"/>
      <c r="AO43" s="20" t="str">
        <f t="shared" si="39"/>
        <v>KALIMANTAN</v>
      </c>
      <c r="AP43" s="20">
        <f t="shared" si="40"/>
        <v>2034</v>
      </c>
      <c r="AQ43" s="25">
        <f t="shared" si="21"/>
        <v>0.28199999992678876</v>
      </c>
      <c r="AR43" s="25">
        <f t="shared" si="22"/>
        <v>0.26139999987323448</v>
      </c>
      <c r="AS43" s="25">
        <f t="shared" si="23"/>
        <v>0.18591133032179877</v>
      </c>
      <c r="AT43" s="37">
        <f t="shared" si="24"/>
        <v>0.27068866987817797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0.26851769323558394</v>
      </c>
      <c r="AZ43" s="25">
        <f t="shared" si="47"/>
        <v>0.25880000000000003</v>
      </c>
      <c r="BA43" s="24">
        <f t="shared" si="34"/>
        <v>1.070717693235584</v>
      </c>
      <c r="BJ43" s="19"/>
      <c r="BK43" s="20" t="str">
        <f t="shared" si="44"/>
        <v>KALIMANTAN</v>
      </c>
      <c r="BL43" s="20">
        <f t="shared" si="45"/>
        <v>2034</v>
      </c>
      <c r="BM43" s="34">
        <f>proj_rukn!E97</f>
        <v>6034.7833510925793</v>
      </c>
      <c r="BN43" s="30">
        <f t="shared" si="26"/>
        <v>6940.0008537564654</v>
      </c>
      <c r="BO43" s="30">
        <f t="shared" si="35"/>
        <v>12220.242535635438</v>
      </c>
      <c r="BQ43" s="30">
        <f t="shared" si="27"/>
        <v>2776.0003415025863</v>
      </c>
      <c r="BR43" s="30">
        <f t="shared" si="36"/>
        <v>8351.8705211128163</v>
      </c>
      <c r="BS43" s="30"/>
      <c r="BT43" s="30">
        <f t="shared" si="28"/>
        <v>1388.0001707512931</v>
      </c>
      <c r="BU43" s="30">
        <f t="shared" si="37"/>
        <v>3868.3720145226193</v>
      </c>
      <c r="BW43" s="30">
        <f t="shared" si="29"/>
        <v>2.40133319966308</v>
      </c>
      <c r="BX43" s="30">
        <f t="shared" si="38"/>
        <v>0</v>
      </c>
      <c r="BZ43" s="24">
        <f t="shared" si="46"/>
        <v>0.10058052525152146</v>
      </c>
      <c r="CA43" s="24">
        <f t="shared" si="30"/>
        <v>0.19906579949462005</v>
      </c>
      <c r="CF43" s="23"/>
    </row>
    <row r="44" spans="1:84" x14ac:dyDescent="0.25">
      <c r="A44" s="19"/>
      <c r="B44" s="20" t="str">
        <f t="shared" si="31"/>
        <v>KALIMANTAN</v>
      </c>
      <c r="C44" s="20">
        <f t="shared" si="31"/>
        <v>2035</v>
      </c>
      <c r="D44" s="30">
        <f>(D20*(VLOOKUP(D$27,tech_data!$B$2:$O$15,6, FALSE)/100)*(1-(VLOOKUP(D$27,tech_data!$B$2:$O$15,7, FALSE)/100))*8760)/1000</f>
        <v>17527.71995634837</v>
      </c>
      <c r="E44" s="30">
        <f>(E20*(VLOOKUP(E$27,tech_data!$B$2:$O$15,6, FALSE)/100)*(1-(VLOOKUP(E$27,tech_data!$B$2:$O$15,7, FALSE)/100))*8760)/1000</f>
        <v>2981.6328835936561</v>
      </c>
      <c r="F44" s="30">
        <f>(F20*(VLOOKUP(F$27,tech_data!$B$2:$O$15,6, FALSE)/100)*(1-(VLOOKUP(F$27,tech_data!$B$2:$O$15,7, FALSE)/100))*8760)/1000</f>
        <v>13939.669978933223</v>
      </c>
      <c r="G44" s="30">
        <f>(G20*(VLOOKUP(G$27,tech_data!$B$2:$O$15,6, FALSE)/100)*(1-(VLOOKUP(G$27,tech_data!$B$2:$O$15,7, FALSE)/100))*8760)/1000</f>
        <v>11749.039113571071</v>
      </c>
      <c r="H44" s="30">
        <f>(H20*(VLOOKUP(H$27,tech_data!$B$2:$O$15,6, FALSE)/100)*(1-(VLOOKUP(H$27,tech_data!$B$2:$O$15,7, FALSE)/100))*8760)/1000</f>
        <v>1140.7270108989874</v>
      </c>
      <c r="I44" s="30">
        <f>(I20*(VLOOKUP(I$27,tech_data!$B$2:$O$15,6, FALSE)/100)*(1-(VLOOKUP(I$27,tech_data!$B$2:$O$15,7, FALSE)/100))*8760)/1000</f>
        <v>3018.8001019525668</v>
      </c>
      <c r="J44" s="30">
        <f>(J20*(VLOOKUP(J$27,tech_data!$B$2:$O$15,6, FALSE)/100)*(1-(VLOOKUP(J$27,tech_data!$B$2:$O$15,7, FALSE)/100))*8760)/1000</f>
        <v>3960.6299455676767</v>
      </c>
      <c r="K44" s="30">
        <f>(K20*(VLOOKUP(K$27,tech_data!$B$2:$O$15,6, FALSE)/100)*(1-(VLOOKUP(K$27,tech_data!$B$2:$O$15,7, FALSE)/100))*8760)/1000</f>
        <v>3166.926293115002</v>
      </c>
      <c r="L44" s="30">
        <f>(L20*(VLOOKUP(L$27,tech_data!$B$2:$O$15,6, FALSE)/100)*(1-(VLOOKUP(L$27,tech_data!$B$2:$O$15,7, FALSE)/100))*8760)/1000</f>
        <v>4403.6920866212786</v>
      </c>
      <c r="M44" s="30">
        <f>(M20*(VLOOKUP(M$27,tech_data!$B$2:$O$15,6, FALSE)/100)*(1-(VLOOKUP(M$27,tech_data!$B$2:$O$15,7, FALSE)/100))*8760)/1000</f>
        <v>710.16250806368885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16.910019296839451</v>
      </c>
      <c r="Q44" s="34">
        <f t="shared" si="17"/>
        <v>62598.99987866552</v>
      </c>
      <c r="R44" s="34">
        <f>proj_rukn!D98</f>
        <v>62599</v>
      </c>
      <c r="S44" s="35"/>
      <c r="T44" s="19"/>
      <c r="U44" s="20" t="str">
        <f t="shared" si="18"/>
        <v>KALIMANTAN</v>
      </c>
      <c r="V44" s="20">
        <f t="shared" si="18"/>
        <v>2035</v>
      </c>
      <c r="W44" s="29">
        <f t="shared" si="19"/>
        <v>0.27999999984539731</v>
      </c>
      <c r="X44" s="29">
        <f t="shared" si="19"/>
        <v>4.7630679234059649E-2</v>
      </c>
      <c r="Y44" s="29">
        <f t="shared" si="19"/>
        <v>0.22268199182019244</v>
      </c>
      <c r="Z44" s="29">
        <f t="shared" si="19"/>
        <v>0.18768732945165281</v>
      </c>
      <c r="AA44" s="29">
        <f t="shared" si="19"/>
        <v>1.8222767346284086E-2</v>
      </c>
      <c r="AB44" s="29">
        <f t="shared" si="19"/>
        <v>4.8224414252685366E-2</v>
      </c>
      <c r="AC44" s="29">
        <f t="shared" si="19"/>
        <v>6.3269859793998184E-2</v>
      </c>
      <c r="AD44" s="29">
        <f t="shared" si="19"/>
        <v>5.0590685142788167E-2</v>
      </c>
      <c r="AE44" s="29">
        <f t="shared" si="19"/>
        <v>7.0347642856225717E-2</v>
      </c>
      <c r="AF44" s="29">
        <f t="shared" si="19"/>
        <v>1.1344630256716301E-2</v>
      </c>
      <c r="AG44" s="29">
        <f t="shared" si="19"/>
        <v>0</v>
      </c>
      <c r="AH44" s="29">
        <f t="shared" si="19"/>
        <v>0</v>
      </c>
      <c r="AI44" s="29">
        <f t="shared" si="19"/>
        <v>2.7013241952133143E-4</v>
      </c>
      <c r="AJ44" s="29">
        <f t="shared" si="20"/>
        <v>1.0000000000000002</v>
      </c>
      <c r="AM44" s="23"/>
      <c r="AO44" s="20" t="str">
        <f t="shared" si="39"/>
        <v>KALIMANTAN</v>
      </c>
      <c r="AP44" s="20">
        <f t="shared" si="40"/>
        <v>2035</v>
      </c>
      <c r="AQ44" s="25">
        <f t="shared" si="21"/>
        <v>0.27999999984539731</v>
      </c>
      <c r="AR44" s="25">
        <f t="shared" si="22"/>
        <v>0.27031267105425205</v>
      </c>
      <c r="AS44" s="25">
        <f t="shared" si="23"/>
        <v>0.18768732945165281</v>
      </c>
      <c r="AT44" s="37">
        <f t="shared" si="24"/>
        <v>0.2619999996486978</v>
      </c>
      <c r="AU44" s="24">
        <f t="shared" si="32"/>
        <v>0.99999999999999989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0.26314733937087226</v>
      </c>
      <c r="AZ44" s="25">
        <f t="shared" si="47"/>
        <v>0.26200000000000001</v>
      </c>
      <c r="BA44" s="24">
        <f t="shared" si="34"/>
        <v>1.0711473393708724</v>
      </c>
      <c r="BJ44" s="19"/>
      <c r="BK44" s="20" t="str">
        <f t="shared" si="44"/>
        <v>KALIMANTAN</v>
      </c>
      <c r="BL44" s="20">
        <f t="shared" si="45"/>
        <v>2035</v>
      </c>
      <c r="BM44" s="34">
        <f>proj_rukn!E98</f>
        <v>6495.5314567366804</v>
      </c>
      <c r="BN44" s="30">
        <f t="shared" si="26"/>
        <v>7469.8611752471816</v>
      </c>
      <c r="BO44" s="30">
        <f t="shared" si="35"/>
        <v>13144.951723376978</v>
      </c>
      <c r="BQ44" s="30">
        <f t="shared" si="27"/>
        <v>2987.9444700988729</v>
      </c>
      <c r="BR44" s="30">
        <f t="shared" si="36"/>
        <v>9111.6687883098057</v>
      </c>
      <c r="BS44" s="30"/>
      <c r="BT44" s="30">
        <f t="shared" si="28"/>
        <v>1493.9722350494364</v>
      </c>
      <c r="BU44" s="30">
        <f t="shared" si="37"/>
        <v>4033.2829350671723</v>
      </c>
      <c r="BW44" s="30">
        <f t="shared" si="29"/>
        <v>2.4813177217259152</v>
      </c>
      <c r="BX44" s="30">
        <f t="shared" si="38"/>
        <v>0</v>
      </c>
      <c r="BZ44" s="24">
        <f t="shared" si="46"/>
        <v>0.10560955151409754</v>
      </c>
      <c r="CA44" s="24">
        <f t="shared" si="30"/>
        <v>0.19309421836115492</v>
      </c>
      <c r="CF44" s="23"/>
    </row>
    <row r="45" spans="1:84" x14ac:dyDescent="0.25">
      <c r="A45" s="19"/>
      <c r="B45" s="20" t="str">
        <f t="shared" ref="B45:C47" si="50">B21</f>
        <v>KALIMANTAN</v>
      </c>
      <c r="C45" s="20">
        <f t="shared" si="50"/>
        <v>2036</v>
      </c>
      <c r="D45" s="30">
        <f>(D21*(VLOOKUP(D$27,tech_data!$B$2:$O$15,6, FALSE)/100)*(1-(VLOOKUP(D$27,tech_data!$B$2:$O$15,7, FALSE)/100))*8760)/1000</f>
        <v>17922.108987008945</v>
      </c>
      <c r="E45" s="30">
        <f>(E21*(VLOOKUP(E$27,tech_data!$B$2:$O$15,6, FALSE)/100)*(1-(VLOOKUP(E$27,tech_data!$B$2:$O$15,7, FALSE)/100))*8760)/1000</f>
        <v>2981.6328835936561</v>
      </c>
      <c r="F45" s="30">
        <f>(F21*(VLOOKUP(F$27,tech_data!$B$2:$O$15,6, FALSE)/100)*(1-(VLOOKUP(F$27,tech_data!$B$2:$O$15,7, FALSE)/100))*8760)/1000</f>
        <v>14463.413044149524</v>
      </c>
      <c r="G45" s="30">
        <f>(G21*(VLOOKUP(G$27,tech_data!$B$2:$O$15,6, FALSE)/100)*(1-(VLOOKUP(G$27,tech_data!$B$2:$O$15,7, FALSE)/100))*8760)/1000</f>
        <v>12003.949744149189</v>
      </c>
      <c r="H45" s="30">
        <f>(H21*(VLOOKUP(H$27,tech_data!$B$2:$O$15,6, FALSE)/100)*(1-(VLOOKUP(H$27,tech_data!$B$2:$O$15,7, FALSE)/100))*8760)/1000</f>
        <v>1140.7270108989874</v>
      </c>
      <c r="I45" s="30">
        <f>(I21*(VLOOKUP(I$27,tech_data!$B$2:$O$15,6, FALSE)/100)*(1-(VLOOKUP(I$27,tech_data!$B$2:$O$15,7, FALSE)/100))*8760)/1000</f>
        <v>3018.8001019525668</v>
      </c>
      <c r="J45" s="30">
        <f>(J21*(VLOOKUP(J$27,tech_data!$B$2:$O$15,6, FALSE)/100)*(1-(VLOOKUP(J$27,tech_data!$B$2:$O$15,7, FALSE)/100))*8760)/1000</f>
        <v>3960.6299455676767</v>
      </c>
      <c r="K45" s="30">
        <f>(K21*(VLOOKUP(K$27,tech_data!$B$2:$O$15,6, FALSE)/100)*(1-(VLOOKUP(K$27,tech_data!$B$2:$O$15,7, FALSE)/100))*8760)/1000</f>
        <v>3166.926293115002</v>
      </c>
      <c r="L45" s="30">
        <f>(L21*(VLOOKUP(L$27,tech_data!$B$2:$O$15,6, FALSE)/100)*(1-(VLOOKUP(L$27,tech_data!$B$2:$O$15,7, FALSE)/100))*8760)/1000</f>
        <v>5099.6677253608686</v>
      </c>
      <c r="M45" s="30">
        <f>(M21*(VLOOKUP(M$27,tech_data!$B$2:$O$15,6, FALSE)/100)*(1-(VLOOKUP(M$27,tech_data!$B$2:$O$15,7, FALSE)/100))*8760)/1000</f>
        <v>710.16250806368885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17.508480826500818</v>
      </c>
      <c r="Q45" s="34">
        <f t="shared" si="17"/>
        <v>64468.018243860104</v>
      </c>
      <c r="R45" s="34">
        <f>proj_rukn!D99</f>
        <v>64468</v>
      </c>
      <c r="S45" s="35"/>
      <c r="T45" s="19"/>
      <c r="U45" s="20" t="str">
        <f t="shared" si="18"/>
        <v>KALIMANTAN</v>
      </c>
      <c r="V45" s="20">
        <f t="shared" si="18"/>
        <v>2036</v>
      </c>
      <c r="W45" s="29">
        <f t="shared" si="19"/>
        <v>0.27799999868486475</v>
      </c>
      <c r="X45" s="29">
        <f t="shared" si="19"/>
        <v>4.6249798967220854E-2</v>
      </c>
      <c r="Y45" s="29">
        <f t="shared" si="19"/>
        <v>0.22435020399478481</v>
      </c>
      <c r="Z45" s="29">
        <f t="shared" si="19"/>
        <v>0.18620007363561913</v>
      </c>
      <c r="AA45" s="29">
        <f t="shared" si="19"/>
        <v>1.7694463735243322E-2</v>
      </c>
      <c r="AB45" s="29">
        <f t="shared" si="19"/>
        <v>4.68263207740231E-2</v>
      </c>
      <c r="AC45" s="29">
        <f t="shared" si="19"/>
        <v>6.143557772453917E-2</v>
      </c>
      <c r="AD45" s="29">
        <f t="shared" si="19"/>
        <v>4.9123990148659771E-2</v>
      </c>
      <c r="AE45" s="29">
        <f t="shared" si="19"/>
        <v>7.9103838837896304E-2</v>
      </c>
      <c r="AF45" s="29">
        <f t="shared" si="19"/>
        <v>1.1015733497148787E-2</v>
      </c>
      <c r="AG45" s="29">
        <f t="shared" si="19"/>
        <v>0</v>
      </c>
      <c r="AH45" s="29">
        <f t="shared" si="19"/>
        <v>0</v>
      </c>
      <c r="AI45" s="29">
        <f t="shared" si="19"/>
        <v>2.7158397765962529E-4</v>
      </c>
      <c r="AJ45" s="29">
        <f t="shared" si="20"/>
        <v>0.99999999999999989</v>
      </c>
      <c r="AM45" s="23"/>
      <c r="AO45" s="20" t="str">
        <f t="shared" si="39"/>
        <v>KALIMANTAN</v>
      </c>
      <c r="AP45" s="20">
        <f t="shared" si="40"/>
        <v>2036</v>
      </c>
      <c r="AQ45" s="25">
        <f t="shared" si="21"/>
        <v>0.27799999868486475</v>
      </c>
      <c r="AR45" s="25">
        <f t="shared" si="22"/>
        <v>0.27060000296200565</v>
      </c>
      <c r="AS45" s="25">
        <f t="shared" si="23"/>
        <v>0.18620007363561913</v>
      </c>
      <c r="AT45" s="37">
        <f t="shared" si="24"/>
        <v>0.26519992471751047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0.2578843925834548</v>
      </c>
      <c r="AZ45" s="25">
        <f t="shared" si="47"/>
        <v>0.26519999999999999</v>
      </c>
      <c r="BA45" s="24">
        <f t="shared" si="34"/>
        <v>1.0716843925834549</v>
      </c>
      <c r="BJ45" s="19"/>
      <c r="BK45" s="20" t="str">
        <f t="shared" si="44"/>
        <v>KALIMANTAN</v>
      </c>
      <c r="BL45" s="20">
        <f t="shared" si="45"/>
        <v>2036</v>
      </c>
      <c r="BM45" s="34">
        <f>proj_rukn!E99</f>
        <v>6991.4570997510655</v>
      </c>
      <c r="BN45" s="30">
        <f t="shared" si="26"/>
        <v>8040.1756647137245</v>
      </c>
      <c r="BO45" s="30">
        <f t="shared" si="35"/>
        <v>13466.710532273421</v>
      </c>
      <c r="BQ45" s="30">
        <f t="shared" si="27"/>
        <v>3216.0702658854898</v>
      </c>
      <c r="BR45" s="30">
        <f t="shared" si="36"/>
        <v>9382.2490909923927</v>
      </c>
      <c r="BS45" s="30"/>
      <c r="BT45" s="30">
        <f t="shared" si="28"/>
        <v>1608.0351329427449</v>
      </c>
      <c r="BU45" s="30">
        <f t="shared" si="37"/>
        <v>4084.4614412810301</v>
      </c>
      <c r="BW45" s="30">
        <f t="shared" si="29"/>
        <v>2.5944635698234317</v>
      </c>
      <c r="BX45" s="30">
        <f t="shared" si="38"/>
        <v>0</v>
      </c>
      <c r="BZ45" s="24">
        <f t="shared" si="46"/>
        <v>0.11089002908980242</v>
      </c>
      <c r="CA45" s="24">
        <f t="shared" si="30"/>
        <v>0.18523380125762245</v>
      </c>
      <c r="CF45" s="23"/>
    </row>
    <row r="46" spans="1:84" x14ac:dyDescent="0.25">
      <c r="A46" s="19"/>
      <c r="B46" s="20" t="str">
        <f t="shared" si="50"/>
        <v>KALIMANTAN</v>
      </c>
      <c r="C46" s="20">
        <f t="shared" si="50"/>
        <v>2037</v>
      </c>
      <c r="D46" s="30">
        <f>(D22*(VLOOKUP(D$27,tech_data!$B$2:$O$15,6, FALSE)/100)*(1-(VLOOKUP(D$27,tech_data!$B$2:$O$15,7, FALSE)/100))*8760)/1000</f>
        <v>18308.736026109578</v>
      </c>
      <c r="E46" s="30">
        <f>(E22*(VLOOKUP(E$27,tech_data!$B$2:$O$15,6, FALSE)/100)*(1-(VLOOKUP(E$27,tech_data!$B$2:$O$15,7, FALSE)/100))*8760)/1000</f>
        <v>3599.6308817343447</v>
      </c>
      <c r="F46" s="30">
        <f>(F22*(VLOOKUP(F$27,tech_data!$B$2:$O$15,6, FALSE)/100)*(1-(VLOOKUP(F$27,tech_data!$B$2:$O$15,7, FALSE)/100))*8760)/1000</f>
        <v>14619.10108284377</v>
      </c>
      <c r="G46" s="30">
        <f>(G22*(VLOOKUP(G$27,tech_data!$B$2:$O$15,6, FALSE)/100)*(1-(VLOOKUP(G$27,tech_data!$B$2:$O$15,7, FALSE)/100))*8760)/1000</f>
        <v>12003.949744149189</v>
      </c>
      <c r="H46" s="30">
        <f>(H22*(VLOOKUP(H$27,tech_data!$B$2:$O$15,6, FALSE)/100)*(1-(VLOOKUP(H$27,tech_data!$B$2:$O$15,7, FALSE)/100))*8760)/1000</f>
        <v>1144.7566495438075</v>
      </c>
      <c r="I46" s="30">
        <f>(I22*(VLOOKUP(I$27,tech_data!$B$2:$O$15,6, FALSE)/100)*(1-(VLOOKUP(I$27,tech_data!$B$2:$O$15,7, FALSE)/100))*8760)/1000</f>
        <v>3121.3220159083821</v>
      </c>
      <c r="J46" s="30">
        <f>(J22*(VLOOKUP(J$27,tech_data!$B$2:$O$15,6, FALSE)/100)*(1-(VLOOKUP(J$27,tech_data!$B$2:$O$15,7, FALSE)/100))*8760)/1000</f>
        <v>4010.796197586074</v>
      </c>
      <c r="K46" s="30">
        <f>(K22*(VLOOKUP(K$27,tech_data!$B$2:$O$15,6, FALSE)/100)*(1-(VLOOKUP(K$27,tech_data!$B$2:$O$15,7, FALSE)/100))*8760)/1000</f>
        <v>3286.8174099166126</v>
      </c>
      <c r="L46" s="30">
        <f>(L22*(VLOOKUP(L$27,tech_data!$B$2:$O$15,6, FALSE)/100)*(1-(VLOOKUP(L$27,tech_data!$B$2:$O$15,7, FALSE)/100))*8760)/1000</f>
        <v>5465.8456728304745</v>
      </c>
      <c r="M46" s="30">
        <f>(M22*(VLOOKUP(M$27,tech_data!$B$2:$O$15,6, FALSE)/100)*(1-(VLOOKUP(M$27,tech_data!$B$2:$O$15,7, FALSE)/100))*8760)/1000</f>
        <v>775.04439290443929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18.064888626016934</v>
      </c>
      <c r="Q46" s="34">
        <f t="shared" si="17"/>
        <v>66336.00007352668</v>
      </c>
      <c r="R46" s="34">
        <f>proj_rukn!D100</f>
        <v>66336</v>
      </c>
      <c r="S46" s="35"/>
      <c r="T46" s="19"/>
      <c r="U46" s="20" t="str">
        <f t="shared" si="18"/>
        <v>KALIMANTAN</v>
      </c>
      <c r="V46" s="20">
        <f t="shared" si="18"/>
        <v>2037</v>
      </c>
      <c r="W46" s="29">
        <f t="shared" si="19"/>
        <v>0.27600000008767811</v>
      </c>
      <c r="X46" s="29">
        <f t="shared" si="19"/>
        <v>5.4263610675116404E-2</v>
      </c>
      <c r="Y46" s="29">
        <f t="shared" si="19"/>
        <v>0.22037959880969593</v>
      </c>
      <c r="Z46" s="29">
        <f t="shared" si="19"/>
        <v>0.18095679164924081</v>
      </c>
      <c r="AA46" s="29">
        <f t="shared" si="19"/>
        <v>1.7256944167193707E-2</v>
      </c>
      <c r="AB46" s="29">
        <f t="shared" si="19"/>
        <v>4.7053214128809626E-2</v>
      </c>
      <c r="AC46" s="29">
        <f t="shared" si="19"/>
        <v>6.0461833591722684E-2</v>
      </c>
      <c r="AD46" s="29">
        <f t="shared" si="19"/>
        <v>4.9548019269680284E-2</v>
      </c>
      <c r="AE46" s="29">
        <f t="shared" si="19"/>
        <v>8.2396371001750832E-2</v>
      </c>
      <c r="AF46" s="29">
        <f t="shared" si="19"/>
        <v>1.168361661911152E-2</v>
      </c>
      <c r="AG46" s="29">
        <f t="shared" si="19"/>
        <v>0</v>
      </c>
      <c r="AH46" s="29">
        <f t="shared" si="19"/>
        <v>0</v>
      </c>
      <c r="AI46" s="29">
        <f t="shared" si="19"/>
        <v>2.7232405640969989E-4</v>
      </c>
      <c r="AJ46" s="29">
        <f t="shared" si="20"/>
        <v>0.99999999999999989</v>
      </c>
      <c r="AM46" s="23"/>
      <c r="AO46" s="20" t="str">
        <f t="shared" si="39"/>
        <v>KALIMANTAN</v>
      </c>
      <c r="AP46" s="20">
        <f t="shared" si="40"/>
        <v>2037</v>
      </c>
      <c r="AQ46" s="25">
        <f t="shared" si="21"/>
        <v>0.27600000008767811</v>
      </c>
      <c r="AR46" s="25">
        <f t="shared" si="22"/>
        <v>0.2746432094848123</v>
      </c>
      <c r="AS46" s="25">
        <f t="shared" si="23"/>
        <v>0.18095679164924081</v>
      </c>
      <c r="AT46" s="37">
        <f t="shared" si="24"/>
        <v>0.26839999877826859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0.25272670473178571</v>
      </c>
      <c r="AZ46" s="25">
        <f t="shared" si="47"/>
        <v>0.26840000000000003</v>
      </c>
      <c r="BA46" s="24">
        <f t="shared" si="34"/>
        <v>1.0723267047317857</v>
      </c>
      <c r="BJ46" s="19"/>
      <c r="BK46" s="20" t="str">
        <f t="shared" si="44"/>
        <v>KALIMANTAN</v>
      </c>
      <c r="BL46" s="20">
        <f t="shared" si="45"/>
        <v>2037</v>
      </c>
      <c r="BM46" s="34">
        <f>proj_rukn!E100</f>
        <v>7525.2460407938452</v>
      </c>
      <c r="BN46" s="30">
        <f t="shared" si="26"/>
        <v>8654.032946912921</v>
      </c>
      <c r="BO46" s="30">
        <f t="shared" si="35"/>
        <v>13859.277666888756</v>
      </c>
      <c r="BQ46" s="30">
        <f t="shared" si="27"/>
        <v>3461.6131787651684</v>
      </c>
      <c r="BR46" s="30">
        <f t="shared" si="36"/>
        <v>9544.8347191113262</v>
      </c>
      <c r="BS46" s="30"/>
      <c r="BT46" s="30">
        <f t="shared" si="28"/>
        <v>1730.8065893825842</v>
      </c>
      <c r="BU46" s="30">
        <f t="shared" si="37"/>
        <v>4314.4429477774311</v>
      </c>
      <c r="BW46" s="30">
        <f t="shared" si="29"/>
        <v>2.7156639336872819</v>
      </c>
      <c r="BX46" s="30">
        <f t="shared" si="38"/>
        <v>0</v>
      </c>
      <c r="BZ46" s="24">
        <f t="shared" si="46"/>
        <v>0.11643453054429254</v>
      </c>
      <c r="CA46" s="24">
        <f t="shared" si="30"/>
        <v>0.18460513969902451</v>
      </c>
      <c r="CF46" s="23"/>
    </row>
    <row r="47" spans="1:84" x14ac:dyDescent="0.25">
      <c r="A47" s="19"/>
      <c r="B47" s="20" t="str">
        <f t="shared" si="50"/>
        <v>KALIMANTAN</v>
      </c>
      <c r="C47" s="20">
        <f t="shared" si="50"/>
        <v>2038</v>
      </c>
      <c r="D47" s="30">
        <f>(D23*(VLOOKUP(D$27,tech_data!$B$2:$O$15,6, FALSE)/100)*(1-(VLOOKUP(D$27,tech_data!$B$2:$O$15,7, FALSE)/100))*8760)/1000</f>
        <v>18893.943923548777</v>
      </c>
      <c r="E47" s="30">
        <f>(E23*(VLOOKUP(E$27,tech_data!$B$2:$O$15,6, FALSE)/100)*(1-(VLOOKUP(E$27,tech_data!$B$2:$O$15,7, FALSE)/100))*8760)/1000</f>
        <v>3599.6308817343447</v>
      </c>
      <c r="F47" s="30">
        <f>(F23*(VLOOKUP(F$27,tech_data!$B$2:$O$15,6, FALSE)/100)*(1-(VLOOKUP(F$27,tech_data!$B$2:$O$15,7, FALSE)/100))*8760)/1000</f>
        <v>15694.257911567987</v>
      </c>
      <c r="G47" s="30">
        <f>(G23*(VLOOKUP(G$27,tech_data!$B$2:$O$15,6, FALSE)/100)*(1-(VLOOKUP(G$27,tech_data!$B$2:$O$15,7, FALSE)/100))*8760)/1000</f>
        <v>12039.717593839632</v>
      </c>
      <c r="H47" s="30">
        <f>(H23*(VLOOKUP(H$27,tech_data!$B$2:$O$15,6, FALSE)/100)*(1-(VLOOKUP(H$27,tech_data!$B$2:$O$15,7, FALSE)/100))*8760)/1000</f>
        <v>1144.7566495438075</v>
      </c>
      <c r="I47" s="30">
        <f>(I23*(VLOOKUP(I$27,tech_data!$B$2:$O$15,6, FALSE)/100)*(1-(VLOOKUP(I$27,tech_data!$B$2:$O$15,7, FALSE)/100))*8760)/1000</f>
        <v>3121.3220159083821</v>
      </c>
      <c r="J47" s="30">
        <f>(J23*(VLOOKUP(J$27,tech_data!$B$2:$O$15,6, FALSE)/100)*(1-(VLOOKUP(J$27,tech_data!$B$2:$O$15,7, FALSE)/100))*8760)/1000</f>
        <v>4010.796197586074</v>
      </c>
      <c r="K47" s="30">
        <f>(K23*(VLOOKUP(K$27,tech_data!$B$2:$O$15,6, FALSE)/100)*(1-(VLOOKUP(K$27,tech_data!$B$2:$O$15,7, FALSE)/100))*8760)/1000</f>
        <v>3286.8174099166126</v>
      </c>
      <c r="L47" s="30">
        <f>(L23*(VLOOKUP(L$27,tech_data!$B$2:$O$15,6, FALSE)/100)*(1-(VLOOKUP(L$27,tech_data!$B$2:$O$15,7, FALSE)/100))*8760)/1000</f>
        <v>6389.7129493645534</v>
      </c>
      <c r="M47" s="30">
        <f>(M23*(VLOOKUP(M$27,tech_data!$B$2:$O$15,6, FALSE)/100)*(1-(VLOOKUP(M$27,tech_data!$B$2:$O$15,7, FALSE)/100))*8760)/1000</f>
        <v>775.04439290443929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18.893509186471437</v>
      </c>
      <c r="Q47" s="34">
        <f t="shared" si="17"/>
        <v>68955.999925914613</v>
      </c>
      <c r="R47" s="34">
        <f>proj_rukn!D101</f>
        <v>68956</v>
      </c>
      <c r="S47" s="35"/>
      <c r="T47" s="19"/>
      <c r="U47" s="20" t="str">
        <f t="shared" si="18"/>
        <v>KALIMANTAN</v>
      </c>
      <c r="V47" s="20">
        <f t="shared" si="18"/>
        <v>2038</v>
      </c>
      <c r="W47" s="29">
        <f t="shared" si="19"/>
        <v>0.27399999918568613</v>
      </c>
      <c r="X47" s="29">
        <f t="shared" si="19"/>
        <v>5.2201851696759366E-2</v>
      </c>
      <c r="Y47" s="29">
        <f t="shared" si="19"/>
        <v>0.22759814850672436</v>
      </c>
      <c r="Z47" s="29">
        <f t="shared" si="19"/>
        <v>0.17460000009825019</v>
      </c>
      <c r="AA47" s="29">
        <f t="shared" si="19"/>
        <v>1.6601262410431555E-2</v>
      </c>
      <c r="AB47" s="29">
        <f t="shared" si="19"/>
        <v>4.5265415906692502E-2</v>
      </c>
      <c r="AC47" s="29">
        <f t="shared" si="19"/>
        <v>5.8164571638366767E-2</v>
      </c>
      <c r="AD47" s="29">
        <f t="shared" si="19"/>
        <v>4.7665430324379671E-2</v>
      </c>
      <c r="AE47" s="29">
        <f t="shared" ref="AE47:AI47" si="51">L47/$Q47</f>
        <v>9.2663625445640316E-2</v>
      </c>
      <c r="AF47" s="29">
        <f t="shared" si="51"/>
        <v>1.1239694787069094E-2</v>
      </c>
      <c r="AG47" s="29">
        <f t="shared" si="51"/>
        <v>0</v>
      </c>
      <c r="AH47" s="29">
        <f t="shared" si="51"/>
        <v>0</v>
      </c>
      <c r="AI47" s="29">
        <f t="shared" si="51"/>
        <v>2.7399369462802897E-4</v>
      </c>
      <c r="AJ47" s="29">
        <f t="shared" si="20"/>
        <v>0.99999999999999989</v>
      </c>
      <c r="AM47" s="23"/>
      <c r="AO47" s="20" t="str">
        <f t="shared" si="39"/>
        <v>KALIMANTAN</v>
      </c>
      <c r="AP47" s="20">
        <f t="shared" si="40"/>
        <v>2038</v>
      </c>
      <c r="AQ47" s="25">
        <f t="shared" si="21"/>
        <v>0.27399999918568613</v>
      </c>
      <c r="AR47" s="25">
        <f t="shared" si="22"/>
        <v>0.27980000020348372</v>
      </c>
      <c r="AS47" s="25">
        <f t="shared" si="23"/>
        <v>0.17460000009825019</v>
      </c>
      <c r="AT47" s="37">
        <f t="shared" si="24"/>
        <v>0.27160000051257988</v>
      </c>
      <c r="AU47" s="24">
        <f t="shared" si="32"/>
        <v>0.99999999999999978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0.24767217063715</v>
      </c>
      <c r="AZ47" s="25">
        <f t="shared" si="47"/>
        <v>0.27160000000000001</v>
      </c>
      <c r="BA47" s="24">
        <f t="shared" si="34"/>
        <v>1.07307217063715</v>
      </c>
      <c r="BJ47" s="19"/>
      <c r="BK47" s="20" t="str">
        <f t="shared" si="44"/>
        <v>KALIMANTAN</v>
      </c>
      <c r="BL47" s="20">
        <f t="shared" si="45"/>
        <v>2038</v>
      </c>
      <c r="BM47" s="34">
        <f>proj_rukn!E101</f>
        <v>8099.7890949655912</v>
      </c>
      <c r="BN47" s="30">
        <f t="shared" si="26"/>
        <v>9314.7574592104284</v>
      </c>
      <c r="BO47" s="30">
        <f t="shared" si="35"/>
        <v>14375.846630093094</v>
      </c>
      <c r="BQ47" s="30">
        <f t="shared" si="27"/>
        <v>3725.9029836841714</v>
      </c>
      <c r="BR47" s="30">
        <f t="shared" si="36"/>
        <v>10054.013204187493</v>
      </c>
      <c r="BS47" s="30"/>
      <c r="BT47" s="30">
        <f t="shared" si="28"/>
        <v>1862.9514918420857</v>
      </c>
      <c r="BU47" s="30">
        <f t="shared" si="37"/>
        <v>4321.8334259056001</v>
      </c>
      <c r="BW47" s="30">
        <f t="shared" si="29"/>
        <v>2.8658584817641337</v>
      </c>
      <c r="BX47" s="30">
        <f t="shared" si="38"/>
        <v>0</v>
      </c>
      <c r="BZ47" s="24">
        <f t="shared" si="46"/>
        <v>0.12225625707150717</v>
      </c>
      <c r="CA47" s="24">
        <f t="shared" si="30"/>
        <v>0.17549863856562076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KALIMANTAN</v>
      </c>
      <c r="C52" s="20">
        <f t="shared" si="52"/>
        <v>2019</v>
      </c>
      <c r="D52" s="30">
        <f>(kalimantan!D28*3.6/(VLOOKUP(D$51,tech_data!$B$2:$J$15,4,FALSE)/100))/1000</f>
        <v>110.63328120000001</v>
      </c>
      <c r="E52" s="30">
        <f>(kalimantan!E28*3.6/(VLOOKUP(E$51,tech_data!$B$2:$J$15,4,FALSE)/100))/1000</f>
        <v>16.143577135018838</v>
      </c>
      <c r="F52" s="30">
        <f>(kalimantan!F28*3.6/(VLOOKUP(F$51,tech_data!$B$2:$J$15,4,FALSE)/100))/1000</f>
        <v>1.0247605872527472</v>
      </c>
      <c r="G52" s="30">
        <f>(kalimantan!G28*3.6/(VLOOKUP(G$51,tech_data!$B$2:$J$15,4,FALSE)/100))/1000</f>
        <v>67.449875615036788</v>
      </c>
      <c r="H52" s="30">
        <f>(kalimantan!H28*3.6/(VLOOKUP(H$51,tech_data!$B$2:$J$15,4,FALSE)/100))/1000</f>
        <v>0</v>
      </c>
      <c r="I52" s="30">
        <f>(kalimantan!I28*3.6/(VLOOKUP(I$51,tech_data!$B$2:$J$15,4,FALSE)/100))/1000</f>
        <v>4.4457097431060726</v>
      </c>
      <c r="J52" s="30">
        <f>(kalimantan!J28*3.6/(VLOOKUP(J$51,tech_data!$B$2:$J$15,4,FALSE)/100))/1000</f>
        <v>9.2159836061538492E-2</v>
      </c>
      <c r="K52" s="30">
        <f>K28*3.6/1000</f>
        <v>4.0397616000000004E-3</v>
      </c>
      <c r="L52" s="30">
        <f>L28*3.6/1000</f>
        <v>0</v>
      </c>
      <c r="M52" s="30">
        <f>(kalimantan!M28*3.6/(VLOOKUP(M$51,tech_data!$B$2:$J$15,4,FALSE)/100))/1000</f>
        <v>2.8351910635235731</v>
      </c>
      <c r="N52" s="30">
        <f>N28*3.6/1000</f>
        <v>0</v>
      </c>
      <c r="O52" s="30">
        <f>(kalimantan!O28*3.6/(VLOOKUP(O$51,tech_data!$B$2:$J$15,4,FALSE)/100))/1000</f>
        <v>0</v>
      </c>
      <c r="P52" s="30">
        <v>0</v>
      </c>
      <c r="Q52" s="30">
        <f t="shared" ref="Q52:Q71" si="53">SUM(D52:O52)</f>
        <v>202.6285949415996</v>
      </c>
      <c r="R52" s="30"/>
      <c r="T52" s="19"/>
      <c r="U52" s="20" t="str">
        <f t="shared" ref="U52:V71" si="54">B52</f>
        <v>KALIMANTAN</v>
      </c>
      <c r="V52" s="20">
        <f t="shared" si="54"/>
        <v>2019</v>
      </c>
      <c r="W52" s="30">
        <f>D52*VLOOKUP(W$51,tech_data!$B$2:$K$15,10,FALSE)*1000</f>
        <v>11032350.801264001</v>
      </c>
      <c r="X52" s="30">
        <f>E52*VLOOKUP(X$51,tech_data!$B$2:$K$15,10,FALSE)*1000</f>
        <v>1002516.1400846698</v>
      </c>
      <c r="Y52" s="30">
        <f>F52*VLOOKUP(Y$51,tech_data!$B$2:$K$15,10,FALSE)*1000</f>
        <v>63637.632468395605</v>
      </c>
      <c r="Z52" s="30">
        <f>G52*VLOOKUP(Z$51,tech_data!$B$2:$K$15,10,FALSE)*1000</f>
        <v>5070207.1499823155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318562.06789750868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17487273.791696891</v>
      </c>
      <c r="AK52" s="25"/>
      <c r="AM52" s="23"/>
      <c r="AO52" s="20" t="str">
        <f t="shared" ref="AO52:AP71" si="56">U52</f>
        <v>KALIMANTAN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113.37791452865655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12.03874380158978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1.3680229644162982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13.668916103575459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9.9938129303213241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0.17426871059618854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6.5880000000000001E-3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4.2195962242787868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154.84786326343436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KALIMANTAN</v>
      </c>
      <c r="C53" s="20">
        <f t="shared" si="52"/>
        <v>2020</v>
      </c>
      <c r="D53" s="30">
        <f>(kalimantan!D29*3.6/(VLOOKUP(D$51,tech_data!$B$2:$J$15,4,FALSE)/100))/1000</f>
        <v>120.19911451405258</v>
      </c>
      <c r="E53" s="30">
        <f>(kalimantan!E29*3.6/(VLOOKUP(E$51,tech_data!$B$2:$J$15,4,FALSE)/100))/1000</f>
        <v>16.143577104845619</v>
      </c>
      <c r="F53" s="30">
        <f>(kalimantan!F29*3.6/(VLOOKUP(F$51,tech_data!$B$2:$J$15,4,FALSE)/100))/1000</f>
        <v>4.5310801340673015</v>
      </c>
      <c r="G53" s="30">
        <f>(kalimantan!G29*3.6/(VLOOKUP(G$51,tech_data!$B$2:$J$15,4,FALSE)/100))/1000</f>
        <v>67.449875615036788</v>
      </c>
      <c r="H53" s="30">
        <f>(kalimantan!H29*3.6/(VLOOKUP(H$51,tech_data!$B$2:$J$15,4,FALSE)/100))/1000</f>
        <v>0</v>
      </c>
      <c r="I53" s="30">
        <f>(kalimantan!I29*3.6/(VLOOKUP(I$51,tech_data!$B$2:$J$15,4,FALSE)/100))/1000</f>
        <v>4.7984144297328593</v>
      </c>
      <c r="J53" s="30">
        <f>(kalimantan!J29*3.6/(VLOOKUP(J$51,tech_data!$B$2:$J$15,4,FALSE)/100))/1000</f>
        <v>2.4607352045999837</v>
      </c>
      <c r="K53" s="30">
        <f t="shared" ref="K53:L53" si="57">K29*3.6/1000</f>
        <v>6.0585768262504835</v>
      </c>
      <c r="L53" s="30">
        <f t="shared" si="57"/>
        <v>0</v>
      </c>
      <c r="M53" s="30">
        <f>(kalimantan!M29*3.6/(VLOOKUP(M$51,tech_data!$B$2:$J$15,4,FALSE)/100))/1000</f>
        <v>2.8351910635235731</v>
      </c>
      <c r="N53" s="30">
        <f t="shared" ref="N53:N71" si="58">N29*3.6/1000</f>
        <v>0</v>
      </c>
      <c r="O53" s="30">
        <f>(kalimantan!O29*3.6/(VLOOKUP(O$51,tech_data!$B$2:$J$15,4,FALSE)/100))/1000</f>
        <v>0</v>
      </c>
      <c r="P53" s="30">
        <v>0</v>
      </c>
      <c r="Q53" s="30">
        <f t="shared" si="53"/>
        <v>224.47656489210922</v>
      </c>
      <c r="R53" s="30"/>
      <c r="T53" s="19"/>
      <c r="U53" s="20" t="str">
        <f t="shared" si="54"/>
        <v>KALIMANTAN</v>
      </c>
      <c r="V53" s="20">
        <f t="shared" si="54"/>
        <v>2020</v>
      </c>
      <c r="W53" s="30">
        <f>D53*VLOOKUP(W$51,tech_data!$B$2:$K$15,10,FALSE)*1000</f>
        <v>11986255.699341323</v>
      </c>
      <c r="X53" s="30">
        <f>E53*VLOOKUP(X$51,tech_data!$B$2:$K$15,10,FALSE)*1000</f>
        <v>1002516.1382109129</v>
      </c>
      <c r="Y53" s="30">
        <f>F53*VLOOKUP(Y$51,tech_data!$B$2:$K$15,10,FALSE)*1000</f>
        <v>281380.07632557943</v>
      </c>
      <c r="Z53" s="30">
        <f>G53*VLOOKUP(Z$51,tech_data!$B$2:$K$15,10,FALSE)*1000</f>
        <v>5070207.1499823155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318562.06789750868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18658921.131757639</v>
      </c>
      <c r="AK53" s="25">
        <f>(AJ53-AJ52)/AJ52</f>
        <v>6.6999999772237598E-2</v>
      </c>
      <c r="AL53" s="24">
        <v>6.7000000000000004E-2</v>
      </c>
      <c r="AM53" s="26"/>
      <c r="AN53" s="24"/>
      <c r="AO53" s="20" t="str">
        <f t="shared" si="56"/>
        <v>KALIMANTAN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436.52930730240354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12.038743052422051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140.17551972528801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13.668916103575459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54.326316616033829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232.5963328594386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1032.90262452396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4.2195962242787868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1.7391623345608349</v>
      </c>
      <c r="BD53" s="30">
        <f>SUM(AQ53:BC53)</f>
        <v>1928.1965187419612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KALIMANTAN</v>
      </c>
      <c r="C54" s="20">
        <f t="shared" si="52"/>
        <v>2021</v>
      </c>
      <c r="D54" s="30">
        <f>(kalimantan!D30*3.6/(VLOOKUP(D$51,tech_data!$B$2:$J$15,4,FALSE)/100))/1000</f>
        <v>125.67020009066948</v>
      </c>
      <c r="E54" s="30">
        <f>(kalimantan!E30*3.6/(VLOOKUP(E$51,tech_data!$B$2:$J$15,4,FALSE)/100))/1000</f>
        <v>16.1435770746724</v>
      </c>
      <c r="F54" s="30">
        <f>(kalimantan!F30*3.6/(VLOOKUP(F$51,tech_data!$B$2:$J$15,4,FALSE)/100))/1000</f>
        <v>15.876829930916966</v>
      </c>
      <c r="G54" s="30">
        <f>(kalimantan!G30*3.6/(VLOOKUP(G$51,tech_data!$B$2:$J$15,4,FALSE)/100))/1000</f>
        <v>67.449875615036788</v>
      </c>
      <c r="H54" s="30">
        <f>(kalimantan!H30*3.6/(VLOOKUP(H$51,tech_data!$B$2:$J$15,4,FALSE)/100))/1000</f>
        <v>0</v>
      </c>
      <c r="I54" s="30">
        <f>(kalimantan!I30*3.6/(VLOOKUP(I$51,tech_data!$B$2:$J$15,4,FALSE)/100))/1000</f>
        <v>8.3040446009870426</v>
      </c>
      <c r="J54" s="30">
        <f>(kalimantan!J30*3.6/(VLOOKUP(J$51,tech_data!$B$2:$J$15,4,FALSE)/100))/1000</f>
        <v>3.0674741367764704</v>
      </c>
      <c r="K54" s="30">
        <f t="shared" ref="K54:L54" si="59">K30*3.6/1000</f>
        <v>6.0585768262504835</v>
      </c>
      <c r="L54" s="30">
        <f t="shared" si="59"/>
        <v>0</v>
      </c>
      <c r="M54" s="30">
        <f>(kalimantan!M30*3.6/(VLOOKUP(M$51,tech_data!$B$2:$J$15,4,FALSE)/100))/1000</f>
        <v>2.8351910635235731</v>
      </c>
      <c r="N54" s="30">
        <f t="shared" si="58"/>
        <v>0</v>
      </c>
      <c r="O54" s="30">
        <f>(kalimantan!O30*3.6/(VLOOKUP(O$51,tech_data!$B$2:$J$15,4,FALSE)/100))/1000</f>
        <v>0</v>
      </c>
      <c r="P54" s="30">
        <v>0</v>
      </c>
      <c r="Q54" s="30">
        <f t="shared" si="53"/>
        <v>245.40576933883324</v>
      </c>
      <c r="R54" s="30"/>
      <c r="T54" s="19"/>
      <c r="U54" s="20" t="str">
        <f t="shared" si="54"/>
        <v>KALIMANTAN</v>
      </c>
      <c r="V54" s="20">
        <f t="shared" si="54"/>
        <v>2021</v>
      </c>
      <c r="W54" s="30">
        <f>D54*VLOOKUP(W$51,tech_data!$B$2:$K$15,10,FALSE)*1000</f>
        <v>12531832.353041559</v>
      </c>
      <c r="X54" s="30">
        <f>E54*VLOOKUP(X$51,tech_data!$B$2:$K$15,10,FALSE)*1000</f>
        <v>1002516.1363371562</v>
      </c>
      <c r="Y54" s="30">
        <f>F54*VLOOKUP(Y$51,tech_data!$B$2:$K$15,10,FALSE)*1000</f>
        <v>985951.13870994363</v>
      </c>
      <c r="Z54" s="30">
        <f>G54*VLOOKUP(Z$51,tech_data!$B$2:$K$15,10,FALSE)*1000</f>
        <v>5070207.1499823155</v>
      </c>
      <c r="AA54" s="30">
        <f>H30*VLOOKUP(AA$51,tech_data!$B$2:$K$15,10,FALSE)/1000</f>
        <v>0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318562.06789750868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19909068.845968485</v>
      </c>
      <c r="AK54" s="25">
        <f t="shared" ref="AK54:AK71" si="60">(AJ54-AJ53)/AJ53</f>
        <v>6.699999991334353E-2</v>
      </c>
      <c r="AL54" s="24">
        <f>AL53</f>
        <v>6.7000000000000004E-2</v>
      </c>
      <c r="AM54" s="26"/>
      <c r="AN54" s="24"/>
      <c r="AO54" s="20" t="str">
        <f t="shared" si="56"/>
        <v>KALIMANTAN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308.00436531381098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12.038743029920989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455.20218652699037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13.668916103575459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0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451.41979035963362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64.190796158215122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9.8802622737287731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4.2195962242787868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0.22534323788044877</v>
      </c>
      <c r="BD54" s="30">
        <f t="shared" ref="BD54:BD71" si="61">SUM(AQ54:BC54)</f>
        <v>1318.8499992280344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KALIMANTAN</v>
      </c>
      <c r="C55" s="20">
        <f t="shared" si="52"/>
        <v>2022</v>
      </c>
      <c r="D55" s="30">
        <f>(kalimantan!D31*3.6/(VLOOKUP(D$51,tech_data!$B$2:$J$15,4,FALSE)/100))/1000</f>
        <v>130.78805213074889</v>
      </c>
      <c r="E55" s="30">
        <f>(kalimantan!E31*3.6/(VLOOKUP(E$51,tech_data!$B$2:$J$15,4,FALSE)/100))/1000</f>
        <v>16.143577044499182</v>
      </c>
      <c r="F55" s="30">
        <f>(kalimantan!F31*3.6/(VLOOKUP(F$51,tech_data!$B$2:$J$15,4,FALSE)/100))/1000</f>
        <v>29.138592107102856</v>
      </c>
      <c r="G55" s="30">
        <f>(kalimantan!G31*3.6/(VLOOKUP(G$51,tech_data!$B$2:$J$15,4,FALSE)/100))/1000</f>
        <v>67.449875615036788</v>
      </c>
      <c r="H55" s="30">
        <f>(kalimantan!H31*3.6/(VLOOKUP(H$51,tech_data!$B$2:$J$15,4,FALSE)/100))/1000</f>
        <v>0</v>
      </c>
      <c r="I55" s="30">
        <f>(kalimantan!I31*3.6/(VLOOKUP(I$51,tech_data!$B$2:$J$15,4,FALSE)/100))/1000</f>
        <v>8.6689806260917024</v>
      </c>
      <c r="J55" s="30">
        <f>(kalimantan!J31*3.6/(VLOOKUP(J$51,tech_data!$B$2:$J$15,4,FALSE)/100))/1000</f>
        <v>3.0674741101406782</v>
      </c>
      <c r="K55" s="30">
        <f t="shared" ref="K55:L55" si="62">K31*3.6/1000</f>
        <v>10.30710575945484</v>
      </c>
      <c r="L55" s="30">
        <f t="shared" si="62"/>
        <v>0</v>
      </c>
      <c r="M55" s="30">
        <f>(kalimantan!M31*3.6/(VLOOKUP(M$51,tech_data!$B$2:$J$15,4,FALSE)/100))/1000</f>
        <v>2.8351910635235731</v>
      </c>
      <c r="N55" s="30">
        <f t="shared" si="58"/>
        <v>0</v>
      </c>
      <c r="O55" s="30">
        <f>(kalimantan!O31*3.6/(VLOOKUP(O$51,tech_data!$B$2:$J$15,4,FALSE)/100))/1000</f>
        <v>0</v>
      </c>
      <c r="P55" s="30">
        <v>0</v>
      </c>
      <c r="Q55" s="30">
        <f t="shared" si="53"/>
        <v>268.39884845659844</v>
      </c>
      <c r="R55" s="30"/>
      <c r="T55" s="19"/>
      <c r="U55" s="20" t="str">
        <f t="shared" si="54"/>
        <v>KALIMANTAN</v>
      </c>
      <c r="V55" s="20">
        <f t="shared" si="54"/>
        <v>2022</v>
      </c>
      <c r="W55" s="30">
        <f>D55*VLOOKUP(W$51,tech_data!$B$2:$K$15,10,FALSE)*1000</f>
        <v>13042184.558478281</v>
      </c>
      <c r="X55" s="30">
        <f>E55*VLOOKUP(X$51,tech_data!$B$2:$K$15,10,FALSE)*1000</f>
        <v>1002516.1344633992</v>
      </c>
      <c r="Y55" s="30">
        <f>F55*VLOOKUP(Y$51,tech_data!$B$2:$K$15,10,FALSE)*1000</f>
        <v>1809506.5698510874</v>
      </c>
      <c r="Z55" s="30">
        <f>G55*VLOOKUP(Z$51,tech_data!$B$2:$K$15,10,FALSE)*1000</f>
        <v>5070207.1499823155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318562.06789750868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21242976.480672594</v>
      </c>
      <c r="AK55" s="25">
        <f t="shared" si="60"/>
        <v>6.7000001106240631E-2</v>
      </c>
      <c r="AL55" s="24">
        <f>AL54</f>
        <v>6.7000000000000004E-2</v>
      </c>
      <c r="AM55" s="26"/>
      <c r="AN55" s="24"/>
      <c r="AO55" s="20" t="str">
        <f t="shared" si="56"/>
        <v>KALIMANTAN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301.67830301938551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12.038743007419923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546.19912926228972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13.668916103575459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0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64.537123043470899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5.8004066041098383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734.67369392769388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4.2195962242787868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0.31398525410473266</v>
      </c>
      <c r="BD55" s="30">
        <f t="shared" si="61"/>
        <v>1683.1298964463288</v>
      </c>
      <c r="BE55" s="20">
        <v>2022</v>
      </c>
      <c r="BF55" s="23"/>
      <c r="BG55" s="19"/>
      <c r="BH55" s="30"/>
      <c r="BI55" s="30">
        <f>MIN($BD$53)</f>
        <v>1928.1965187419612</v>
      </c>
      <c r="BJ55" s="30">
        <f>MIN($BD$54)</f>
        <v>1318.8499992280344</v>
      </c>
      <c r="BK55" s="30">
        <f t="shared" ref="BK55" si="63">MIN($BD$55)</f>
        <v>1683.1298964463288</v>
      </c>
      <c r="BL55" s="30">
        <f>MIN($BD$56)</f>
        <v>1356.3877726197722</v>
      </c>
      <c r="BM55" s="30">
        <f>MIN($BD$57)</f>
        <v>929.36755101535971</v>
      </c>
      <c r="BN55" s="30">
        <f>MIN($BD$58)</f>
        <v>1020.9486957918448</v>
      </c>
      <c r="BO55" s="30">
        <f>MIN($BD$59)</f>
        <v>515.90811590890291</v>
      </c>
      <c r="BP55" s="30">
        <f>MIN($BD$60)</f>
        <v>1831.205303175685</v>
      </c>
      <c r="BQ55" s="30">
        <f>MIN($BD$61)</f>
        <v>786.12072262176741</v>
      </c>
      <c r="BR55" s="30">
        <f>MIN($BD$62)</f>
        <v>499.01488308502786</v>
      </c>
      <c r="BS55" s="30">
        <f>MIN($BD$63)</f>
        <v>476.44228801300017</v>
      </c>
      <c r="BT55" s="30">
        <f>MIN($BD$64)</f>
        <v>488.93615227269851</v>
      </c>
      <c r="BU55" s="30">
        <f>MIN($BD$65)</f>
        <v>984.7204204328674</v>
      </c>
      <c r="BV55" s="30">
        <f>MIN($BD$66)</f>
        <v>1086.5687498447517</v>
      </c>
      <c r="BW55" s="30">
        <f>MIN($BD$67)</f>
        <v>2195.0385239622719</v>
      </c>
      <c r="BX55" s="30">
        <f>MIN($BD$68)</f>
        <v>1491.2286328989037</v>
      </c>
      <c r="BY55" s="30">
        <f>MIN($BD$69)</f>
        <v>1091.550116602479</v>
      </c>
      <c r="BZ55" s="30">
        <f>MIN($BD$70)</f>
        <v>1184.9083902537013</v>
      </c>
      <c r="CA55" s="30">
        <f>MIN($BD$71)</f>
        <v>1389.3655438659937</v>
      </c>
      <c r="CD55" s="23"/>
    </row>
    <row r="56" spans="1:82" x14ac:dyDescent="0.25">
      <c r="A56" s="19"/>
      <c r="B56" s="20" t="str">
        <f t="shared" si="52"/>
        <v>KALIMANTAN</v>
      </c>
      <c r="C56" s="20">
        <f t="shared" si="52"/>
        <v>2023</v>
      </c>
      <c r="D56" s="30">
        <f>(kalimantan!D32*3.6/(VLOOKUP(D$51,tech_data!$B$2:$J$15,4,FALSE)/100))/1000</f>
        <v>130.78805213074889</v>
      </c>
      <c r="E56" s="30">
        <f>(kalimantan!E32*3.6/(VLOOKUP(E$51,tech_data!$B$2:$J$15,4,FALSE)/100))/1000</f>
        <v>23.260502675659716</v>
      </c>
      <c r="F56" s="30">
        <f>(kalimantan!F32*3.6/(VLOOKUP(F$51,tech_data!$B$2:$J$15,4,FALSE)/100))/1000</f>
        <v>35.170330207991128</v>
      </c>
      <c r="G56" s="30">
        <f>(kalimantan!G32*3.6/(VLOOKUP(G$51,tech_data!$B$2:$J$15,4,FALSE)/100))/1000</f>
        <v>67.449875615036831</v>
      </c>
      <c r="H56" s="30">
        <f>(kalimantan!H32*3.6/(VLOOKUP(H$51,tech_data!$B$2:$J$15,4,FALSE)/100))/1000</f>
        <v>15.746991746976002</v>
      </c>
      <c r="I56" s="30">
        <f>(kalimantan!I32*3.6/(VLOOKUP(I$51,tech_data!$B$2:$J$15,4,FALSE)/100))/1000</f>
        <v>9.8398157144355682</v>
      </c>
      <c r="J56" s="30">
        <f>(kalimantan!J32*3.6/(VLOOKUP(J$51,tech_data!$B$2:$J$15,4,FALSE)/100))/1000</f>
        <v>3.5647957585345624</v>
      </c>
      <c r="K56" s="30">
        <f t="shared" ref="K56:L56" si="64">K32*3.6/1000</f>
        <v>10.413388719307147</v>
      </c>
      <c r="L56" s="30">
        <f t="shared" si="64"/>
        <v>9.2159998183802119E-2</v>
      </c>
      <c r="M56" s="30">
        <f>(kalimantan!M32*3.6/(VLOOKUP(M$51,tech_data!$B$2:$J$15,4,FALSE)/100))/1000</f>
        <v>4.6418020090168</v>
      </c>
      <c r="N56" s="30">
        <f t="shared" si="58"/>
        <v>0</v>
      </c>
      <c r="O56" s="30">
        <f>(kalimantan!O32*3.6/(VLOOKUP(O$51,tech_data!$B$2:$J$15,4,FALSE)/100))/1000</f>
        <v>0</v>
      </c>
      <c r="P56" s="30">
        <v>0</v>
      </c>
      <c r="Q56" s="30">
        <f t="shared" si="53"/>
        <v>300.96771457589045</v>
      </c>
      <c r="R56" s="30"/>
      <c r="T56" s="19"/>
      <c r="U56" s="20" t="str">
        <f t="shared" si="54"/>
        <v>KALIMANTAN</v>
      </c>
      <c r="V56" s="20">
        <f t="shared" si="54"/>
        <v>2023</v>
      </c>
      <c r="W56" s="30">
        <f>D56*VLOOKUP(W$51,tech_data!$B$2:$K$15,10,FALSE)*1000</f>
        <v>13042184.558478281</v>
      </c>
      <c r="X56" s="30">
        <f>E56*VLOOKUP(X$51,tech_data!$B$2:$K$15,10,FALSE)*1000</f>
        <v>1444477.2161584683</v>
      </c>
      <c r="Y56" s="30">
        <f>F56*VLOOKUP(Y$51,tech_data!$B$2:$K$15,10,FALSE)*1000</f>
        <v>2184077.5059162495</v>
      </c>
      <c r="Z56" s="30">
        <f>G56*VLOOKUP(Z$51,tech_data!$B$2:$K$15,10,FALSE)*1000</f>
        <v>5070207.1499823183</v>
      </c>
      <c r="AA56" s="30">
        <f>H32*VLOOKUP(AA$51,tech_data!$B$2:$K$15,10,FALSE)/1000</f>
        <v>37.143216783179639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521552.87373312761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22262536.447485227</v>
      </c>
      <c r="AK56" s="25">
        <f t="shared" si="60"/>
        <v>4.7995155845521685E-2</v>
      </c>
      <c r="AL56" s="24">
        <f t="shared" ref="AL56:AL70" si="65">AL55</f>
        <v>6.7000000000000004E-2</v>
      </c>
      <c r="AM56" s="26"/>
      <c r="AN56" s="24"/>
      <c r="AO56" s="20" t="str">
        <f t="shared" si="56"/>
        <v>KALIMANTAN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134.03269282995402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188.74415567529104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277.68237428833993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13.668916103576453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355.28862615413118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166.65334365012856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54.601273011998096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34.940450557374675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11.137617226377218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119.44063967335789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0.19768344924311093</v>
      </c>
      <c r="BD56" s="30">
        <f t="shared" si="61"/>
        <v>1356.3877726197722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KALIMANTAN</v>
      </c>
      <c r="C57" s="20">
        <f t="shared" si="52"/>
        <v>2024</v>
      </c>
      <c r="D57" s="30">
        <f>(kalimantan!D33*3.6/(VLOOKUP(D$51,tech_data!$B$2:$J$15,4,FALSE)/100))/1000</f>
        <v>130.78805213074889</v>
      </c>
      <c r="E57" s="30">
        <f>(kalimantan!E33*3.6/(VLOOKUP(E$51,tech_data!$B$2:$J$15,4,FALSE)/100))/1000</f>
        <v>24.835162671599559</v>
      </c>
      <c r="F57" s="30">
        <f>(kalimantan!F33*3.6/(VLOOKUP(F$51,tech_data!$B$2:$J$15,4,FALSE)/100))/1000</f>
        <v>37.353385737627164</v>
      </c>
      <c r="G57" s="30">
        <f>(kalimantan!G33*3.6/(VLOOKUP(G$51,tech_data!$B$2:$J$15,4,FALSE)/100))/1000</f>
        <v>67.449875615036831</v>
      </c>
      <c r="H57" s="30">
        <f>(kalimantan!H33*3.6/(VLOOKUP(H$51,tech_data!$B$2:$J$15,4,FALSE)/100))/1000</f>
        <v>22.897406573606816</v>
      </c>
      <c r="I57" s="30">
        <f>(kalimantan!I33*3.6/(VLOOKUP(I$51,tech_data!$B$2:$J$15,4,FALSE)/100))/1000</f>
        <v>9.8398157144355682</v>
      </c>
      <c r="J57" s="30">
        <f>(kalimantan!J33*3.6/(VLOOKUP(J$51,tech_data!$B$2:$J$15,4,FALSE)/100))/1000</f>
        <v>6.2961537747647451</v>
      </c>
      <c r="K57" s="30">
        <f t="shared" ref="K57:L57" si="66">K33*3.6/1000</f>
        <v>10.694670368558709</v>
      </c>
      <c r="L57" s="30">
        <f t="shared" si="66"/>
        <v>0.2330884918057777</v>
      </c>
      <c r="M57" s="30">
        <f>(kalimantan!M33*3.6/(VLOOKUP(M$51,tech_data!$B$2:$J$15,4,FALSE)/100))/1000</f>
        <v>5.2642368162203983</v>
      </c>
      <c r="N57" s="30">
        <f t="shared" si="58"/>
        <v>0</v>
      </c>
      <c r="O57" s="30">
        <f>(kalimantan!O33*3.6/(VLOOKUP(O$51,tech_data!$B$2:$J$15,4,FALSE)/100))/1000</f>
        <v>0</v>
      </c>
      <c r="P57" s="30">
        <v>0</v>
      </c>
      <c r="Q57" s="30">
        <f t="shared" si="53"/>
        <v>315.65184789440445</v>
      </c>
      <c r="R57" s="30"/>
      <c r="T57" s="19"/>
      <c r="U57" s="20" t="str">
        <f t="shared" si="54"/>
        <v>KALIMANTAN</v>
      </c>
      <c r="V57" s="20">
        <f t="shared" si="54"/>
        <v>2024</v>
      </c>
      <c r="W57" s="30">
        <f>D57*VLOOKUP(W$51,tech_data!$B$2:$K$15,10,FALSE)*1000</f>
        <v>13042184.558478281</v>
      </c>
      <c r="X57" s="30">
        <f>E57*VLOOKUP(X$51,tech_data!$B$2:$K$15,10,FALSE)*1000</f>
        <v>1542263.6019063327</v>
      </c>
      <c r="Y57" s="30">
        <f>F57*VLOOKUP(Y$51,tech_data!$B$2:$K$15,10,FALSE)*1000</f>
        <v>2319645.254306647</v>
      </c>
      <c r="Z57" s="30">
        <f>G57*VLOOKUP(Z$51,tech_data!$B$2:$K$15,10,FALSE)*1000</f>
        <v>5070207.1499823183</v>
      </c>
      <c r="AA57" s="30">
        <f>H33*VLOOKUP(AA$51,tech_data!$B$2:$K$15,10,FALSE)/1000</f>
        <v>54.009257755495078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591489.64867052389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22565844.222601861</v>
      </c>
      <c r="AK57" s="25">
        <f t="shared" si="60"/>
        <v>1.3624133792306278E-2</v>
      </c>
      <c r="AL57" s="24">
        <f t="shared" si="65"/>
        <v>6.7000000000000004E-2</v>
      </c>
      <c r="AM57" s="26"/>
      <c r="AN57" s="24"/>
      <c r="AO57" s="20" t="str">
        <f t="shared" si="56"/>
        <v>KALIMANTAN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134.03269282995402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56.443116565560587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133.37365619799803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13.668916103575468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165.81320432897289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22.119590166990996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274.76178462545732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64.968321237245618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17.459169324078584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46.605669662599439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0.12142997292692032</v>
      </c>
      <c r="BD57" s="30">
        <f t="shared" si="61"/>
        <v>929.36755101535971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KALIMANTAN</v>
      </c>
      <c r="C58" s="20">
        <f t="shared" si="52"/>
        <v>2025</v>
      </c>
      <c r="D58" s="30">
        <f>(kalimantan!D34*3.6/(VLOOKUP(D$51,tech_data!$B$2:$J$15,4,FALSE)/100))/1000</f>
        <v>130.78805213074889</v>
      </c>
      <c r="E58" s="30">
        <f>(kalimantan!E34*3.6/(VLOOKUP(E$51,tech_data!$B$2:$J$15,4,FALSE)/100))/1000</f>
        <v>28.338648668251455</v>
      </c>
      <c r="F58" s="30">
        <f>(kalimantan!F34*3.6/(VLOOKUP(F$51,tech_data!$B$2:$J$15,4,FALSE)/100))/1000</f>
        <v>38.626008258312616</v>
      </c>
      <c r="G58" s="30">
        <f>(kalimantan!G34*3.6/(VLOOKUP(G$51,tech_data!$B$2:$J$15,4,FALSE)/100))/1000</f>
        <v>67.449875615036831</v>
      </c>
      <c r="H58" s="30">
        <f>(kalimantan!H34*3.6/(VLOOKUP(H$51,tech_data!$B$2:$J$15,4,FALSE)/100))/1000</f>
        <v>27.195683582977352</v>
      </c>
      <c r="I58" s="30">
        <f>(kalimantan!I34*3.6/(VLOOKUP(I$51,tech_data!$B$2:$J$15,4,FALSE)/100))/1000</f>
        <v>10.708388476701426</v>
      </c>
      <c r="J58" s="30">
        <f>(kalimantan!J34*3.6/(VLOOKUP(J$51,tech_data!$B$2:$J$15,4,FALSE)/100))/1000</f>
        <v>7.3249673847789136</v>
      </c>
      <c r="K58" s="30">
        <f t="shared" ref="K58:L58" si="67">K34*3.6/1000</f>
        <v>11.268868526431881</v>
      </c>
      <c r="L58" s="30">
        <f t="shared" si="67"/>
        <v>1.045047515725827</v>
      </c>
      <c r="M58" s="30">
        <f>(kalimantan!M34*3.6/(VLOOKUP(M$51,tech_data!$B$2:$J$15,4,FALSE)/100))/1000</f>
        <v>6.7891833192227917</v>
      </c>
      <c r="N58" s="30">
        <f t="shared" si="58"/>
        <v>0</v>
      </c>
      <c r="O58" s="30">
        <f>(kalimantan!O34*3.6/(VLOOKUP(O$51,tech_data!$B$2:$J$15,4,FALSE)/100))/1000</f>
        <v>0</v>
      </c>
      <c r="P58" s="30">
        <v>0</v>
      </c>
      <c r="Q58" s="30">
        <f t="shared" si="53"/>
        <v>329.53472347818803</v>
      </c>
      <c r="R58" s="30"/>
      <c r="T58" s="19"/>
      <c r="U58" s="20" t="str">
        <f t="shared" si="54"/>
        <v>KALIMANTAN</v>
      </c>
      <c r="V58" s="20">
        <f t="shared" si="54"/>
        <v>2025</v>
      </c>
      <c r="W58" s="30">
        <f>D58*VLOOKUP(W$51,tech_data!$B$2:$K$15,10,FALSE)*1000</f>
        <v>13042184.558478281</v>
      </c>
      <c r="X58" s="30">
        <f>E58*VLOOKUP(X$51,tech_data!$B$2:$K$15,10,FALSE)*1000</f>
        <v>1759830.0822984155</v>
      </c>
      <c r="Y58" s="30">
        <f>F58*VLOOKUP(Y$51,tech_data!$B$2:$K$15,10,FALSE)*1000</f>
        <v>2398675.1128412136</v>
      </c>
      <c r="Z58" s="30">
        <f>G58*VLOOKUP(Z$51,tech_data!$B$2:$K$15,10,FALSE)*1000</f>
        <v>5070207.1499823183</v>
      </c>
      <c r="AA58" s="30">
        <f>H34*VLOOKUP(AA$51,tech_data!$B$2:$K$15,10,FALSE)/1000</f>
        <v>64.147818651347833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762832.63774787297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23033793.689166751</v>
      </c>
      <c r="AK58" s="25">
        <f t="shared" si="60"/>
        <v>2.0737068905943862E-2</v>
      </c>
      <c r="AL58" s="24">
        <f t="shared" si="65"/>
        <v>6.7000000000000004E-2</v>
      </c>
      <c r="AM58" s="26"/>
      <c r="AN58" s="24"/>
      <c r="AO58" s="20" t="str">
        <f t="shared" si="56"/>
        <v>KALIMANTAN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134.03269282995402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105.50800887443977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100.24592125208062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13.668916103575468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103.49813717611234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131.29309039100514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112.86041890008322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115.3982023183702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99.208037281557779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105.09193194802108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0.14333871664525297</v>
      </c>
      <c r="BD58" s="30">
        <f t="shared" si="61"/>
        <v>1020.9486957918448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0</v>
      </c>
      <c r="BX58" s="20" t="b">
        <f>$AK$68&lt;=$AL$68</f>
        <v>0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KALIMANTAN</v>
      </c>
      <c r="C59" s="20">
        <f t="shared" si="52"/>
        <v>2026</v>
      </c>
      <c r="D59" s="30">
        <f>(kalimantan!D35*3.6/(VLOOKUP(D$51,tech_data!$B$2:$J$15,4,FALSE)/100))/1000</f>
        <v>130.78805213074889</v>
      </c>
      <c r="E59" s="30">
        <f>(kalimantan!E35*3.6/(VLOOKUP(E$51,tech_data!$B$2:$J$15,4,FALSE)/100))/1000</f>
        <v>30.094986144950312</v>
      </c>
      <c r="F59" s="30">
        <f>(kalimantan!F35*3.6/(VLOOKUP(F$51,tech_data!$B$2:$J$15,4,FALSE)/100))/1000</f>
        <v>39.543805811813932</v>
      </c>
      <c r="G59" s="30">
        <f>(kalimantan!G35*3.6/(VLOOKUP(G$51,tech_data!$B$2:$J$15,4,FALSE)/100))/1000</f>
        <v>67.449875615036831</v>
      </c>
      <c r="H59" s="30">
        <f>(kalimantan!H35*3.6/(VLOOKUP(H$51,tech_data!$B$2:$J$15,4,FALSE)/100))/1000</f>
        <v>29.344819938524118</v>
      </c>
      <c r="I59" s="30">
        <f>(kalimantan!I35*3.6/(VLOOKUP(I$51,tech_data!$B$2:$J$15,4,FALSE)/100))/1000</f>
        <v>10.831096368533469</v>
      </c>
      <c r="J59" s="30">
        <f>(kalimantan!J35*3.6/(VLOOKUP(J$51,tech_data!$B$2:$J$15,4,FALSE)/100))/1000</f>
        <v>7.8929877193144353</v>
      </c>
      <c r="K59" s="30">
        <f t="shared" ref="K59:L59" si="68">K35*3.6/1000</f>
        <v>11.288772677823561</v>
      </c>
      <c r="L59" s="30">
        <f t="shared" si="68"/>
        <v>1.1080130178105709</v>
      </c>
      <c r="M59" s="30">
        <f>(kalimantan!M35*3.6/(VLOOKUP(M$51,tech_data!$B$2:$J$15,4,FALSE)/100))/1000</f>
        <v>6.880927014190406</v>
      </c>
      <c r="N59" s="30">
        <f t="shared" si="58"/>
        <v>0</v>
      </c>
      <c r="O59" s="30">
        <f>(kalimantan!O35*3.6/(VLOOKUP(O$51,tech_data!$B$2:$J$15,4,FALSE)/100))/1000</f>
        <v>0</v>
      </c>
      <c r="P59" s="30">
        <v>0</v>
      </c>
      <c r="Q59" s="30">
        <f t="shared" si="53"/>
        <v>335.22333643874646</v>
      </c>
      <c r="R59" s="30"/>
      <c r="T59" s="19"/>
      <c r="U59" s="20" t="str">
        <f t="shared" si="54"/>
        <v>KALIMANTAN</v>
      </c>
      <c r="V59" s="20">
        <f t="shared" si="54"/>
        <v>2026</v>
      </c>
      <c r="W59" s="30">
        <f>D59*VLOOKUP(W$51,tech_data!$B$2:$K$15,10,FALSE)*1000</f>
        <v>13042184.558478281</v>
      </c>
      <c r="X59" s="30">
        <f>E59*VLOOKUP(X$51,tech_data!$B$2:$K$15,10,FALSE)*1000</f>
        <v>1868898.6396014146</v>
      </c>
      <c r="Y59" s="30">
        <f>F59*VLOOKUP(Y$51,tech_data!$B$2:$K$15,10,FALSE)*1000</f>
        <v>2455670.3409136455</v>
      </c>
      <c r="Z59" s="30">
        <f>G59*VLOOKUP(Z$51,tech_data!$B$2:$K$15,10,FALSE)*1000</f>
        <v>5070207.1499823183</v>
      </c>
      <c r="AA59" s="30">
        <f>H35*VLOOKUP(AA$51,tech_data!$B$2:$K$15,10,FALSE)/1000</f>
        <v>69.21709402999376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773140.95931443397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23210170.865384124</v>
      </c>
      <c r="AK59" s="25">
        <f t="shared" si="60"/>
        <v>7.6573220459262483E-3</v>
      </c>
      <c r="AL59" s="24">
        <f t="shared" si="65"/>
        <v>6.7000000000000004E-2</v>
      </c>
      <c r="AM59" s="26"/>
      <c r="AN59" s="24"/>
      <c r="AO59" s="20" t="str">
        <f t="shared" si="56"/>
        <v>KALIMANTAN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134.03269282995402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64.740891915413869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87.898090216086473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13.668916103575468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56.232292187521224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39.495634671749841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69.58941280401379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21.772772210109473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12.460882942975983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15.95547604112242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6.1053986380494536E-2</v>
      </c>
      <c r="BD59" s="30">
        <f t="shared" si="61"/>
        <v>515.90811590890291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KALIMANTAN</v>
      </c>
      <c r="C60" s="20">
        <f t="shared" si="52"/>
        <v>2027</v>
      </c>
      <c r="D60" s="30">
        <f>(kalimantan!D36*3.6/(VLOOKUP(D$51,tech_data!$B$2:$J$15,4,FALSE)/100))/1000</f>
        <v>130.78805213074889</v>
      </c>
      <c r="E60" s="30">
        <f>(kalimantan!E36*3.6/(VLOOKUP(E$51,tech_data!$B$2:$J$15,4,FALSE)/100))/1000</f>
        <v>30.094986144950312</v>
      </c>
      <c r="F60" s="30">
        <f>(kalimantan!F36*3.6/(VLOOKUP(F$51,tech_data!$B$2:$J$15,4,FALSE)/100))/1000</f>
        <v>61.689786488088856</v>
      </c>
      <c r="G60" s="30">
        <f>(kalimantan!G36*3.6/(VLOOKUP(G$51,tech_data!$B$2:$J$15,4,FALSE)/100))/1000</f>
        <v>69.842000737847499</v>
      </c>
      <c r="H60" s="30">
        <f>(kalimantan!H36*3.6/(VLOOKUP(H$51,tech_data!$B$2:$J$15,4,FALSE)/100))/1000</f>
        <v>29.344819938524118</v>
      </c>
      <c r="I60" s="30">
        <f>(kalimantan!I36*3.6/(VLOOKUP(I$51,tech_data!$B$2:$J$15,4,FALSE)/100))/1000</f>
        <v>10.831096368533469</v>
      </c>
      <c r="J60" s="30">
        <f>(kalimantan!J36*3.6/(VLOOKUP(J$51,tech_data!$B$2:$J$15,4,FALSE)/100))/1000</f>
        <v>7.8929877193144353</v>
      </c>
      <c r="K60" s="30">
        <f t="shared" ref="K60:L60" si="69">K36*3.6/1000</f>
        <v>11.288772677823561</v>
      </c>
      <c r="L60" s="30">
        <f t="shared" si="69"/>
        <v>6.0787695489717777</v>
      </c>
      <c r="M60" s="30">
        <f>(kalimantan!M36*3.6/(VLOOKUP(M$51,tech_data!$B$2:$J$15,4,FALSE)/100))/1000</f>
        <v>6.880927014190406</v>
      </c>
      <c r="N60" s="30">
        <f t="shared" si="58"/>
        <v>0</v>
      </c>
      <c r="O60" s="30">
        <f>(kalimantan!O36*3.6/(VLOOKUP(O$51,tech_data!$B$2:$J$15,4,FALSE)/100))/1000</f>
        <v>0</v>
      </c>
      <c r="P60" s="30">
        <v>0</v>
      </c>
      <c r="Q60" s="30">
        <f t="shared" si="53"/>
        <v>364.73219876899327</v>
      </c>
      <c r="R60" s="30"/>
      <c r="T60" s="19"/>
      <c r="U60" s="20" t="str">
        <f t="shared" si="54"/>
        <v>KALIMANTAN</v>
      </c>
      <c r="V60" s="20">
        <f t="shared" si="54"/>
        <v>2027</v>
      </c>
      <c r="W60" s="30">
        <f>D60*VLOOKUP(W$51,tech_data!$B$2:$K$15,10,FALSE)*1000</f>
        <v>13042184.558478281</v>
      </c>
      <c r="X60" s="30">
        <f>E60*VLOOKUP(X$51,tech_data!$B$2:$K$15,10,FALSE)*1000</f>
        <v>1868898.6396014146</v>
      </c>
      <c r="Y60" s="30">
        <f>F60*VLOOKUP(Y$51,tech_data!$B$2:$K$15,10,FALSE)*1000</f>
        <v>3830935.7409103182</v>
      </c>
      <c r="Z60" s="30">
        <f>G60*VLOOKUP(Z$51,tech_data!$B$2:$K$15,10,FALSE)*1000</f>
        <v>5250023.1954639964</v>
      </c>
      <c r="AA60" s="30">
        <f>H36*VLOOKUP(AA$51,tech_data!$B$2:$K$15,10,FALSE)/1000</f>
        <v>69.21709402999376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773140.95931443397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24765252.310862478</v>
      </c>
      <c r="AK60" s="25">
        <f t="shared" si="60"/>
        <v>6.6999999892185941E-2</v>
      </c>
      <c r="AL60" s="24">
        <f t="shared" si="65"/>
        <v>6.7000000000000004E-2</v>
      </c>
      <c r="AM60" s="26"/>
      <c r="AN60" s="24"/>
      <c r="AO60" s="20" t="str">
        <f t="shared" si="56"/>
        <v>KALIMANTAN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134.03269282995402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22.442722878656973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929.50050864972684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62.678565115963984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8.3546692580404418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24.347957287418325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14.925165358128524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18.409609715954925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605.86407213200209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10.240838447244329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0.4085015025945079</v>
      </c>
      <c r="BD60" s="30">
        <f t="shared" si="61"/>
        <v>1831.205303175685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0</v>
      </c>
      <c r="BV60" s="20" t="b">
        <f>$AR$42&gt;=$AX$42</f>
        <v>0</v>
      </c>
      <c r="BW60" s="20" t="b">
        <f>$AR$43&gt;=$AX$43</f>
        <v>0</v>
      </c>
      <c r="BX60" s="20" t="b">
        <f>$AR$44&gt;=$AX$44</f>
        <v>1</v>
      </c>
      <c r="BY60" s="20" t="b">
        <f>$AR$45&gt;=$AX$45</f>
        <v>1</v>
      </c>
      <c r="BZ60" s="20" t="b">
        <f>$AR$46&gt;=$AX$46</f>
        <v>0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KALIMANTAN</v>
      </c>
      <c r="C61" s="20">
        <f t="shared" si="52"/>
        <v>2028</v>
      </c>
      <c r="D61" s="30">
        <f>(kalimantan!D37*3.6/(VLOOKUP(D$51,tech_data!$B$2:$J$15,4,FALSE)/100))/1000</f>
        <v>133.09027276740153</v>
      </c>
      <c r="E61" s="30">
        <f>(kalimantan!E37*3.6/(VLOOKUP(E$51,tech_data!$B$2:$J$15,4,FALSE)/100))/1000</f>
        <v>30.094986144950312</v>
      </c>
      <c r="F61" s="30">
        <f>(kalimantan!F37*3.6/(VLOOKUP(F$51,tech_data!$B$2:$J$15,4,FALSE)/100))/1000</f>
        <v>61.689786488088856</v>
      </c>
      <c r="G61" s="30">
        <f>(kalimantan!G37*3.6/(VLOOKUP(G$51,tech_data!$B$2:$J$15,4,FALSE)/100))/1000</f>
        <v>75.91037118515419</v>
      </c>
      <c r="H61" s="30">
        <f>(kalimantan!H37*3.6/(VLOOKUP(H$51,tech_data!$B$2:$J$15,4,FALSE)/100))/1000</f>
        <v>29.344819938524118</v>
      </c>
      <c r="I61" s="30">
        <f>(kalimantan!I37*3.6/(VLOOKUP(I$51,tech_data!$B$2:$J$15,4,FALSE)/100))/1000</f>
        <v>10.831096368533469</v>
      </c>
      <c r="J61" s="30">
        <f>(kalimantan!J37*3.6/(VLOOKUP(J$51,tech_data!$B$2:$J$15,4,FALSE)/100))/1000</f>
        <v>7.8929877193144353</v>
      </c>
      <c r="K61" s="30">
        <f t="shared" ref="K61:L61" si="70">K37*3.6/1000</f>
        <v>11.288772677823561</v>
      </c>
      <c r="L61" s="30">
        <f t="shared" si="70"/>
        <v>7.9520883896095214</v>
      </c>
      <c r="M61" s="30">
        <f>(kalimantan!M37*3.6/(VLOOKUP(M$51,tech_data!$B$2:$J$15,4,FALSE)/100))/1000</f>
        <v>6.880927014190406</v>
      </c>
      <c r="N61" s="30">
        <f t="shared" si="58"/>
        <v>0</v>
      </c>
      <c r="O61" s="30">
        <f>(kalimantan!O37*3.6/(VLOOKUP(O$51,tech_data!$B$2:$J$15,4,FALSE)/100))/1000</f>
        <v>0</v>
      </c>
      <c r="P61" s="30">
        <v>0</v>
      </c>
      <c r="Q61" s="30">
        <f t="shared" si="53"/>
        <v>374.97610869359039</v>
      </c>
      <c r="R61" s="30"/>
      <c r="T61" s="19"/>
      <c r="U61" s="20" t="str">
        <f t="shared" si="54"/>
        <v>KALIMANTAN</v>
      </c>
      <c r="V61" s="20">
        <f t="shared" si="54"/>
        <v>2028</v>
      </c>
      <c r="W61" s="30">
        <f>D61*VLOOKUP(W$51,tech_data!$B$2:$K$15,10,FALSE)*1000</f>
        <v>13271762.000365281</v>
      </c>
      <c r="X61" s="30">
        <f>E61*VLOOKUP(X$51,tech_data!$B$2:$K$15,10,FALSE)*1000</f>
        <v>1868898.6396014146</v>
      </c>
      <c r="Y61" s="30">
        <f>F61*VLOOKUP(Y$51,tech_data!$B$2:$K$15,10,FALSE)*1000</f>
        <v>3830935.7409103182</v>
      </c>
      <c r="Z61" s="30">
        <f>G61*VLOOKUP(Z$51,tech_data!$B$2:$K$15,10,FALSE)*1000</f>
        <v>5706182.6019880408</v>
      </c>
      <c r="AA61" s="30">
        <f>H37*VLOOKUP(AA$51,tech_data!$B$2:$K$15,10,FALSE)/1000</f>
        <v>69.21709402999376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773140.95931443397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25450989.15927352</v>
      </c>
      <c r="AK61" s="25">
        <f t="shared" si="60"/>
        <v>2.7689475552416073E-2</v>
      </c>
      <c r="AL61" s="24">
        <f t="shared" si="65"/>
        <v>6.7000000000000004E-2</v>
      </c>
      <c r="AM61" s="26"/>
      <c r="AN61" s="24"/>
      <c r="AO61" s="20" t="str">
        <f t="shared" si="56"/>
        <v>KALIMANTAN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211.80592813333752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22.442722878656973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82.353913329054606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138.48192702663624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8.3546692580404418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24.347957287418325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14.925165358128524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18.409609715954925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254.61183894866531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10.240838447244329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0.14615223863023111</v>
      </c>
      <c r="BD61" s="30">
        <f t="shared" si="61"/>
        <v>786.12072262176741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KALIMANTAN</v>
      </c>
      <c r="C62" s="20">
        <f t="shared" si="52"/>
        <v>2029</v>
      </c>
      <c r="D62" s="30">
        <f>(kalimantan!D38*3.6/(VLOOKUP(D$51,tech_data!$B$2:$J$15,4,FALSE)/100))/1000</f>
        <v>133.09027276740153</v>
      </c>
      <c r="E62" s="30">
        <f>(kalimantan!E38*3.6/(VLOOKUP(E$51,tech_data!$B$2:$J$15,4,FALSE)/100))/1000</f>
        <v>30.094986144950312</v>
      </c>
      <c r="F62" s="30">
        <f>(kalimantan!F38*3.6/(VLOOKUP(F$51,tech_data!$B$2:$J$15,4,FALSE)/100))/1000</f>
        <v>61.689786488088856</v>
      </c>
      <c r="G62" s="30">
        <f>(kalimantan!G38*3.6/(VLOOKUP(G$51,tech_data!$B$2:$J$15,4,FALSE)/100))/1000</f>
        <v>75.91037118515419</v>
      </c>
      <c r="H62" s="30">
        <f>(kalimantan!H38*3.6/(VLOOKUP(H$51,tech_data!$B$2:$J$15,4,FALSE)/100))/1000</f>
        <v>29.344819765480423</v>
      </c>
      <c r="I62" s="30">
        <f>(kalimantan!I38*3.6/(VLOOKUP(I$51,tech_data!$B$2:$J$15,4,FALSE)/100))/1000</f>
        <v>10.832722266551615</v>
      </c>
      <c r="J62" s="30">
        <f>(kalimantan!J38*3.6/(VLOOKUP(J$51,tech_data!$B$2:$J$15,4,FALSE)/100))/1000</f>
        <v>8.1542381539229538</v>
      </c>
      <c r="K62" s="30">
        <f t="shared" ref="K62:L62" si="71">K38*3.6/1000</f>
        <v>11.358550271214007</v>
      </c>
      <c r="L62" s="30">
        <f t="shared" si="71"/>
        <v>7.9879459282559795</v>
      </c>
      <c r="M62" s="30">
        <f>(kalimantan!M38*3.6/(VLOOKUP(M$51,tech_data!$B$2:$J$15,4,FALSE)/100))/1000</f>
        <v>8.2470484807396129</v>
      </c>
      <c r="N62" s="30">
        <f t="shared" si="58"/>
        <v>0</v>
      </c>
      <c r="O62" s="30">
        <f>(kalimantan!O38*3.6/(VLOOKUP(O$51,tech_data!$B$2:$J$15,4,FALSE)/100))/1000</f>
        <v>0</v>
      </c>
      <c r="P62" s="30">
        <v>0</v>
      </c>
      <c r="Q62" s="30">
        <f t="shared" si="53"/>
        <v>376.71074145175959</v>
      </c>
      <c r="R62" s="30"/>
      <c r="T62" s="19"/>
      <c r="U62" s="20" t="str">
        <f t="shared" si="54"/>
        <v>KALIMANTAN</v>
      </c>
      <c r="V62" s="20">
        <f t="shared" si="54"/>
        <v>2029</v>
      </c>
      <c r="W62" s="30">
        <f>D62*VLOOKUP(W$51,tech_data!$B$2:$K$15,10,FALSE)*1000</f>
        <v>13271762.000365281</v>
      </c>
      <c r="X62" s="30">
        <f>E62*VLOOKUP(X$51,tech_data!$B$2:$K$15,10,FALSE)*1000</f>
        <v>1868898.6396014146</v>
      </c>
      <c r="Y62" s="30">
        <f>F62*VLOOKUP(Y$51,tech_data!$B$2:$K$15,10,FALSE)*1000</f>
        <v>3830935.7409103182</v>
      </c>
      <c r="Z62" s="30">
        <f>G62*VLOOKUP(Z$51,tech_data!$B$2:$K$15,10,FALSE)*1000</f>
        <v>5706182.6019880408</v>
      </c>
      <c r="AA62" s="30">
        <f>H38*VLOOKUP(AA$51,tech_data!$B$2:$K$15,10,FALSE)/1000</f>
        <v>69.217093621826947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926638.36729590292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25604486.567254577</v>
      </c>
      <c r="AK62" s="25">
        <f t="shared" si="60"/>
        <v>6.0310979278825876E-3</v>
      </c>
      <c r="AL62" s="24">
        <f t="shared" si="65"/>
        <v>6.7000000000000004E-2</v>
      </c>
      <c r="AM62" s="26"/>
      <c r="AN62" s="24"/>
      <c r="AO62" s="20" t="str">
        <f t="shared" si="56"/>
        <v>KALIMANTAN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136.392027848651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22.442722878656973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82.353913329054606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15.383460468381156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8.3546653537737292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24.552321257093187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40.56098260001847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30.313575102833486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41.249564764569612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97.368585152560598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4.3064329435013204E-2</v>
      </c>
      <c r="BD62" s="30">
        <f t="shared" si="61"/>
        <v>499.01488308502786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0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1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KALIMANTAN</v>
      </c>
      <c r="C63" s="20">
        <f t="shared" si="52"/>
        <v>2030</v>
      </c>
      <c r="D63" s="30">
        <f>(kalimantan!D39*3.6/(VLOOKUP(D$51,tech_data!$B$2:$J$15,4,FALSE)/100))/1000</f>
        <v>133.09027276740153</v>
      </c>
      <c r="E63" s="30">
        <f>(kalimantan!E39*3.6/(VLOOKUP(E$51,tech_data!$B$2:$J$15,4,FALSE)/100))/1000</f>
        <v>30.094986144950312</v>
      </c>
      <c r="F63" s="30">
        <f>(kalimantan!F39*3.6/(VLOOKUP(F$51,tech_data!$B$2:$J$15,4,FALSE)/100))/1000</f>
        <v>61.689786488088856</v>
      </c>
      <c r="G63" s="30">
        <f>(kalimantan!G39*3.6/(VLOOKUP(G$51,tech_data!$B$2:$J$15,4,FALSE)/100))/1000</f>
        <v>75.91037118515419</v>
      </c>
      <c r="H63" s="30">
        <f>(kalimantan!H39*3.6/(VLOOKUP(H$51,tech_data!$B$2:$J$15,4,FALSE)/100))/1000</f>
        <v>30.41938695730633</v>
      </c>
      <c r="I63" s="30">
        <f>(kalimantan!I39*3.6/(VLOOKUP(I$51,tech_data!$B$2:$J$15,4,FALSE)/100))/1000</f>
        <v>11.274590735419048</v>
      </c>
      <c r="J63" s="30">
        <f>(kalimantan!J39*3.6/(VLOOKUP(J$51,tech_data!$B$2:$J$15,4,FALSE)/100))/1000</f>
        <v>8.1770749210809726</v>
      </c>
      <c r="K63" s="30">
        <f t="shared" ref="K63:L63" si="72">K39*3.6/1000</f>
        <v>11.400934655214007</v>
      </c>
      <c r="L63" s="30">
        <f t="shared" si="72"/>
        <v>8.1084619911432068</v>
      </c>
      <c r="M63" s="30">
        <f>(kalimantan!M39*3.6/(VLOOKUP(M$51,tech_data!$B$2:$J$15,4,FALSE)/100))/1000</f>
        <v>8.2470484807396129</v>
      </c>
      <c r="N63" s="30">
        <f t="shared" si="58"/>
        <v>0</v>
      </c>
      <c r="O63" s="30">
        <f>(kalimantan!O39*3.6/(VLOOKUP(O$51,tech_data!$B$2:$J$15,4,FALSE)/100))/1000</f>
        <v>0</v>
      </c>
      <c r="P63" s="30">
        <v>0</v>
      </c>
      <c r="Q63" s="30">
        <f t="shared" si="53"/>
        <v>378.41291432649814</v>
      </c>
      <c r="R63" s="30"/>
      <c r="T63" s="19"/>
      <c r="U63" s="20" t="str">
        <f t="shared" si="54"/>
        <v>KALIMANTAN</v>
      </c>
      <c r="V63" s="20">
        <f t="shared" si="54"/>
        <v>2030</v>
      </c>
      <c r="W63" s="30">
        <f>D63*VLOOKUP(W$51,tech_data!$B$2:$K$15,10,FALSE)*1000</f>
        <v>13271762.000365281</v>
      </c>
      <c r="X63" s="30">
        <f>E63*VLOOKUP(X$51,tech_data!$B$2:$K$15,10,FALSE)*1000</f>
        <v>1868898.6396014146</v>
      </c>
      <c r="Y63" s="30">
        <f>F63*VLOOKUP(Y$51,tech_data!$B$2:$K$15,10,FALSE)*1000</f>
        <v>3830935.7409103182</v>
      </c>
      <c r="Z63" s="30">
        <f>G63*VLOOKUP(Z$51,tech_data!$B$2:$K$15,10,FALSE)*1000</f>
        <v>5706182.6019880408</v>
      </c>
      <c r="AA63" s="30">
        <f>H39*VLOOKUP(AA$51,tech_data!$B$2:$K$15,10,FALSE)/1000</f>
        <v>71.751728985546308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926638.36729590292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25604489.101889942</v>
      </c>
      <c r="AK63" s="25">
        <f t="shared" si="60"/>
        <v>9.8991844978092152E-8</v>
      </c>
      <c r="AL63" s="24">
        <f t="shared" si="65"/>
        <v>6.7000000000000004E-2</v>
      </c>
      <c r="AM63" s="26"/>
      <c r="AN63" s="24"/>
      <c r="AO63" s="20" t="str">
        <f t="shared" si="56"/>
        <v>KALIMANTAN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136.392027848651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22.442722878656973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82.353913329054606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15.383460468381156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32.599395276369698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79.891377580115744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17.660086056199205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25.754122268776921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51.647084451961632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12.274028046464194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4.4069808369039433E-2</v>
      </c>
      <c r="BD63" s="30">
        <f t="shared" si="61"/>
        <v>476.44228801300017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KALIMANTAN</v>
      </c>
      <c r="C64" s="20">
        <f t="shared" si="52"/>
        <v>2031</v>
      </c>
      <c r="D64" s="30">
        <f>(kalimantan!D40*3.6/(VLOOKUP(D$51,tech_data!$B$2:$J$15,4,FALSE)/100))/1000</f>
        <v>133.09027276740153</v>
      </c>
      <c r="E64" s="30">
        <f>(kalimantan!E40*3.6/(VLOOKUP(E$51,tech_data!$B$2:$J$15,4,FALSE)/100))/1000</f>
        <v>30.094986144950312</v>
      </c>
      <c r="F64" s="30">
        <f>(kalimantan!F40*3.6/(VLOOKUP(F$51,tech_data!$B$2:$J$15,4,FALSE)/100))/1000</f>
        <v>61.689786488088856</v>
      </c>
      <c r="G64" s="30">
        <f>(kalimantan!G40*3.6/(VLOOKUP(G$51,tech_data!$B$2:$J$15,4,FALSE)/100))/1000</f>
        <v>76.511211343519051</v>
      </c>
      <c r="H64" s="30">
        <f>(kalimantan!H40*3.6/(VLOOKUP(H$51,tech_data!$B$2:$J$15,4,FALSE)/100))/1000</f>
        <v>30.41938695730633</v>
      </c>
      <c r="I64" s="30">
        <f>(kalimantan!I40*3.6/(VLOOKUP(I$51,tech_data!$B$2:$J$15,4,FALSE)/100))/1000</f>
        <v>11.274590735419048</v>
      </c>
      <c r="J64" s="30">
        <f>(kalimantan!J40*3.6/(VLOOKUP(J$51,tech_data!$B$2:$J$15,4,FALSE)/100))/1000</f>
        <v>8.1770749210809726</v>
      </c>
      <c r="K64" s="30">
        <f t="shared" ref="K64:L64" si="73">K40*3.6/1000</f>
        <v>11.400934655214007</v>
      </c>
      <c r="L64" s="30">
        <f t="shared" si="73"/>
        <v>8.9526254672259302</v>
      </c>
      <c r="M64" s="30">
        <f>(kalimantan!M40*3.6/(VLOOKUP(M$51,tech_data!$B$2:$J$15,4,FALSE)/100))/1000</f>
        <v>8.2470484807396129</v>
      </c>
      <c r="N64" s="30">
        <f t="shared" si="58"/>
        <v>0</v>
      </c>
      <c r="O64" s="30">
        <f>(kalimantan!O40*3.6/(VLOOKUP(O$51,tech_data!$B$2:$J$15,4,FALSE)/100))/1000</f>
        <v>0</v>
      </c>
      <c r="P64" s="30">
        <v>0</v>
      </c>
      <c r="Q64" s="30">
        <f t="shared" si="53"/>
        <v>379.85791796094566</v>
      </c>
      <c r="R64" s="30"/>
      <c r="T64" s="19"/>
      <c r="U64" s="20" t="str">
        <f t="shared" si="54"/>
        <v>KALIMANTAN</v>
      </c>
      <c r="V64" s="20">
        <f t="shared" si="54"/>
        <v>2031</v>
      </c>
      <c r="W64" s="30">
        <f>D64*VLOOKUP(W$51,tech_data!$B$2:$K$15,10,FALSE)*1000</f>
        <v>13271762.000365281</v>
      </c>
      <c r="X64" s="30">
        <f>E64*VLOOKUP(X$51,tech_data!$B$2:$K$15,10,FALSE)*1000</f>
        <v>1868898.6396014146</v>
      </c>
      <c r="Y64" s="30">
        <f>F64*VLOOKUP(Y$51,tech_data!$B$2:$K$15,10,FALSE)*1000</f>
        <v>3830935.7409103182</v>
      </c>
      <c r="Z64" s="30">
        <f>G64*VLOOKUP(Z$51,tech_data!$B$2:$K$15,10,FALSE)*1000</f>
        <v>5751347.7566923276</v>
      </c>
      <c r="AA64" s="30">
        <f>H40*VLOOKUP(AA$51,tech_data!$B$2:$K$15,10,FALSE)/1000</f>
        <v>71.751728985546308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926638.36729590292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25649654.256594229</v>
      </c>
      <c r="AK64" s="25">
        <f t="shared" si="60"/>
        <v>1.7639545364314213E-3</v>
      </c>
      <c r="AL64" s="24">
        <f t="shared" si="65"/>
        <v>6.7000000000000004E-2</v>
      </c>
      <c r="AM64" s="26"/>
      <c r="AN64" s="24"/>
      <c r="AO64" s="20" t="str">
        <f t="shared" si="56"/>
        <v>KALIMANTAN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136.392027848651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22.442722878656973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82.353913329054606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27.693420759844148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8.6606057761833934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25.344918401485369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15.462357181209409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18.592522268776921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139.65998814491152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12.274028046464194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5.9647637460955041E-2</v>
      </c>
      <c r="BD64" s="30">
        <f t="shared" si="61"/>
        <v>488.93615227269851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KALIMANTAN</v>
      </c>
      <c r="C65" s="20">
        <f t="shared" si="52"/>
        <v>2032</v>
      </c>
      <c r="D65" s="30">
        <f>(kalimantan!D41*3.6/(VLOOKUP(D$51,tech_data!$B$2:$J$15,4,FALSE)/100))/1000</f>
        <v>137.13206935338815</v>
      </c>
      <c r="E65" s="30">
        <f>(kalimantan!E41*3.6/(VLOOKUP(E$51,tech_data!$B$2:$J$15,4,FALSE)/100))/1000</f>
        <v>30.094986144950312</v>
      </c>
      <c r="F65" s="30">
        <f>(kalimantan!F41*3.6/(VLOOKUP(F$51,tech_data!$B$2:$J$15,4,FALSE)/100))/1000</f>
        <v>61.755431516510335</v>
      </c>
      <c r="G65" s="30">
        <f>(kalimantan!G41*3.6/(VLOOKUP(G$51,tech_data!$B$2:$J$15,4,FALSE)/100))/1000</f>
        <v>84.397304993709724</v>
      </c>
      <c r="H65" s="30">
        <f>(kalimantan!H41*3.6/(VLOOKUP(H$51,tech_data!$B$2:$J$15,4,FALSE)/100))/1000</f>
        <v>30.41938695730633</v>
      </c>
      <c r="I65" s="30">
        <f>(kalimantan!I41*3.6/(VLOOKUP(I$51,tech_data!$B$2:$J$15,4,FALSE)/100))/1000</f>
        <v>11.274590735419048</v>
      </c>
      <c r="J65" s="30">
        <f>(kalimantan!J41*3.6/(VLOOKUP(J$51,tech_data!$B$2:$J$15,4,FALSE)/100))/1000</f>
        <v>8.1770749210809726</v>
      </c>
      <c r="K65" s="30">
        <f t="shared" ref="K65:L65" si="74">K41*3.6/1000</f>
        <v>11.400934655214007</v>
      </c>
      <c r="L65" s="30">
        <f t="shared" si="74"/>
        <v>11.478301933724893</v>
      </c>
      <c r="M65" s="30">
        <f>(kalimantan!M41*3.6/(VLOOKUP(M$51,tech_data!$B$2:$J$15,4,FALSE)/100))/1000</f>
        <v>8.2470484807396129</v>
      </c>
      <c r="N65" s="30">
        <f t="shared" si="58"/>
        <v>0</v>
      </c>
      <c r="O65" s="30">
        <f>(kalimantan!O41*3.6/(VLOOKUP(O$51,tech_data!$B$2:$J$15,4,FALSE)/100))/1000</f>
        <v>0</v>
      </c>
      <c r="P65" s="30">
        <v>0</v>
      </c>
      <c r="Q65" s="30">
        <f t="shared" si="53"/>
        <v>394.37712969204341</v>
      </c>
      <c r="R65" s="30"/>
      <c r="T65" s="19"/>
      <c r="U65" s="20" t="str">
        <f t="shared" si="54"/>
        <v>KALIMANTAN</v>
      </c>
      <c r="V65" s="20">
        <f t="shared" si="54"/>
        <v>2032</v>
      </c>
      <c r="W65" s="30">
        <f>D65*VLOOKUP(W$51,tech_data!$B$2:$K$15,10,FALSE)*1000</f>
        <v>13674809.955919866</v>
      </c>
      <c r="X65" s="30">
        <f>E65*VLOOKUP(X$51,tech_data!$B$2:$K$15,10,FALSE)*1000</f>
        <v>1868898.6396014146</v>
      </c>
      <c r="Y65" s="30">
        <f>F65*VLOOKUP(Y$51,tech_data!$B$2:$K$15,10,FALSE)*1000</f>
        <v>3835012.2971752915</v>
      </c>
      <c r="Z65" s="30">
        <f>G65*VLOOKUP(Z$51,tech_data!$B$2:$K$15,10,FALSE)*1000</f>
        <v>6344145.4163771607</v>
      </c>
      <c r="AA65" s="30">
        <f>H41*VLOOKUP(AA$51,tech_data!$B$2:$K$15,10,FALSE)/1000</f>
        <v>71.751728985546308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926638.36729590292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26649576.428098619</v>
      </c>
      <c r="AK65" s="25">
        <f t="shared" si="60"/>
        <v>3.8983846000470786E-2</v>
      </c>
      <c r="AL65" s="24">
        <f t="shared" si="65"/>
        <v>6.7000000000000004E-2</v>
      </c>
      <c r="AM65" s="26"/>
      <c r="AN65" s="24"/>
      <c r="AO65" s="20" t="str">
        <f t="shared" si="56"/>
        <v>KALIMANTAN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272.93132904586389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22.442722878656973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84.952655955994473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177.0748152370584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8.6606057761833934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25.344918401485369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15.462357181209409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18.592522268776921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346.79119717310385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12.274028046464194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0.19326846807032189</v>
      </c>
      <c r="BD65" s="30">
        <f t="shared" si="61"/>
        <v>984.7204204328674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KALIMANTAN</v>
      </c>
      <c r="C66" s="20">
        <f t="shared" si="52"/>
        <v>2033</v>
      </c>
      <c r="D66" s="30">
        <f>(kalimantan!D42*3.6/(VLOOKUP(D$51,tech_data!$B$2:$J$15,4,FALSE)/100))/1000</f>
        <v>141.90030052472403</v>
      </c>
      <c r="E66" s="30">
        <f>(kalimantan!E42*3.6/(VLOOKUP(E$51,tech_data!$B$2:$J$15,4,FALSE)/100))/1000</f>
        <v>30.094986144950312</v>
      </c>
      <c r="F66" s="30">
        <f>(kalimantan!F42*3.6/(VLOOKUP(F$51,tech_data!$B$2:$J$15,4,FALSE)/100))/1000</f>
        <v>66.650170452779321</v>
      </c>
      <c r="G66" s="30">
        <f>(kalimantan!G42*3.6/(VLOOKUP(G$51,tech_data!$B$2:$J$15,4,FALSE)/100))/1000</f>
        <v>85.510954242021768</v>
      </c>
      <c r="H66" s="30">
        <f>(kalimantan!H42*3.6/(VLOOKUP(H$51,tech_data!$B$2:$J$15,4,FALSE)/100))/1000</f>
        <v>30.41938695730633</v>
      </c>
      <c r="I66" s="30">
        <f>(kalimantan!I42*3.6/(VLOOKUP(I$51,tech_data!$B$2:$J$15,4,FALSE)/100))/1000</f>
        <v>11.274590735419048</v>
      </c>
      <c r="J66" s="30">
        <f>(kalimantan!J42*3.6/(VLOOKUP(J$51,tech_data!$B$2:$J$15,4,FALSE)/100))/1000</f>
        <v>8.1770749210809726</v>
      </c>
      <c r="K66" s="30">
        <f t="shared" ref="K66:L66" si="75">K42*3.6/1000</f>
        <v>11.400934655214007</v>
      </c>
      <c r="L66" s="30">
        <f t="shared" si="75"/>
        <v>14.06464954895738</v>
      </c>
      <c r="M66" s="30">
        <f>(kalimantan!M42*3.6/(VLOOKUP(M$51,tech_data!$B$2:$J$15,4,FALSE)/100))/1000</f>
        <v>8.2470484807396129</v>
      </c>
      <c r="N66" s="30">
        <f t="shared" si="58"/>
        <v>0</v>
      </c>
      <c r="O66" s="30">
        <f>(kalimantan!O42*3.6/(VLOOKUP(O$51,tech_data!$B$2:$J$15,4,FALSE)/100))/1000</f>
        <v>0</v>
      </c>
      <c r="P66" s="30">
        <v>0</v>
      </c>
      <c r="Q66" s="30">
        <f t="shared" si="53"/>
        <v>407.74009666319279</v>
      </c>
      <c r="R66" s="30"/>
      <c r="T66" s="19"/>
      <c r="U66" s="20" t="str">
        <f t="shared" si="54"/>
        <v>KALIMANTAN</v>
      </c>
      <c r="V66" s="20">
        <f t="shared" si="54"/>
        <v>2033</v>
      </c>
      <c r="W66" s="30">
        <f>D66*VLOOKUP(W$51,tech_data!$B$2:$K$15,10,FALSE)*1000</f>
        <v>14150297.968325479</v>
      </c>
      <c r="X66" s="30">
        <f>E66*VLOOKUP(X$51,tech_data!$B$2:$K$15,10,FALSE)*1000</f>
        <v>1868898.6396014146</v>
      </c>
      <c r="Y66" s="30">
        <f>F66*VLOOKUP(Y$51,tech_data!$B$2:$K$15,10,FALSE)*1000</f>
        <v>4138975.5851175962</v>
      </c>
      <c r="Z66" s="30">
        <f>G66*VLOOKUP(Z$51,tech_data!$B$2:$K$15,10,FALSE)*1000</f>
        <v>6427858.4303727765</v>
      </c>
      <c r="AA66" s="30">
        <f>H42*VLOOKUP(AA$51,tech_data!$B$2:$K$15,10,FALSE)/1000</f>
        <v>71.751728985546308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926638.36729590292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27512740.742442153</v>
      </c>
      <c r="AK66" s="25">
        <f t="shared" si="60"/>
        <v>3.2389419646964311E-2</v>
      </c>
      <c r="AL66" s="24">
        <f t="shared" si="65"/>
        <v>6.7000000000000004E-2</v>
      </c>
      <c r="AM66" s="26"/>
      <c r="AN66" s="24"/>
      <c r="AO66" s="20" t="str">
        <f t="shared" si="56"/>
        <v>KALIMANTAN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301.61368863875686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22.442722878656973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276.21352107445495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39.91971041993154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8.6606057761833934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25.344918401485369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15.462357181209409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18.592522268776921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365.84836084243869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12.274028046464194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0.19631431639327238</v>
      </c>
      <c r="BD66" s="30">
        <f t="shared" si="61"/>
        <v>1086.5687498447517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KALIMANTAN</v>
      </c>
      <c r="C67" s="20">
        <f t="shared" si="52"/>
        <v>2034</v>
      </c>
      <c r="D67" s="30">
        <f>(kalimantan!D43*3.6/(VLOOKUP(D$51,tech_data!$B$2:$J$15,4,FALSE)/100))/1000</f>
        <v>154.30716763898948</v>
      </c>
      <c r="E67" s="30">
        <f>(kalimantan!E43*3.6/(VLOOKUP(E$51,tech_data!$B$2:$J$15,4,FALSE)/100))/1000</f>
        <v>30.09498611477709</v>
      </c>
      <c r="F67" s="30">
        <f>(kalimantan!F43*3.6/(VLOOKUP(F$51,tech_data!$B$2:$J$15,4,FALSE)/100))/1000</f>
        <v>76.410892562003667</v>
      </c>
      <c r="G67" s="30">
        <f>(kalimantan!G43*3.6/(VLOOKUP(G$51,tech_data!$B$2:$J$15,4,FALSE)/100))/1000</f>
        <v>85.510954242021768</v>
      </c>
      <c r="H67" s="30">
        <f>(kalimantan!H43*3.6/(VLOOKUP(H$51,tech_data!$B$2:$J$15,4,FALSE)/100))/1000</f>
        <v>30.41938695730633</v>
      </c>
      <c r="I67" s="30">
        <f>(kalimantan!I43*3.6/(VLOOKUP(I$51,tech_data!$B$2:$J$15,4,FALSE)/100))/1000</f>
        <v>11.439663544241306</v>
      </c>
      <c r="J67" s="30">
        <f>(kalimantan!J43*3.6/(VLOOKUP(J$51,tech_data!$B$2:$J$15,4,FALSE)/100))/1000</f>
        <v>17.822834755054544</v>
      </c>
      <c r="K67" s="30">
        <f t="shared" ref="K67:L67" si="76">K43*3.6/1000</f>
        <v>11.400934655214007</v>
      </c>
      <c r="L67" s="30">
        <f t="shared" si="76"/>
        <v>14.082106734271038</v>
      </c>
      <c r="M67" s="30">
        <f>(kalimantan!M43*3.6/(VLOOKUP(M$51,tech_data!$B$2:$J$15,4,FALSE)/100))/1000</f>
        <v>8.2470484807396129</v>
      </c>
      <c r="N67" s="30">
        <f t="shared" si="58"/>
        <v>0</v>
      </c>
      <c r="O67" s="30">
        <f>(kalimantan!O43*3.6/(VLOOKUP(O$51,tech_data!$B$2:$J$15,4,FALSE)/100))/1000</f>
        <v>0</v>
      </c>
      <c r="P67" s="30">
        <v>0</v>
      </c>
      <c r="Q67" s="30">
        <f t="shared" si="53"/>
        <v>439.73597568461889</v>
      </c>
      <c r="R67" s="30"/>
      <c r="T67" s="19"/>
      <c r="U67" s="20" t="str">
        <f t="shared" si="54"/>
        <v>KALIMANTAN</v>
      </c>
      <c r="V67" s="20">
        <f t="shared" si="54"/>
        <v>2034</v>
      </c>
      <c r="W67" s="30">
        <f>D67*VLOOKUP(W$51,tech_data!$B$2:$K$15,10,FALSE)*1000</f>
        <v>15387510.756960031</v>
      </c>
      <c r="X67" s="30">
        <f>E67*VLOOKUP(X$51,tech_data!$B$2:$K$15,10,FALSE)*1000</f>
        <v>1868898.6377276573</v>
      </c>
      <c r="Y67" s="30">
        <f>F67*VLOOKUP(Y$51,tech_data!$B$2:$K$15,10,FALSE)*1000</f>
        <v>4745116.4281004276</v>
      </c>
      <c r="Z67" s="30">
        <f>G67*VLOOKUP(Z$51,tech_data!$B$2:$K$15,10,FALSE)*1000</f>
        <v>6427858.4303727765</v>
      </c>
      <c r="AA67" s="30">
        <f>H43*VLOOKUP(AA$51,tech_data!$B$2:$K$15,10,FALSE)/1000</f>
        <v>71.751728985546308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926638.36729590292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29356094.372185782</v>
      </c>
      <c r="AK67" s="25">
        <f t="shared" si="60"/>
        <v>6.7000000000000143E-2</v>
      </c>
      <c r="AL67" s="24">
        <f t="shared" si="65"/>
        <v>6.7000000000000004E-2</v>
      </c>
      <c r="AM67" s="26"/>
      <c r="AN67" s="24"/>
      <c r="AO67" s="20" t="str">
        <f t="shared" si="56"/>
        <v>KALIMANTAN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564.54734309781099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22.442722129489248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475.38143884314911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17.329046922813038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8.6606057761833934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46.093411923113045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961.9753711536182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18.592522268776921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67.402338839554858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12.274028046464194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0.33969496129892074</v>
      </c>
      <c r="BD67" s="30">
        <f t="shared" si="61"/>
        <v>2195.0385239622719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KALIMANTAN</v>
      </c>
      <c r="C68" s="20">
        <f t="shared" si="77"/>
        <v>2035</v>
      </c>
      <c r="D68" s="30">
        <f>(kalimantan!D44*3.6/(VLOOKUP(D$51,tech_data!$B$2:$J$15,4,FALSE)/100))/1000</f>
        <v>163.18911683496756</v>
      </c>
      <c r="E68" s="30">
        <f>(kalimantan!E44*3.6/(VLOOKUP(E$51,tech_data!$B$2:$J$15,4,FALSE)/100))/1000</f>
        <v>30.09498611477709</v>
      </c>
      <c r="F68" s="30">
        <f>(kalimantan!F44*3.6/(VLOOKUP(F$51,tech_data!$B$2:$J$15,4,FALSE)/100))/1000</f>
        <v>86.027677584273604</v>
      </c>
      <c r="G68" s="30">
        <f>(kalimantan!G44*3.6/(VLOOKUP(G$51,tech_data!$B$2:$J$15,4,FALSE)/100))/1000</f>
        <v>91.949001758382295</v>
      </c>
      <c r="H68" s="30">
        <f>(kalimantan!H44*3.6/(VLOOKUP(H$51,tech_data!$B$2:$J$15,4,FALSE)/100))/1000</f>
        <v>30.41938695730633</v>
      </c>
      <c r="I68" s="30">
        <f>(kalimantan!I44*3.6/(VLOOKUP(I$51,tech_data!$B$2:$J$15,4,FALSE)/100))/1000</f>
        <v>11.439663544241306</v>
      </c>
      <c r="J68" s="30">
        <f>(kalimantan!J44*3.6/(VLOOKUP(J$51,tech_data!$B$2:$J$15,4,FALSE)/100))/1000</f>
        <v>17.822834755054544</v>
      </c>
      <c r="K68" s="30">
        <f t="shared" ref="K68:L68" si="78">K44*3.6/1000</f>
        <v>11.400934655214007</v>
      </c>
      <c r="L68" s="30">
        <f t="shared" si="78"/>
        <v>15.853291511836604</v>
      </c>
      <c r="M68" s="30">
        <f>(kalimantan!M44*3.6/(VLOOKUP(M$51,tech_data!$B$2:$J$15,4,FALSE)/100))/1000</f>
        <v>8.2470484807396129</v>
      </c>
      <c r="N68" s="30">
        <f t="shared" si="58"/>
        <v>0</v>
      </c>
      <c r="O68" s="30">
        <f>(kalimantan!O44*3.6/(VLOOKUP(O$51,tech_data!$B$2:$J$15,4,FALSE)/100))/1000</f>
        <v>0</v>
      </c>
      <c r="P68" s="30">
        <v>0</v>
      </c>
      <c r="Q68" s="30">
        <f t="shared" si="53"/>
        <v>466.44394219679299</v>
      </c>
      <c r="R68" s="30"/>
      <c r="T68" s="19"/>
      <c r="U68" s="20" t="str">
        <f t="shared" si="54"/>
        <v>KALIMANTAN</v>
      </c>
      <c r="V68" s="20">
        <f t="shared" si="54"/>
        <v>2035</v>
      </c>
      <c r="W68" s="30">
        <f>D68*VLOOKUP(W$51,tech_data!$B$2:$K$15,10,FALSE)*1000</f>
        <v>16273218.730782965</v>
      </c>
      <c r="X68" s="30">
        <f>E68*VLOOKUP(X$51,tech_data!$B$2:$K$15,10,FALSE)*1000</f>
        <v>1868898.6377276573</v>
      </c>
      <c r="Y68" s="30">
        <f>F68*VLOOKUP(Y$51,tech_data!$B$2:$K$15,10,FALSE)*1000</f>
        <v>5342318.7779833907</v>
      </c>
      <c r="Z68" s="30">
        <f>G68*VLOOKUP(Z$51,tech_data!$B$2:$K$15,10,FALSE)*1000</f>
        <v>6911806.4621775979</v>
      </c>
      <c r="AA68" s="30">
        <f>H44*VLOOKUP(AA$51,tech_data!$B$2:$K$15,10,FALSE)/1000</f>
        <v>71.751728985546308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926638.36729590292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31322952.727696497</v>
      </c>
      <c r="AK68" s="25">
        <f t="shared" si="60"/>
        <v>6.7000001109625396E-2</v>
      </c>
      <c r="AL68" s="24">
        <f t="shared" si="65"/>
        <v>6.7000000000000004E-2</v>
      </c>
      <c r="AM68" s="26"/>
      <c r="AN68" s="24"/>
      <c r="AO68" s="20" t="str">
        <f t="shared" si="56"/>
        <v>KALIMANTAN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458.18381271737451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22.442722856155914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482.71354064250789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149.23119789858427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8.6606057761833934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25.715996781897072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33.701909255332524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18.592522268776921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279.4229100735048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12.274028046464194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0.28938658212217477</v>
      </c>
      <c r="BD68" s="30">
        <f t="shared" si="61"/>
        <v>1491.2286328989037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KALIMANTAN</v>
      </c>
      <c r="C69" s="20">
        <f t="shared" si="77"/>
        <v>2036</v>
      </c>
      <c r="D69" s="30">
        <f>(kalimantan!D45*3.6/(VLOOKUP(D$51,tech_data!$B$2:$J$15,4,FALSE)/100))/1000</f>
        <v>166.86101470663499</v>
      </c>
      <c r="E69" s="30">
        <f>(kalimantan!E45*3.6/(VLOOKUP(E$51,tech_data!$B$2:$J$15,4,FALSE)/100))/1000</f>
        <v>30.09498611477709</v>
      </c>
      <c r="F69" s="30">
        <f>(kalimantan!F45*3.6/(VLOOKUP(F$51,tech_data!$B$2:$J$15,4,FALSE)/100))/1000</f>
        <v>89.259920501037044</v>
      </c>
      <c r="G69" s="30">
        <f>(kalimantan!G45*3.6/(VLOOKUP(G$51,tech_data!$B$2:$J$15,4,FALSE)/100))/1000</f>
        <v>93.943954519428431</v>
      </c>
      <c r="H69" s="30">
        <f>(kalimantan!H45*3.6/(VLOOKUP(H$51,tech_data!$B$2:$J$15,4,FALSE)/100))/1000</f>
        <v>30.41938695730633</v>
      </c>
      <c r="I69" s="30">
        <f>(kalimantan!I45*3.6/(VLOOKUP(I$51,tech_data!$B$2:$J$15,4,FALSE)/100))/1000</f>
        <v>11.439663544241306</v>
      </c>
      <c r="J69" s="30">
        <f>(kalimantan!J45*3.6/(VLOOKUP(J$51,tech_data!$B$2:$J$15,4,FALSE)/100))/1000</f>
        <v>17.822834755054544</v>
      </c>
      <c r="K69" s="30">
        <f t="shared" ref="K69:L69" si="79">K45*3.6/1000</f>
        <v>11.400934655214007</v>
      </c>
      <c r="L69" s="30">
        <f t="shared" si="79"/>
        <v>18.358803811299126</v>
      </c>
      <c r="M69" s="30">
        <f>(kalimantan!M45*3.6/(VLOOKUP(M$51,tech_data!$B$2:$J$15,4,FALSE)/100))/1000</f>
        <v>8.2470484807396129</v>
      </c>
      <c r="N69" s="30">
        <f t="shared" si="58"/>
        <v>0</v>
      </c>
      <c r="O69" s="30">
        <f>(kalimantan!O45*3.6/(VLOOKUP(O$51,tech_data!$B$2:$J$15,4,FALSE)/100))/1000</f>
        <v>0</v>
      </c>
      <c r="P69" s="30">
        <v>0</v>
      </c>
      <c r="Q69" s="30">
        <f t="shared" si="53"/>
        <v>477.84854804573251</v>
      </c>
      <c r="R69" s="30"/>
      <c r="T69" s="19"/>
      <c r="U69" s="20" t="str">
        <f t="shared" si="54"/>
        <v>KALIMANTAN</v>
      </c>
      <c r="V69" s="20">
        <f t="shared" si="54"/>
        <v>2036</v>
      </c>
      <c r="W69" s="30">
        <f>D69*VLOOKUP(W$51,tech_data!$B$2:$K$15,10,FALSE)*1000</f>
        <v>16639380.386545639</v>
      </c>
      <c r="X69" s="30">
        <f>E69*VLOOKUP(X$51,tech_data!$B$2:$K$15,10,FALSE)*1000</f>
        <v>1868898.6377276573</v>
      </c>
      <c r="Y69" s="30">
        <f>F69*VLOOKUP(Y$51,tech_data!$B$2:$K$15,10,FALSE)*1000</f>
        <v>5543041.0631144</v>
      </c>
      <c r="Z69" s="30">
        <f>G69*VLOOKUP(Z$51,tech_data!$B$2:$K$15,10,FALSE)*1000</f>
        <v>7061767.0612254348</v>
      </c>
      <c r="AA69" s="30">
        <f>H45*VLOOKUP(AA$51,tech_data!$B$2:$K$15,10,FALSE)/1000</f>
        <v>71.751728985546308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926638.36729590292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32039797.26763802</v>
      </c>
      <c r="AK69" s="25">
        <f t="shared" si="60"/>
        <v>2.2885599137902227E-2</v>
      </c>
      <c r="AL69" s="24">
        <f t="shared" si="65"/>
        <v>6.7000000000000004E-2</v>
      </c>
      <c r="AM69" s="26"/>
      <c r="AN69" s="24"/>
      <c r="AO69" s="20" t="str">
        <f t="shared" si="56"/>
        <v>KALIMANTAN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291.28101995349289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22.442722856155914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242.80163238084398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59.506152843493552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8.6606057761833934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25.715996781897072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33.701909255332524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18.592522268776921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376.38944892050631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12.274028046464194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0.184077519332326</v>
      </c>
      <c r="BD69" s="30">
        <f t="shared" si="61"/>
        <v>1091.550116602479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KALIMANTAN</v>
      </c>
      <c r="C70" s="20">
        <f t="shared" si="77"/>
        <v>2037</v>
      </c>
      <c r="D70" s="30">
        <f>(kalimantan!D46*3.6/(VLOOKUP(D$51,tech_data!$B$2:$J$15,4,FALSE)/100))/1000</f>
        <v>170.46064576033055</v>
      </c>
      <c r="E70" s="30">
        <f>(kalimantan!E46*3.6/(VLOOKUP(E$51,tech_data!$B$2:$J$15,4,FALSE)/100))/1000</f>
        <v>36.332722918440119</v>
      </c>
      <c r="F70" s="30">
        <f>(kalimantan!F46*3.6/(VLOOKUP(F$51,tech_data!$B$2:$J$15,4,FALSE)/100))/1000</f>
        <v>90.22073811126441</v>
      </c>
      <c r="G70" s="30">
        <f>(kalimantan!G46*3.6/(VLOOKUP(G$51,tech_data!$B$2:$J$15,4,FALSE)/100))/1000</f>
        <v>93.943954519428431</v>
      </c>
      <c r="H70" s="30">
        <f>(kalimantan!H46*3.6/(VLOOKUP(H$51,tech_data!$B$2:$J$15,4,FALSE)/100))/1000</f>
        <v>30.526843987834862</v>
      </c>
      <c r="I70" s="30">
        <f>(kalimantan!I46*3.6/(VLOOKUP(I$51,tech_data!$B$2:$J$15,4,FALSE)/100))/1000</f>
        <v>11.828167639231763</v>
      </c>
      <c r="J70" s="30">
        <f>(kalimantan!J46*3.6/(VLOOKUP(J$51,tech_data!$B$2:$J$15,4,FALSE)/100))/1000</f>
        <v>18.048582889137332</v>
      </c>
      <c r="K70" s="30">
        <f t="shared" ref="K70:L70" si="80">K46*3.6/1000</f>
        <v>11.832542675699806</v>
      </c>
      <c r="L70" s="30">
        <f t="shared" si="80"/>
        <v>19.677044422189709</v>
      </c>
      <c r="M70" s="30">
        <f>(kalimantan!M46*3.6/(VLOOKUP(M$51,tech_data!$B$2:$J$15,4,FALSE)/100))/1000</f>
        <v>9.000515530503165</v>
      </c>
      <c r="N70" s="30">
        <f t="shared" si="58"/>
        <v>0</v>
      </c>
      <c r="O70" s="30">
        <f>(kalimantan!O46*3.6/(VLOOKUP(O$51,tech_data!$B$2:$J$15,4,FALSE)/100))/1000</f>
        <v>0</v>
      </c>
      <c r="P70" s="30">
        <v>0</v>
      </c>
      <c r="Q70" s="30">
        <f t="shared" si="53"/>
        <v>491.87175845406006</v>
      </c>
      <c r="R70" s="30"/>
      <c r="T70" s="19"/>
      <c r="U70" s="20" t="str">
        <f t="shared" si="54"/>
        <v>KALIMANTAN</v>
      </c>
      <c r="V70" s="20">
        <f t="shared" si="54"/>
        <v>2037</v>
      </c>
      <c r="W70" s="30">
        <f>D70*VLOOKUP(W$51,tech_data!$B$2:$K$15,10,FALSE)*1000</f>
        <v>16998335.595220163</v>
      </c>
      <c r="X70" s="30">
        <f>E70*VLOOKUP(X$51,tech_data!$B$2:$K$15,10,FALSE)*1000</f>
        <v>2256262.0932351314</v>
      </c>
      <c r="Y70" s="30">
        <f>F70*VLOOKUP(Y$51,tech_data!$B$2:$K$15,10,FALSE)*1000</f>
        <v>5602707.8367095198</v>
      </c>
      <c r="Z70" s="30">
        <f>G70*VLOOKUP(Z$51,tech_data!$B$2:$K$15,10,FALSE)*1000</f>
        <v>7061767.0612254348</v>
      </c>
      <c r="AA70" s="30">
        <f>H46*VLOOKUP(AA$51,tech_data!$B$2:$K$15,10,FALSE)/1000</f>
        <v>72.005193256305489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1011297.9250073356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32930442.516590841</v>
      </c>
      <c r="AK70" s="25">
        <f t="shared" si="60"/>
        <v>2.7798092525773321E-2</v>
      </c>
      <c r="AL70" s="24">
        <f t="shared" si="65"/>
        <v>6.7000000000000004E-2</v>
      </c>
      <c r="AM70" s="26"/>
      <c r="AN70" s="24"/>
      <c r="AO70" s="20" t="str">
        <f t="shared" si="56"/>
        <v>KALIMANTAN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292.60270604496003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177.3188461426019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157.19583083846632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19.038019285507847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11.085085407629258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74.548234844283684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55.853979228789882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92.224281217711393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244.53800929653224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60.328236892494495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0.17516105472436269</v>
      </c>
      <c r="BD70" s="30">
        <f t="shared" si="61"/>
        <v>1184.9083902537013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KALIMANTAN</v>
      </c>
      <c r="C71" s="20">
        <f t="shared" si="77"/>
        <v>2038</v>
      </c>
      <c r="D71" s="30">
        <f>(kalimantan!D47*3.6/(VLOOKUP(D$51,tech_data!$B$2:$J$15,4,FALSE)/100))/1000</f>
        <v>175.90913308131621</v>
      </c>
      <c r="E71" s="30">
        <f>(kalimantan!E47*3.6/(VLOOKUP(E$51,tech_data!$B$2:$J$15,4,FALSE)/100))/1000</f>
        <v>36.332722918440119</v>
      </c>
      <c r="F71" s="30">
        <f>(kalimantan!F47*3.6/(VLOOKUP(F$51,tech_data!$B$2:$J$15,4,FALSE)/100))/1000</f>
        <v>96.855991682819564</v>
      </c>
      <c r="G71" s="30">
        <f>(kalimantan!G47*3.6/(VLOOKUP(G$51,tech_data!$B$2:$J$15,4,FALSE)/100))/1000</f>
        <v>94.223876821353642</v>
      </c>
      <c r="H71" s="30">
        <f>(kalimantan!H47*3.6/(VLOOKUP(H$51,tech_data!$B$2:$J$15,4,FALSE)/100))/1000</f>
        <v>30.526843987834862</v>
      </c>
      <c r="I71" s="30">
        <f>(kalimantan!I47*3.6/(VLOOKUP(I$51,tech_data!$B$2:$J$15,4,FALSE)/100))/1000</f>
        <v>11.828167639231763</v>
      </c>
      <c r="J71" s="30">
        <f>(kalimantan!J47*3.6/(VLOOKUP(J$51,tech_data!$B$2:$J$15,4,FALSE)/100))/1000</f>
        <v>18.048582889137332</v>
      </c>
      <c r="K71" s="30">
        <f t="shared" ref="K71:L71" si="81">K47*3.6/1000</f>
        <v>11.832542675699806</v>
      </c>
      <c r="L71" s="30">
        <f t="shared" si="81"/>
        <v>23.002966617712396</v>
      </c>
      <c r="M71" s="30">
        <f>(kalimantan!M47*3.6/(VLOOKUP(M$51,tech_data!$B$2:$J$15,4,FALSE)/100))/1000</f>
        <v>9.000515530503165</v>
      </c>
      <c r="N71" s="30">
        <f t="shared" si="58"/>
        <v>0</v>
      </c>
      <c r="O71" s="30">
        <f>(kalimantan!O47*3.6/(VLOOKUP(O$51,tech_data!$B$2:$J$15,4,FALSE)/100))/1000</f>
        <v>0</v>
      </c>
      <c r="P71" s="30">
        <v>0</v>
      </c>
      <c r="Q71" s="30">
        <f t="shared" si="53"/>
        <v>507.56134384404885</v>
      </c>
      <c r="R71" s="30"/>
      <c r="T71" s="19"/>
      <c r="U71" s="20" t="str">
        <f t="shared" si="54"/>
        <v>KALIMANTAN</v>
      </c>
      <c r="V71" s="20">
        <f t="shared" si="54"/>
        <v>2038</v>
      </c>
      <c r="W71" s="30">
        <f>D71*VLOOKUP(W$51,tech_data!$B$2:$K$15,10,FALSE)*1000</f>
        <v>17541658.750868853</v>
      </c>
      <c r="X71" s="30">
        <f>E71*VLOOKUP(X$51,tech_data!$B$2:$K$15,10,FALSE)*1000</f>
        <v>2256262.0932351314</v>
      </c>
      <c r="Y71" s="30">
        <f>F71*VLOOKUP(Y$51,tech_data!$B$2:$K$15,10,FALSE)*1000</f>
        <v>6014757.0835030945</v>
      </c>
      <c r="Z71" s="30">
        <f>G71*VLOOKUP(Z$51,tech_data!$B$2:$K$15,10,FALSE)*1000</f>
        <v>7082808.8206611536</v>
      </c>
      <c r="AA71" s="30">
        <f>H47*VLOOKUP(AA$51,tech_data!$B$2:$K$15,10,FALSE)/1000</f>
        <v>72.005193256305489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1011297.9250073356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33906856.678468823</v>
      </c>
      <c r="AK71" s="25">
        <f t="shared" si="60"/>
        <v>2.9650805979483892E-2</v>
      </c>
      <c r="AL71" s="24">
        <f>AL70</f>
        <v>6.7000000000000004E-2</v>
      </c>
      <c r="AM71" s="26"/>
      <c r="AN71" s="24"/>
      <c r="AO71" s="20" t="str">
        <f t="shared" si="56"/>
        <v>KALIMANTAN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358.74939359219593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27.094388013944936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383.11695995344013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24.773042774569529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8.6911995215666629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26.589341528260508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34.12878540797491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19.29638401125213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493.28779957917698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13.395408104127577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0.24284137948406959</v>
      </c>
      <c r="BD71" s="30">
        <f t="shared" si="61"/>
        <v>1389.3655438659937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KALIMANTAN</v>
      </c>
      <c r="C76" s="20">
        <f t="shared" si="82"/>
        <v>2019</v>
      </c>
      <c r="D76" s="30">
        <f>D28*3.6/1000</f>
        <v>42.778202064000006</v>
      </c>
      <c r="E76" s="30">
        <f t="shared" ref="E76:O76" si="83">E28*3.6/1000</f>
        <v>5.7578758448233849</v>
      </c>
      <c r="F76" s="30">
        <f t="shared" si="83"/>
        <v>0.59777700923076915</v>
      </c>
      <c r="G76" s="30">
        <f t="shared" si="83"/>
        <v>31.026942782916922</v>
      </c>
      <c r="H76" s="30">
        <f t="shared" si="83"/>
        <v>0</v>
      </c>
      <c r="I76" s="30">
        <f t="shared" si="83"/>
        <v>4.2234242559507695</v>
      </c>
      <c r="J76" s="30">
        <f t="shared" si="83"/>
        <v>7.3727868849230785E-2</v>
      </c>
      <c r="K76" s="30">
        <f t="shared" si="83"/>
        <v>4.0397616000000004E-3</v>
      </c>
      <c r="L76" s="30">
        <f t="shared" si="83"/>
        <v>0</v>
      </c>
      <c r="M76" s="30">
        <f t="shared" si="83"/>
        <v>0.87890922969230767</v>
      </c>
      <c r="N76" s="30">
        <f t="shared" si="83"/>
        <v>0</v>
      </c>
      <c r="O76" s="30">
        <f t="shared" si="83"/>
        <v>0</v>
      </c>
      <c r="P76" s="30">
        <f>(kalimantan!P52*3.6/(VLOOKUP(P$51,tech_data!$B$2:$J$15,4,FALSE)/100))/1000</f>
        <v>0</v>
      </c>
      <c r="Q76" s="30">
        <f t="shared" ref="Q76:Q95" si="84">SUM(D76:O76)</f>
        <v>85.34089881706339</v>
      </c>
      <c r="R76" s="30"/>
      <c r="S76" s="23"/>
      <c r="T76" s="19"/>
      <c r="U76" s="20" t="str">
        <f t="shared" ref="U76:V91" si="85">U28</f>
        <v>KALIMANTAN</v>
      </c>
      <c r="V76" s="20">
        <f t="shared" si="85"/>
        <v>2019</v>
      </c>
      <c r="W76" s="30">
        <f>D52*(1-(VLOOKUP(W$75,tech_data!$B$2:$O$15,4,FALSE)/100))</f>
        <v>67.855079136000001</v>
      </c>
      <c r="X76" s="30">
        <f>E52*(1-(VLOOKUP(X$75,tech_data!$B$2:$O$15,4,FALSE)/100))</f>
        <v>10.385701290195453</v>
      </c>
      <c r="Y76" s="30">
        <f>F52*(1-(VLOOKUP(Y$75,tech_data!$B$2:$O$15,4,FALSE)/100))</f>
        <v>0.42698357802197795</v>
      </c>
      <c r="Z76" s="30">
        <f>G52*(1-(VLOOKUP(Z$75,tech_data!$B$2:$O$15,4,FALSE)/100))</f>
        <v>36.422932832119869</v>
      </c>
      <c r="AA76" s="30">
        <f>H52*(1-(VLOOKUP(AA$75,tech_data!$B$2:$O$15,4,FALSE)/100))</f>
        <v>0</v>
      </c>
      <c r="AB76" s="30">
        <f>I52*(1-(VLOOKUP(AB$75,tech_data!$B$2:$O$15,4,FALSE)/100))</f>
        <v>0.22228548715530383</v>
      </c>
      <c r="AC76" s="30">
        <f>J52*(1-(VLOOKUP(AC$75,tech_data!$B$2:$O$15,4,FALSE)/100))</f>
        <v>1.8431967212307693E-2</v>
      </c>
      <c r="AD76" s="30">
        <f>K52*(1-(VLOOKUP(AD$75,tech_data!$B$2:$O$15,4,FALSE)/100))</f>
        <v>3.3933997440000001E-3</v>
      </c>
      <c r="AE76" s="30">
        <f>L52*(1-(VLOOKUP(AE$75,tech_data!$B$2:$O$15,4,FALSE)/100))</f>
        <v>0</v>
      </c>
      <c r="AF76" s="30">
        <f>M52*(1-(VLOOKUP(AF$75,tech_data!$B$2:$O$15,4,FALSE)/100))</f>
        <v>1.9562818338312653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(kalimantan!AI52*3.6/(VLOOKUP(AI$51,tech_data!$B$2:$J$15,4,FALSE)/100))/1000</f>
        <v>0</v>
      </c>
      <c r="AJ76" s="30">
        <f t="shared" ref="AJ76:AJ95" si="86">SUM(W76:AH76)</f>
        <v>117.29108952428018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KALIMANTAN</v>
      </c>
      <c r="C77" s="20">
        <f t="shared" si="82"/>
        <v>2020</v>
      </c>
      <c r="D77" s="30">
        <f t="shared" ref="D77:O92" si="87">D29*3.6/1000</f>
        <v>46.476990945433663</v>
      </c>
      <c r="E77" s="30">
        <f t="shared" si="87"/>
        <v>5.7578758340616032</v>
      </c>
      <c r="F77" s="30">
        <f t="shared" si="87"/>
        <v>2.6431300782059259</v>
      </c>
      <c r="G77" s="30">
        <f t="shared" si="87"/>
        <v>31.026942782916922</v>
      </c>
      <c r="H77" s="30">
        <f t="shared" si="87"/>
        <v>0</v>
      </c>
      <c r="I77" s="30">
        <f t="shared" si="87"/>
        <v>4.5584937082462167</v>
      </c>
      <c r="J77" s="30">
        <f t="shared" si="87"/>
        <v>1.9685881636799871</v>
      </c>
      <c r="K77" s="30">
        <f t="shared" si="87"/>
        <v>6.0585768262504835</v>
      </c>
      <c r="L77" s="30">
        <f t="shared" si="87"/>
        <v>0</v>
      </c>
      <c r="M77" s="30">
        <f t="shared" si="87"/>
        <v>0.87890922969230767</v>
      </c>
      <c r="N77" s="30">
        <f t="shared" si="87"/>
        <v>0</v>
      </c>
      <c r="O77" s="30">
        <f t="shared" si="87"/>
        <v>0</v>
      </c>
      <c r="P77" s="30">
        <f>(kalimantan!P53*3.6/(VLOOKUP(P$51,tech_data!$B$2:$J$15,4,FALSE)/100))/1000</f>
        <v>0</v>
      </c>
      <c r="Q77" s="30">
        <f t="shared" si="84"/>
        <v>99.369507568487109</v>
      </c>
      <c r="R77" s="30"/>
      <c r="S77" s="23"/>
      <c r="T77" s="19"/>
      <c r="U77" s="20" t="str">
        <f t="shared" si="85"/>
        <v>KALIMANTAN</v>
      </c>
      <c r="V77" s="20">
        <f t="shared" si="85"/>
        <v>2020</v>
      </c>
      <c r="W77" s="30">
        <f>D53*(1-(VLOOKUP(W$75,tech_data!$B$2:$O$15,4,FALSE)/100))</f>
        <v>73.722123568618912</v>
      </c>
      <c r="X77" s="30">
        <f>E53*(1-(VLOOKUP(X$75,tech_data!$B$2:$O$15,4,FALSE)/100))</f>
        <v>10.385701270784015</v>
      </c>
      <c r="Y77" s="30">
        <f>F53*(1-(VLOOKUP(Y$75,tech_data!$B$2:$O$15,4,FALSE)/100))</f>
        <v>1.8879500558613755</v>
      </c>
      <c r="Z77" s="30">
        <f>G53*(1-(VLOOKUP(Z$75,tech_data!$B$2:$O$15,4,FALSE)/100))</f>
        <v>36.422932832119869</v>
      </c>
      <c r="AA77" s="30">
        <f>H53*(1-(VLOOKUP(AA$75,tech_data!$B$2:$O$15,4,FALSE)/100))</f>
        <v>0</v>
      </c>
      <c r="AB77" s="30">
        <f>I53*(1-(VLOOKUP(AB$75,tech_data!$B$2:$O$15,4,FALSE)/100))</f>
        <v>0.23992072148664317</v>
      </c>
      <c r="AC77" s="30">
        <f>J53*(1-(VLOOKUP(AC$75,tech_data!$B$2:$O$15,4,FALSE)/100))</f>
        <v>0.49214704091999661</v>
      </c>
      <c r="AD77" s="30">
        <f>K53*(1-(VLOOKUP(AD$75,tech_data!$B$2:$O$15,4,FALSE)/100))</f>
        <v>5.0892045340504062</v>
      </c>
      <c r="AE77" s="30">
        <f>L53*(1-(VLOOKUP(AE$75,tech_data!$B$2:$O$15,4,FALSE)/100))</f>
        <v>0</v>
      </c>
      <c r="AF77" s="30">
        <f>M53*(1-(VLOOKUP(AF$75,tech_data!$B$2:$O$15,4,FALSE)/100))</f>
        <v>1.9562818338312653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(kalimantan!AI53*3.6/(VLOOKUP(AI$51,tech_data!$B$2:$J$15,4,FALSE)/100))/1000</f>
        <v>0</v>
      </c>
      <c r="AJ77" s="30">
        <f t="shared" si="86"/>
        <v>130.19626185767248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KALIMANTAN</v>
      </c>
      <c r="C78" s="20">
        <f t="shared" si="82"/>
        <v>2021</v>
      </c>
      <c r="D78" s="30">
        <f t="shared" si="87"/>
        <v>48.592477368392203</v>
      </c>
      <c r="E78" s="30">
        <f t="shared" si="87"/>
        <v>5.7578758232998215</v>
      </c>
      <c r="F78" s="30">
        <f t="shared" si="87"/>
        <v>9.2614841263682308</v>
      </c>
      <c r="G78" s="30">
        <f t="shared" si="87"/>
        <v>31.026942782916922</v>
      </c>
      <c r="H78" s="30">
        <f t="shared" si="87"/>
        <v>0</v>
      </c>
      <c r="I78" s="30">
        <f t="shared" si="87"/>
        <v>7.8888423709376916</v>
      </c>
      <c r="J78" s="30">
        <f t="shared" si="87"/>
        <v>2.4539793094211761</v>
      </c>
      <c r="K78" s="30">
        <f t="shared" si="87"/>
        <v>6.0585768262504835</v>
      </c>
      <c r="L78" s="30">
        <f t="shared" si="87"/>
        <v>0</v>
      </c>
      <c r="M78" s="30">
        <f t="shared" si="87"/>
        <v>0.87890922969230767</v>
      </c>
      <c r="N78" s="30">
        <f t="shared" si="87"/>
        <v>0</v>
      </c>
      <c r="O78" s="30">
        <f t="shared" si="87"/>
        <v>0</v>
      </c>
      <c r="P78" s="30">
        <f>(kalimantan!P54*3.6/(VLOOKUP(P$51,tech_data!$B$2:$J$15,4,FALSE)/100))/1000</f>
        <v>0</v>
      </c>
      <c r="Q78" s="30">
        <f t="shared" si="84"/>
        <v>111.91908783727884</v>
      </c>
      <c r="R78" s="30"/>
      <c r="S78" s="23"/>
      <c r="T78" s="19"/>
      <c r="U78" s="20" t="str">
        <f t="shared" si="85"/>
        <v>KALIMANTAN</v>
      </c>
      <c r="V78" s="20">
        <f t="shared" si="85"/>
        <v>2021</v>
      </c>
      <c r="W78" s="30">
        <f>D54*(1-(VLOOKUP(W$75,tech_data!$B$2:$O$15,4,FALSE)/100))</f>
        <v>77.077722722277272</v>
      </c>
      <c r="X78" s="30">
        <f>E54*(1-(VLOOKUP(X$75,tech_data!$B$2:$O$15,4,FALSE)/100))</f>
        <v>10.385701251372577</v>
      </c>
      <c r="Y78" s="30">
        <f>F54*(1-(VLOOKUP(Y$75,tech_data!$B$2:$O$15,4,FALSE)/100))</f>
        <v>6.6153458045487348</v>
      </c>
      <c r="Z78" s="30">
        <f>G54*(1-(VLOOKUP(Z$75,tech_data!$B$2:$O$15,4,FALSE)/100))</f>
        <v>36.422932832119869</v>
      </c>
      <c r="AA78" s="30">
        <f>H54*(1-(VLOOKUP(AA$75,tech_data!$B$2:$O$15,4,FALSE)/100))</f>
        <v>0</v>
      </c>
      <c r="AB78" s="30">
        <f>I54*(1-(VLOOKUP(AB$75,tech_data!$B$2:$O$15,4,FALSE)/100))</f>
        <v>0.41520223004935247</v>
      </c>
      <c r="AC78" s="30">
        <f>J54*(1-(VLOOKUP(AC$75,tech_data!$B$2:$O$15,4,FALSE)/100))</f>
        <v>0.61349482735529393</v>
      </c>
      <c r="AD78" s="30">
        <f>K54*(1-(VLOOKUP(AD$75,tech_data!$B$2:$O$15,4,FALSE)/100))</f>
        <v>5.0892045340504062</v>
      </c>
      <c r="AE78" s="30">
        <f>L54*(1-(VLOOKUP(AE$75,tech_data!$B$2:$O$15,4,FALSE)/100))</f>
        <v>0</v>
      </c>
      <c r="AF78" s="30">
        <f>M54*(1-(VLOOKUP(AF$75,tech_data!$B$2:$O$15,4,FALSE)/100))</f>
        <v>1.9562818338312653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(kalimantan!AI54*3.6/(VLOOKUP(AI$51,tech_data!$B$2:$J$15,4,FALSE)/100))/1000</f>
        <v>0</v>
      </c>
      <c r="AJ78" s="30">
        <f t="shared" si="86"/>
        <v>138.57588603560475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KALIMANTAN</v>
      </c>
      <c r="C79" s="20">
        <f t="shared" si="82"/>
        <v>2022</v>
      </c>
      <c r="D79" s="30">
        <f t="shared" si="87"/>
        <v>50.571380157222904</v>
      </c>
      <c r="E79" s="30">
        <f t="shared" si="87"/>
        <v>5.7578758125380407</v>
      </c>
      <c r="F79" s="30">
        <f t="shared" si="87"/>
        <v>16.997512062476666</v>
      </c>
      <c r="G79" s="30">
        <f t="shared" si="87"/>
        <v>31.026942782916922</v>
      </c>
      <c r="H79" s="30">
        <f t="shared" si="87"/>
        <v>0</v>
      </c>
      <c r="I79" s="30">
        <f t="shared" si="87"/>
        <v>8.2355315947871173</v>
      </c>
      <c r="J79" s="30">
        <f t="shared" si="87"/>
        <v>2.4539792881125426</v>
      </c>
      <c r="K79" s="30">
        <f t="shared" si="87"/>
        <v>10.30710575945484</v>
      </c>
      <c r="L79" s="30">
        <f t="shared" si="87"/>
        <v>0</v>
      </c>
      <c r="M79" s="30">
        <f t="shared" si="87"/>
        <v>0.87890922969230767</v>
      </c>
      <c r="N79" s="30">
        <f t="shared" si="87"/>
        <v>0</v>
      </c>
      <c r="O79" s="30">
        <f t="shared" si="87"/>
        <v>0</v>
      </c>
      <c r="P79" s="30">
        <f>(kalimantan!P55*3.6/(VLOOKUP(P$51,tech_data!$B$2:$J$15,4,FALSE)/100))/1000</f>
        <v>0</v>
      </c>
      <c r="Q79" s="30">
        <f t="shared" si="84"/>
        <v>126.22923668720135</v>
      </c>
      <c r="R79" s="30"/>
      <c r="S79" s="23"/>
      <c r="T79" s="19"/>
      <c r="U79" s="20" t="str">
        <f t="shared" si="85"/>
        <v>KALIMANTAN</v>
      </c>
      <c r="V79" s="20">
        <f t="shared" si="85"/>
        <v>2022</v>
      </c>
      <c r="W79" s="30">
        <f>D55*(1-(VLOOKUP(W$75,tech_data!$B$2:$O$15,4,FALSE)/100))</f>
        <v>80.216671973525976</v>
      </c>
      <c r="X79" s="30">
        <f>E55*(1-(VLOOKUP(X$75,tech_data!$B$2:$O$15,4,FALSE)/100))</f>
        <v>10.385701231961139</v>
      </c>
      <c r="Y79" s="30">
        <f>F55*(1-(VLOOKUP(Y$75,tech_data!$B$2:$O$15,4,FALSE)/100))</f>
        <v>12.14108004462619</v>
      </c>
      <c r="Z79" s="30">
        <f>G55*(1-(VLOOKUP(Z$75,tech_data!$B$2:$O$15,4,FALSE)/100))</f>
        <v>36.422932832119869</v>
      </c>
      <c r="AA79" s="30">
        <f>H55*(1-(VLOOKUP(AA$75,tech_data!$B$2:$O$15,4,FALSE)/100))</f>
        <v>0</v>
      </c>
      <c r="AB79" s="30">
        <f>I55*(1-(VLOOKUP(AB$75,tech_data!$B$2:$O$15,4,FALSE)/100))</f>
        <v>0.43344903130458551</v>
      </c>
      <c r="AC79" s="30">
        <f>J55*(1-(VLOOKUP(AC$75,tech_data!$B$2:$O$15,4,FALSE)/100))</f>
        <v>0.61349482202813554</v>
      </c>
      <c r="AD79" s="30">
        <f>K55*(1-(VLOOKUP(AD$75,tech_data!$B$2:$O$15,4,FALSE)/100))</f>
        <v>8.6579688379420663</v>
      </c>
      <c r="AE79" s="30">
        <f>L55*(1-(VLOOKUP(AE$75,tech_data!$B$2:$O$15,4,FALSE)/100))</f>
        <v>0</v>
      </c>
      <c r="AF79" s="30">
        <f>M55*(1-(VLOOKUP(AF$75,tech_data!$B$2:$O$15,4,FALSE)/100))</f>
        <v>1.9562818338312653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(kalimantan!AI55*3.6/(VLOOKUP(AI$51,tech_data!$B$2:$J$15,4,FALSE)/100))/1000</f>
        <v>0</v>
      </c>
      <c r="AJ79" s="30">
        <f t="shared" si="86"/>
        <v>150.82758060733923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KALIMANTAN</v>
      </c>
      <c r="C80" s="20">
        <f t="shared" si="82"/>
        <v>2023</v>
      </c>
      <c r="D80" s="30">
        <f t="shared" si="87"/>
        <v>50.571380157222904</v>
      </c>
      <c r="E80" s="30">
        <f t="shared" si="87"/>
        <v>8.2962459543186302</v>
      </c>
      <c r="F80" s="30">
        <f t="shared" si="87"/>
        <v>20.516025954661494</v>
      </c>
      <c r="G80" s="30">
        <f t="shared" si="87"/>
        <v>31.026942782916944</v>
      </c>
      <c r="H80" s="30">
        <f t="shared" si="87"/>
        <v>2.1258438858417601</v>
      </c>
      <c r="I80" s="30">
        <f t="shared" si="87"/>
        <v>9.3478249287137896</v>
      </c>
      <c r="J80" s="30">
        <f t="shared" si="87"/>
        <v>2.8518366068276499</v>
      </c>
      <c r="K80" s="30">
        <f t="shared" si="87"/>
        <v>10.413388719307147</v>
      </c>
      <c r="L80" s="30">
        <f t="shared" si="87"/>
        <v>9.2159998183802119E-2</v>
      </c>
      <c r="M80" s="30">
        <f t="shared" si="87"/>
        <v>1.438958622795208</v>
      </c>
      <c r="N80" s="30">
        <f t="shared" si="87"/>
        <v>0</v>
      </c>
      <c r="O80" s="30">
        <f t="shared" si="87"/>
        <v>0</v>
      </c>
      <c r="P80" s="30">
        <f>(kalimantan!P56*3.6/(VLOOKUP(P$51,tech_data!$B$2:$J$15,4,FALSE)/100))/1000</f>
        <v>0</v>
      </c>
      <c r="Q80" s="30">
        <f t="shared" si="84"/>
        <v>136.68060761078934</v>
      </c>
      <c r="R80" s="30"/>
      <c r="S80" s="23"/>
      <c r="T80" s="19"/>
      <c r="U80" s="20" t="str">
        <f t="shared" si="85"/>
        <v>KALIMANTAN</v>
      </c>
      <c r="V80" s="20">
        <f t="shared" si="85"/>
        <v>2023</v>
      </c>
      <c r="W80" s="30">
        <f>D56*(1-(VLOOKUP(W$75,tech_data!$B$2:$O$15,4,FALSE)/100))</f>
        <v>80.216671973525976</v>
      </c>
      <c r="X80" s="30">
        <f>E56*(1-(VLOOKUP(X$75,tech_data!$B$2:$O$15,4,FALSE)/100))</f>
        <v>14.964256721341084</v>
      </c>
      <c r="Y80" s="30">
        <f>F56*(1-(VLOOKUP(Y$75,tech_data!$B$2:$O$15,4,FALSE)/100))</f>
        <v>14.654304253329636</v>
      </c>
      <c r="Z80" s="30">
        <f>G56*(1-(VLOOKUP(Z$75,tech_data!$B$2:$O$15,4,FALSE)/100))</f>
        <v>36.422932832119891</v>
      </c>
      <c r="AA80" s="30">
        <f>H56*(1-(VLOOKUP(AA$75,tech_data!$B$2:$O$15,4,FALSE)/100))</f>
        <v>13.621147861134242</v>
      </c>
      <c r="AB80" s="30">
        <f>I56*(1-(VLOOKUP(AB$75,tech_data!$B$2:$O$15,4,FALSE)/100))</f>
        <v>0.49199078572177884</v>
      </c>
      <c r="AC80" s="30">
        <f>J56*(1-(VLOOKUP(AC$75,tech_data!$B$2:$O$15,4,FALSE)/100))</f>
        <v>0.71295915170691238</v>
      </c>
      <c r="AD80" s="30">
        <f>K56*(1-(VLOOKUP(AD$75,tech_data!$B$2:$O$15,4,FALSE)/100))</f>
        <v>8.7472465242180029</v>
      </c>
      <c r="AE80" s="30">
        <f>L56*(1-(VLOOKUP(AE$75,tech_data!$B$2:$O$15,4,FALSE)/100))</f>
        <v>3.7509119260807466E-2</v>
      </c>
      <c r="AF80" s="30">
        <f>M56*(1-(VLOOKUP(AF$75,tech_data!$B$2:$O$15,4,FALSE)/100))</f>
        <v>3.2028433862215917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(kalimantan!AI56*3.6/(VLOOKUP(AI$51,tech_data!$B$2:$J$15,4,FALSE)/100))/1000</f>
        <v>0</v>
      </c>
      <c r="AJ80" s="30">
        <f t="shared" si="86"/>
        <v>173.07186260857995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KALIMANTAN</v>
      </c>
      <c r="C81" s="20">
        <f t="shared" si="82"/>
        <v>2024</v>
      </c>
      <c r="D81" s="30">
        <f t="shared" si="87"/>
        <v>50.571380157222904</v>
      </c>
      <c r="E81" s="30">
        <f t="shared" si="87"/>
        <v>8.8578746862038429</v>
      </c>
      <c r="F81" s="30">
        <f t="shared" si="87"/>
        <v>21.789475013615846</v>
      </c>
      <c r="G81" s="30">
        <f t="shared" si="87"/>
        <v>31.026942782916944</v>
      </c>
      <c r="H81" s="30">
        <f t="shared" si="87"/>
        <v>3.0911498874369205</v>
      </c>
      <c r="I81" s="30">
        <f t="shared" si="87"/>
        <v>9.3478249287137896</v>
      </c>
      <c r="J81" s="30">
        <f t="shared" si="87"/>
        <v>5.0369230198117965</v>
      </c>
      <c r="K81" s="30">
        <f t="shared" si="87"/>
        <v>10.694670368558709</v>
      </c>
      <c r="L81" s="30">
        <f t="shared" si="87"/>
        <v>0.2330884918057777</v>
      </c>
      <c r="M81" s="30">
        <f t="shared" si="87"/>
        <v>1.6319134130283235</v>
      </c>
      <c r="N81" s="30">
        <f t="shared" si="87"/>
        <v>0</v>
      </c>
      <c r="O81" s="30">
        <f t="shared" si="87"/>
        <v>0</v>
      </c>
      <c r="P81" s="30">
        <f>(kalimantan!P57*3.6/(VLOOKUP(P$51,tech_data!$B$2:$J$15,4,FALSE)/100))/1000</f>
        <v>0</v>
      </c>
      <c r="Q81" s="30">
        <f t="shared" si="84"/>
        <v>142.28124274931486</v>
      </c>
      <c r="R81" s="30"/>
      <c r="S81" s="23"/>
      <c r="T81" s="19"/>
      <c r="U81" s="20" t="str">
        <f t="shared" si="85"/>
        <v>KALIMANTAN</v>
      </c>
      <c r="V81" s="20">
        <f t="shared" si="85"/>
        <v>2024</v>
      </c>
      <c r="W81" s="30">
        <f>D57*(1-(VLOOKUP(W$75,tech_data!$B$2:$O$15,4,FALSE)/100))</f>
        <v>80.216671973525976</v>
      </c>
      <c r="X81" s="30">
        <f>E57*(1-(VLOOKUP(X$75,tech_data!$B$2:$O$15,4,FALSE)/100))</f>
        <v>15.977287985395716</v>
      </c>
      <c r="Y81" s="30">
        <f>F57*(1-(VLOOKUP(Y$75,tech_data!$B$2:$O$15,4,FALSE)/100))</f>
        <v>15.563910724011317</v>
      </c>
      <c r="Z81" s="30">
        <f>G57*(1-(VLOOKUP(Z$75,tech_data!$B$2:$O$15,4,FALSE)/100))</f>
        <v>36.422932832119891</v>
      </c>
      <c r="AA81" s="30">
        <f>H57*(1-(VLOOKUP(AA$75,tech_data!$B$2:$O$15,4,FALSE)/100))</f>
        <v>19.806256686169895</v>
      </c>
      <c r="AB81" s="30">
        <f>I57*(1-(VLOOKUP(AB$75,tech_data!$B$2:$O$15,4,FALSE)/100))</f>
        <v>0.49199078572177884</v>
      </c>
      <c r="AC81" s="30">
        <f>J57*(1-(VLOOKUP(AC$75,tech_data!$B$2:$O$15,4,FALSE)/100))</f>
        <v>1.2592307549529487</v>
      </c>
      <c r="AD81" s="30">
        <f>K57*(1-(VLOOKUP(AD$75,tech_data!$B$2:$O$15,4,FALSE)/100))</f>
        <v>8.9835231095893153</v>
      </c>
      <c r="AE81" s="30">
        <f>L57*(1-(VLOOKUP(AE$75,tech_data!$B$2:$O$15,4,FALSE)/100))</f>
        <v>9.4867016164951537E-2</v>
      </c>
      <c r="AF81" s="30">
        <f>M57*(1-(VLOOKUP(AF$75,tech_data!$B$2:$O$15,4,FALSE)/100))</f>
        <v>3.6323234031920744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(kalimantan!AI57*3.6/(VLOOKUP(AI$51,tech_data!$B$2:$J$15,4,FALSE)/100))/1000</f>
        <v>0</v>
      </c>
      <c r="AJ81" s="30">
        <f t="shared" si="86"/>
        <v>182.44899527084385</v>
      </c>
      <c r="AK81" s="30"/>
      <c r="AL81" s="23"/>
    </row>
    <row r="82" spans="1:38" x14ac:dyDescent="0.25">
      <c r="A82" s="19"/>
      <c r="B82" s="20" t="str">
        <f t="shared" si="82"/>
        <v>KALIMANTAN</v>
      </c>
      <c r="C82" s="20">
        <f t="shared" si="82"/>
        <v>2025</v>
      </c>
      <c r="D82" s="30">
        <f t="shared" si="87"/>
        <v>50.571380157222904</v>
      </c>
      <c r="E82" s="30">
        <f t="shared" si="87"/>
        <v>10.107451358343019</v>
      </c>
      <c r="F82" s="30">
        <f t="shared" si="87"/>
        <v>22.531838150682358</v>
      </c>
      <c r="G82" s="30">
        <f t="shared" si="87"/>
        <v>31.026942782916944</v>
      </c>
      <c r="H82" s="30">
        <f t="shared" si="87"/>
        <v>3.6714172837019428</v>
      </c>
      <c r="I82" s="30">
        <f t="shared" si="87"/>
        <v>10.172969052866353</v>
      </c>
      <c r="J82" s="30">
        <f t="shared" si="87"/>
        <v>5.8599739078231314</v>
      </c>
      <c r="K82" s="30">
        <f t="shared" si="87"/>
        <v>11.268868526431881</v>
      </c>
      <c r="L82" s="30">
        <f t="shared" si="87"/>
        <v>1.045047515725827</v>
      </c>
      <c r="M82" s="30">
        <f t="shared" si="87"/>
        <v>2.1046468289590652</v>
      </c>
      <c r="N82" s="30">
        <f t="shared" si="87"/>
        <v>0</v>
      </c>
      <c r="O82" s="30">
        <f t="shared" si="87"/>
        <v>0</v>
      </c>
      <c r="P82" s="30">
        <f>(kalimantan!P58*3.6/(VLOOKUP(P$51,tech_data!$B$2:$J$15,4,FALSE)/100))/1000</f>
        <v>0</v>
      </c>
      <c r="Q82" s="30">
        <f t="shared" si="84"/>
        <v>148.36053556467343</v>
      </c>
      <c r="R82" s="30"/>
      <c r="S82" s="23"/>
      <c r="T82" s="19"/>
      <c r="U82" s="20" t="str">
        <f t="shared" si="85"/>
        <v>KALIMANTAN</v>
      </c>
      <c r="V82" s="20">
        <f t="shared" si="85"/>
        <v>2025</v>
      </c>
      <c r="W82" s="30">
        <f>D58*(1-(VLOOKUP(W$75,tech_data!$B$2:$O$15,4,FALSE)/100))</f>
        <v>80.216671973525976</v>
      </c>
      <c r="X82" s="30">
        <f>E58*(1-(VLOOKUP(X$75,tech_data!$B$2:$O$15,4,FALSE)/100))</f>
        <v>18.231197309908435</v>
      </c>
      <c r="Y82" s="30">
        <f>F58*(1-(VLOOKUP(Y$75,tech_data!$B$2:$O$15,4,FALSE)/100))</f>
        <v>16.094170107630255</v>
      </c>
      <c r="Z82" s="30">
        <f>G58*(1-(VLOOKUP(Z$75,tech_data!$B$2:$O$15,4,FALSE)/100))</f>
        <v>36.422932832119891</v>
      </c>
      <c r="AA82" s="30">
        <f>H58*(1-(VLOOKUP(AA$75,tech_data!$B$2:$O$15,4,FALSE)/100))</f>
        <v>23.524266299275411</v>
      </c>
      <c r="AB82" s="30">
        <f>I58*(1-(VLOOKUP(AB$75,tech_data!$B$2:$O$15,4,FALSE)/100))</f>
        <v>0.53541942383507179</v>
      </c>
      <c r="AC82" s="30">
        <f>J58*(1-(VLOOKUP(AC$75,tech_data!$B$2:$O$15,4,FALSE)/100))</f>
        <v>1.4649934769557824</v>
      </c>
      <c r="AD82" s="30">
        <f>K58*(1-(VLOOKUP(AD$75,tech_data!$B$2:$O$15,4,FALSE)/100))</f>
        <v>9.465849562202779</v>
      </c>
      <c r="AE82" s="30">
        <f>L58*(1-(VLOOKUP(AE$75,tech_data!$B$2:$O$15,4,FALSE)/100))</f>
        <v>0.42533433890041161</v>
      </c>
      <c r="AF82" s="30">
        <f>M58*(1-(VLOOKUP(AF$75,tech_data!$B$2:$O$15,4,FALSE)/100))</f>
        <v>4.6845364902637261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(kalimantan!AI58*3.6/(VLOOKUP(AI$51,tech_data!$B$2:$J$15,4,FALSE)/100))/1000</f>
        <v>0</v>
      </c>
      <c r="AJ82" s="30">
        <f t="shared" si="86"/>
        <v>191.06537181461772</v>
      </c>
      <c r="AK82" s="30"/>
      <c r="AL82" s="23"/>
    </row>
    <row r="83" spans="1:38" x14ac:dyDescent="0.25">
      <c r="A83" s="19"/>
      <c r="B83" s="20" t="str">
        <f t="shared" si="82"/>
        <v>KALIMANTAN</v>
      </c>
      <c r="C83" s="20">
        <f t="shared" si="82"/>
        <v>2026</v>
      </c>
      <c r="D83" s="30">
        <f t="shared" si="87"/>
        <v>50.571380157222904</v>
      </c>
      <c r="E83" s="30">
        <f t="shared" si="87"/>
        <v>10.733878391698942</v>
      </c>
      <c r="F83" s="30">
        <f t="shared" si="87"/>
        <v>23.067220056891461</v>
      </c>
      <c r="G83" s="30">
        <f t="shared" si="87"/>
        <v>31.026942782916944</v>
      </c>
      <c r="H83" s="30">
        <f t="shared" si="87"/>
        <v>3.9615506917007561</v>
      </c>
      <c r="I83" s="30">
        <f t="shared" si="87"/>
        <v>10.289541550106797</v>
      </c>
      <c r="J83" s="30">
        <f t="shared" si="87"/>
        <v>6.3143901754515488</v>
      </c>
      <c r="K83" s="30">
        <f t="shared" si="87"/>
        <v>11.288772677823561</v>
      </c>
      <c r="L83" s="30">
        <f t="shared" si="87"/>
        <v>1.1080130178105709</v>
      </c>
      <c r="M83" s="30">
        <f t="shared" si="87"/>
        <v>2.1330873743990262</v>
      </c>
      <c r="N83" s="30">
        <f t="shared" si="87"/>
        <v>0</v>
      </c>
      <c r="O83" s="30">
        <f t="shared" si="87"/>
        <v>0</v>
      </c>
      <c r="P83" s="30">
        <f>(kalimantan!P59*3.6/(VLOOKUP(P$51,tech_data!$B$2:$J$15,4,FALSE)/100))/1000</f>
        <v>0</v>
      </c>
      <c r="Q83" s="30">
        <f t="shared" si="84"/>
        <v>150.49477687602251</v>
      </c>
      <c r="R83" s="30"/>
      <c r="S83" s="23"/>
      <c r="T83" s="19"/>
      <c r="U83" s="20" t="str">
        <f t="shared" si="85"/>
        <v>KALIMANTAN</v>
      </c>
      <c r="V83" s="20">
        <f t="shared" si="85"/>
        <v>2026</v>
      </c>
      <c r="W83" s="30">
        <f>D59*(1-(VLOOKUP(W$75,tech_data!$B$2:$O$15,4,FALSE)/100))</f>
        <v>80.216671973525976</v>
      </c>
      <c r="X83" s="30">
        <f>E59*(1-(VLOOKUP(X$75,tech_data!$B$2:$O$15,4,FALSE)/100))</f>
        <v>19.361107753251368</v>
      </c>
      <c r="Y83" s="30">
        <f>F59*(1-(VLOOKUP(Y$75,tech_data!$B$2:$O$15,4,FALSE)/100))</f>
        <v>16.476585754922471</v>
      </c>
      <c r="Z83" s="30">
        <f>G59*(1-(VLOOKUP(Z$75,tech_data!$B$2:$O$15,4,FALSE)/100))</f>
        <v>36.422932832119891</v>
      </c>
      <c r="AA83" s="30">
        <f>H59*(1-(VLOOKUP(AA$75,tech_data!$B$2:$O$15,4,FALSE)/100))</f>
        <v>25.38326924682336</v>
      </c>
      <c r="AB83" s="30">
        <f>I59*(1-(VLOOKUP(AB$75,tech_data!$B$2:$O$15,4,FALSE)/100))</f>
        <v>0.54155481842667397</v>
      </c>
      <c r="AC83" s="30">
        <f>J59*(1-(VLOOKUP(AC$75,tech_data!$B$2:$O$15,4,FALSE)/100))</f>
        <v>1.5785975438628868</v>
      </c>
      <c r="AD83" s="30">
        <f>K59*(1-(VLOOKUP(AD$75,tech_data!$B$2:$O$15,4,FALSE)/100))</f>
        <v>9.48256904937179</v>
      </c>
      <c r="AE83" s="30">
        <f>L59*(1-(VLOOKUP(AE$75,tech_data!$B$2:$O$15,4,FALSE)/100))</f>
        <v>0.45096129824890241</v>
      </c>
      <c r="AF83" s="30">
        <f>M59*(1-(VLOOKUP(AF$75,tech_data!$B$2:$O$15,4,FALSE)/100))</f>
        <v>4.7478396397913798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(kalimantan!AI59*3.6/(VLOOKUP(AI$51,tech_data!$B$2:$J$15,4,FALSE)/100))/1000</f>
        <v>0</v>
      </c>
      <c r="AJ83" s="30">
        <f t="shared" si="86"/>
        <v>194.66208991034469</v>
      </c>
      <c r="AK83" s="30"/>
      <c r="AL83" s="23"/>
    </row>
    <row r="84" spans="1:38" x14ac:dyDescent="0.25">
      <c r="A84" s="19"/>
      <c r="B84" s="20" t="str">
        <f t="shared" si="82"/>
        <v>KALIMANTAN</v>
      </c>
      <c r="C84" s="20">
        <f t="shared" si="82"/>
        <v>2027</v>
      </c>
      <c r="D84" s="30">
        <f t="shared" si="87"/>
        <v>50.571380157222904</v>
      </c>
      <c r="E84" s="30">
        <f t="shared" si="87"/>
        <v>10.733878391698942</v>
      </c>
      <c r="F84" s="30">
        <f t="shared" si="87"/>
        <v>35.985708784718504</v>
      </c>
      <c r="G84" s="30">
        <f t="shared" si="87"/>
        <v>32.127320339409856</v>
      </c>
      <c r="H84" s="30">
        <f t="shared" si="87"/>
        <v>3.9615506917007561</v>
      </c>
      <c r="I84" s="30">
        <f t="shared" si="87"/>
        <v>10.289541550106797</v>
      </c>
      <c r="J84" s="30">
        <f t="shared" si="87"/>
        <v>6.3143901754515488</v>
      </c>
      <c r="K84" s="30">
        <f t="shared" si="87"/>
        <v>11.288772677823561</v>
      </c>
      <c r="L84" s="30">
        <f t="shared" si="87"/>
        <v>6.0787695489717777</v>
      </c>
      <c r="M84" s="30">
        <f t="shared" si="87"/>
        <v>2.1330873743990262</v>
      </c>
      <c r="N84" s="30">
        <f t="shared" si="87"/>
        <v>0</v>
      </c>
      <c r="O84" s="30">
        <f t="shared" si="87"/>
        <v>0</v>
      </c>
      <c r="P84" s="30">
        <f>(kalimantan!P60*3.6/(VLOOKUP(P$51,tech_data!$B$2:$J$15,4,FALSE)/100))/1000</f>
        <v>0</v>
      </c>
      <c r="Q84" s="30">
        <f t="shared" si="84"/>
        <v>169.48439969150368</v>
      </c>
      <c r="R84" s="30"/>
      <c r="S84" s="23"/>
      <c r="T84" s="19"/>
      <c r="U84" s="20" t="str">
        <f t="shared" si="85"/>
        <v>KALIMANTAN</v>
      </c>
      <c r="V84" s="20">
        <f t="shared" si="85"/>
        <v>2027</v>
      </c>
      <c r="W84" s="30">
        <f>D60*(1-(VLOOKUP(W$75,tech_data!$B$2:$O$15,4,FALSE)/100))</f>
        <v>80.216671973525976</v>
      </c>
      <c r="X84" s="30">
        <f>E60*(1-(VLOOKUP(X$75,tech_data!$B$2:$O$15,4,FALSE)/100))</f>
        <v>19.361107753251368</v>
      </c>
      <c r="Y84" s="30">
        <f>F60*(1-(VLOOKUP(Y$75,tech_data!$B$2:$O$15,4,FALSE)/100))</f>
        <v>25.704077703370356</v>
      </c>
      <c r="Z84" s="30">
        <f>G60*(1-(VLOOKUP(Z$75,tech_data!$B$2:$O$15,4,FALSE)/100))</f>
        <v>37.71468039843765</v>
      </c>
      <c r="AA84" s="30">
        <f>H60*(1-(VLOOKUP(AA$75,tech_data!$B$2:$O$15,4,FALSE)/100))</f>
        <v>25.38326924682336</v>
      </c>
      <c r="AB84" s="30">
        <f>I60*(1-(VLOOKUP(AB$75,tech_data!$B$2:$O$15,4,FALSE)/100))</f>
        <v>0.54155481842667397</v>
      </c>
      <c r="AC84" s="30">
        <f>J60*(1-(VLOOKUP(AC$75,tech_data!$B$2:$O$15,4,FALSE)/100))</f>
        <v>1.5785975438628868</v>
      </c>
      <c r="AD84" s="30">
        <f>K60*(1-(VLOOKUP(AD$75,tech_data!$B$2:$O$15,4,FALSE)/100))</f>
        <v>9.48256904937179</v>
      </c>
      <c r="AE84" s="30">
        <f>L60*(1-(VLOOKUP(AE$75,tech_data!$B$2:$O$15,4,FALSE)/100))</f>
        <v>2.4740592064315137</v>
      </c>
      <c r="AF84" s="30">
        <f>M60*(1-(VLOOKUP(AF$75,tech_data!$B$2:$O$15,4,FALSE)/100))</f>
        <v>4.7478396397913798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(kalimantan!AI60*3.6/(VLOOKUP(AI$51,tech_data!$B$2:$J$15,4,FALSE)/100))/1000</f>
        <v>0</v>
      </c>
      <c r="AJ84" s="30">
        <f t="shared" si="86"/>
        <v>207.20442733329298</v>
      </c>
      <c r="AK84" s="30"/>
      <c r="AL84" s="23"/>
    </row>
    <row r="85" spans="1:38" x14ac:dyDescent="0.25">
      <c r="A85" s="19"/>
      <c r="B85" s="20" t="str">
        <f t="shared" si="82"/>
        <v>KALIMANTAN</v>
      </c>
      <c r="C85" s="20">
        <f t="shared" si="82"/>
        <v>2028</v>
      </c>
      <c r="D85" s="30">
        <f t="shared" si="87"/>
        <v>51.461572136728584</v>
      </c>
      <c r="E85" s="30">
        <f t="shared" si="87"/>
        <v>10.733878391698942</v>
      </c>
      <c r="F85" s="30">
        <f t="shared" si="87"/>
        <v>35.985708784718504</v>
      </c>
      <c r="G85" s="30">
        <f t="shared" si="87"/>
        <v>34.918770745170931</v>
      </c>
      <c r="H85" s="30">
        <f t="shared" si="87"/>
        <v>3.9615506917007561</v>
      </c>
      <c r="I85" s="30">
        <f t="shared" si="87"/>
        <v>10.289541550106797</v>
      </c>
      <c r="J85" s="30">
        <f t="shared" si="87"/>
        <v>6.3143901754515488</v>
      </c>
      <c r="K85" s="30">
        <f t="shared" si="87"/>
        <v>11.288772677823561</v>
      </c>
      <c r="L85" s="30">
        <f t="shared" si="87"/>
        <v>7.9520883896095214</v>
      </c>
      <c r="M85" s="30">
        <f t="shared" si="87"/>
        <v>2.1330873743990262</v>
      </c>
      <c r="N85" s="30">
        <f t="shared" si="87"/>
        <v>0</v>
      </c>
      <c r="O85" s="30">
        <f t="shared" si="87"/>
        <v>0</v>
      </c>
      <c r="P85" s="30">
        <f>(kalimantan!P61*3.6/(VLOOKUP(P$51,tech_data!$B$2:$J$15,4,FALSE)/100))/1000</f>
        <v>0</v>
      </c>
      <c r="Q85" s="30">
        <f t="shared" si="84"/>
        <v>175.03936091740815</v>
      </c>
      <c r="R85" s="30"/>
      <c r="S85" s="23"/>
      <c r="T85" s="19"/>
      <c r="U85" s="20" t="str">
        <f t="shared" si="85"/>
        <v>KALIMANTAN</v>
      </c>
      <c r="V85" s="20">
        <f t="shared" si="85"/>
        <v>2028</v>
      </c>
      <c r="W85" s="30">
        <f>D61*(1-(VLOOKUP(W$75,tech_data!$B$2:$O$15,4,FALSE)/100))</f>
        <v>81.628700630672938</v>
      </c>
      <c r="X85" s="30">
        <f>E61*(1-(VLOOKUP(X$75,tech_data!$B$2:$O$15,4,FALSE)/100))</f>
        <v>19.361107753251368</v>
      </c>
      <c r="Y85" s="30">
        <f>F61*(1-(VLOOKUP(Y$75,tech_data!$B$2:$O$15,4,FALSE)/100))</f>
        <v>25.704077703370356</v>
      </c>
      <c r="Z85" s="30">
        <f>G61*(1-(VLOOKUP(Z$75,tech_data!$B$2:$O$15,4,FALSE)/100))</f>
        <v>40.991600439983266</v>
      </c>
      <c r="AA85" s="30">
        <f>H61*(1-(VLOOKUP(AA$75,tech_data!$B$2:$O$15,4,FALSE)/100))</f>
        <v>25.38326924682336</v>
      </c>
      <c r="AB85" s="30">
        <f>I61*(1-(VLOOKUP(AB$75,tech_data!$B$2:$O$15,4,FALSE)/100))</f>
        <v>0.54155481842667397</v>
      </c>
      <c r="AC85" s="30">
        <f>J61*(1-(VLOOKUP(AC$75,tech_data!$B$2:$O$15,4,FALSE)/100))</f>
        <v>1.5785975438628868</v>
      </c>
      <c r="AD85" s="30">
        <f>K61*(1-(VLOOKUP(AD$75,tech_data!$B$2:$O$15,4,FALSE)/100))</f>
        <v>9.48256904937179</v>
      </c>
      <c r="AE85" s="30">
        <f>L61*(1-(VLOOKUP(AE$75,tech_data!$B$2:$O$15,4,FALSE)/100))</f>
        <v>3.2364999745710756</v>
      </c>
      <c r="AF85" s="30">
        <f>M61*(1-(VLOOKUP(AF$75,tech_data!$B$2:$O$15,4,FALSE)/100))</f>
        <v>4.7478396397913798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(kalimantan!AI61*3.6/(VLOOKUP(AI$51,tech_data!$B$2:$J$15,4,FALSE)/100))/1000</f>
        <v>0</v>
      </c>
      <c r="AJ85" s="30">
        <f t="shared" si="86"/>
        <v>212.65581680012511</v>
      </c>
      <c r="AK85" s="30"/>
      <c r="AL85" s="23"/>
    </row>
    <row r="86" spans="1:38" x14ac:dyDescent="0.25">
      <c r="A86" s="19"/>
      <c r="B86" s="20" t="str">
        <f t="shared" si="82"/>
        <v>KALIMANTAN</v>
      </c>
      <c r="C86" s="20">
        <f t="shared" si="82"/>
        <v>2029</v>
      </c>
      <c r="D86" s="30">
        <f t="shared" si="87"/>
        <v>51.461572136728584</v>
      </c>
      <c r="E86" s="30">
        <f t="shared" si="87"/>
        <v>10.733878391698942</v>
      </c>
      <c r="F86" s="30">
        <f t="shared" si="87"/>
        <v>35.985708784718504</v>
      </c>
      <c r="G86" s="30">
        <f t="shared" si="87"/>
        <v>34.918770745170931</v>
      </c>
      <c r="H86" s="30">
        <f t="shared" si="87"/>
        <v>3.9615506683398576</v>
      </c>
      <c r="I86" s="30">
        <f t="shared" si="87"/>
        <v>10.291086153224034</v>
      </c>
      <c r="J86" s="30">
        <f t="shared" si="87"/>
        <v>6.5233905231383629</v>
      </c>
      <c r="K86" s="30">
        <f t="shared" si="87"/>
        <v>11.358550271214007</v>
      </c>
      <c r="L86" s="30">
        <f t="shared" si="87"/>
        <v>7.9879459282559795</v>
      </c>
      <c r="M86" s="30">
        <f t="shared" si="87"/>
        <v>2.55658502902928</v>
      </c>
      <c r="N86" s="30">
        <f t="shared" si="87"/>
        <v>0</v>
      </c>
      <c r="O86" s="30">
        <f t="shared" si="87"/>
        <v>0</v>
      </c>
      <c r="P86" s="30">
        <f>(kalimantan!P62*3.6/(VLOOKUP(P$51,tech_data!$B$2:$J$15,4,FALSE)/100))/1000</f>
        <v>0</v>
      </c>
      <c r="Q86" s="30">
        <f t="shared" si="84"/>
        <v>175.77903863151849</v>
      </c>
      <c r="R86" s="30"/>
      <c r="S86" s="23"/>
      <c r="T86" s="19"/>
      <c r="U86" s="20" t="str">
        <f t="shared" si="85"/>
        <v>KALIMANTAN</v>
      </c>
      <c r="V86" s="20">
        <f t="shared" si="85"/>
        <v>2029</v>
      </c>
      <c r="W86" s="30">
        <f>D62*(1-(VLOOKUP(W$75,tech_data!$B$2:$O$15,4,FALSE)/100))</f>
        <v>81.628700630672938</v>
      </c>
      <c r="X86" s="30">
        <f>E62*(1-(VLOOKUP(X$75,tech_data!$B$2:$O$15,4,FALSE)/100))</f>
        <v>19.361107753251368</v>
      </c>
      <c r="Y86" s="30">
        <f>F62*(1-(VLOOKUP(Y$75,tech_data!$B$2:$O$15,4,FALSE)/100))</f>
        <v>25.704077703370356</v>
      </c>
      <c r="Z86" s="30">
        <f>G62*(1-(VLOOKUP(Z$75,tech_data!$B$2:$O$15,4,FALSE)/100))</f>
        <v>40.991600439983266</v>
      </c>
      <c r="AA86" s="30">
        <f>H62*(1-(VLOOKUP(AA$75,tech_data!$B$2:$O$15,4,FALSE)/100))</f>
        <v>25.383269097140566</v>
      </c>
      <c r="AB86" s="30">
        <f>I62*(1-(VLOOKUP(AB$75,tech_data!$B$2:$O$15,4,FALSE)/100))</f>
        <v>0.54163611332758121</v>
      </c>
      <c r="AC86" s="30">
        <f>J62*(1-(VLOOKUP(AC$75,tech_data!$B$2:$O$15,4,FALSE)/100))</f>
        <v>1.6308476307845905</v>
      </c>
      <c r="AD86" s="30">
        <f>K62*(1-(VLOOKUP(AD$75,tech_data!$B$2:$O$15,4,FALSE)/100))</f>
        <v>9.5411822278197658</v>
      </c>
      <c r="AE86" s="30">
        <f>L62*(1-(VLOOKUP(AE$75,tech_data!$B$2:$O$15,4,FALSE)/100))</f>
        <v>3.2510939928001839</v>
      </c>
      <c r="AF86" s="30">
        <f>M62*(1-(VLOOKUP(AF$75,tech_data!$B$2:$O$15,4,FALSE)/100))</f>
        <v>5.6904634517103325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(kalimantan!AI62*3.6/(VLOOKUP(AI$51,tech_data!$B$2:$J$15,4,FALSE)/100))/1000</f>
        <v>0</v>
      </c>
      <c r="AJ86" s="30">
        <f t="shared" si="86"/>
        <v>213.72397904086094</v>
      </c>
      <c r="AK86" s="30"/>
      <c r="AL86" s="23"/>
    </row>
    <row r="87" spans="1:38" x14ac:dyDescent="0.25">
      <c r="A87" s="19"/>
      <c r="B87" s="20" t="str">
        <f t="shared" si="82"/>
        <v>KALIMANTAN</v>
      </c>
      <c r="C87" s="20">
        <f t="shared" si="82"/>
        <v>2030</v>
      </c>
      <c r="D87" s="30">
        <f t="shared" si="87"/>
        <v>51.461572136728584</v>
      </c>
      <c r="E87" s="30">
        <f t="shared" si="87"/>
        <v>10.733878391698942</v>
      </c>
      <c r="F87" s="30">
        <f t="shared" si="87"/>
        <v>35.985708784718504</v>
      </c>
      <c r="G87" s="30">
        <f t="shared" si="87"/>
        <v>34.918770745170931</v>
      </c>
      <c r="H87" s="30">
        <f t="shared" si="87"/>
        <v>4.1066172392363551</v>
      </c>
      <c r="I87" s="30">
        <f t="shared" si="87"/>
        <v>10.710861198648095</v>
      </c>
      <c r="J87" s="30">
        <f t="shared" si="87"/>
        <v>6.5416599368647788</v>
      </c>
      <c r="K87" s="30">
        <f t="shared" si="87"/>
        <v>11.400934655214007</v>
      </c>
      <c r="L87" s="30">
        <f t="shared" si="87"/>
        <v>8.1084619911432068</v>
      </c>
      <c r="M87" s="30">
        <f t="shared" si="87"/>
        <v>2.55658502902928</v>
      </c>
      <c r="N87" s="30">
        <f t="shared" si="87"/>
        <v>0</v>
      </c>
      <c r="O87" s="30">
        <f t="shared" si="87"/>
        <v>0</v>
      </c>
      <c r="P87" s="30">
        <f>(kalimantan!P63*3.6/(VLOOKUP(P$51,tech_data!$B$2:$J$15,4,FALSE)/100))/1000</f>
        <v>0</v>
      </c>
      <c r="Q87" s="30">
        <f t="shared" si="84"/>
        <v>176.52505010845269</v>
      </c>
      <c r="R87" s="30"/>
      <c r="S87" s="23"/>
      <c r="T87" s="19"/>
      <c r="U87" s="20" t="str">
        <f t="shared" si="85"/>
        <v>KALIMANTAN</v>
      </c>
      <c r="V87" s="20">
        <f t="shared" si="85"/>
        <v>2030</v>
      </c>
      <c r="W87" s="30">
        <f>D63*(1-(VLOOKUP(W$75,tech_data!$B$2:$O$15,4,FALSE)/100))</f>
        <v>81.628700630672938</v>
      </c>
      <c r="X87" s="30">
        <f>E63*(1-(VLOOKUP(X$75,tech_data!$B$2:$O$15,4,FALSE)/100))</f>
        <v>19.361107753251368</v>
      </c>
      <c r="Y87" s="30">
        <f>F63*(1-(VLOOKUP(Y$75,tech_data!$B$2:$O$15,4,FALSE)/100))</f>
        <v>25.704077703370356</v>
      </c>
      <c r="Z87" s="30">
        <f>G63*(1-(VLOOKUP(Z$75,tech_data!$B$2:$O$15,4,FALSE)/100))</f>
        <v>40.991600439983266</v>
      </c>
      <c r="AA87" s="30">
        <f>H63*(1-(VLOOKUP(AA$75,tech_data!$B$2:$O$15,4,FALSE)/100))</f>
        <v>26.312769718069976</v>
      </c>
      <c r="AB87" s="30">
        <f>I63*(1-(VLOOKUP(AB$75,tech_data!$B$2:$O$15,4,FALSE)/100))</f>
        <v>0.56372953677095294</v>
      </c>
      <c r="AC87" s="30">
        <f>J63*(1-(VLOOKUP(AC$75,tech_data!$B$2:$O$15,4,FALSE)/100))</f>
        <v>1.6354149842161942</v>
      </c>
      <c r="AD87" s="30">
        <f>K63*(1-(VLOOKUP(AD$75,tech_data!$B$2:$O$15,4,FALSE)/100))</f>
        <v>9.576785110379765</v>
      </c>
      <c r="AE87" s="30">
        <f>L63*(1-(VLOOKUP(AE$75,tech_data!$B$2:$O$15,4,FALSE)/100))</f>
        <v>3.3001440303952854</v>
      </c>
      <c r="AF87" s="30">
        <f>M63*(1-(VLOOKUP(AF$75,tech_data!$B$2:$O$15,4,FALSE)/100))</f>
        <v>5.6904634517103325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(kalimantan!AI63*3.6/(VLOOKUP(AI$51,tech_data!$B$2:$J$15,4,FALSE)/100))/1000</f>
        <v>0</v>
      </c>
      <c r="AJ87" s="30">
        <f t="shared" si="86"/>
        <v>214.76479335882044</v>
      </c>
      <c r="AK87" s="30"/>
      <c r="AL87" s="23"/>
    </row>
    <row r="88" spans="1:38" x14ac:dyDescent="0.25">
      <c r="A88" s="19"/>
      <c r="B88" s="20" t="str">
        <f t="shared" si="82"/>
        <v>KALIMANTAN</v>
      </c>
      <c r="C88" s="20">
        <f t="shared" si="82"/>
        <v>2031</v>
      </c>
      <c r="D88" s="30">
        <f t="shared" si="87"/>
        <v>51.461572136728584</v>
      </c>
      <c r="E88" s="30">
        <f t="shared" si="87"/>
        <v>10.733878391698942</v>
      </c>
      <c r="F88" s="30">
        <f t="shared" si="87"/>
        <v>35.985708784718504</v>
      </c>
      <c r="G88" s="30">
        <f t="shared" si="87"/>
        <v>35.195157218018764</v>
      </c>
      <c r="H88" s="30">
        <f t="shared" si="87"/>
        <v>4.1066172392363551</v>
      </c>
      <c r="I88" s="30">
        <f t="shared" si="87"/>
        <v>10.710861198648095</v>
      </c>
      <c r="J88" s="30">
        <f t="shared" si="87"/>
        <v>6.5416599368647788</v>
      </c>
      <c r="K88" s="30">
        <f t="shared" si="87"/>
        <v>11.400934655214007</v>
      </c>
      <c r="L88" s="30">
        <f t="shared" si="87"/>
        <v>8.9526254672259302</v>
      </c>
      <c r="M88" s="30">
        <f t="shared" si="87"/>
        <v>2.55658502902928</v>
      </c>
      <c r="N88" s="30">
        <f t="shared" si="87"/>
        <v>0</v>
      </c>
      <c r="O88" s="30">
        <f t="shared" si="87"/>
        <v>0</v>
      </c>
      <c r="P88" s="30">
        <f>(kalimantan!P64*3.6/(VLOOKUP(P$51,tech_data!$B$2:$J$15,4,FALSE)/100))/1000</f>
        <v>0</v>
      </c>
      <c r="Q88" s="30">
        <f t="shared" si="84"/>
        <v>177.64560005738326</v>
      </c>
      <c r="R88" s="30"/>
      <c r="S88" s="23"/>
      <c r="T88" s="19"/>
      <c r="U88" s="20" t="str">
        <f t="shared" si="85"/>
        <v>KALIMANTAN</v>
      </c>
      <c r="V88" s="20">
        <f t="shared" si="85"/>
        <v>2031</v>
      </c>
      <c r="W88" s="30">
        <f>D64*(1-(VLOOKUP(W$75,tech_data!$B$2:$O$15,4,FALSE)/100))</f>
        <v>81.628700630672938</v>
      </c>
      <c r="X88" s="30">
        <f>E64*(1-(VLOOKUP(X$75,tech_data!$B$2:$O$15,4,FALSE)/100))</f>
        <v>19.361107753251368</v>
      </c>
      <c r="Y88" s="30">
        <f>F64*(1-(VLOOKUP(Y$75,tech_data!$B$2:$O$15,4,FALSE)/100))</f>
        <v>25.704077703370356</v>
      </c>
      <c r="Z88" s="30">
        <f>G64*(1-(VLOOKUP(Z$75,tech_data!$B$2:$O$15,4,FALSE)/100))</f>
        <v>41.316054125500287</v>
      </c>
      <c r="AA88" s="30">
        <f>H64*(1-(VLOOKUP(AA$75,tech_data!$B$2:$O$15,4,FALSE)/100))</f>
        <v>26.312769718069976</v>
      </c>
      <c r="AB88" s="30">
        <f>I64*(1-(VLOOKUP(AB$75,tech_data!$B$2:$O$15,4,FALSE)/100))</f>
        <v>0.56372953677095294</v>
      </c>
      <c r="AC88" s="30">
        <f>J64*(1-(VLOOKUP(AC$75,tech_data!$B$2:$O$15,4,FALSE)/100))</f>
        <v>1.6354149842161942</v>
      </c>
      <c r="AD88" s="30">
        <f>K64*(1-(VLOOKUP(AD$75,tech_data!$B$2:$O$15,4,FALSE)/100))</f>
        <v>9.576785110379765</v>
      </c>
      <c r="AE88" s="30">
        <f>L64*(1-(VLOOKUP(AE$75,tech_data!$B$2:$O$15,4,FALSE)/100))</f>
        <v>3.6437185651609538</v>
      </c>
      <c r="AF88" s="30">
        <f>M64*(1-(VLOOKUP(AF$75,tech_data!$B$2:$O$15,4,FALSE)/100))</f>
        <v>5.6904634517103325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(kalimantan!AI64*3.6/(VLOOKUP(AI$51,tech_data!$B$2:$J$15,4,FALSE)/100))/1000</f>
        <v>0</v>
      </c>
      <c r="AJ88" s="30">
        <f t="shared" si="86"/>
        <v>215.43282157910315</v>
      </c>
      <c r="AK88" s="30"/>
      <c r="AL88" s="23"/>
    </row>
    <row r="89" spans="1:38" x14ac:dyDescent="0.25">
      <c r="A89" s="19"/>
      <c r="B89" s="20" t="str">
        <f t="shared" si="82"/>
        <v>KALIMANTAN</v>
      </c>
      <c r="C89" s="20">
        <f t="shared" si="82"/>
        <v>2032</v>
      </c>
      <c r="D89" s="30">
        <f t="shared" si="87"/>
        <v>53.024400149976749</v>
      </c>
      <c r="E89" s="30">
        <f t="shared" si="87"/>
        <v>10.733878391698942</v>
      </c>
      <c r="F89" s="30">
        <f t="shared" si="87"/>
        <v>36.02400171796436</v>
      </c>
      <c r="G89" s="30">
        <f t="shared" si="87"/>
        <v>38.822760297106477</v>
      </c>
      <c r="H89" s="30">
        <f t="shared" si="87"/>
        <v>4.1066172392363551</v>
      </c>
      <c r="I89" s="30">
        <f t="shared" si="87"/>
        <v>10.710861198648095</v>
      </c>
      <c r="J89" s="30">
        <f t="shared" si="87"/>
        <v>6.5416599368647788</v>
      </c>
      <c r="K89" s="30">
        <f t="shared" si="87"/>
        <v>11.400934655214007</v>
      </c>
      <c r="L89" s="30">
        <f t="shared" si="87"/>
        <v>11.478301933724893</v>
      </c>
      <c r="M89" s="30">
        <f t="shared" si="87"/>
        <v>2.55658502902928</v>
      </c>
      <c r="N89" s="30">
        <f t="shared" si="87"/>
        <v>0</v>
      </c>
      <c r="O89" s="30">
        <f t="shared" si="87"/>
        <v>0</v>
      </c>
      <c r="P89" s="30">
        <f>(kalimantan!P65*3.6/(VLOOKUP(P$51,tech_data!$B$2:$J$15,4,FALSE)/100))/1000</f>
        <v>0</v>
      </c>
      <c r="Q89" s="30">
        <f t="shared" si="84"/>
        <v>185.40000054946398</v>
      </c>
      <c r="R89" s="30"/>
      <c r="S89" s="23"/>
      <c r="T89" s="19"/>
      <c r="U89" s="20" t="str">
        <f t="shared" si="85"/>
        <v>KALIMANTAN</v>
      </c>
      <c r="V89" s="20">
        <f t="shared" si="85"/>
        <v>2032</v>
      </c>
      <c r="W89" s="30">
        <f>D65*(1-(VLOOKUP(W$75,tech_data!$B$2:$O$15,4,FALSE)/100))</f>
        <v>84.10766920341139</v>
      </c>
      <c r="X89" s="30">
        <f>E65*(1-(VLOOKUP(X$75,tech_data!$B$2:$O$15,4,FALSE)/100))</f>
        <v>19.361107753251368</v>
      </c>
      <c r="Y89" s="30">
        <f>F65*(1-(VLOOKUP(Y$75,tech_data!$B$2:$O$15,4,FALSE)/100))</f>
        <v>25.731429798545971</v>
      </c>
      <c r="Z89" s="30">
        <f>G65*(1-(VLOOKUP(Z$75,tech_data!$B$2:$O$15,4,FALSE)/100))</f>
        <v>45.574544696603255</v>
      </c>
      <c r="AA89" s="30">
        <f>H65*(1-(VLOOKUP(AA$75,tech_data!$B$2:$O$15,4,FALSE)/100))</f>
        <v>26.312769718069976</v>
      </c>
      <c r="AB89" s="30">
        <f>I65*(1-(VLOOKUP(AB$75,tech_data!$B$2:$O$15,4,FALSE)/100))</f>
        <v>0.56372953677095294</v>
      </c>
      <c r="AC89" s="30">
        <f>J65*(1-(VLOOKUP(AC$75,tech_data!$B$2:$O$15,4,FALSE)/100))</f>
        <v>1.6354149842161942</v>
      </c>
      <c r="AD89" s="30">
        <f>K65*(1-(VLOOKUP(AD$75,tech_data!$B$2:$O$15,4,FALSE)/100))</f>
        <v>9.576785110379765</v>
      </c>
      <c r="AE89" s="30">
        <f>L65*(1-(VLOOKUP(AE$75,tech_data!$B$2:$O$15,4,FALSE)/100))</f>
        <v>4.6716688870260317</v>
      </c>
      <c r="AF89" s="30">
        <f>M65*(1-(VLOOKUP(AF$75,tech_data!$B$2:$O$15,4,FALSE)/100))</f>
        <v>5.6904634517103325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(kalimantan!AI65*3.6/(VLOOKUP(AI$51,tech_data!$B$2:$J$15,4,FALSE)/100))/1000</f>
        <v>0</v>
      </c>
      <c r="AJ89" s="30">
        <f t="shared" si="86"/>
        <v>223.22558313998528</v>
      </c>
      <c r="AK89" s="30"/>
      <c r="AL89" s="23"/>
    </row>
    <row r="90" spans="1:38" x14ac:dyDescent="0.25">
      <c r="A90" s="19"/>
      <c r="B90" s="20" t="str">
        <f t="shared" si="82"/>
        <v>KALIMANTAN</v>
      </c>
      <c r="C90" s="20">
        <f t="shared" si="82"/>
        <v>2033</v>
      </c>
      <c r="D90" s="30">
        <f t="shared" si="87"/>
        <v>54.86811620289329</v>
      </c>
      <c r="E90" s="30">
        <f t="shared" si="87"/>
        <v>10.733878391698942</v>
      </c>
      <c r="F90" s="30">
        <f t="shared" si="87"/>
        <v>38.879266097454611</v>
      </c>
      <c r="G90" s="30">
        <f t="shared" si="87"/>
        <v>39.335038951330013</v>
      </c>
      <c r="H90" s="30">
        <f t="shared" si="87"/>
        <v>4.1066172392363551</v>
      </c>
      <c r="I90" s="30">
        <f t="shared" si="87"/>
        <v>10.710861198648095</v>
      </c>
      <c r="J90" s="30">
        <f t="shared" si="87"/>
        <v>6.5416599368647788</v>
      </c>
      <c r="K90" s="30">
        <f t="shared" si="87"/>
        <v>11.400934655214007</v>
      </c>
      <c r="L90" s="30">
        <f t="shared" si="87"/>
        <v>14.06464954895738</v>
      </c>
      <c r="M90" s="30">
        <f t="shared" si="87"/>
        <v>2.55658502902928</v>
      </c>
      <c r="N90" s="30">
        <f t="shared" si="87"/>
        <v>0</v>
      </c>
      <c r="O90" s="30">
        <f t="shared" si="87"/>
        <v>0</v>
      </c>
      <c r="P90" s="30">
        <f>(kalimantan!P66*3.6/(VLOOKUP(P$51,tech_data!$B$2:$J$15,4,FALSE)/100))/1000</f>
        <v>0</v>
      </c>
      <c r="Q90" s="30">
        <f t="shared" si="84"/>
        <v>193.19760725132679</v>
      </c>
      <c r="R90" s="30"/>
      <c r="S90" s="23"/>
      <c r="T90" s="19"/>
      <c r="U90" s="20" t="str">
        <f t="shared" si="85"/>
        <v>KALIMANTAN</v>
      </c>
      <c r="V90" s="20">
        <f t="shared" si="85"/>
        <v>2033</v>
      </c>
      <c r="W90" s="30">
        <f>D66*(1-(VLOOKUP(W$75,tech_data!$B$2:$O$15,4,FALSE)/100))</f>
        <v>87.032184321830727</v>
      </c>
      <c r="X90" s="30">
        <f>E66*(1-(VLOOKUP(X$75,tech_data!$B$2:$O$15,4,FALSE)/100))</f>
        <v>19.361107753251368</v>
      </c>
      <c r="Y90" s="30">
        <f>F66*(1-(VLOOKUP(Y$75,tech_data!$B$2:$O$15,4,FALSE)/100))</f>
        <v>27.770904355324713</v>
      </c>
      <c r="Z90" s="30">
        <f>G66*(1-(VLOOKUP(Z$75,tech_data!$B$2:$O$15,4,FALSE)/100))</f>
        <v>46.175915290691755</v>
      </c>
      <c r="AA90" s="30">
        <f>H66*(1-(VLOOKUP(AA$75,tech_data!$B$2:$O$15,4,FALSE)/100))</f>
        <v>26.312769718069976</v>
      </c>
      <c r="AB90" s="30">
        <f>I66*(1-(VLOOKUP(AB$75,tech_data!$B$2:$O$15,4,FALSE)/100))</f>
        <v>0.56372953677095294</v>
      </c>
      <c r="AC90" s="30">
        <f>J66*(1-(VLOOKUP(AC$75,tech_data!$B$2:$O$15,4,FALSE)/100))</f>
        <v>1.6354149842161942</v>
      </c>
      <c r="AD90" s="30">
        <f>K66*(1-(VLOOKUP(AD$75,tech_data!$B$2:$O$15,4,FALSE)/100))</f>
        <v>9.576785110379765</v>
      </c>
      <c r="AE90" s="30">
        <f>L66*(1-(VLOOKUP(AE$75,tech_data!$B$2:$O$15,4,FALSE)/100))</f>
        <v>5.7243123664256546</v>
      </c>
      <c r="AF90" s="30">
        <f>M66*(1-(VLOOKUP(AF$75,tech_data!$B$2:$O$15,4,FALSE)/100))</f>
        <v>5.6904634517103325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(kalimantan!AI66*3.6/(VLOOKUP(AI$51,tech_data!$B$2:$J$15,4,FALSE)/100))/1000</f>
        <v>0</v>
      </c>
      <c r="AJ90" s="30">
        <f t="shared" si="86"/>
        <v>229.84358688867147</v>
      </c>
      <c r="AK90" s="30"/>
      <c r="AL90" s="23"/>
    </row>
    <row r="91" spans="1:38" x14ac:dyDescent="0.25">
      <c r="A91" s="19"/>
      <c r="B91" s="20" t="str">
        <f t="shared" si="82"/>
        <v>KALIMANTAN</v>
      </c>
      <c r="C91" s="20">
        <f t="shared" si="82"/>
        <v>2034</v>
      </c>
      <c r="D91" s="30">
        <f t="shared" si="87"/>
        <v>59.665438153742599</v>
      </c>
      <c r="E91" s="30">
        <f t="shared" si="87"/>
        <v>10.733878380937162</v>
      </c>
      <c r="F91" s="30">
        <f t="shared" si="87"/>
        <v>44.573020661168805</v>
      </c>
      <c r="G91" s="30">
        <f t="shared" si="87"/>
        <v>39.335038951330013</v>
      </c>
      <c r="H91" s="30">
        <f t="shared" si="87"/>
        <v>4.1066172392363551</v>
      </c>
      <c r="I91" s="30">
        <f t="shared" si="87"/>
        <v>10.867680367029241</v>
      </c>
      <c r="J91" s="30">
        <f t="shared" si="87"/>
        <v>14.258267804043637</v>
      </c>
      <c r="K91" s="30">
        <f t="shared" si="87"/>
        <v>11.400934655214007</v>
      </c>
      <c r="L91" s="30">
        <f t="shared" si="87"/>
        <v>14.082106734271038</v>
      </c>
      <c r="M91" s="30">
        <f t="shared" si="87"/>
        <v>2.55658502902928</v>
      </c>
      <c r="N91" s="30">
        <f t="shared" si="87"/>
        <v>0</v>
      </c>
      <c r="O91" s="30">
        <f t="shared" si="87"/>
        <v>0</v>
      </c>
      <c r="P91" s="30">
        <f>(kalimantan!P67*3.6/(VLOOKUP(P$51,tech_data!$B$2:$J$15,4,FALSE)/100))/1000</f>
        <v>0</v>
      </c>
      <c r="Q91" s="30">
        <f t="shared" si="84"/>
        <v>211.57956797600212</v>
      </c>
      <c r="R91" s="30"/>
      <c r="S91" s="23"/>
      <c r="T91" s="19"/>
      <c r="U91" s="20" t="str">
        <f t="shared" si="85"/>
        <v>KALIMANTAN</v>
      </c>
      <c r="V91" s="20">
        <f t="shared" si="85"/>
        <v>2034</v>
      </c>
      <c r="W91" s="30">
        <f>D67*(1-(VLOOKUP(W$75,tech_data!$B$2:$O$15,4,FALSE)/100))</f>
        <v>94.64172948524687</v>
      </c>
      <c r="X91" s="30">
        <f>E67*(1-(VLOOKUP(X$75,tech_data!$B$2:$O$15,4,FALSE)/100))</f>
        <v>19.361107733839926</v>
      </c>
      <c r="Y91" s="30">
        <f>F67*(1-(VLOOKUP(Y$75,tech_data!$B$2:$O$15,4,FALSE)/100))</f>
        <v>31.837871900834859</v>
      </c>
      <c r="Z91" s="30">
        <f>G67*(1-(VLOOKUP(Z$75,tech_data!$B$2:$O$15,4,FALSE)/100))</f>
        <v>46.175915290691755</v>
      </c>
      <c r="AA91" s="30">
        <f>H67*(1-(VLOOKUP(AA$75,tech_data!$B$2:$O$15,4,FALSE)/100))</f>
        <v>26.312769718069976</v>
      </c>
      <c r="AB91" s="30">
        <f>I67*(1-(VLOOKUP(AB$75,tech_data!$B$2:$O$15,4,FALSE)/100))</f>
        <v>0.57198317721206582</v>
      </c>
      <c r="AC91" s="30">
        <f>J67*(1-(VLOOKUP(AC$75,tech_data!$B$2:$O$15,4,FALSE)/100))</f>
        <v>3.5645669510109079</v>
      </c>
      <c r="AD91" s="30">
        <f>K67*(1-(VLOOKUP(AD$75,tech_data!$B$2:$O$15,4,FALSE)/100))</f>
        <v>9.576785110379765</v>
      </c>
      <c r="AE91" s="30">
        <f>L67*(1-(VLOOKUP(AE$75,tech_data!$B$2:$O$15,4,FALSE)/100))</f>
        <v>5.7314174408483129</v>
      </c>
      <c r="AF91" s="30">
        <f>M67*(1-(VLOOKUP(AF$75,tech_data!$B$2:$O$15,4,FALSE)/100))</f>
        <v>5.6904634517103325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(kalimantan!AI67*3.6/(VLOOKUP(AI$51,tech_data!$B$2:$J$15,4,FALSE)/100))/1000</f>
        <v>0</v>
      </c>
      <c r="AJ91" s="30">
        <f t="shared" si="86"/>
        <v>243.46461025984479</v>
      </c>
      <c r="AK91" s="30"/>
      <c r="AL91" s="23"/>
    </row>
    <row r="92" spans="1:38" x14ac:dyDescent="0.25">
      <c r="A92" s="19"/>
      <c r="B92" s="20" t="str">
        <f t="shared" ref="B92:C95" si="88">B44</f>
        <v>KALIMANTAN</v>
      </c>
      <c r="C92" s="20">
        <f t="shared" si="88"/>
        <v>2035</v>
      </c>
      <c r="D92" s="30">
        <f t="shared" si="87"/>
        <v>63.099791842854131</v>
      </c>
      <c r="E92" s="30">
        <f t="shared" si="87"/>
        <v>10.733878380937162</v>
      </c>
      <c r="F92" s="30">
        <f t="shared" si="87"/>
        <v>50.182811924159608</v>
      </c>
      <c r="G92" s="30">
        <f t="shared" si="87"/>
        <v>42.296540808855852</v>
      </c>
      <c r="H92" s="30">
        <f t="shared" si="87"/>
        <v>4.1066172392363551</v>
      </c>
      <c r="I92" s="30">
        <f t="shared" si="87"/>
        <v>10.867680367029241</v>
      </c>
      <c r="J92" s="30">
        <f t="shared" si="87"/>
        <v>14.258267804043637</v>
      </c>
      <c r="K92" s="30">
        <f t="shared" si="87"/>
        <v>11.400934655214007</v>
      </c>
      <c r="L92" s="30">
        <f t="shared" si="87"/>
        <v>15.853291511836604</v>
      </c>
      <c r="M92" s="30">
        <f t="shared" si="87"/>
        <v>2.55658502902928</v>
      </c>
      <c r="N92" s="30">
        <f t="shared" si="87"/>
        <v>0</v>
      </c>
      <c r="O92" s="30">
        <f t="shared" si="87"/>
        <v>0</v>
      </c>
      <c r="P92" s="30">
        <f>(kalimantan!P68*3.6/(VLOOKUP(P$51,tech_data!$B$2:$J$15,4,FALSE)/100))/1000</f>
        <v>0</v>
      </c>
      <c r="Q92" s="30">
        <f t="shared" si="84"/>
        <v>225.35639956319588</v>
      </c>
      <c r="R92" s="30"/>
      <c r="S92" s="23"/>
      <c r="T92" s="19"/>
      <c r="U92" s="20" t="str">
        <f t="shared" ref="U92:V95" si="89">U44</f>
        <v>KALIMANTAN</v>
      </c>
      <c r="V92" s="20">
        <f t="shared" si="89"/>
        <v>2035</v>
      </c>
      <c r="W92" s="30">
        <f>D68*(1-(VLOOKUP(W$75,tech_data!$B$2:$O$15,4,FALSE)/100))</f>
        <v>100.08932499211343</v>
      </c>
      <c r="X92" s="30">
        <f>E68*(1-(VLOOKUP(X$75,tech_data!$B$2:$O$15,4,FALSE)/100))</f>
        <v>19.361107733839926</v>
      </c>
      <c r="Y92" s="30">
        <f>F68*(1-(VLOOKUP(Y$75,tech_data!$B$2:$O$15,4,FALSE)/100))</f>
        <v>35.844865660113996</v>
      </c>
      <c r="Z92" s="30">
        <f>G68*(1-(VLOOKUP(Z$75,tech_data!$B$2:$O$15,4,FALSE)/100))</f>
        <v>49.652460949526443</v>
      </c>
      <c r="AA92" s="30">
        <f>H68*(1-(VLOOKUP(AA$75,tech_data!$B$2:$O$15,4,FALSE)/100))</f>
        <v>26.312769718069976</v>
      </c>
      <c r="AB92" s="30">
        <f>I68*(1-(VLOOKUP(AB$75,tech_data!$B$2:$O$15,4,FALSE)/100))</f>
        <v>0.57198317721206582</v>
      </c>
      <c r="AC92" s="30">
        <f>J68*(1-(VLOOKUP(AC$75,tech_data!$B$2:$O$15,4,FALSE)/100))</f>
        <v>3.5645669510109079</v>
      </c>
      <c r="AD92" s="30">
        <f>K68*(1-(VLOOKUP(AD$75,tech_data!$B$2:$O$15,4,FALSE)/100))</f>
        <v>9.576785110379765</v>
      </c>
      <c r="AE92" s="30">
        <f>L68*(1-(VLOOKUP(AE$75,tech_data!$B$2:$O$15,4,FALSE)/100))</f>
        <v>6.4522896453174985</v>
      </c>
      <c r="AF92" s="30">
        <f>M68*(1-(VLOOKUP(AF$75,tech_data!$B$2:$O$15,4,FALSE)/100))</f>
        <v>5.6904634517103325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(kalimantan!AI68*3.6/(VLOOKUP(AI$51,tech_data!$B$2:$J$15,4,FALSE)/100))/1000</f>
        <v>0</v>
      </c>
      <c r="AJ92" s="30">
        <f t="shared" si="86"/>
        <v>257.11661738929439</v>
      </c>
      <c r="AK92" s="30"/>
      <c r="AL92" s="23"/>
    </row>
    <row r="93" spans="1:38" x14ac:dyDescent="0.25">
      <c r="A93" s="19"/>
      <c r="B93" s="20" t="str">
        <f t="shared" si="88"/>
        <v>KALIMANTAN</v>
      </c>
      <c r="C93" s="20">
        <f t="shared" si="88"/>
        <v>2036</v>
      </c>
      <c r="D93" s="30">
        <f t="shared" ref="D93:O95" si="90">D45*3.6/1000</f>
        <v>64.519592353232198</v>
      </c>
      <c r="E93" s="30">
        <f t="shared" si="90"/>
        <v>10.733878380937162</v>
      </c>
      <c r="F93" s="30">
        <f t="shared" si="90"/>
        <v>52.06828695893828</v>
      </c>
      <c r="G93" s="30">
        <f t="shared" si="90"/>
        <v>43.214219078937077</v>
      </c>
      <c r="H93" s="30">
        <f t="shared" si="90"/>
        <v>4.1066172392363551</v>
      </c>
      <c r="I93" s="30">
        <f t="shared" si="90"/>
        <v>10.867680367029241</v>
      </c>
      <c r="J93" s="30">
        <f t="shared" si="90"/>
        <v>14.258267804043637</v>
      </c>
      <c r="K93" s="30">
        <f t="shared" si="90"/>
        <v>11.400934655214007</v>
      </c>
      <c r="L93" s="30">
        <f t="shared" si="90"/>
        <v>18.358803811299126</v>
      </c>
      <c r="M93" s="30">
        <f t="shared" si="90"/>
        <v>2.55658502902928</v>
      </c>
      <c r="N93" s="30">
        <f t="shared" si="90"/>
        <v>0</v>
      </c>
      <c r="O93" s="30">
        <f t="shared" si="90"/>
        <v>0</v>
      </c>
      <c r="P93" s="30">
        <f>(kalimantan!P69*3.6/(VLOOKUP(P$51,tech_data!$B$2:$J$15,4,FALSE)/100))/1000</f>
        <v>0</v>
      </c>
      <c r="Q93" s="30">
        <f t="shared" si="84"/>
        <v>232.08486567789635</v>
      </c>
      <c r="R93" s="30"/>
      <c r="S93" s="23"/>
      <c r="T93" s="19"/>
      <c r="U93" s="20" t="str">
        <f t="shared" si="89"/>
        <v>KALIMANTAN</v>
      </c>
      <c r="V93" s="20">
        <f t="shared" si="89"/>
        <v>2036</v>
      </c>
      <c r="W93" s="30">
        <f>D69*(1-(VLOOKUP(W$75,tech_data!$B$2:$O$15,4,FALSE)/100))</f>
        <v>102.34142235340279</v>
      </c>
      <c r="X93" s="30">
        <f>E69*(1-(VLOOKUP(X$75,tech_data!$B$2:$O$15,4,FALSE)/100))</f>
        <v>19.361107733839926</v>
      </c>
      <c r="Y93" s="30">
        <f>F69*(1-(VLOOKUP(Y$75,tech_data!$B$2:$O$15,4,FALSE)/100))</f>
        <v>37.191633542098764</v>
      </c>
      <c r="Z93" s="30">
        <f>G69*(1-(VLOOKUP(Z$75,tech_data!$B$2:$O$15,4,FALSE)/100))</f>
        <v>50.729735440491353</v>
      </c>
      <c r="AA93" s="30">
        <f>H69*(1-(VLOOKUP(AA$75,tech_data!$B$2:$O$15,4,FALSE)/100))</f>
        <v>26.312769718069976</v>
      </c>
      <c r="AB93" s="30">
        <f>I69*(1-(VLOOKUP(AB$75,tech_data!$B$2:$O$15,4,FALSE)/100))</f>
        <v>0.57198317721206582</v>
      </c>
      <c r="AC93" s="30">
        <f>J69*(1-(VLOOKUP(AC$75,tech_data!$B$2:$O$15,4,FALSE)/100))</f>
        <v>3.5645669510109079</v>
      </c>
      <c r="AD93" s="30">
        <f>K69*(1-(VLOOKUP(AD$75,tech_data!$B$2:$O$15,4,FALSE)/100))</f>
        <v>9.576785110379765</v>
      </c>
      <c r="AE93" s="30">
        <f>L69*(1-(VLOOKUP(AE$75,tech_data!$B$2:$O$15,4,FALSE)/100))</f>
        <v>7.4720331511987448</v>
      </c>
      <c r="AF93" s="30">
        <f>M69*(1-(VLOOKUP(AF$75,tech_data!$B$2:$O$15,4,FALSE)/100))</f>
        <v>5.6904634517103325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(kalimantan!AI69*3.6/(VLOOKUP(AI$51,tech_data!$B$2:$J$15,4,FALSE)/100))/1000</f>
        <v>0</v>
      </c>
      <c r="AJ93" s="30">
        <f t="shared" si="86"/>
        <v>262.81250062941461</v>
      </c>
      <c r="AK93" s="30"/>
      <c r="AL93" s="23"/>
    </row>
    <row r="94" spans="1:38" x14ac:dyDescent="0.25">
      <c r="A94" s="19"/>
      <c r="B94" s="20" t="str">
        <f t="shared" si="88"/>
        <v>KALIMANTAN</v>
      </c>
      <c r="C94" s="20">
        <f t="shared" si="88"/>
        <v>2037</v>
      </c>
      <c r="D94" s="30">
        <f t="shared" si="90"/>
        <v>65.911449693994484</v>
      </c>
      <c r="E94" s="30">
        <f t="shared" si="90"/>
        <v>12.958671174243642</v>
      </c>
      <c r="F94" s="30">
        <f t="shared" si="90"/>
        <v>52.628763898237573</v>
      </c>
      <c r="G94" s="30">
        <f t="shared" si="90"/>
        <v>43.214219078937077</v>
      </c>
      <c r="H94" s="30">
        <f t="shared" si="90"/>
        <v>4.121123938357707</v>
      </c>
      <c r="I94" s="30">
        <f t="shared" si="90"/>
        <v>11.236759257270176</v>
      </c>
      <c r="J94" s="30">
        <f t="shared" si="90"/>
        <v>14.438866311309866</v>
      </c>
      <c r="K94" s="30">
        <f t="shared" si="90"/>
        <v>11.832542675699806</v>
      </c>
      <c r="L94" s="30">
        <f t="shared" si="90"/>
        <v>19.677044422189709</v>
      </c>
      <c r="M94" s="30">
        <f t="shared" si="90"/>
        <v>2.7901598144559818</v>
      </c>
      <c r="N94" s="30">
        <f t="shared" si="90"/>
        <v>0</v>
      </c>
      <c r="O94" s="30">
        <f t="shared" si="90"/>
        <v>0</v>
      </c>
      <c r="P94" s="30">
        <f>(kalimantan!P70*3.6/(VLOOKUP(P$51,tech_data!$B$2:$J$15,4,FALSE)/100))/1000</f>
        <v>0</v>
      </c>
      <c r="Q94" s="30">
        <f t="shared" si="84"/>
        <v>238.809600264696</v>
      </c>
      <c r="R94" s="30"/>
      <c r="S94" s="23"/>
      <c r="T94" s="19"/>
      <c r="U94" s="20" t="str">
        <f t="shared" si="89"/>
        <v>KALIMANTAN</v>
      </c>
      <c r="V94" s="20">
        <f t="shared" si="89"/>
        <v>2037</v>
      </c>
      <c r="W94" s="30">
        <f>D70*(1-(VLOOKUP(W$75,tech_data!$B$2:$O$15,4,FALSE)/100))</f>
        <v>104.54919606633607</v>
      </c>
      <c r="X94" s="30">
        <f>E70*(1-(VLOOKUP(X$75,tech_data!$B$2:$O$15,4,FALSE)/100))</f>
        <v>23.374051744196475</v>
      </c>
      <c r="Y94" s="30">
        <f>F70*(1-(VLOOKUP(Y$75,tech_data!$B$2:$O$15,4,FALSE)/100))</f>
        <v>37.591974213026838</v>
      </c>
      <c r="Z94" s="30">
        <f>G70*(1-(VLOOKUP(Z$75,tech_data!$B$2:$O$15,4,FALSE)/100))</f>
        <v>50.729735440491353</v>
      </c>
      <c r="AA94" s="30">
        <f>H70*(1-(VLOOKUP(AA$75,tech_data!$B$2:$O$15,4,FALSE)/100))</f>
        <v>26.405720049477157</v>
      </c>
      <c r="AB94" s="30">
        <f>I70*(1-(VLOOKUP(AB$75,tech_data!$B$2:$O$15,4,FALSE)/100))</f>
        <v>0.59140838196158874</v>
      </c>
      <c r="AC94" s="30">
        <f>J70*(1-(VLOOKUP(AC$75,tech_data!$B$2:$O$15,4,FALSE)/100))</f>
        <v>3.6097165778274656</v>
      </c>
      <c r="AD94" s="30">
        <f>K70*(1-(VLOOKUP(AD$75,tech_data!$B$2:$O$15,4,FALSE)/100))</f>
        <v>9.9393358475878362</v>
      </c>
      <c r="AE94" s="30">
        <f>L70*(1-(VLOOKUP(AE$75,tech_data!$B$2:$O$15,4,FALSE)/100))</f>
        <v>8.0085570798312116</v>
      </c>
      <c r="AF94" s="30">
        <f>M70*(1-(VLOOKUP(AF$75,tech_data!$B$2:$O$15,4,FALSE)/100))</f>
        <v>6.2103557160471832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(kalimantan!AI70*3.6/(VLOOKUP(AI$51,tech_data!$B$2:$J$15,4,FALSE)/100))/1000</f>
        <v>0</v>
      </c>
      <c r="AJ94" s="30">
        <f t="shared" si="86"/>
        <v>271.01005111678319</v>
      </c>
      <c r="AK94" s="30"/>
      <c r="AL94" s="23"/>
    </row>
    <row r="95" spans="1:38" x14ac:dyDescent="0.25">
      <c r="A95" s="19"/>
      <c r="B95" s="20" t="str">
        <f t="shared" si="88"/>
        <v>KALIMANTAN</v>
      </c>
      <c r="C95" s="20">
        <f t="shared" si="88"/>
        <v>2038</v>
      </c>
      <c r="D95" s="30">
        <f t="shared" si="90"/>
        <v>68.018198124775608</v>
      </c>
      <c r="E95" s="30">
        <f t="shared" si="90"/>
        <v>12.958671174243642</v>
      </c>
      <c r="F95" s="30">
        <f t="shared" si="90"/>
        <v>56.499328481644753</v>
      </c>
      <c r="G95" s="30">
        <f t="shared" si="90"/>
        <v>43.342983337822673</v>
      </c>
      <c r="H95" s="30">
        <f t="shared" si="90"/>
        <v>4.121123938357707</v>
      </c>
      <c r="I95" s="30">
        <f t="shared" si="90"/>
        <v>11.236759257270176</v>
      </c>
      <c r="J95" s="30">
        <f t="shared" si="90"/>
        <v>14.438866311309866</v>
      </c>
      <c r="K95" s="30">
        <f t="shared" si="90"/>
        <v>11.832542675699806</v>
      </c>
      <c r="L95" s="30">
        <f t="shared" si="90"/>
        <v>23.002966617712396</v>
      </c>
      <c r="M95" s="30">
        <f t="shared" si="90"/>
        <v>2.7901598144559818</v>
      </c>
      <c r="N95" s="30">
        <f t="shared" si="90"/>
        <v>0</v>
      </c>
      <c r="O95" s="30">
        <f t="shared" si="90"/>
        <v>0</v>
      </c>
      <c r="P95" s="30">
        <f>(kalimantan!P71*3.6/(VLOOKUP(P$51,tech_data!$B$2:$J$15,4,FALSE)/100))/1000</f>
        <v>0</v>
      </c>
      <c r="Q95" s="30">
        <f t="shared" si="84"/>
        <v>248.24159973329256</v>
      </c>
      <c r="R95" s="30"/>
      <c r="S95" s="23"/>
      <c r="T95" s="19"/>
      <c r="U95" s="20" t="str">
        <f t="shared" si="89"/>
        <v>KALIMANTAN</v>
      </c>
      <c r="V95" s="20">
        <f t="shared" si="89"/>
        <v>2038</v>
      </c>
      <c r="W95" s="30">
        <f>D71*(1-(VLOOKUP(W$75,tech_data!$B$2:$O$15,4,FALSE)/100))</f>
        <v>107.8909349565406</v>
      </c>
      <c r="X95" s="30">
        <f>E71*(1-(VLOOKUP(X$75,tech_data!$B$2:$O$15,4,FALSE)/100))</f>
        <v>23.374051744196475</v>
      </c>
      <c r="Y95" s="30">
        <f>F71*(1-(VLOOKUP(Y$75,tech_data!$B$2:$O$15,4,FALSE)/100))</f>
        <v>40.356663201174811</v>
      </c>
      <c r="Z95" s="30">
        <f>G71*(1-(VLOOKUP(Z$75,tech_data!$B$2:$O$15,4,FALSE)/100))</f>
        <v>50.880893483530969</v>
      </c>
      <c r="AA95" s="30">
        <f>H71*(1-(VLOOKUP(AA$75,tech_data!$B$2:$O$15,4,FALSE)/100))</f>
        <v>26.405720049477157</v>
      </c>
      <c r="AB95" s="30">
        <f>I71*(1-(VLOOKUP(AB$75,tech_data!$B$2:$O$15,4,FALSE)/100))</f>
        <v>0.59140838196158874</v>
      </c>
      <c r="AC95" s="30">
        <f>J71*(1-(VLOOKUP(AC$75,tech_data!$B$2:$O$15,4,FALSE)/100))</f>
        <v>3.6097165778274656</v>
      </c>
      <c r="AD95" s="30">
        <f>K71*(1-(VLOOKUP(AD$75,tech_data!$B$2:$O$15,4,FALSE)/100))</f>
        <v>9.9393358475878362</v>
      </c>
      <c r="AE95" s="30">
        <f>L71*(1-(VLOOKUP(AE$75,tech_data!$B$2:$O$15,4,FALSE)/100))</f>
        <v>9.3622074134089459</v>
      </c>
      <c r="AF95" s="30">
        <f>M71*(1-(VLOOKUP(AF$75,tech_data!$B$2:$O$15,4,FALSE)/100))</f>
        <v>6.2103557160471832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(kalimantan!AI71*3.6/(VLOOKUP(AI$51,tech_data!$B$2:$J$15,4,FALSE)/100))/1000</f>
        <v>0</v>
      </c>
      <c r="AJ95" s="30">
        <f t="shared" si="86"/>
        <v>278.62128737175306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6079-FBD1-481D-8D20-BDEF0826B96F}">
  <sheetPr codeName="Sheet12"/>
  <dimension ref="A1:CF96"/>
  <sheetViews>
    <sheetView topLeftCell="A36" zoomScale="85" zoomScaleNormal="85" workbookViewId="0">
      <selection activeCell="N60" sqref="N6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proj_rukn!A102</f>
        <v>SULAWESI</v>
      </c>
      <c r="C4" s="20">
        <f>proj_rukn!B102</f>
        <v>2019</v>
      </c>
      <c r="D4" s="30">
        <f>existing_capacity!C7</f>
        <v>2835.5</v>
      </c>
      <c r="E4" s="30">
        <f>existing_capacity!D7</f>
        <v>288.72000000000003</v>
      </c>
      <c r="F4" s="30">
        <f>existing_capacity!E7</f>
        <v>315</v>
      </c>
      <c r="G4" s="30">
        <f>existing_capacity!F7</f>
        <v>895.93</v>
      </c>
      <c r="H4" s="30">
        <f>existing_capacity!G7</f>
        <v>80</v>
      </c>
      <c r="I4" s="30">
        <f>existing_capacity!H7</f>
        <v>828.97</v>
      </c>
      <c r="J4" s="30">
        <f>existing_capacity!I7</f>
        <v>62.55</v>
      </c>
      <c r="K4" s="30">
        <f>existing_capacity!J7</f>
        <v>4.24</v>
      </c>
      <c r="L4" s="30">
        <f>existing_capacity!K7</f>
        <v>0</v>
      </c>
      <c r="M4" s="30">
        <f>existing_capacity!L7</f>
        <v>0.5</v>
      </c>
      <c r="N4" s="30">
        <f>existing_capacity!M7</f>
        <v>0</v>
      </c>
      <c r="O4" s="30">
        <f>existing_capacity!N7</f>
        <v>0</v>
      </c>
      <c r="P4" s="30">
        <v>0</v>
      </c>
      <c r="Q4" s="30">
        <f>SUM(D4:O4)</f>
        <v>5311.4100000000008</v>
      </c>
      <c r="R4" s="30"/>
      <c r="S4" s="36"/>
      <c r="T4" s="19"/>
      <c r="U4" s="20" t="str">
        <f t="shared" ref="U4:V23" si="0">B4</f>
        <v>SULAWESI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SULAWESI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potential!G7</f>
        <v>3068</v>
      </c>
      <c r="AV4" s="30">
        <f>potential!H7</f>
        <v>10307</v>
      </c>
      <c r="AW4" s="30">
        <f>potential!I7</f>
        <v>1668</v>
      </c>
      <c r="AX4" s="30">
        <f>potential!J7</f>
        <v>22700</v>
      </c>
      <c r="AY4" s="30">
        <f>potential!K7</f>
        <v>8380</v>
      </c>
      <c r="AZ4" s="30">
        <f>potential!L7</f>
        <v>1937</v>
      </c>
      <c r="BA4" s="30">
        <f>potential!M7</f>
        <v>0</v>
      </c>
      <c r="BB4" s="30">
        <v>999</v>
      </c>
      <c r="BC4" s="30">
        <v>999</v>
      </c>
      <c r="BD4" s="30">
        <f t="shared" ref="BD4:BD23" si="3">SUM(AU4:BA4)</f>
        <v>48060</v>
      </c>
      <c r="BF4" s="23"/>
      <c r="BG4" s="19"/>
      <c r="BH4" s="20" t="str">
        <f>AO4</f>
        <v>SULAWESI</v>
      </c>
      <c r="BI4" s="20">
        <f>AP4</f>
        <v>2019</v>
      </c>
      <c r="BJ4" s="25">
        <f t="shared" ref="BJ4:BJ22" si="4">SUM(K28:L28,N28)/Q28</f>
        <v>3.1784124932338553E-4</v>
      </c>
      <c r="BK4" s="43">
        <f t="shared" ref="BK4:BK23" si="5">$BO$5+((BJ4-$BN$5)*($BO$6-$BO$5)/($BN$6-$BN$5))</f>
        <v>2.7275979944812654E-4</v>
      </c>
      <c r="BL4" s="34">
        <f>BK4*Q28*1000</f>
        <v>6693.5939098012677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SULAWESI</v>
      </c>
      <c r="C5" s="20">
        <f>C4+1</f>
        <v>2020</v>
      </c>
      <c r="D5" s="30">
        <f>D4+W5</f>
        <v>2835.5</v>
      </c>
      <c r="E5" s="30">
        <f t="shared" ref="E5:O20" si="6">E4+X5</f>
        <v>294.59139401707773</v>
      </c>
      <c r="F5" s="30">
        <f t="shared" si="6"/>
        <v>499.05911647924097</v>
      </c>
      <c r="G5" s="30">
        <f t="shared" si="6"/>
        <v>895.93</v>
      </c>
      <c r="H5" s="30">
        <f t="shared" si="6"/>
        <v>80</v>
      </c>
      <c r="I5" s="30">
        <f t="shared" si="6"/>
        <v>828.97</v>
      </c>
      <c r="J5" s="30">
        <f t="shared" si="6"/>
        <v>62.55</v>
      </c>
      <c r="K5" s="30">
        <f t="shared" si="6"/>
        <v>132.97247070825631</v>
      </c>
      <c r="L5" s="30">
        <f t="shared" si="6"/>
        <v>0</v>
      </c>
      <c r="M5" s="30">
        <f t="shared" si="6"/>
        <v>0.5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1.764110426647024</v>
      </c>
      <c r="Q5" s="30">
        <f t="shared" ref="Q5:Q23" si="7">SUM(D5:O5)</f>
        <v>5630.0729812045747</v>
      </c>
      <c r="R5" s="30"/>
      <c r="S5" s="36"/>
      <c r="T5" s="19"/>
      <c r="U5" s="20" t="str">
        <f t="shared" si="0"/>
        <v>SULAWESI</v>
      </c>
      <c r="V5" s="20">
        <f t="shared" si="0"/>
        <v>2020</v>
      </c>
      <c r="W5" s="30">
        <v>0</v>
      </c>
      <c r="X5" s="30">
        <v>5.8713940170776873</v>
      </c>
      <c r="Y5" s="30">
        <v>184.05911647924097</v>
      </c>
      <c r="Z5" s="30">
        <v>0</v>
      </c>
      <c r="AA5" s="30">
        <v>0</v>
      </c>
      <c r="AB5" s="30">
        <v>0</v>
      </c>
      <c r="AC5" s="30">
        <v>0</v>
      </c>
      <c r="AD5" s="30">
        <v>128.7324707082563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1.764110426647024</v>
      </c>
      <c r="AJ5" s="34">
        <f t="shared" si="1"/>
        <v>320.42709163122203</v>
      </c>
      <c r="AM5" s="23"/>
      <c r="AO5" s="20" t="str">
        <f t="shared" si="2"/>
        <v>SULAWESI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3068</v>
      </c>
      <c r="AV5" s="30">
        <f t="shared" si="9"/>
        <v>10307</v>
      </c>
      <c r="AW5" s="30">
        <f t="shared" si="9"/>
        <v>1668</v>
      </c>
      <c r="AX5" s="30">
        <f t="shared" si="9"/>
        <v>22571.267529291745</v>
      </c>
      <c r="AY5" s="30">
        <f t="shared" si="9"/>
        <v>8380</v>
      </c>
      <c r="AZ5" s="30">
        <f t="shared" si="9"/>
        <v>1937</v>
      </c>
      <c r="BA5" s="30">
        <f t="shared" si="9"/>
        <v>0</v>
      </c>
      <c r="BB5" s="30">
        <v>999</v>
      </c>
      <c r="BC5" s="30">
        <v>999</v>
      </c>
      <c r="BD5" s="30">
        <f t="shared" si="3"/>
        <v>47931.267529291741</v>
      </c>
      <c r="BF5" s="23"/>
      <c r="BG5" s="19"/>
      <c r="BH5" s="20" t="str">
        <f t="shared" ref="BH5:BI23" si="10">AO5</f>
        <v>SULAWESI</v>
      </c>
      <c r="BI5" s="20">
        <f t="shared" si="10"/>
        <v>2020</v>
      </c>
      <c r="BJ5" s="25">
        <f t="shared" si="4"/>
        <v>9.6670943996846684E-3</v>
      </c>
      <c r="BK5" s="43">
        <f t="shared" si="5"/>
        <v>2.7482308290199939E-4</v>
      </c>
      <c r="BL5" s="34">
        <f t="shared" ref="BL5:BL23" si="11">BK5*Q29*1000</f>
        <v>6954.1233018425692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SULAWESI</v>
      </c>
      <c r="C6" s="20">
        <f t="shared" ref="C6:C23" si="13">C5+1</f>
        <v>2021</v>
      </c>
      <c r="D6" s="30">
        <f t="shared" ref="D6:O21" si="14">D5+W6</f>
        <v>2835.4999990000001</v>
      </c>
      <c r="E6" s="30">
        <f t="shared" si="6"/>
        <v>294.59139301707773</v>
      </c>
      <c r="F6" s="30">
        <f t="shared" si="6"/>
        <v>1540.2607536287114</v>
      </c>
      <c r="G6" s="30">
        <f t="shared" si="6"/>
        <v>895.93</v>
      </c>
      <c r="H6" s="30">
        <f t="shared" si="6"/>
        <v>80</v>
      </c>
      <c r="I6" s="30">
        <f t="shared" si="6"/>
        <v>828.97</v>
      </c>
      <c r="J6" s="30">
        <f t="shared" si="6"/>
        <v>62.55</v>
      </c>
      <c r="K6" s="30">
        <f t="shared" si="6"/>
        <v>139.99564490685384</v>
      </c>
      <c r="L6" s="30">
        <f t="shared" si="6"/>
        <v>0</v>
      </c>
      <c r="M6" s="30">
        <f t="shared" si="6"/>
        <v>0.5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1.9650573184269793</v>
      </c>
      <c r="Q6" s="30">
        <f t="shared" si="7"/>
        <v>6678.2977905526441</v>
      </c>
      <c r="R6" s="30"/>
      <c r="S6" s="36"/>
      <c r="T6" s="19"/>
      <c r="U6" s="20" t="str">
        <f t="shared" si="0"/>
        <v>SULAWESI</v>
      </c>
      <c r="V6" s="20">
        <f t="shared" si="0"/>
        <v>2021</v>
      </c>
      <c r="W6" s="30">
        <v>-9.9999999991773336E-7</v>
      </c>
      <c r="X6" s="30">
        <v>-9.9999999747524271E-7</v>
      </c>
      <c r="Y6" s="30">
        <v>1041.2016371494703</v>
      </c>
      <c r="Z6" s="30">
        <v>0</v>
      </c>
      <c r="AA6" s="30">
        <v>0</v>
      </c>
      <c r="AB6" s="30">
        <v>0</v>
      </c>
      <c r="AC6" s="30">
        <v>0</v>
      </c>
      <c r="AD6" s="30">
        <v>7.0231741985975304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0.20094689177995528</v>
      </c>
      <c r="AJ6" s="34">
        <f t="shared" si="1"/>
        <v>1048.4257562398479</v>
      </c>
      <c r="AM6" s="23"/>
      <c r="AO6" s="20" t="str">
        <f t="shared" si="2"/>
        <v>SULAWESI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3068</v>
      </c>
      <c r="AV6" s="30">
        <f t="shared" si="9"/>
        <v>10307</v>
      </c>
      <c r="AW6" s="30">
        <f t="shared" si="9"/>
        <v>1668</v>
      </c>
      <c r="AX6" s="30">
        <f t="shared" si="9"/>
        <v>22564.244355093146</v>
      </c>
      <c r="AY6" s="30">
        <f t="shared" si="9"/>
        <v>8380</v>
      </c>
      <c r="AZ6" s="30">
        <f t="shared" si="9"/>
        <v>1937</v>
      </c>
      <c r="BA6" s="30">
        <f t="shared" si="9"/>
        <v>0</v>
      </c>
      <c r="BB6" s="30">
        <v>999</v>
      </c>
      <c r="BC6" s="30">
        <v>999</v>
      </c>
      <c r="BD6" s="30">
        <f t="shared" si="3"/>
        <v>47924.244355093149</v>
      </c>
      <c r="BF6" s="23"/>
      <c r="BG6" s="19"/>
      <c r="BH6" s="20" t="str">
        <f t="shared" si="10"/>
        <v>SULAWESI</v>
      </c>
      <c r="BI6" s="20">
        <f t="shared" si="10"/>
        <v>2021</v>
      </c>
      <c r="BJ6" s="25">
        <f t="shared" si="4"/>
        <v>9.1329900070980883E-3</v>
      </c>
      <c r="BK6" s="43">
        <f t="shared" si="5"/>
        <v>2.7470521158777338E-4</v>
      </c>
      <c r="BL6" s="34">
        <f t="shared" si="11"/>
        <v>7746.2559492391529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SULAWESI</v>
      </c>
      <c r="C7" s="20">
        <f t="shared" si="13"/>
        <v>2022</v>
      </c>
      <c r="D7" s="30">
        <f t="shared" si="14"/>
        <v>2951.0955116822706</v>
      </c>
      <c r="E7" s="30">
        <f t="shared" si="6"/>
        <v>294.59139201707774</v>
      </c>
      <c r="F7" s="30">
        <f t="shared" si="6"/>
        <v>2160.5505659631121</v>
      </c>
      <c r="G7" s="30">
        <f t="shared" si="6"/>
        <v>895.93</v>
      </c>
      <c r="H7" s="30">
        <f t="shared" si="6"/>
        <v>80</v>
      </c>
      <c r="I7" s="30">
        <f t="shared" si="6"/>
        <v>828.97</v>
      </c>
      <c r="J7" s="30">
        <f t="shared" si="6"/>
        <v>62.549999</v>
      </c>
      <c r="K7" s="30">
        <f t="shared" si="6"/>
        <v>1658.1346467056242</v>
      </c>
      <c r="L7" s="30">
        <f t="shared" si="6"/>
        <v>0</v>
      </c>
      <c r="M7" s="30">
        <f t="shared" si="6"/>
        <v>0.5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2.4721244066566954</v>
      </c>
      <c r="Q7" s="30">
        <f t="shared" si="7"/>
        <v>8932.3221153680861</v>
      </c>
      <c r="R7" s="30"/>
      <c r="S7" s="36"/>
      <c r="T7" s="19"/>
      <c r="U7" s="20" t="str">
        <f t="shared" si="0"/>
        <v>SULAWESI</v>
      </c>
      <c r="V7" s="20">
        <f t="shared" si="0"/>
        <v>2022</v>
      </c>
      <c r="W7" s="30">
        <v>115.59551268227052</v>
      </c>
      <c r="X7" s="30">
        <v>-9.9999999747524271E-7</v>
      </c>
      <c r="Y7" s="30">
        <v>620.28981233440061</v>
      </c>
      <c r="Z7" s="30">
        <v>0</v>
      </c>
      <c r="AA7" s="30">
        <v>0</v>
      </c>
      <c r="AB7" s="30">
        <v>0</v>
      </c>
      <c r="AC7" s="30">
        <v>-9.9999999991773336E-7</v>
      </c>
      <c r="AD7" s="30">
        <v>1518.1390017987703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0.50706708822971613</v>
      </c>
      <c r="AJ7" s="34">
        <f t="shared" si="1"/>
        <v>2254.5313919036712</v>
      </c>
      <c r="AM7" s="23"/>
      <c r="AO7" s="20" t="str">
        <f t="shared" si="2"/>
        <v>SULAWESI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3068</v>
      </c>
      <c r="AV7" s="30">
        <f t="shared" si="9"/>
        <v>10307</v>
      </c>
      <c r="AW7" s="30">
        <f t="shared" si="9"/>
        <v>1668.0000010000001</v>
      </c>
      <c r="AX7" s="30">
        <f t="shared" si="9"/>
        <v>21046.105353294377</v>
      </c>
      <c r="AY7" s="30">
        <f t="shared" si="9"/>
        <v>8380</v>
      </c>
      <c r="AZ7" s="30">
        <f t="shared" si="9"/>
        <v>1937</v>
      </c>
      <c r="BA7" s="30">
        <f t="shared" si="9"/>
        <v>0</v>
      </c>
      <c r="BB7" s="30">
        <v>999</v>
      </c>
      <c r="BC7" s="30">
        <v>999</v>
      </c>
      <c r="BD7" s="30">
        <f t="shared" si="3"/>
        <v>46406.105354294377</v>
      </c>
      <c r="BF7" s="23"/>
      <c r="BG7" s="19"/>
      <c r="BH7" s="20" t="str">
        <f t="shared" si="10"/>
        <v>SULAWESI</v>
      </c>
      <c r="BI7" s="20">
        <f t="shared" si="10"/>
        <v>2022</v>
      </c>
      <c r="BJ7" s="25">
        <f t="shared" si="4"/>
        <v>9.168779071818231E-2</v>
      </c>
      <c r="BK7" s="43">
        <f t="shared" si="5"/>
        <v>2.9292420208952991E-4</v>
      </c>
      <c r="BL7" s="34">
        <f t="shared" si="11"/>
        <v>9745.1144110406949</v>
      </c>
      <c r="BP7" s="23"/>
    </row>
    <row r="8" spans="1:68" x14ac:dyDescent="0.25">
      <c r="A8" s="19"/>
      <c r="B8" s="20" t="str">
        <f t="shared" si="12"/>
        <v>SULAWESI</v>
      </c>
      <c r="C8" s="20">
        <f t="shared" si="13"/>
        <v>2023</v>
      </c>
      <c r="D8" s="30">
        <f t="shared" si="14"/>
        <v>3113.7692061403595</v>
      </c>
      <c r="E8" s="30">
        <f t="shared" si="6"/>
        <v>294.59139201707774</v>
      </c>
      <c r="F8" s="30">
        <f t="shared" si="6"/>
        <v>2655.4404294635819</v>
      </c>
      <c r="G8" s="30">
        <f t="shared" si="6"/>
        <v>895.93</v>
      </c>
      <c r="H8" s="30">
        <f t="shared" si="6"/>
        <v>79.999999000000003</v>
      </c>
      <c r="I8" s="30">
        <f t="shared" si="6"/>
        <v>1033.7699990000001</v>
      </c>
      <c r="J8" s="30">
        <f t="shared" si="6"/>
        <v>62.549998000000002</v>
      </c>
      <c r="K8" s="30">
        <f t="shared" si="6"/>
        <v>2732.0012241466657</v>
      </c>
      <c r="L8" s="30">
        <f t="shared" si="6"/>
        <v>236.73939528858028</v>
      </c>
      <c r="M8" s="30">
        <f t="shared" si="6"/>
        <v>0.5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3.0227076455642417</v>
      </c>
      <c r="Q8" s="30">
        <f t="shared" si="7"/>
        <v>11105.291643056265</v>
      </c>
      <c r="R8" s="30"/>
      <c r="S8" s="36"/>
      <c r="T8" s="19"/>
      <c r="U8" s="20" t="str">
        <f t="shared" si="0"/>
        <v>SULAWESI</v>
      </c>
      <c r="V8" s="20">
        <f t="shared" si="0"/>
        <v>2023</v>
      </c>
      <c r="W8" s="30">
        <v>162.6736944580887</v>
      </c>
      <c r="X8" s="30">
        <v>0</v>
      </c>
      <c r="Y8" s="30">
        <v>494.8898635004698</v>
      </c>
      <c r="Z8" s="30">
        <v>0</v>
      </c>
      <c r="AA8" s="30">
        <v>-9.9999999747524271E-7</v>
      </c>
      <c r="AB8" s="30">
        <v>204.79999900000001</v>
      </c>
      <c r="AC8" s="30">
        <v>-9.9999999747524271E-7</v>
      </c>
      <c r="AD8" s="30">
        <v>1073.8665774410413</v>
      </c>
      <c r="AE8" s="30">
        <v>236.73939528858028</v>
      </c>
      <c r="AF8" s="30">
        <v>0</v>
      </c>
      <c r="AG8" s="30">
        <v>0</v>
      </c>
      <c r="AH8" s="30">
        <v>0</v>
      </c>
      <c r="AI8" s="30">
        <f t="shared" si="8"/>
        <v>0.55058323890754624</v>
      </c>
      <c r="AJ8" s="34">
        <f t="shared" si="1"/>
        <v>2173.5201109270879</v>
      </c>
      <c r="AM8" s="23"/>
      <c r="AO8" s="20" t="str">
        <f t="shared" si="2"/>
        <v>SULAWESI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3068.0000009999999</v>
      </c>
      <c r="AV8" s="30">
        <f t="shared" si="9"/>
        <v>10102.200000999999</v>
      </c>
      <c r="AW8" s="30">
        <f t="shared" si="9"/>
        <v>1668.0000020000002</v>
      </c>
      <c r="AX8" s="30">
        <f t="shared" si="9"/>
        <v>19972.238775853337</v>
      </c>
      <c r="AY8" s="30">
        <f t="shared" si="9"/>
        <v>8143.2606047114195</v>
      </c>
      <c r="AZ8" s="30">
        <f t="shared" si="9"/>
        <v>1937</v>
      </c>
      <c r="BA8" s="30">
        <f t="shared" si="9"/>
        <v>0</v>
      </c>
      <c r="BB8" s="30">
        <v>999</v>
      </c>
      <c r="BC8" s="30">
        <v>999</v>
      </c>
      <c r="BD8" s="30">
        <f t="shared" si="3"/>
        <v>44890.699384564752</v>
      </c>
      <c r="BF8" s="23"/>
      <c r="BG8" s="19"/>
      <c r="BH8" s="20" t="str">
        <f t="shared" si="10"/>
        <v>SULAWESI</v>
      </c>
      <c r="BI8" s="20">
        <f t="shared" si="10"/>
        <v>2023</v>
      </c>
      <c r="BJ8" s="25">
        <f t="shared" si="4"/>
        <v>0.1473862849664235</v>
      </c>
      <c r="BK8" s="43">
        <f t="shared" si="5"/>
        <v>3.0521628357879692E-4</v>
      </c>
      <c r="BL8" s="34">
        <f t="shared" si="11"/>
        <v>11915.513538814243</v>
      </c>
      <c r="BP8" s="23"/>
    </row>
    <row r="9" spans="1:68" x14ac:dyDescent="0.25">
      <c r="A9" s="19"/>
      <c r="B9" s="20" t="str">
        <f t="shared" si="12"/>
        <v>SULAWESI</v>
      </c>
      <c r="C9" s="20">
        <f t="shared" si="13"/>
        <v>2024</v>
      </c>
      <c r="D9" s="30">
        <f t="shared" si="14"/>
        <v>3161.4437423670774</v>
      </c>
      <c r="E9" s="30">
        <f t="shared" si="6"/>
        <v>294.59139201707774</v>
      </c>
      <c r="F9" s="30">
        <f t="shared" si="6"/>
        <v>3717.8927938511706</v>
      </c>
      <c r="G9" s="30">
        <f t="shared" si="6"/>
        <v>895.93</v>
      </c>
      <c r="H9" s="30">
        <f t="shared" si="6"/>
        <v>79.999999000000003</v>
      </c>
      <c r="I9" s="30">
        <f t="shared" si="6"/>
        <v>1033.7699990000001</v>
      </c>
      <c r="J9" s="30">
        <f t="shared" si="6"/>
        <v>62.549998000000002</v>
      </c>
      <c r="K9" s="30">
        <f t="shared" si="6"/>
        <v>2732.0012241466657</v>
      </c>
      <c r="L9" s="30">
        <f t="shared" si="6"/>
        <v>1028.1129453610881</v>
      </c>
      <c r="M9" s="30">
        <f t="shared" si="6"/>
        <v>0.5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3.5467268338456241</v>
      </c>
      <c r="Q9" s="30">
        <f t="shared" si="7"/>
        <v>13006.792093743079</v>
      </c>
      <c r="R9" s="30"/>
      <c r="S9" s="36"/>
      <c r="T9" s="19"/>
      <c r="U9" s="20" t="str">
        <f t="shared" si="0"/>
        <v>SULAWESI</v>
      </c>
      <c r="V9" s="20">
        <f t="shared" si="0"/>
        <v>2024</v>
      </c>
      <c r="W9" s="30">
        <v>47.674536226717734</v>
      </c>
      <c r="X9" s="30">
        <v>0</v>
      </c>
      <c r="Y9" s="30">
        <v>1062.4523643875889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791.37355007250778</v>
      </c>
      <c r="AF9" s="30">
        <v>0</v>
      </c>
      <c r="AG9" s="30">
        <v>0</v>
      </c>
      <c r="AH9" s="30">
        <v>0</v>
      </c>
      <c r="AI9" s="30">
        <f t="shared" si="8"/>
        <v>0.5240191882813825</v>
      </c>
      <c r="AJ9" s="34">
        <f t="shared" si="1"/>
        <v>1902.0244698750957</v>
      </c>
      <c r="AM9" s="23"/>
      <c r="AO9" s="20" t="str">
        <f t="shared" si="2"/>
        <v>SULAWESI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3068.0000009999999</v>
      </c>
      <c r="AV9" s="30">
        <f t="shared" si="9"/>
        <v>10102.200000999999</v>
      </c>
      <c r="AW9" s="30">
        <f t="shared" si="9"/>
        <v>1668.0000020000002</v>
      </c>
      <c r="AX9" s="30">
        <f t="shared" si="9"/>
        <v>19972.238775853337</v>
      </c>
      <c r="AY9" s="30">
        <f t="shared" si="9"/>
        <v>7351.8870546389116</v>
      </c>
      <c r="AZ9" s="30">
        <f t="shared" si="9"/>
        <v>1937</v>
      </c>
      <c r="BA9" s="30">
        <f t="shared" si="9"/>
        <v>0</v>
      </c>
      <c r="BB9" s="30">
        <v>999</v>
      </c>
      <c r="BC9" s="30">
        <v>999</v>
      </c>
      <c r="BD9" s="30">
        <f t="shared" si="3"/>
        <v>44099.325834492251</v>
      </c>
      <c r="BF9" s="23"/>
      <c r="BG9" s="19"/>
      <c r="BH9" s="20" t="str">
        <f t="shared" si="10"/>
        <v>SULAWESI</v>
      </c>
      <c r="BI9" s="20">
        <f t="shared" si="10"/>
        <v>2024</v>
      </c>
      <c r="BJ9" s="25">
        <f t="shared" si="4"/>
        <v>0.18339839456220064</v>
      </c>
      <c r="BK9" s="43">
        <f t="shared" si="5"/>
        <v>3.1316378362752017E-4</v>
      </c>
      <c r="BL9" s="34">
        <f t="shared" si="11"/>
        <v>13981.197179019451</v>
      </c>
      <c r="BN9" s="38"/>
      <c r="BP9" s="23"/>
    </row>
    <row r="10" spans="1:68" x14ac:dyDescent="0.25">
      <c r="A10" s="19"/>
      <c r="B10" s="20" t="str">
        <f t="shared" si="12"/>
        <v>SULAWESI</v>
      </c>
      <c r="C10" s="20">
        <f t="shared" si="13"/>
        <v>2025</v>
      </c>
      <c r="D10" s="30">
        <f t="shared" si="14"/>
        <v>3161.4437423670774</v>
      </c>
      <c r="E10" s="30">
        <f t="shared" si="6"/>
        <v>294.59139201707774</v>
      </c>
      <c r="F10" s="30">
        <f t="shared" si="6"/>
        <v>5067.4539122060214</v>
      </c>
      <c r="G10" s="30">
        <f t="shared" si="6"/>
        <v>895.93</v>
      </c>
      <c r="H10" s="30">
        <f t="shared" si="6"/>
        <v>79.999999000000003</v>
      </c>
      <c r="I10" s="30">
        <f t="shared" si="6"/>
        <v>1033.7699990000001</v>
      </c>
      <c r="J10" s="30">
        <f t="shared" si="6"/>
        <v>62.549998000000002</v>
      </c>
      <c r="K10" s="30">
        <f t="shared" si="6"/>
        <v>2732.0012241466657</v>
      </c>
      <c r="L10" s="30">
        <f t="shared" si="6"/>
        <v>1089.9252811594056</v>
      </c>
      <c r="M10" s="30">
        <f t="shared" si="6"/>
        <v>0.5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3.8288835374471129</v>
      </c>
      <c r="Q10" s="30">
        <f t="shared" si="7"/>
        <v>14418.165547896249</v>
      </c>
      <c r="R10" s="30"/>
      <c r="S10" s="36"/>
      <c r="T10" s="19"/>
      <c r="U10" s="20" t="str">
        <f t="shared" si="0"/>
        <v>SULAWESI</v>
      </c>
      <c r="V10" s="20">
        <f t="shared" si="0"/>
        <v>2025</v>
      </c>
      <c r="W10" s="30">
        <v>0</v>
      </c>
      <c r="X10" s="30">
        <v>0</v>
      </c>
      <c r="Y10" s="30">
        <v>1349.5611183548504</v>
      </c>
      <c r="Z10" s="30">
        <v>0</v>
      </c>
      <c r="AA10" s="30">
        <v>0</v>
      </c>
      <c r="AB10" s="30">
        <v>0</v>
      </c>
      <c r="AC10" s="30">
        <v>0</v>
      </c>
      <c r="AD10" s="30">
        <v>0</v>
      </c>
      <c r="AE10" s="30">
        <v>61.812335798317577</v>
      </c>
      <c r="AF10" s="30">
        <v>0</v>
      </c>
      <c r="AG10" s="30">
        <v>0</v>
      </c>
      <c r="AH10" s="30">
        <v>0</v>
      </c>
      <c r="AI10" s="30">
        <f t="shared" si="8"/>
        <v>0.2821567036014887</v>
      </c>
      <c r="AJ10" s="34">
        <f t="shared" si="1"/>
        <v>1411.6556108567695</v>
      </c>
      <c r="AM10" s="23"/>
      <c r="AO10" s="20" t="str">
        <f t="shared" si="2"/>
        <v>SULAWESI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3068.0000009999999</v>
      </c>
      <c r="AV10" s="30">
        <f t="shared" si="9"/>
        <v>10102.200000999999</v>
      </c>
      <c r="AW10" s="30">
        <f t="shared" si="9"/>
        <v>1668.0000020000002</v>
      </c>
      <c r="AX10" s="30">
        <f t="shared" si="9"/>
        <v>19972.238775853337</v>
      </c>
      <c r="AY10" s="30">
        <f t="shared" si="9"/>
        <v>7290.074718840594</v>
      </c>
      <c r="AZ10" s="30">
        <f t="shared" si="9"/>
        <v>1937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44037.51349869393</v>
      </c>
      <c r="BF10" s="23"/>
      <c r="BG10" s="19"/>
      <c r="BH10" s="20" t="str">
        <f t="shared" si="10"/>
        <v>SULAWESI</v>
      </c>
      <c r="BI10" s="20">
        <f t="shared" si="10"/>
        <v>2025</v>
      </c>
      <c r="BJ10" s="25">
        <f t="shared" si="4"/>
        <v>0.17249185595493638</v>
      </c>
      <c r="BK10" s="43">
        <f t="shared" si="5"/>
        <v>3.107568233831584E-4</v>
      </c>
      <c r="BL10" s="34">
        <f t="shared" si="11"/>
        <v>15093.45890461652</v>
      </c>
      <c r="BP10" s="23"/>
    </row>
    <row r="11" spans="1:68" x14ac:dyDescent="0.25">
      <c r="A11" s="19"/>
      <c r="B11" s="20" t="str">
        <f t="shared" si="12"/>
        <v>SULAWESI</v>
      </c>
      <c r="C11" s="20">
        <f t="shared" si="13"/>
        <v>2026</v>
      </c>
      <c r="D11" s="30">
        <f t="shared" si="14"/>
        <v>3181.4178955052857</v>
      </c>
      <c r="E11" s="30">
        <f t="shared" si="6"/>
        <v>294.59139201707774</v>
      </c>
      <c r="F11" s="30">
        <f t="shared" si="6"/>
        <v>5750.4961688008998</v>
      </c>
      <c r="G11" s="30">
        <f t="shared" si="6"/>
        <v>1138.4301864461934</v>
      </c>
      <c r="H11" s="30">
        <f t="shared" si="6"/>
        <v>79.999999000000003</v>
      </c>
      <c r="I11" s="30">
        <f t="shared" si="6"/>
        <v>1033.7699990000001</v>
      </c>
      <c r="J11" s="30">
        <f t="shared" si="6"/>
        <v>62.549998000000002</v>
      </c>
      <c r="K11" s="30">
        <f t="shared" si="6"/>
        <v>2732.0012241466657</v>
      </c>
      <c r="L11" s="30">
        <f t="shared" si="6"/>
        <v>1089.9252811594056</v>
      </c>
      <c r="M11" s="30">
        <f t="shared" si="6"/>
        <v>0.5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4.0501758248571234</v>
      </c>
      <c r="Q11" s="30">
        <f t="shared" si="7"/>
        <v>15363.682144075527</v>
      </c>
      <c r="R11" s="30"/>
      <c r="S11" s="36"/>
      <c r="T11" s="19"/>
      <c r="U11" s="20" t="str">
        <f t="shared" si="0"/>
        <v>SULAWESI</v>
      </c>
      <c r="V11" s="20">
        <f t="shared" si="0"/>
        <v>2026</v>
      </c>
      <c r="W11" s="30">
        <v>19.974153138208077</v>
      </c>
      <c r="X11" s="30">
        <v>0</v>
      </c>
      <c r="Y11" s="30">
        <v>683.04225659487815</v>
      </c>
      <c r="Z11" s="30">
        <v>242.50018644619342</v>
      </c>
      <c r="AA11" s="30">
        <v>-3.5527136788005009E-15</v>
      </c>
      <c r="AB11" s="30">
        <v>0</v>
      </c>
      <c r="AC11" s="30">
        <v>0</v>
      </c>
      <c r="AD11" s="30">
        <v>0</v>
      </c>
      <c r="AE11" s="30">
        <v>0</v>
      </c>
      <c r="AF11" s="30">
        <v>0</v>
      </c>
      <c r="AG11" s="30">
        <v>0</v>
      </c>
      <c r="AH11" s="30">
        <v>0</v>
      </c>
      <c r="AI11" s="30">
        <f t="shared" si="8"/>
        <v>0.2212922874100105</v>
      </c>
      <c r="AJ11" s="34">
        <f t="shared" si="1"/>
        <v>945.7378884666897</v>
      </c>
      <c r="AM11" s="23"/>
      <c r="AO11" s="20" t="str">
        <f t="shared" si="2"/>
        <v>SULAWESI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3068.0000009999999</v>
      </c>
      <c r="AV11" s="30">
        <f t="shared" si="9"/>
        <v>10102.200000999999</v>
      </c>
      <c r="AW11" s="30">
        <f t="shared" si="9"/>
        <v>1668.0000020000002</v>
      </c>
      <c r="AX11" s="30">
        <f t="shared" si="9"/>
        <v>19972.238775853337</v>
      </c>
      <c r="AY11" s="30">
        <f t="shared" si="9"/>
        <v>7290.074718840594</v>
      </c>
      <c r="AZ11" s="30">
        <f t="shared" si="9"/>
        <v>1937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44037.51349869393</v>
      </c>
      <c r="BF11" s="23"/>
      <c r="BG11" s="19"/>
      <c r="BH11" s="20" t="str">
        <f t="shared" si="10"/>
        <v>SULAWESI</v>
      </c>
      <c r="BI11" s="20">
        <f t="shared" si="10"/>
        <v>2026</v>
      </c>
      <c r="BJ11" s="25">
        <f t="shared" si="4"/>
        <v>0.16183293958505204</v>
      </c>
      <c r="BK11" s="43">
        <f t="shared" si="5"/>
        <v>3.0840451080497701E-4</v>
      </c>
      <c r="BL11" s="34">
        <f t="shared" si="11"/>
        <v>15965.793101586782</v>
      </c>
      <c r="BP11" s="23"/>
    </row>
    <row r="12" spans="1:68" x14ac:dyDescent="0.25">
      <c r="A12" s="19"/>
      <c r="B12" s="20" t="str">
        <f t="shared" si="12"/>
        <v>SULAWESI</v>
      </c>
      <c r="C12" s="20">
        <f t="shared" si="13"/>
        <v>2027</v>
      </c>
      <c r="D12" s="30">
        <f t="shared" si="14"/>
        <v>3403.6223562864748</v>
      </c>
      <c r="E12" s="30">
        <f t="shared" si="6"/>
        <v>294.59139201707774</v>
      </c>
      <c r="F12" s="30">
        <f t="shared" si="6"/>
        <v>6343.7798406314478</v>
      </c>
      <c r="G12" s="30">
        <f t="shared" si="6"/>
        <v>1138.4301864461934</v>
      </c>
      <c r="H12" s="30">
        <f t="shared" si="6"/>
        <v>79.999999000000003</v>
      </c>
      <c r="I12" s="30">
        <f t="shared" si="6"/>
        <v>1033.7699990000001</v>
      </c>
      <c r="J12" s="30">
        <f t="shared" si="6"/>
        <v>62.549998000000002</v>
      </c>
      <c r="K12" s="30">
        <f t="shared" si="6"/>
        <v>2732.0012241466657</v>
      </c>
      <c r="L12" s="30">
        <f t="shared" si="6"/>
        <v>1503.0501000678455</v>
      </c>
      <c r="M12" s="30">
        <f t="shared" si="6"/>
        <v>0.5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4.3973190621712135</v>
      </c>
      <c r="Q12" s="30">
        <f t="shared" si="7"/>
        <v>16592.295095595706</v>
      </c>
      <c r="R12" s="30"/>
      <c r="S12" s="36"/>
      <c r="T12" s="19"/>
      <c r="U12" s="20" t="str">
        <f t="shared" si="0"/>
        <v>SULAWESI</v>
      </c>
      <c r="V12" s="20">
        <f t="shared" si="0"/>
        <v>2027</v>
      </c>
      <c r="W12" s="30">
        <v>222.20446078118883</v>
      </c>
      <c r="X12" s="30">
        <v>0</v>
      </c>
      <c r="Y12" s="30">
        <v>593.28367183054797</v>
      </c>
      <c r="Z12" s="30">
        <v>0</v>
      </c>
      <c r="AA12" s="30">
        <v>0</v>
      </c>
      <c r="AB12" s="30">
        <v>0</v>
      </c>
      <c r="AC12" s="30">
        <v>0</v>
      </c>
      <c r="AD12" s="30">
        <v>0</v>
      </c>
      <c r="AE12" s="30">
        <v>413.12481890844003</v>
      </c>
      <c r="AF12" s="30">
        <v>0</v>
      </c>
      <c r="AG12" s="30">
        <v>0</v>
      </c>
      <c r="AH12" s="30">
        <v>0</v>
      </c>
      <c r="AI12" s="30">
        <f t="shared" si="8"/>
        <v>0.34714323731409014</v>
      </c>
      <c r="AJ12" s="34">
        <f t="shared" si="1"/>
        <v>1228.9600947574911</v>
      </c>
      <c r="AM12" s="23"/>
      <c r="AO12" s="20" t="str">
        <f t="shared" si="2"/>
        <v>SULAWESI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3068.0000009999999</v>
      </c>
      <c r="AV12" s="30">
        <f t="shared" si="9"/>
        <v>10102.200000999999</v>
      </c>
      <c r="AW12" s="30">
        <f t="shared" si="9"/>
        <v>1668.0000020000002</v>
      </c>
      <c r="AX12" s="30">
        <f t="shared" si="9"/>
        <v>19972.238775853337</v>
      </c>
      <c r="AY12" s="30">
        <f t="shared" si="9"/>
        <v>6876.949899932154</v>
      </c>
      <c r="AZ12" s="30">
        <f t="shared" si="9"/>
        <v>1937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43624.388679785487</v>
      </c>
      <c r="BF12" s="23"/>
      <c r="BG12" s="19"/>
      <c r="BH12" s="20" t="str">
        <f t="shared" si="10"/>
        <v>SULAWESI</v>
      </c>
      <c r="BI12" s="20">
        <f t="shared" si="10"/>
        <v>2027</v>
      </c>
      <c r="BJ12" s="25">
        <f t="shared" si="4"/>
        <v>0.17303974534927766</v>
      </c>
      <c r="BK12" s="43">
        <f t="shared" si="5"/>
        <v>3.1087773690466818E-4</v>
      </c>
      <c r="BL12" s="34">
        <f t="shared" si="11"/>
        <v>17334.231743078926</v>
      </c>
      <c r="BP12" s="23"/>
    </row>
    <row r="13" spans="1:68" x14ac:dyDescent="0.25">
      <c r="A13" s="19"/>
      <c r="B13" s="20" t="str">
        <f t="shared" si="12"/>
        <v>SULAWESI</v>
      </c>
      <c r="C13" s="20">
        <f t="shared" si="13"/>
        <v>2028</v>
      </c>
      <c r="D13" s="30">
        <f t="shared" si="14"/>
        <v>3492.9102249249095</v>
      </c>
      <c r="E13" s="30">
        <f t="shared" si="6"/>
        <v>294.59139201707774</v>
      </c>
      <c r="F13" s="30">
        <f t="shared" si="6"/>
        <v>6343.7798406314478</v>
      </c>
      <c r="G13" s="30">
        <f t="shared" si="6"/>
        <v>1422.3927402196871</v>
      </c>
      <c r="H13" s="30">
        <f t="shared" si="6"/>
        <v>79.999999000000003</v>
      </c>
      <c r="I13" s="30">
        <f t="shared" si="6"/>
        <v>1033.7699990000001</v>
      </c>
      <c r="J13" s="30">
        <f t="shared" si="6"/>
        <v>62.549998000000002</v>
      </c>
      <c r="K13" s="30">
        <f t="shared" si="6"/>
        <v>2732.0012241466657</v>
      </c>
      <c r="L13" s="30">
        <f t="shared" si="6"/>
        <v>1503.0501000678455</v>
      </c>
      <c r="M13" s="30">
        <f t="shared" si="6"/>
        <v>0.5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4.525432001722411</v>
      </c>
      <c r="Q13" s="30">
        <f t="shared" si="7"/>
        <v>16965.545518007635</v>
      </c>
      <c r="R13" s="30"/>
      <c r="S13" s="36"/>
      <c r="T13" s="19"/>
      <c r="U13" s="20" t="str">
        <f t="shared" si="0"/>
        <v>SULAWESI</v>
      </c>
      <c r="V13" s="20">
        <f t="shared" si="0"/>
        <v>2028</v>
      </c>
      <c r="W13" s="30">
        <v>89.287868638434645</v>
      </c>
      <c r="X13" s="30">
        <v>0</v>
      </c>
      <c r="Y13" s="30">
        <v>0</v>
      </c>
      <c r="Z13" s="30">
        <v>283.96255377349377</v>
      </c>
      <c r="AA13" s="30">
        <v>0</v>
      </c>
      <c r="AB13" s="30">
        <v>-1.7763568394002505E-15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f t="shared" si="8"/>
        <v>0.12811293955119751</v>
      </c>
      <c r="AJ13" s="34">
        <f t="shared" si="1"/>
        <v>373.37853535147963</v>
      </c>
      <c r="AM13" s="23"/>
      <c r="AO13" s="20" t="str">
        <f t="shared" si="2"/>
        <v>SULAWESI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3068.0000009999999</v>
      </c>
      <c r="AV13" s="30">
        <f t="shared" si="9"/>
        <v>10102.200000999999</v>
      </c>
      <c r="AW13" s="30">
        <f t="shared" si="9"/>
        <v>1668.0000020000002</v>
      </c>
      <c r="AX13" s="30">
        <f t="shared" si="9"/>
        <v>19972.238775853337</v>
      </c>
      <c r="AY13" s="30">
        <f t="shared" si="9"/>
        <v>6876.949899932154</v>
      </c>
      <c r="AZ13" s="30">
        <f t="shared" si="9"/>
        <v>1937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43624.388679785487</v>
      </c>
      <c r="BF13" s="23"/>
      <c r="BG13" s="19"/>
      <c r="BH13" s="20" t="str">
        <f t="shared" si="10"/>
        <v>SULAWESI</v>
      </c>
      <c r="BI13" s="20">
        <f t="shared" si="10"/>
        <v>2028</v>
      </c>
      <c r="BJ13" s="25">
        <f t="shared" si="4"/>
        <v>0.16747709954358536</v>
      </c>
      <c r="BK13" s="43">
        <f t="shared" si="5"/>
        <v>3.0965011851996366E-4</v>
      </c>
      <c r="BL13" s="34">
        <f t="shared" si="11"/>
        <v>17839.252950789745</v>
      </c>
      <c r="BP13" s="23"/>
    </row>
    <row r="14" spans="1:68" x14ac:dyDescent="0.25">
      <c r="A14" s="19"/>
      <c r="B14" s="20" t="str">
        <f t="shared" si="12"/>
        <v>SULAWESI</v>
      </c>
      <c r="C14" s="20">
        <f t="shared" si="13"/>
        <v>2029</v>
      </c>
      <c r="D14" s="30">
        <f t="shared" si="14"/>
        <v>3492.9102249249095</v>
      </c>
      <c r="E14" s="30">
        <f t="shared" si="6"/>
        <v>294.59139201707774</v>
      </c>
      <c r="F14" s="30">
        <f t="shared" si="6"/>
        <v>6343.7798406314478</v>
      </c>
      <c r="G14" s="30">
        <f t="shared" si="6"/>
        <v>1422.3927402196871</v>
      </c>
      <c r="H14" s="30">
        <f t="shared" si="6"/>
        <v>79.999999000000003</v>
      </c>
      <c r="I14" s="30">
        <f t="shared" si="6"/>
        <v>1033.7699990000001</v>
      </c>
      <c r="J14" s="30">
        <f t="shared" si="6"/>
        <v>62.549998000000002</v>
      </c>
      <c r="K14" s="30">
        <f t="shared" si="6"/>
        <v>2732.0012241466657</v>
      </c>
      <c r="L14" s="30">
        <f t="shared" si="6"/>
        <v>1503.0501000678455</v>
      </c>
      <c r="M14" s="30">
        <f t="shared" si="6"/>
        <v>0.5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4.525432001722411</v>
      </c>
      <c r="Q14" s="30">
        <f t="shared" si="7"/>
        <v>16965.545518007635</v>
      </c>
      <c r="R14" s="30"/>
      <c r="S14" s="36"/>
      <c r="T14" s="19"/>
      <c r="U14" s="20" t="str">
        <f t="shared" si="0"/>
        <v>SULAWESI</v>
      </c>
      <c r="V14" s="20">
        <f t="shared" si="0"/>
        <v>2029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f t="shared" si="8"/>
        <v>0</v>
      </c>
      <c r="AJ14" s="34">
        <f t="shared" si="1"/>
        <v>0</v>
      </c>
      <c r="AM14" s="23"/>
      <c r="AO14" s="20" t="str">
        <f t="shared" si="2"/>
        <v>SULAWESI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3068.0000009999999</v>
      </c>
      <c r="AV14" s="30">
        <f t="shared" si="9"/>
        <v>10102.200000999999</v>
      </c>
      <c r="AW14" s="30">
        <f t="shared" si="9"/>
        <v>1668.0000020000002</v>
      </c>
      <c r="AX14" s="30">
        <f t="shared" si="9"/>
        <v>19972.238775853337</v>
      </c>
      <c r="AY14" s="30">
        <f t="shared" si="9"/>
        <v>6876.949899932154</v>
      </c>
      <c r="AZ14" s="30">
        <f t="shared" si="9"/>
        <v>1937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43624.388679785487</v>
      </c>
      <c r="BF14" s="23"/>
      <c r="BG14" s="19"/>
      <c r="BH14" s="20" t="str">
        <f t="shared" si="10"/>
        <v>SULAWESI</v>
      </c>
      <c r="BI14" s="20">
        <f t="shared" si="10"/>
        <v>2029</v>
      </c>
      <c r="BJ14" s="25">
        <f t="shared" si="4"/>
        <v>0.16747709954358536</v>
      </c>
      <c r="BK14" s="43">
        <f t="shared" si="5"/>
        <v>3.0965011851996366E-4</v>
      </c>
      <c r="BL14" s="34">
        <f t="shared" si="11"/>
        <v>17839.252950789745</v>
      </c>
      <c r="BP14" s="23"/>
    </row>
    <row r="15" spans="1:68" x14ac:dyDescent="0.25">
      <c r="A15" s="19"/>
      <c r="B15" s="20" t="str">
        <f t="shared" si="12"/>
        <v>SULAWESI</v>
      </c>
      <c r="C15" s="20">
        <f t="shared" si="13"/>
        <v>2030</v>
      </c>
      <c r="D15" s="30">
        <f t="shared" si="14"/>
        <v>3492.9102249249095</v>
      </c>
      <c r="E15" s="30">
        <f t="shared" si="6"/>
        <v>294.59139201707774</v>
      </c>
      <c r="F15" s="30">
        <f t="shared" si="6"/>
        <v>6343.7798406314478</v>
      </c>
      <c r="G15" s="30">
        <f t="shared" si="6"/>
        <v>1422.3927402196871</v>
      </c>
      <c r="H15" s="30">
        <f t="shared" si="6"/>
        <v>79.999999000000003</v>
      </c>
      <c r="I15" s="30">
        <f t="shared" si="6"/>
        <v>1033.7699990000001</v>
      </c>
      <c r="J15" s="30">
        <f t="shared" si="6"/>
        <v>62.549998000000002</v>
      </c>
      <c r="K15" s="30">
        <f t="shared" si="6"/>
        <v>2732.0012241466657</v>
      </c>
      <c r="L15" s="30">
        <f t="shared" si="6"/>
        <v>1503.0501000678455</v>
      </c>
      <c r="M15" s="30">
        <f t="shared" si="6"/>
        <v>0.5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4.525432001722411</v>
      </c>
      <c r="Q15" s="30">
        <f t="shared" si="7"/>
        <v>16965.545518007635</v>
      </c>
      <c r="R15" s="30"/>
      <c r="S15" s="36"/>
      <c r="T15" s="19"/>
      <c r="U15" s="20" t="str">
        <f t="shared" si="0"/>
        <v>SULAWESI</v>
      </c>
      <c r="V15" s="20">
        <f t="shared" si="0"/>
        <v>2030</v>
      </c>
      <c r="W15" s="30">
        <v>0</v>
      </c>
      <c r="X15" s="30">
        <v>0</v>
      </c>
      <c r="Y15" s="30">
        <v>0</v>
      </c>
      <c r="Z15" s="30">
        <v>0</v>
      </c>
      <c r="AA15" s="30">
        <v>0</v>
      </c>
      <c r="AB15" s="30">
        <v>0</v>
      </c>
      <c r="AC15" s="30">
        <v>0</v>
      </c>
      <c r="AD15" s="30">
        <v>0</v>
      </c>
      <c r="AE15" s="30">
        <v>0</v>
      </c>
      <c r="AF15" s="30">
        <v>0</v>
      </c>
      <c r="AG15" s="30">
        <v>0</v>
      </c>
      <c r="AH15" s="30">
        <v>0</v>
      </c>
      <c r="AI15" s="30">
        <f t="shared" si="8"/>
        <v>0</v>
      </c>
      <c r="AJ15" s="34">
        <f t="shared" si="1"/>
        <v>0</v>
      </c>
      <c r="AM15" s="23"/>
      <c r="AO15" s="20" t="str">
        <f t="shared" si="2"/>
        <v>SULAWESI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3068.0000009999999</v>
      </c>
      <c r="AV15" s="30">
        <f t="shared" si="9"/>
        <v>10102.200000999999</v>
      </c>
      <c r="AW15" s="30">
        <f t="shared" si="9"/>
        <v>1668.0000020000002</v>
      </c>
      <c r="AX15" s="30">
        <f t="shared" si="9"/>
        <v>19972.238775853337</v>
      </c>
      <c r="AY15" s="30">
        <f t="shared" si="9"/>
        <v>6876.949899932154</v>
      </c>
      <c r="AZ15" s="30">
        <f t="shared" si="9"/>
        <v>1937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43624.388679785487</v>
      </c>
      <c r="BF15" s="23"/>
      <c r="BG15" s="19"/>
      <c r="BH15" s="20" t="str">
        <f t="shared" si="10"/>
        <v>SULAWESI</v>
      </c>
      <c r="BI15" s="20">
        <f t="shared" si="10"/>
        <v>2030</v>
      </c>
      <c r="BJ15" s="25">
        <f t="shared" si="4"/>
        <v>0.16747709954358536</v>
      </c>
      <c r="BK15" s="43">
        <f t="shared" si="5"/>
        <v>3.0965011851996366E-4</v>
      </c>
      <c r="BL15" s="34">
        <f t="shared" si="11"/>
        <v>17839.252950789745</v>
      </c>
      <c r="BP15" s="23"/>
    </row>
    <row r="16" spans="1:68" x14ac:dyDescent="0.25">
      <c r="A16" s="19"/>
      <c r="B16" s="20" t="str">
        <f t="shared" si="12"/>
        <v>SULAWESI</v>
      </c>
      <c r="C16" s="20">
        <f t="shared" si="13"/>
        <v>2031</v>
      </c>
      <c r="D16" s="30">
        <f t="shared" si="14"/>
        <v>3492.9102249249095</v>
      </c>
      <c r="E16" s="30">
        <f t="shared" si="6"/>
        <v>294.59139201707774</v>
      </c>
      <c r="F16" s="30">
        <f t="shared" si="6"/>
        <v>6343.7798406314478</v>
      </c>
      <c r="G16" s="30">
        <f t="shared" si="6"/>
        <v>1422.3927402196871</v>
      </c>
      <c r="H16" s="30">
        <f t="shared" si="6"/>
        <v>79.999999000000003</v>
      </c>
      <c r="I16" s="30">
        <f t="shared" si="6"/>
        <v>1033.7699990000001</v>
      </c>
      <c r="J16" s="30">
        <f t="shared" si="6"/>
        <v>62.549998000000002</v>
      </c>
      <c r="K16" s="30">
        <f t="shared" si="6"/>
        <v>2732.0012241466657</v>
      </c>
      <c r="L16" s="30">
        <f t="shared" si="6"/>
        <v>1503.0501000678455</v>
      </c>
      <c r="M16" s="30">
        <f t="shared" si="6"/>
        <v>0.5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4.525432001722411</v>
      </c>
      <c r="Q16" s="30">
        <f t="shared" si="7"/>
        <v>16965.545518007635</v>
      </c>
      <c r="R16" s="30"/>
      <c r="S16" s="36"/>
      <c r="T16" s="19"/>
      <c r="U16" s="20" t="str">
        <f t="shared" si="0"/>
        <v>SULAWESI</v>
      </c>
      <c r="V16" s="20">
        <f t="shared" si="0"/>
        <v>2031</v>
      </c>
      <c r="W16" s="30">
        <v>0</v>
      </c>
      <c r="X16" s="30">
        <v>0</v>
      </c>
      <c r="Y16" s="30">
        <v>0</v>
      </c>
      <c r="Z16" s="30">
        <v>0</v>
      </c>
      <c r="AA16" s="30">
        <v>0</v>
      </c>
      <c r="AB16" s="30">
        <v>0</v>
      </c>
      <c r="AC16" s="30">
        <v>0</v>
      </c>
      <c r="AD16" s="30">
        <v>0</v>
      </c>
      <c r="AE16" s="30">
        <v>0</v>
      </c>
      <c r="AF16" s="30">
        <v>0</v>
      </c>
      <c r="AG16" s="30">
        <v>0</v>
      </c>
      <c r="AH16" s="30">
        <v>0</v>
      </c>
      <c r="AI16" s="30">
        <f t="shared" si="8"/>
        <v>0</v>
      </c>
      <c r="AJ16" s="34">
        <f t="shared" si="1"/>
        <v>0</v>
      </c>
      <c r="AM16" s="23"/>
      <c r="AO16" s="20" t="str">
        <f t="shared" si="2"/>
        <v>SULAWESI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3068.0000009999999</v>
      </c>
      <c r="AV16" s="30">
        <f t="shared" si="9"/>
        <v>10102.200000999999</v>
      </c>
      <c r="AW16" s="30">
        <f t="shared" si="9"/>
        <v>1668.0000020000002</v>
      </c>
      <c r="AX16" s="30">
        <f t="shared" si="9"/>
        <v>19972.238775853337</v>
      </c>
      <c r="AY16" s="30">
        <f t="shared" si="9"/>
        <v>6876.949899932154</v>
      </c>
      <c r="AZ16" s="30">
        <f t="shared" si="9"/>
        <v>1937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43624.388679785487</v>
      </c>
      <c r="BF16" s="23"/>
      <c r="BG16" s="19"/>
      <c r="BH16" s="20" t="str">
        <f t="shared" si="10"/>
        <v>SULAWESI</v>
      </c>
      <c r="BI16" s="20">
        <f t="shared" si="10"/>
        <v>2031</v>
      </c>
      <c r="BJ16" s="25">
        <f t="shared" si="4"/>
        <v>0.16747709954358536</v>
      </c>
      <c r="BK16" s="43">
        <f t="shared" si="5"/>
        <v>3.0965011851996366E-4</v>
      </c>
      <c r="BL16" s="34">
        <f t="shared" si="11"/>
        <v>17839.252950789745</v>
      </c>
      <c r="BP16" s="23"/>
    </row>
    <row r="17" spans="1:84" x14ac:dyDescent="0.25">
      <c r="A17" s="19"/>
      <c r="B17" s="20" t="str">
        <f t="shared" si="12"/>
        <v>SULAWESI</v>
      </c>
      <c r="C17" s="20">
        <f t="shared" si="13"/>
        <v>2032</v>
      </c>
      <c r="D17" s="30">
        <f t="shared" si="14"/>
        <v>3492.9102249249095</v>
      </c>
      <c r="E17" s="30">
        <f t="shared" si="6"/>
        <v>294.59139201707774</v>
      </c>
      <c r="F17" s="30">
        <f t="shared" si="6"/>
        <v>6343.7798406314478</v>
      </c>
      <c r="G17" s="30">
        <f t="shared" si="6"/>
        <v>1422.3927402196871</v>
      </c>
      <c r="H17" s="30">
        <f t="shared" si="6"/>
        <v>79.999999000000003</v>
      </c>
      <c r="I17" s="30">
        <f t="shared" si="6"/>
        <v>1033.7699990000001</v>
      </c>
      <c r="J17" s="30">
        <f t="shared" si="6"/>
        <v>62.549998000000002</v>
      </c>
      <c r="K17" s="30">
        <f t="shared" si="6"/>
        <v>2732.0012241466657</v>
      </c>
      <c r="L17" s="30">
        <f t="shared" si="6"/>
        <v>1503.0501000678455</v>
      </c>
      <c r="M17" s="30">
        <f t="shared" si="6"/>
        <v>0.5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4.525432001722411</v>
      </c>
      <c r="Q17" s="30">
        <f t="shared" si="7"/>
        <v>16965.545518007635</v>
      </c>
      <c r="R17" s="30"/>
      <c r="S17" s="36"/>
      <c r="T17" s="19"/>
      <c r="U17" s="20" t="str">
        <f t="shared" si="0"/>
        <v>SULAWESI</v>
      </c>
      <c r="V17" s="20">
        <f t="shared" si="0"/>
        <v>2032</v>
      </c>
      <c r="W17" s="30">
        <v>0</v>
      </c>
      <c r="X17" s="30">
        <v>0</v>
      </c>
      <c r="Y17" s="30">
        <v>0</v>
      </c>
      <c r="Z17" s="30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0</v>
      </c>
      <c r="AF17" s="30">
        <v>0</v>
      </c>
      <c r="AG17" s="30">
        <v>0</v>
      </c>
      <c r="AH17" s="30">
        <v>0</v>
      </c>
      <c r="AI17" s="30">
        <f t="shared" si="8"/>
        <v>0</v>
      </c>
      <c r="AJ17" s="34">
        <f t="shared" si="1"/>
        <v>0</v>
      </c>
      <c r="AM17" s="23"/>
      <c r="AO17" s="20" t="str">
        <f t="shared" si="2"/>
        <v>SULAWESI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3068.0000009999999</v>
      </c>
      <c r="AV17" s="30">
        <f t="shared" si="9"/>
        <v>10102.200000999999</v>
      </c>
      <c r="AW17" s="30">
        <f t="shared" si="9"/>
        <v>1668.0000020000002</v>
      </c>
      <c r="AX17" s="30">
        <f t="shared" si="9"/>
        <v>19972.238775853337</v>
      </c>
      <c r="AY17" s="30">
        <f t="shared" si="9"/>
        <v>6876.949899932154</v>
      </c>
      <c r="AZ17" s="30">
        <f t="shared" si="9"/>
        <v>1937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43624.388679785487</v>
      </c>
      <c r="BF17" s="23"/>
      <c r="BG17" s="19"/>
      <c r="BH17" s="20" t="str">
        <f t="shared" si="10"/>
        <v>SULAWESI</v>
      </c>
      <c r="BI17" s="20">
        <f t="shared" si="10"/>
        <v>2032</v>
      </c>
      <c r="BJ17" s="25">
        <f t="shared" si="4"/>
        <v>0.16747709954358536</v>
      </c>
      <c r="BK17" s="43">
        <f t="shared" si="5"/>
        <v>3.0965011851996366E-4</v>
      </c>
      <c r="BL17" s="34">
        <f t="shared" si="11"/>
        <v>17839.252950789745</v>
      </c>
      <c r="BP17" s="23"/>
    </row>
    <row r="18" spans="1:84" x14ac:dyDescent="0.25">
      <c r="A18" s="19"/>
      <c r="B18" s="20" t="str">
        <f t="shared" si="12"/>
        <v>SULAWESI</v>
      </c>
      <c r="C18" s="20">
        <f t="shared" si="13"/>
        <v>2033</v>
      </c>
      <c r="D18" s="30">
        <f t="shared" si="14"/>
        <v>3492.9102249249095</v>
      </c>
      <c r="E18" s="30">
        <f t="shared" si="6"/>
        <v>294.59139201707774</v>
      </c>
      <c r="F18" s="30">
        <f t="shared" si="6"/>
        <v>6343.7798406314478</v>
      </c>
      <c r="G18" s="30">
        <f t="shared" si="6"/>
        <v>1422.3927402196871</v>
      </c>
      <c r="H18" s="30">
        <f t="shared" si="6"/>
        <v>79.999999000000003</v>
      </c>
      <c r="I18" s="30">
        <f t="shared" si="6"/>
        <v>1033.7699990000001</v>
      </c>
      <c r="J18" s="30">
        <f t="shared" si="6"/>
        <v>62.549998000000002</v>
      </c>
      <c r="K18" s="30">
        <f t="shared" si="6"/>
        <v>2732.0012241466657</v>
      </c>
      <c r="L18" s="30">
        <f t="shared" si="6"/>
        <v>1503.0501000678455</v>
      </c>
      <c r="M18" s="30">
        <f t="shared" si="6"/>
        <v>0.5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4.525432001722411</v>
      </c>
      <c r="Q18" s="30">
        <f t="shared" si="7"/>
        <v>16965.545518007635</v>
      </c>
      <c r="R18" s="30"/>
      <c r="S18" s="36"/>
      <c r="T18" s="19"/>
      <c r="U18" s="20" t="str">
        <f t="shared" si="0"/>
        <v>SULAWESI</v>
      </c>
      <c r="V18" s="20">
        <f t="shared" si="0"/>
        <v>2033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0</v>
      </c>
      <c r="AF18" s="30">
        <v>0</v>
      </c>
      <c r="AG18" s="30">
        <v>0</v>
      </c>
      <c r="AH18" s="30">
        <v>0</v>
      </c>
      <c r="AI18" s="30">
        <f t="shared" si="8"/>
        <v>0</v>
      </c>
      <c r="AJ18" s="34">
        <f t="shared" si="1"/>
        <v>0</v>
      </c>
      <c r="AM18" s="23"/>
      <c r="AO18" s="20" t="str">
        <f t="shared" si="2"/>
        <v>SULAWESI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3068.0000009999999</v>
      </c>
      <c r="AV18" s="30">
        <f t="shared" si="9"/>
        <v>10102.200000999999</v>
      </c>
      <c r="AW18" s="30">
        <f t="shared" si="9"/>
        <v>1668.0000020000002</v>
      </c>
      <c r="AX18" s="30">
        <f t="shared" si="9"/>
        <v>19972.238775853337</v>
      </c>
      <c r="AY18" s="30">
        <f t="shared" si="9"/>
        <v>6876.949899932154</v>
      </c>
      <c r="AZ18" s="30">
        <f t="shared" si="9"/>
        <v>1937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43624.388679785487</v>
      </c>
      <c r="BF18" s="23"/>
      <c r="BG18" s="19"/>
      <c r="BH18" s="20" t="str">
        <f t="shared" si="10"/>
        <v>SULAWESI</v>
      </c>
      <c r="BI18" s="20">
        <f t="shared" si="10"/>
        <v>2033</v>
      </c>
      <c r="BJ18" s="25">
        <f t="shared" si="4"/>
        <v>0.16747709954358536</v>
      </c>
      <c r="BK18" s="43">
        <f t="shared" si="5"/>
        <v>3.0965011851996366E-4</v>
      </c>
      <c r="BL18" s="34">
        <f t="shared" si="11"/>
        <v>17839.252950789745</v>
      </c>
      <c r="BP18" s="23"/>
    </row>
    <row r="19" spans="1:84" x14ac:dyDescent="0.25">
      <c r="A19" s="19"/>
      <c r="B19" s="20" t="str">
        <f t="shared" si="12"/>
        <v>SULAWESI</v>
      </c>
      <c r="C19" s="20">
        <f t="shared" si="13"/>
        <v>2034</v>
      </c>
      <c r="D19" s="30">
        <f t="shared" si="14"/>
        <v>3492.9102249249095</v>
      </c>
      <c r="E19" s="30">
        <f t="shared" si="6"/>
        <v>294.59139201707774</v>
      </c>
      <c r="F19" s="30">
        <f t="shared" si="6"/>
        <v>6343.7798406314478</v>
      </c>
      <c r="G19" s="30">
        <f t="shared" si="6"/>
        <v>1422.3927402196871</v>
      </c>
      <c r="H19" s="30">
        <f t="shared" si="6"/>
        <v>79.999999000000003</v>
      </c>
      <c r="I19" s="30">
        <f t="shared" si="6"/>
        <v>1033.7699990000001</v>
      </c>
      <c r="J19" s="30">
        <f t="shared" si="6"/>
        <v>62.549998000000002</v>
      </c>
      <c r="K19" s="30">
        <f t="shared" si="6"/>
        <v>2732.0012241466657</v>
      </c>
      <c r="L19" s="30">
        <f t="shared" si="6"/>
        <v>1503.0501000678455</v>
      </c>
      <c r="M19" s="30">
        <f t="shared" si="6"/>
        <v>0.5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4.525432001722411</v>
      </c>
      <c r="Q19" s="30">
        <f t="shared" si="7"/>
        <v>16965.545518007635</v>
      </c>
      <c r="R19" s="30"/>
      <c r="S19" s="36"/>
      <c r="T19" s="19"/>
      <c r="U19" s="20" t="str">
        <f t="shared" si="0"/>
        <v>SULAWESI</v>
      </c>
      <c r="V19" s="20">
        <f t="shared" si="0"/>
        <v>2034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0</v>
      </c>
      <c r="AC19" s="30">
        <v>0</v>
      </c>
      <c r="AD19" s="30">
        <v>0</v>
      </c>
      <c r="AE19" s="30">
        <v>0</v>
      </c>
      <c r="AF19" s="30">
        <v>0</v>
      </c>
      <c r="AG19" s="30">
        <v>0</v>
      </c>
      <c r="AH19" s="30">
        <v>0</v>
      </c>
      <c r="AI19" s="30">
        <f t="shared" si="8"/>
        <v>0</v>
      </c>
      <c r="AJ19" s="34">
        <f t="shared" si="1"/>
        <v>0</v>
      </c>
      <c r="AM19" s="23"/>
      <c r="AO19" s="20" t="str">
        <f t="shared" si="2"/>
        <v>SULAWESI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3068.0000009999999</v>
      </c>
      <c r="AV19" s="30">
        <f t="shared" si="9"/>
        <v>10102.200000999999</v>
      </c>
      <c r="AW19" s="30">
        <f t="shared" si="9"/>
        <v>1668.0000020000002</v>
      </c>
      <c r="AX19" s="30">
        <f t="shared" si="9"/>
        <v>19972.238775853337</v>
      </c>
      <c r="AY19" s="30">
        <f t="shared" si="9"/>
        <v>6876.949899932154</v>
      </c>
      <c r="AZ19" s="30">
        <f t="shared" si="9"/>
        <v>1937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43624.388679785487</v>
      </c>
      <c r="BF19" s="23"/>
      <c r="BG19" s="19"/>
      <c r="BH19" s="20" t="str">
        <f t="shared" si="10"/>
        <v>SULAWESI</v>
      </c>
      <c r="BI19" s="20">
        <f t="shared" si="10"/>
        <v>2034</v>
      </c>
      <c r="BJ19" s="25">
        <f t="shared" si="4"/>
        <v>0.16747709954358536</v>
      </c>
      <c r="BK19" s="43">
        <f t="shared" si="5"/>
        <v>3.0965011851996366E-4</v>
      </c>
      <c r="BL19" s="34">
        <f t="shared" si="11"/>
        <v>17839.252950789745</v>
      </c>
      <c r="BP19" s="23"/>
    </row>
    <row r="20" spans="1:84" x14ac:dyDescent="0.25">
      <c r="A20" s="19"/>
      <c r="B20" s="20" t="str">
        <f t="shared" si="12"/>
        <v>SULAWESI</v>
      </c>
      <c r="C20" s="20">
        <f t="shared" si="13"/>
        <v>2035</v>
      </c>
      <c r="D20" s="30">
        <f t="shared" si="14"/>
        <v>3492.9102249249095</v>
      </c>
      <c r="E20" s="30">
        <f t="shared" si="6"/>
        <v>294.59139201707774</v>
      </c>
      <c r="F20" s="30">
        <f t="shared" si="6"/>
        <v>6343.7798406314478</v>
      </c>
      <c r="G20" s="30">
        <f t="shared" si="6"/>
        <v>1429.5967296077386</v>
      </c>
      <c r="H20" s="30">
        <f t="shared" si="6"/>
        <v>79.999999000000003</v>
      </c>
      <c r="I20" s="30">
        <f t="shared" si="6"/>
        <v>1033.7699990000001</v>
      </c>
      <c r="J20" s="30">
        <f t="shared" si="6"/>
        <v>62.549998000000002</v>
      </c>
      <c r="K20" s="30">
        <f t="shared" si="6"/>
        <v>2732.0012241466657</v>
      </c>
      <c r="L20" s="30">
        <f t="shared" si="6"/>
        <v>1503.0501000678455</v>
      </c>
      <c r="M20" s="30">
        <f t="shared" si="6"/>
        <v>0.5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4.5279223241637103</v>
      </c>
      <c r="Q20" s="30">
        <f t="shared" si="7"/>
        <v>16972.749507395685</v>
      </c>
      <c r="R20" s="30"/>
      <c r="S20" s="36"/>
      <c r="T20" s="19"/>
      <c r="U20" s="20" t="str">
        <f t="shared" si="0"/>
        <v>SULAWESI</v>
      </c>
      <c r="V20" s="20">
        <f t="shared" si="0"/>
        <v>2035</v>
      </c>
      <c r="W20" s="30">
        <v>0</v>
      </c>
      <c r="X20" s="30">
        <v>0</v>
      </c>
      <c r="Y20" s="30">
        <v>0</v>
      </c>
      <c r="Z20" s="30">
        <v>7.2039893880514452</v>
      </c>
      <c r="AA20" s="30">
        <v>0</v>
      </c>
      <c r="AB20" s="30">
        <v>0</v>
      </c>
      <c r="AC20" s="30">
        <v>0</v>
      </c>
      <c r="AD20" s="30">
        <v>0</v>
      </c>
      <c r="AE20" s="30">
        <v>0</v>
      </c>
      <c r="AF20" s="30">
        <v>0</v>
      </c>
      <c r="AG20" s="30">
        <v>0</v>
      </c>
      <c r="AH20" s="30">
        <v>0</v>
      </c>
      <c r="AI20" s="30">
        <f t="shared" si="8"/>
        <v>2.4903224412993197E-3</v>
      </c>
      <c r="AJ20" s="34">
        <f t="shared" si="1"/>
        <v>7.2064797104927445</v>
      </c>
      <c r="AM20" s="23"/>
      <c r="AO20" s="20" t="str">
        <f t="shared" si="2"/>
        <v>SULAWESI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3068.0000009999999</v>
      </c>
      <c r="AV20" s="30">
        <f t="shared" si="9"/>
        <v>10102.200000999999</v>
      </c>
      <c r="AW20" s="30">
        <f t="shared" si="9"/>
        <v>1668.0000020000002</v>
      </c>
      <c r="AX20" s="30">
        <f t="shared" si="9"/>
        <v>19972.238775853337</v>
      </c>
      <c r="AY20" s="30">
        <f t="shared" si="9"/>
        <v>6876.949899932154</v>
      </c>
      <c r="AZ20" s="30">
        <f t="shared" si="9"/>
        <v>1937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43624.388679785487</v>
      </c>
      <c r="BF20" s="23"/>
      <c r="BG20" s="19"/>
      <c r="BH20" s="20" t="str">
        <f t="shared" si="10"/>
        <v>SULAWESI</v>
      </c>
      <c r="BI20" s="20">
        <f t="shared" si="10"/>
        <v>2035</v>
      </c>
      <c r="BJ20" s="25">
        <f t="shared" si="4"/>
        <v>0.1673725114470179</v>
      </c>
      <c r="BK20" s="43">
        <f t="shared" si="5"/>
        <v>3.0962703700899703E-4</v>
      </c>
      <c r="BL20" s="34">
        <f t="shared" si="11"/>
        <v>17849.069801853348</v>
      </c>
      <c r="BP20" s="23"/>
    </row>
    <row r="21" spans="1:84" x14ac:dyDescent="0.25">
      <c r="A21" s="19"/>
      <c r="B21" s="20" t="str">
        <f t="shared" si="12"/>
        <v>SULAWESI</v>
      </c>
      <c r="C21" s="20">
        <f t="shared" si="13"/>
        <v>2036</v>
      </c>
      <c r="D21" s="30">
        <f t="shared" si="14"/>
        <v>3492.9102249249095</v>
      </c>
      <c r="E21" s="30">
        <f t="shared" si="14"/>
        <v>294.59139201707774</v>
      </c>
      <c r="F21" s="30">
        <f t="shared" si="14"/>
        <v>6700.6104969295902</v>
      </c>
      <c r="G21" s="30">
        <f t="shared" si="14"/>
        <v>1555.4377126377092</v>
      </c>
      <c r="H21" s="30">
        <f t="shared" si="14"/>
        <v>79.999999000000003</v>
      </c>
      <c r="I21" s="30">
        <f t="shared" si="14"/>
        <v>1033.7699990000001</v>
      </c>
      <c r="J21" s="30">
        <f t="shared" si="14"/>
        <v>62.549998000000002</v>
      </c>
      <c r="K21" s="30">
        <f t="shared" si="14"/>
        <v>2732.0012241466657</v>
      </c>
      <c r="L21" s="30">
        <f t="shared" si="14"/>
        <v>1763.3658494501356</v>
      </c>
      <c r="M21" s="30">
        <f t="shared" si="14"/>
        <v>0.5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4.7399414623755387</v>
      </c>
      <c r="Q21" s="30">
        <f t="shared" si="7"/>
        <v>17715.736896106089</v>
      </c>
      <c r="R21" s="30"/>
      <c r="S21" s="36"/>
      <c r="T21" s="19"/>
      <c r="U21" s="20" t="str">
        <f t="shared" si="0"/>
        <v>SULAWESI</v>
      </c>
      <c r="V21" s="20">
        <f t="shared" si="0"/>
        <v>2036</v>
      </c>
      <c r="W21" s="30">
        <v>0</v>
      </c>
      <c r="X21" s="30">
        <v>0</v>
      </c>
      <c r="Y21" s="30">
        <v>356.830656298142</v>
      </c>
      <c r="Z21" s="30">
        <v>125.84098302997069</v>
      </c>
      <c r="AA21" s="30">
        <v>0</v>
      </c>
      <c r="AB21" s="30">
        <v>0</v>
      </c>
      <c r="AC21" s="30">
        <v>0</v>
      </c>
      <c r="AD21" s="30">
        <v>0</v>
      </c>
      <c r="AE21" s="30">
        <v>260.31574938229011</v>
      </c>
      <c r="AF21" s="30">
        <v>0</v>
      </c>
      <c r="AG21" s="30">
        <v>0</v>
      </c>
      <c r="AH21" s="30">
        <v>0</v>
      </c>
      <c r="AI21" s="30">
        <f t="shared" si="8"/>
        <v>0.21201913821182838</v>
      </c>
      <c r="AJ21" s="34">
        <f t="shared" si="1"/>
        <v>743.19940784861467</v>
      </c>
      <c r="AM21" s="23"/>
      <c r="AO21" s="20" t="str">
        <f t="shared" si="2"/>
        <v>SULAWESI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3068.0000009999999</v>
      </c>
      <c r="AV21" s="30">
        <f t="shared" si="15"/>
        <v>10102.200000999999</v>
      </c>
      <c r="AW21" s="30">
        <f t="shared" si="15"/>
        <v>1668.0000020000002</v>
      </c>
      <c r="AX21" s="30">
        <f t="shared" si="15"/>
        <v>19972.238775853337</v>
      </c>
      <c r="AY21" s="30">
        <f t="shared" si="15"/>
        <v>6616.634150549864</v>
      </c>
      <c r="AZ21" s="30">
        <f t="shared" si="15"/>
        <v>1937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43364.072930403199</v>
      </c>
      <c r="BF21" s="23"/>
      <c r="BG21" s="19"/>
      <c r="BH21" s="20" t="str">
        <f t="shared" si="10"/>
        <v>SULAWESI</v>
      </c>
      <c r="BI21" s="20">
        <f t="shared" si="10"/>
        <v>2036</v>
      </c>
      <c r="BJ21" s="25">
        <f t="shared" si="4"/>
        <v>0.17396680160786557</v>
      </c>
      <c r="BK21" s="43">
        <f t="shared" si="5"/>
        <v>3.1108232863070139E-4</v>
      </c>
      <c r="BL21" s="34">
        <f t="shared" si="11"/>
        <v>18684.849244684377</v>
      </c>
      <c r="BP21" s="23"/>
    </row>
    <row r="22" spans="1:84" x14ac:dyDescent="0.25">
      <c r="A22" s="19"/>
      <c r="B22" s="20" t="str">
        <f t="shared" si="12"/>
        <v>SULAWESI</v>
      </c>
      <c r="C22" s="20">
        <f t="shared" si="13"/>
        <v>2037</v>
      </c>
      <c r="D22" s="30">
        <f t="shared" ref="D22:O23" si="16">D21+W22</f>
        <v>3693.4729418598763</v>
      </c>
      <c r="E22" s="30">
        <f t="shared" si="16"/>
        <v>294.59139201707774</v>
      </c>
      <c r="F22" s="30">
        <f t="shared" si="16"/>
        <v>7445.0601011327826</v>
      </c>
      <c r="G22" s="30">
        <f t="shared" si="16"/>
        <v>1616.9010757294304</v>
      </c>
      <c r="H22" s="30">
        <f t="shared" si="16"/>
        <v>79.999999000000003</v>
      </c>
      <c r="I22" s="30">
        <f t="shared" si="16"/>
        <v>1033.7699990000001</v>
      </c>
      <c r="J22" s="30">
        <f t="shared" si="16"/>
        <v>62.549998000000002</v>
      </c>
      <c r="K22" s="30">
        <f t="shared" si="16"/>
        <v>2732.0012241466657</v>
      </c>
      <c r="L22" s="30">
        <f t="shared" si="16"/>
        <v>2247.1917759512053</v>
      </c>
      <c r="M22" s="30">
        <f t="shared" si="16"/>
        <v>0.5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5.1572272147333988</v>
      </c>
      <c r="Q22" s="30">
        <f t="shared" si="7"/>
        <v>19206.038506837038</v>
      </c>
      <c r="R22" s="30"/>
      <c r="S22" s="36"/>
      <c r="T22" s="19"/>
      <c r="U22" s="20" t="str">
        <f t="shared" si="0"/>
        <v>SULAWESI</v>
      </c>
      <c r="V22" s="20">
        <f t="shared" si="0"/>
        <v>2037</v>
      </c>
      <c r="W22" s="30">
        <v>200.56271693496689</v>
      </c>
      <c r="X22" s="30">
        <v>7.1054273576010019E-15</v>
      </c>
      <c r="Y22" s="30">
        <v>744.44960420319228</v>
      </c>
      <c r="Z22" s="30">
        <v>61.463363091721178</v>
      </c>
      <c r="AA22" s="30">
        <v>0</v>
      </c>
      <c r="AB22" s="30">
        <v>0</v>
      </c>
      <c r="AC22" s="30">
        <v>0</v>
      </c>
      <c r="AD22" s="30">
        <v>-7.1054273576010019E-15</v>
      </c>
      <c r="AE22" s="30">
        <v>483.82592650106994</v>
      </c>
      <c r="AF22" s="30">
        <v>0</v>
      </c>
      <c r="AG22" s="30">
        <v>0</v>
      </c>
      <c r="AH22" s="30">
        <v>0</v>
      </c>
      <c r="AI22" s="30">
        <f t="shared" si="8"/>
        <v>0.41728575235786014</v>
      </c>
      <c r="AJ22" s="34">
        <f t="shared" si="1"/>
        <v>1490.7188964833083</v>
      </c>
      <c r="AM22" s="23"/>
      <c r="AO22" s="20" t="str">
        <f t="shared" si="2"/>
        <v>SULAWESI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3068.0000009999999</v>
      </c>
      <c r="AV22" s="30">
        <f t="shared" si="15"/>
        <v>10102.200000999999</v>
      </c>
      <c r="AW22" s="30">
        <f t="shared" si="15"/>
        <v>1668.0000020000002</v>
      </c>
      <c r="AX22" s="30">
        <f t="shared" si="15"/>
        <v>19972.238775853337</v>
      </c>
      <c r="AY22" s="30">
        <f t="shared" si="15"/>
        <v>6132.8082240487938</v>
      </c>
      <c r="AZ22" s="30">
        <f t="shared" si="15"/>
        <v>1937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42880.247003902128</v>
      </c>
      <c r="BF22" s="23"/>
      <c r="BG22" s="19"/>
      <c r="BH22" s="20" t="str">
        <f t="shared" si="10"/>
        <v>SULAWESI</v>
      </c>
      <c r="BI22" s="20">
        <f t="shared" si="10"/>
        <v>2037</v>
      </c>
      <c r="BJ22" s="25">
        <f t="shared" si="4"/>
        <v>0.18395460064445773</v>
      </c>
      <c r="BK22" s="43">
        <f t="shared" si="5"/>
        <v>3.1328653255601824E-4</v>
      </c>
      <c r="BL22" s="34">
        <f t="shared" si="11"/>
        <v>20329.789680479062</v>
      </c>
      <c r="BP22" s="23"/>
    </row>
    <row r="23" spans="1:84" x14ac:dyDescent="0.25">
      <c r="A23" s="19"/>
      <c r="B23" s="20" t="str">
        <f t="shared" si="12"/>
        <v>SULAWESI</v>
      </c>
      <c r="C23" s="20">
        <f t="shared" si="13"/>
        <v>2038</v>
      </c>
      <c r="D23" s="30">
        <f t="shared" si="16"/>
        <v>3981.4968234932207</v>
      </c>
      <c r="E23" s="30">
        <f t="shared" si="16"/>
        <v>294.59139201707774</v>
      </c>
      <c r="F23" s="30">
        <f t="shared" si="16"/>
        <v>8106.9555959341806</v>
      </c>
      <c r="G23" s="30">
        <f t="shared" si="16"/>
        <v>1616.9010757294304</v>
      </c>
      <c r="H23" s="30">
        <f t="shared" si="16"/>
        <v>79.999999000000003</v>
      </c>
      <c r="I23" s="30">
        <f t="shared" si="16"/>
        <v>1033.7699990000001</v>
      </c>
      <c r="J23" s="30">
        <f t="shared" si="16"/>
        <v>62.549998000000002</v>
      </c>
      <c r="K23" s="30">
        <f t="shared" si="16"/>
        <v>2732.0012241466657</v>
      </c>
      <c r="L23" s="30">
        <f t="shared" si="16"/>
        <v>3008.853725919294</v>
      </c>
      <c r="M23" s="30">
        <f t="shared" si="16"/>
        <v>0.5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5.6737491006826986</v>
      </c>
      <c r="Q23" s="30">
        <f t="shared" si="7"/>
        <v>20917.619833239867</v>
      </c>
      <c r="R23" s="30"/>
      <c r="S23" s="36"/>
      <c r="T23" s="19"/>
      <c r="U23" s="20" t="str">
        <f t="shared" si="0"/>
        <v>SULAWESI</v>
      </c>
      <c r="V23" s="20">
        <f t="shared" si="0"/>
        <v>2038</v>
      </c>
      <c r="W23" s="30">
        <v>288.02388163334456</v>
      </c>
      <c r="X23" s="30">
        <v>0</v>
      </c>
      <c r="Y23" s="30">
        <v>661.89549480139806</v>
      </c>
      <c r="Z23" s="30">
        <v>0</v>
      </c>
      <c r="AA23" s="30">
        <v>0</v>
      </c>
      <c r="AB23" s="30">
        <v>0</v>
      </c>
      <c r="AC23" s="30">
        <v>0</v>
      </c>
      <c r="AD23" s="30">
        <v>3.5527136788005009E-15</v>
      </c>
      <c r="AE23" s="30">
        <v>761.66194996808872</v>
      </c>
      <c r="AF23" s="30">
        <v>0</v>
      </c>
      <c r="AG23" s="30">
        <v>0</v>
      </c>
      <c r="AH23" s="30">
        <v>0</v>
      </c>
      <c r="AI23" s="30">
        <f t="shared" si="8"/>
        <v>0.51652188594929971</v>
      </c>
      <c r="AJ23" s="34">
        <f t="shared" si="1"/>
        <v>1712.0978482887806</v>
      </c>
      <c r="AM23" s="23"/>
      <c r="AO23" s="20" t="str">
        <f t="shared" si="2"/>
        <v>SULAWESI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3068.0000009999999</v>
      </c>
      <c r="AV23" s="30">
        <f t="shared" si="15"/>
        <v>10102.200000999999</v>
      </c>
      <c r="AW23" s="30">
        <f t="shared" si="15"/>
        <v>1668.0000020000002</v>
      </c>
      <c r="AX23" s="30">
        <f t="shared" si="15"/>
        <v>19972.238775853337</v>
      </c>
      <c r="AY23" s="30">
        <f t="shared" si="15"/>
        <v>5371.1462740807056</v>
      </c>
      <c r="AZ23" s="30">
        <f t="shared" si="15"/>
        <v>1937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42118.585053934039</v>
      </c>
      <c r="BF23" s="23"/>
      <c r="BG23" s="19"/>
      <c r="BH23" s="20" t="str">
        <f t="shared" si="10"/>
        <v>SULAWESI</v>
      </c>
      <c r="BI23" s="20">
        <f t="shared" si="10"/>
        <v>2038</v>
      </c>
      <c r="BJ23" s="25">
        <f>SUM(K47:L47,N47)/Q47</f>
        <v>0.20265565590888482</v>
      </c>
      <c r="BK23" s="43">
        <f t="shared" si="5"/>
        <v>3.1741366199368492E-4</v>
      </c>
      <c r="BL23" s="34">
        <f t="shared" si="11"/>
        <v>22365.9189548912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SULAWESI</v>
      </c>
      <c r="C28" s="20">
        <f>C4</f>
        <v>2019</v>
      </c>
      <c r="D28" s="30">
        <f>(D4*(VLOOKUP(D$27,tech_data!$B$2:$O$15,6, FALSE)/100)*(1-(VLOOKUP(D$27,tech_data!$B$2:$O$15,7, FALSE)/100))*8760)/1000</f>
        <v>13749.755373333333</v>
      </c>
      <c r="E28" s="30">
        <f>(E4*(VLOOKUP(E$27,tech_data!$B$2:$O$15,6, FALSE)/100)*(1-(VLOOKUP(E$27,tech_data!$B$2:$O$15,7, FALSE)/100))*8760)/1000</f>
        <v>863.09485964307692</v>
      </c>
      <c r="F28" s="30">
        <f>(F4*(VLOOKUP(F$27,tech_data!$B$2:$O$15,6, FALSE)/100)*(1-(VLOOKUP(F$27,tech_data!$B$2:$O$15,7, FALSE)/100))*8760)/1000</f>
        <v>871.75813846153835</v>
      </c>
      <c r="G28" s="30">
        <f>(G4*(VLOOKUP(G$27,tech_data!$B$2:$O$15,6, FALSE)/100)*(1-(VLOOKUP(G$27,tech_data!$B$2:$O$15,7, FALSE)/100))*8760)/1000</f>
        <v>4477.1799899076923</v>
      </c>
      <c r="H28" s="30">
        <f>(H4*(VLOOKUP(H$27,tech_data!$B$2:$O$15,6, FALSE)/100)*(1-(VLOOKUP(H$27,tech_data!$B$2:$O$15,7, FALSE)/100))*8760)/1000</f>
        <v>519.13107692307688</v>
      </c>
      <c r="I28" s="30">
        <f>(I4*(VLOOKUP(I$27,tech_data!$B$2:$O$15,6, FALSE)/100)*(1-(VLOOKUP(I$27,tech_data!$B$2:$O$15,7, FALSE)/100))*8760)/1000</f>
        <v>3680.0452456615385</v>
      </c>
      <c r="J28" s="30">
        <f>(J4*(VLOOKUP(J$27,tech_data!$B$2:$O$15,6, FALSE)/100)*(1-(VLOOKUP(J$27,tech_data!$B$2:$O$15,7, FALSE)/100))*8760)/1000</f>
        <v>370.23749169230769</v>
      </c>
      <c r="K28" s="30">
        <f>(K4*(VLOOKUP(K$27,tech_data!$B$2:$O$15,6, FALSE)/100)*(1-(VLOOKUP(K$27,tech_data!$B$2:$O$15,7, FALSE)/100))*8760)/1000</f>
        <v>7.7999039999999997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1.2488053846153846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24540.250885007179</v>
      </c>
      <c r="R28" s="34">
        <f>proj_rukn!D102</f>
        <v>23609</v>
      </c>
      <c r="S28" s="35"/>
      <c r="T28" s="19"/>
      <c r="U28" s="20" t="str">
        <f t="shared" ref="U28:V47" si="18">B28</f>
        <v>SULAWESI</v>
      </c>
      <c r="V28" s="20">
        <f t="shared" si="18"/>
        <v>2019</v>
      </c>
      <c r="W28" s="29">
        <f t="shared" ref="W28:AI47" si="19">D28/$Q28</f>
        <v>0.5602940017917144</v>
      </c>
      <c r="X28" s="29">
        <f t="shared" si="19"/>
        <v>3.5170580108876685E-2</v>
      </c>
      <c r="Y28" s="29">
        <f t="shared" si="19"/>
        <v>3.5523603346457121E-2</v>
      </c>
      <c r="Z28" s="29">
        <f t="shared" si="19"/>
        <v>0.18244230716659124</v>
      </c>
      <c r="AA28" s="29">
        <f t="shared" si="19"/>
        <v>2.1154269341241292E-2</v>
      </c>
      <c r="AB28" s="29">
        <f t="shared" si="19"/>
        <v>0.14995956084172943</v>
      </c>
      <c r="AC28" s="29">
        <f t="shared" si="19"/>
        <v>1.5086948109340789E-2</v>
      </c>
      <c r="AD28" s="29">
        <f t="shared" si="19"/>
        <v>3.1784124932338553E-4</v>
      </c>
      <c r="AE28" s="29">
        <f t="shared" si="19"/>
        <v>0</v>
      </c>
      <c r="AF28" s="29">
        <f t="shared" si="19"/>
        <v>5.0888044725669042E-5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SULAWESI</v>
      </c>
      <c r="AP28" s="20">
        <f>C28</f>
        <v>2019</v>
      </c>
      <c r="AQ28" s="25">
        <f t="shared" ref="AQ28:AQ47" si="21">D28/Q28</f>
        <v>0.5602940017917144</v>
      </c>
      <c r="AR28" s="25">
        <f t="shared" ref="AR28:AR47" si="22">SUM(E28:F28)/Q28</f>
        <v>7.0694183455333806E-2</v>
      </c>
      <c r="AS28" s="25">
        <f t="shared" ref="AS28:AS47" si="23">G28/Q28</f>
        <v>0.18244230716659124</v>
      </c>
      <c r="AT28" s="37">
        <f t="shared" ref="AT28:AT47" si="24">SUM(H28:N28)/Q28</f>
        <v>0.18656950758636057</v>
      </c>
      <c r="AU28" s="24">
        <f>SUM(AQ28:AT28)</f>
        <v>1</v>
      </c>
      <c r="AW28" s="24">
        <f>$BD$29+((AP28-$BC$29)*($BD$30-$BD$29)/($BC$30-$BC$29))</f>
        <v>0.5602940017917144</v>
      </c>
      <c r="AX28" s="24">
        <f t="shared" ref="AX28:AX47" si="25">$BE$29+((AP28-$BC$29)*($BE$30-$BE$29)/($BC$30-$BC$29))</f>
        <v>0.19239999999999999</v>
      </c>
      <c r="AY28" s="24">
        <f>BF29</f>
        <v>0.18244230716659124</v>
      </c>
      <c r="AZ28" s="25">
        <f>$BG$29+((AP28-$BC$29)*($BG$30-$BG$29)/($BC$30-$BC$29))</f>
        <v>0.1166</v>
      </c>
      <c r="BA28" s="24">
        <f>SUM(AW28:AZ28)</f>
        <v>1.0517363089583056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SULAWESI</v>
      </c>
      <c r="BL28" s="20">
        <f>C4</f>
        <v>2019</v>
      </c>
      <c r="BM28" s="34">
        <f>proj_rukn!E102</f>
        <v>2178</v>
      </c>
      <c r="BN28" s="30">
        <f t="shared" ref="BN28:BN47" si="26">(1+$CD$28)*BM28*$CD$29</f>
        <v>2504.6999999999998</v>
      </c>
      <c r="BO28" s="30">
        <f>SUM(D4:I4,M4,O4:P4)</f>
        <v>5244.6200000000008</v>
      </c>
      <c r="BQ28" s="30">
        <f t="shared" ref="BQ28:BQ47" si="27">BN28*$CD$30</f>
        <v>1001.88</v>
      </c>
      <c r="BR28" s="30">
        <f>SUM(D4,F4,H4,M4)</f>
        <v>3231</v>
      </c>
      <c r="BS28" s="30"/>
      <c r="BT28" s="30">
        <f t="shared" ref="BT28:BT47" si="28">BN28*$CD$31</f>
        <v>500.94</v>
      </c>
      <c r="BU28" s="30">
        <f>SUM(E4,G4,P4,I4)</f>
        <v>2013.6200000000001</v>
      </c>
      <c r="BW28" s="30">
        <f t="shared" ref="BW28:BW47" si="29">$CD$32*SUM(H4:O4)</f>
        <v>0.48813000000000001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1.7036076979313516E-3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SULAWESI</v>
      </c>
      <c r="C29" s="20">
        <f t="shared" si="31"/>
        <v>2020</v>
      </c>
      <c r="D29" s="30">
        <f>(D5*(VLOOKUP(D$27,tech_data!$B$2:$O$15,6, FALSE)/100)*(1-(VLOOKUP(D$27,tech_data!$B$2:$O$15,7, FALSE)/100))*8760)/1000</f>
        <v>13749.755373333333</v>
      </c>
      <c r="E29" s="30">
        <f>(E5*(VLOOKUP(E$27,tech_data!$B$2:$O$15,6, FALSE)/100)*(1-(VLOOKUP(E$27,tech_data!$B$2:$O$15,7, FALSE)/100))*8760)/1000</f>
        <v>880.64670916884199</v>
      </c>
      <c r="F29" s="30">
        <f>(F5*(VLOOKUP(F$27,tech_data!$B$2:$O$15,6, FALSE)/100)*(1-(VLOOKUP(F$27,tech_data!$B$2:$O$15,7, FALSE)/100))*8760)/1000</f>
        <v>1381.1391948069945</v>
      </c>
      <c r="G29" s="30">
        <f>(G5*(VLOOKUP(G$27,tech_data!$B$2:$O$15,6, FALSE)/100)*(1-(VLOOKUP(G$27,tech_data!$B$2:$O$15,7, FALSE)/100))*8760)/1000</f>
        <v>4477.1799899076923</v>
      </c>
      <c r="H29" s="30">
        <f>(H5*(VLOOKUP(H$27,tech_data!$B$2:$O$15,6, FALSE)/100)*(1-(VLOOKUP(H$27,tech_data!$B$2:$O$15,7, FALSE)/100))*8760)/1000</f>
        <v>519.13107692307688</v>
      </c>
      <c r="I29" s="30">
        <f>(I5*(VLOOKUP(I$27,tech_data!$B$2:$O$15,6, FALSE)/100)*(1-(VLOOKUP(I$27,tech_data!$B$2:$O$15,7, FALSE)/100))*8760)/1000</f>
        <v>3680.0452456615385</v>
      </c>
      <c r="J29" s="30">
        <f>(J5*(VLOOKUP(J$27,tech_data!$B$2:$O$15,6, FALSE)/100)*(1-(VLOOKUP(J$27,tech_data!$B$2:$O$15,7, FALSE)/100))*8760)/1000</f>
        <v>370.23749169230769</v>
      </c>
      <c r="K29" s="30">
        <f>(K5*(VLOOKUP(K$27,tech_data!$B$2:$O$15,6, FALSE)/100)*(1-(VLOOKUP(K$27,tech_data!$B$2:$O$15,7, FALSE)/100))*8760)/1000</f>
        <v>244.61615711490828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1.2488053846153846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6.2747589485087181</v>
      </c>
      <c r="Q29" s="34">
        <f t="shared" si="17"/>
        <v>25304.000043993306</v>
      </c>
      <c r="R29" s="34">
        <f>proj_rukn!D103</f>
        <v>25304</v>
      </c>
      <c r="S29" s="35"/>
      <c r="T29" s="19"/>
      <c r="U29" s="20" t="str">
        <f t="shared" si="18"/>
        <v>SULAWESI</v>
      </c>
      <c r="V29" s="20">
        <f t="shared" si="18"/>
        <v>2020</v>
      </c>
      <c r="W29" s="29">
        <f t="shared" si="19"/>
        <v>0.54338268058125727</v>
      </c>
      <c r="X29" s="29">
        <f t="shared" si="19"/>
        <v>3.4802667864280649E-2</v>
      </c>
      <c r="Y29" s="29">
        <f t="shared" si="19"/>
        <v>5.4581852371394179E-2</v>
      </c>
      <c r="Z29" s="29">
        <f t="shared" si="19"/>
        <v>0.17693566163941304</v>
      </c>
      <c r="AA29" s="29">
        <f t="shared" si="19"/>
        <v>2.0515771262271588E-2</v>
      </c>
      <c r="AB29" s="29">
        <f t="shared" si="19"/>
        <v>0.14543334015426199</v>
      </c>
      <c r="AC29" s="29">
        <f t="shared" si="19"/>
        <v>1.4631579633600069E-2</v>
      </c>
      <c r="AD29" s="29">
        <f t="shared" si="19"/>
        <v>9.6670943996846684E-3</v>
      </c>
      <c r="AE29" s="29">
        <f t="shared" si="19"/>
        <v>0</v>
      </c>
      <c r="AF29" s="29">
        <f t="shared" si="19"/>
        <v>4.9352093836714465E-5</v>
      </c>
      <c r="AG29" s="29">
        <f t="shared" si="19"/>
        <v>0</v>
      </c>
      <c r="AH29" s="29">
        <f t="shared" si="19"/>
        <v>0</v>
      </c>
      <c r="AI29" s="29">
        <f t="shared" si="19"/>
        <v>2.4797498172618871E-4</v>
      </c>
      <c r="AJ29" s="29">
        <f t="shared" si="20"/>
        <v>1.0000000000000002</v>
      </c>
      <c r="AM29" s="23"/>
      <c r="AO29" s="20" t="str">
        <f>AO28</f>
        <v>SULAWESI</v>
      </c>
      <c r="AP29" s="20">
        <f>AP28+1</f>
        <v>2020</v>
      </c>
      <c r="AQ29" s="25">
        <f t="shared" si="21"/>
        <v>0.54338268058125727</v>
      </c>
      <c r="AR29" s="25">
        <f t="shared" si="22"/>
        <v>8.9384520235674822E-2</v>
      </c>
      <c r="AS29" s="25">
        <f t="shared" si="23"/>
        <v>0.17693566163941304</v>
      </c>
      <c r="AT29" s="37">
        <f t="shared" si="24"/>
        <v>0.19029713754365501</v>
      </c>
      <c r="AU29" s="24">
        <f t="shared" ref="AU29:AU47" si="32">SUM(AQ29:AT29)</f>
        <v>1.0000000000000002</v>
      </c>
      <c r="AW29" s="24">
        <f>$BD$29+((AP29-$BC$29)*($BD$30-$BD$29)/($BC$30-$BC$29))</f>
        <v>0.51691166815976197</v>
      </c>
      <c r="AX29" s="24">
        <f t="shared" si="25"/>
        <v>0.19699999999999998</v>
      </c>
      <c r="AY29" s="24">
        <f>AY28*0.98</f>
        <v>0.17879346102325941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1.0282051291830214</v>
      </c>
      <c r="BC29" s="20">
        <v>2019</v>
      </c>
      <c r="BD29" s="25">
        <f>AQ28</f>
        <v>0.5602940017917144</v>
      </c>
      <c r="BE29" s="25">
        <v>0.19239999999999999</v>
      </c>
      <c r="BF29" s="25">
        <f>AS28</f>
        <v>0.18244230716659124</v>
      </c>
      <c r="BG29" s="25">
        <v>0.1166</v>
      </c>
      <c r="BH29" s="24">
        <f>SUM(BD29:BG29)</f>
        <v>1.0517363089583056</v>
      </c>
      <c r="BJ29" s="19"/>
      <c r="BK29" s="20" t="str">
        <f>BK28</f>
        <v>SULAWESI</v>
      </c>
      <c r="BL29" s="20">
        <f>BL28+1</f>
        <v>2020</v>
      </c>
      <c r="BM29" s="34">
        <f>proj_rukn!E103</f>
        <v>2389</v>
      </c>
      <c r="BN29" s="30">
        <f t="shared" si="26"/>
        <v>2747.35</v>
      </c>
      <c r="BO29" s="30">
        <f t="shared" ref="BO29:BO47" si="35">SUM(D5:I5,M5,O5:P5)</f>
        <v>5436.3146209229653</v>
      </c>
      <c r="BQ29" s="30">
        <f t="shared" si="27"/>
        <v>1098.94</v>
      </c>
      <c r="BR29" s="30">
        <f t="shared" ref="BR29:BR47" si="36">SUM(D5,F5,H5,M5)</f>
        <v>3415.0591164792409</v>
      </c>
      <c r="BS29" s="30"/>
      <c r="BT29" s="30">
        <f t="shared" si="28"/>
        <v>549.47</v>
      </c>
      <c r="BU29" s="30">
        <f t="shared" ref="BU29:BU47" si="37">SUM(E5,G5,P5,I5)</f>
        <v>2021.2555044437247</v>
      </c>
      <c r="BW29" s="30">
        <f t="shared" si="29"/>
        <v>0.55249623535412817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5.0799999014525338E-2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SULAWESI</v>
      </c>
      <c r="C30" s="20">
        <f t="shared" si="31"/>
        <v>2021</v>
      </c>
      <c r="D30" s="30">
        <f>(D6*(VLOOKUP(D$27,tech_data!$B$2:$O$15,6, FALSE)/100)*(1-(VLOOKUP(D$27,tech_data!$B$2:$O$15,7, FALSE)/100))*8760)/1000</f>
        <v>13749.755368484186</v>
      </c>
      <c r="E30" s="30">
        <f>(E6*(VLOOKUP(E$27,tech_data!$B$2:$O$15,6, FALSE)/100)*(1-(VLOOKUP(E$27,tech_data!$B$2:$O$15,7, FALSE)/100))*8760)/1000</f>
        <v>880.64670617945831</v>
      </c>
      <c r="F30" s="30">
        <f>(F6*(VLOOKUP(F$27,tech_data!$B$2:$O$15,6, FALSE)/100)*(1-(VLOOKUP(F$27,tech_data!$B$2:$O$15,7, FALSE)/100))*8760)/1000</f>
        <v>4262.6503089801008</v>
      </c>
      <c r="G30" s="30">
        <f>(G6*(VLOOKUP(G$27,tech_data!$B$2:$O$15,6, FALSE)/100)*(1-(VLOOKUP(G$27,tech_data!$B$2:$O$15,7, FALSE)/100))*8760)/1000</f>
        <v>4477.1799899076923</v>
      </c>
      <c r="H30" s="30">
        <f>(H6*(VLOOKUP(H$27,tech_data!$B$2:$O$15,6, FALSE)/100)*(1-(VLOOKUP(H$27,tech_data!$B$2:$O$15,7, FALSE)/100))*8760)/1000</f>
        <v>519.13107692307688</v>
      </c>
      <c r="I30" s="30">
        <f>(I6*(VLOOKUP(I$27,tech_data!$B$2:$O$15,6, FALSE)/100)*(1-(VLOOKUP(I$27,tech_data!$B$2:$O$15,7, FALSE)/100))*8760)/1000</f>
        <v>3680.0452456615385</v>
      </c>
      <c r="J30" s="30">
        <f>(J6*(VLOOKUP(J$27,tech_data!$B$2:$O$15,6, FALSE)/100)*(1-(VLOOKUP(J$27,tech_data!$B$2:$O$15,7, FALSE)/100))*8760)/1000</f>
        <v>370.23749169230769</v>
      </c>
      <c r="K30" s="30">
        <f>(K6*(VLOOKUP(K$27,tech_data!$B$2:$O$15,6, FALSE)/100)*(1-(VLOOKUP(K$27,tech_data!$B$2:$O$15,7, FALSE)/100))*8760)/1000</f>
        <v>257.53598837064834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1.2488053846153846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6.9895063295827118</v>
      </c>
      <c r="Q30" s="34">
        <f t="shared" si="17"/>
        <v>28198.43098158362</v>
      </c>
      <c r="R30" s="34">
        <f>proj_rukn!D104</f>
        <v>37157</v>
      </c>
      <c r="S30" s="35"/>
      <c r="T30" s="19"/>
      <c r="U30" s="20" t="str">
        <f t="shared" si="18"/>
        <v>SULAWESI</v>
      </c>
      <c r="V30" s="20">
        <f t="shared" si="18"/>
        <v>2021</v>
      </c>
      <c r="W30" s="29">
        <f t="shared" si="19"/>
        <v>0.48760710755375514</v>
      </c>
      <c r="X30" s="29">
        <f t="shared" si="19"/>
        <v>3.1230344225698523E-2</v>
      </c>
      <c r="Y30" s="29">
        <f t="shared" si="19"/>
        <v>0.15116622310525132</v>
      </c>
      <c r="Z30" s="29">
        <f t="shared" si="19"/>
        <v>0.15877408189241934</v>
      </c>
      <c r="AA30" s="29">
        <f t="shared" si="19"/>
        <v>1.840992774605513E-2</v>
      </c>
      <c r="AB30" s="29">
        <f t="shared" si="19"/>
        <v>0.13050531953586261</v>
      </c>
      <c r="AC30" s="29">
        <f t="shared" si="19"/>
        <v>1.3129719590927225E-2</v>
      </c>
      <c r="AD30" s="29">
        <f t="shared" si="19"/>
        <v>9.1329900070980883E-3</v>
      </c>
      <c r="AE30" s="29">
        <f t="shared" si="19"/>
        <v>0</v>
      </c>
      <c r="AF30" s="29">
        <f t="shared" si="19"/>
        <v>4.4286342932731917E-5</v>
      </c>
      <c r="AG30" s="29">
        <f t="shared" si="19"/>
        <v>0</v>
      </c>
      <c r="AH30" s="29">
        <f t="shared" si="19"/>
        <v>0</v>
      </c>
      <c r="AI30" s="29">
        <f t="shared" si="19"/>
        <v>2.4786862553266011E-4</v>
      </c>
      <c r="AJ30" s="29">
        <f t="shared" si="20"/>
        <v>1</v>
      </c>
      <c r="AM30" s="23"/>
      <c r="AO30" s="20" t="str">
        <f t="shared" ref="AO30:AO47" si="39">AO29</f>
        <v>SULAWESI</v>
      </c>
      <c r="AP30" s="20">
        <f t="shared" ref="AP30:AP47" si="40">AP29+1</f>
        <v>2021</v>
      </c>
      <c r="AQ30" s="25">
        <f t="shared" si="21"/>
        <v>0.48760710755375514</v>
      </c>
      <c r="AR30" s="25">
        <f t="shared" si="22"/>
        <v>0.18239656733094986</v>
      </c>
      <c r="AS30" s="25">
        <f t="shared" si="23"/>
        <v>0.15877408189241934</v>
      </c>
      <c r="AT30" s="37">
        <f t="shared" si="24"/>
        <v>0.1712222432228758</v>
      </c>
      <c r="AU30" s="24">
        <f t="shared" si="32"/>
        <v>1.0000000000000002</v>
      </c>
      <c r="AW30" s="24">
        <f t="shared" ref="AW30:AW34" si="41">$BD$29+((AP30-$BC$29)*($BD$30-$BD$29)/($BC$30-$BC$29))</f>
        <v>0.4735293345278096</v>
      </c>
      <c r="AX30" s="24">
        <f t="shared" si="25"/>
        <v>0.2016</v>
      </c>
      <c r="AY30" s="24">
        <f t="shared" ref="AY30:AY47" si="42">AY29*0.98</f>
        <v>0.17521759180279423</v>
      </c>
      <c r="AZ30" s="25">
        <f t="shared" si="33"/>
        <v>0.15440000000000001</v>
      </c>
      <c r="BA30" s="24">
        <f t="shared" si="34"/>
        <v>1.0047469263306039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SULAWESI</v>
      </c>
      <c r="BL30" s="20">
        <f t="shared" ref="BL30:BL47" si="45">BL29+1</f>
        <v>2021</v>
      </c>
      <c r="BM30" s="34">
        <f>proj_rukn!E104</f>
        <v>2645</v>
      </c>
      <c r="BN30" s="30">
        <f t="shared" si="26"/>
        <v>3041.7499999999995</v>
      </c>
      <c r="BO30" s="30">
        <f t="shared" si="35"/>
        <v>6477.717202964217</v>
      </c>
      <c r="BQ30" s="30">
        <f t="shared" si="27"/>
        <v>1216.6999999999998</v>
      </c>
      <c r="BR30" s="30">
        <f t="shared" si="36"/>
        <v>4456.260752628712</v>
      </c>
      <c r="BS30" s="30"/>
      <c r="BT30" s="30">
        <f t="shared" si="28"/>
        <v>608.34999999999991</v>
      </c>
      <c r="BU30" s="30">
        <f t="shared" si="37"/>
        <v>2021.4564503355045</v>
      </c>
      <c r="BW30" s="30">
        <f t="shared" si="29"/>
        <v>0.55600782245342695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5.3339974031352336E-2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SULAWESI</v>
      </c>
      <c r="C31" s="20">
        <f t="shared" si="31"/>
        <v>2022</v>
      </c>
      <c r="D31" s="30">
        <f>(D7*(VLOOKUP(D$27,tech_data!$B$2:$O$15,6, FALSE)/100)*(1-(VLOOKUP(D$27,tech_data!$B$2:$O$15,7, FALSE)/100))*8760)/1000</f>
        <v>14310.294963489043</v>
      </c>
      <c r="E31" s="30">
        <f>(E7*(VLOOKUP(E$27,tech_data!$B$2:$O$15,6, FALSE)/100)*(1-(VLOOKUP(E$27,tech_data!$B$2:$O$15,7, FALSE)/100))*8760)/1000</f>
        <v>880.64670319007473</v>
      </c>
      <c r="F31" s="30">
        <f>(F7*(VLOOKUP(F$27,tech_data!$B$2:$O$15,6, FALSE)/100)*(1-(VLOOKUP(F$27,tech_data!$B$2:$O$15,7, FALSE)/100))*8760)/1000</f>
        <v>5979.2937759873839</v>
      </c>
      <c r="G31" s="30">
        <f>(G7*(VLOOKUP(G$27,tech_data!$B$2:$O$15,6, FALSE)/100)*(1-(VLOOKUP(G$27,tech_data!$B$2:$O$15,7, FALSE)/100))*8760)/1000</f>
        <v>4477.1799899076923</v>
      </c>
      <c r="H31" s="30">
        <f>(H7*(VLOOKUP(H$27,tech_data!$B$2:$O$15,6, FALSE)/100)*(1-(VLOOKUP(H$27,tech_data!$B$2:$O$15,7, FALSE)/100))*8760)/1000</f>
        <v>519.13107692307688</v>
      </c>
      <c r="I31" s="30">
        <f>(I7*(VLOOKUP(I$27,tech_data!$B$2:$O$15,6, FALSE)/100)*(1-(VLOOKUP(I$27,tech_data!$B$2:$O$15,7, FALSE)/100))*8760)/1000</f>
        <v>3680.0452456615385</v>
      </c>
      <c r="J31" s="30">
        <f>(J7*(VLOOKUP(J$27,tech_data!$B$2:$O$15,6, FALSE)/100)*(1-(VLOOKUP(J$27,tech_data!$B$2:$O$15,7, FALSE)/100))*8760)/1000</f>
        <v>370.23748577324312</v>
      </c>
      <c r="K31" s="30">
        <f>(K7*(VLOOKUP(K$27,tech_data!$B$2:$O$15,6, FALSE)/100)*(1-(VLOOKUP(K$27,tech_data!$B$2:$O$15,7, FALSE)/100))*8760)/1000</f>
        <v>3050.304496079666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1.2488053846153846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8.7930916955005625</v>
      </c>
      <c r="Q31" s="34">
        <f t="shared" si="17"/>
        <v>33268.382542396343</v>
      </c>
      <c r="R31" s="34">
        <f>proj_rukn!D105</f>
        <v>38986</v>
      </c>
      <c r="S31" s="35"/>
      <c r="T31" s="19"/>
      <c r="U31" s="20" t="str">
        <f t="shared" si="18"/>
        <v>SULAWESI</v>
      </c>
      <c r="V31" s="20">
        <f t="shared" si="18"/>
        <v>2022</v>
      </c>
      <c r="W31" s="29">
        <f t="shared" si="19"/>
        <v>0.43014700054180222</v>
      </c>
      <c r="X31" s="29">
        <f t="shared" si="19"/>
        <v>2.6470980429174819E-2</v>
      </c>
      <c r="Y31" s="29">
        <f t="shared" si="19"/>
        <v>0.17972901953882281</v>
      </c>
      <c r="Z31" s="29">
        <f t="shared" si="19"/>
        <v>0.13457762739748749</v>
      </c>
      <c r="AA31" s="29">
        <f t="shared" si="19"/>
        <v>1.5604337730020689E-2</v>
      </c>
      <c r="AB31" s="29">
        <f t="shared" si="19"/>
        <v>0.11061689701841641</v>
      </c>
      <c r="AC31" s="29">
        <f t="shared" si="19"/>
        <v>1.1128809322227262E-2</v>
      </c>
      <c r="AD31" s="29">
        <f t="shared" si="19"/>
        <v>9.168779071818231E-2</v>
      </c>
      <c r="AE31" s="29">
        <f t="shared" si="19"/>
        <v>0</v>
      </c>
      <c r="AF31" s="29">
        <f t="shared" si="19"/>
        <v>3.7537303865733184E-5</v>
      </c>
      <c r="AG31" s="29">
        <f t="shared" si="19"/>
        <v>0</v>
      </c>
      <c r="AH31" s="29">
        <f t="shared" si="19"/>
        <v>0</v>
      </c>
      <c r="AI31" s="29">
        <f t="shared" si="19"/>
        <v>2.6430776080847576E-4</v>
      </c>
      <c r="AJ31" s="29">
        <f t="shared" si="20"/>
        <v>0.99999999999999967</v>
      </c>
      <c r="AM31" s="23"/>
      <c r="AO31" s="20" t="str">
        <f t="shared" si="39"/>
        <v>SULAWESI</v>
      </c>
      <c r="AP31" s="20">
        <f t="shared" si="40"/>
        <v>2022</v>
      </c>
      <c r="AQ31" s="25">
        <f t="shared" si="21"/>
        <v>0.43014700054180222</v>
      </c>
      <c r="AR31" s="25">
        <f t="shared" si="22"/>
        <v>0.20619999996799762</v>
      </c>
      <c r="AS31" s="25">
        <f t="shared" si="23"/>
        <v>0.13457762739748749</v>
      </c>
      <c r="AT31" s="37">
        <f t="shared" si="24"/>
        <v>0.22907537209271239</v>
      </c>
      <c r="AU31" s="24">
        <f t="shared" si="32"/>
        <v>0.99999999999999978</v>
      </c>
      <c r="AW31" s="24">
        <f t="shared" si="41"/>
        <v>0.43014700089585722</v>
      </c>
      <c r="AX31" s="24">
        <f t="shared" si="25"/>
        <v>0.20619999999999999</v>
      </c>
      <c r="AY31" s="24">
        <f t="shared" si="42"/>
        <v>0.17171323996673835</v>
      </c>
      <c r="AZ31" s="25">
        <f t="shared" si="33"/>
        <v>0.17330000000000001</v>
      </c>
      <c r="BA31" s="24">
        <f t="shared" si="34"/>
        <v>0.98136024086259555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SULAWESI</v>
      </c>
      <c r="BL31" s="20">
        <f t="shared" si="45"/>
        <v>2022</v>
      </c>
      <c r="BM31" s="34">
        <f>proj_rukn!E105</f>
        <v>2886</v>
      </c>
      <c r="BN31" s="30">
        <f t="shared" si="26"/>
        <v>3318.8999999999996</v>
      </c>
      <c r="BO31" s="30">
        <f t="shared" si="35"/>
        <v>7214.1095940691184</v>
      </c>
      <c r="BQ31" s="30">
        <f t="shared" si="27"/>
        <v>1327.56</v>
      </c>
      <c r="BR31" s="30">
        <f t="shared" si="36"/>
        <v>5192.1460776453823</v>
      </c>
      <c r="BS31" s="30"/>
      <c r="BT31" s="30">
        <f t="shared" si="28"/>
        <v>663.78</v>
      </c>
      <c r="BU31" s="30">
        <f t="shared" si="37"/>
        <v>2021.9635164237345</v>
      </c>
      <c r="BW31" s="30">
        <f t="shared" si="29"/>
        <v>1.3150773228528121</v>
      </c>
      <c r="BX31" s="30">
        <f t="shared" si="38"/>
        <v>0</v>
      </c>
      <c r="BZ31" s="24">
        <f t="shared" si="46"/>
        <v>5.6007000000000008E-2</v>
      </c>
      <c r="CA31" s="24">
        <f t="shared" si="30"/>
        <v>0.4002516284512419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SULAWESI</v>
      </c>
      <c r="C32" s="20">
        <f t="shared" si="31"/>
        <v>2023</v>
      </c>
      <c r="D32" s="30">
        <f>(D8*(VLOOKUP(D$27,tech_data!$B$2:$O$15,6, FALSE)/100)*(1-(VLOOKUP(D$27,tech_data!$B$2:$O$15,7, FALSE)/100))*8760)/1000</f>
        <v>15099.123566724837</v>
      </c>
      <c r="E32" s="30">
        <f>(E8*(VLOOKUP(E$27,tech_data!$B$2:$O$15,6, FALSE)/100)*(1-(VLOOKUP(E$27,tech_data!$B$2:$O$15,7, FALSE)/100))*8760)/1000</f>
        <v>880.64670319007473</v>
      </c>
      <c r="F32" s="30">
        <f>(F8*(VLOOKUP(F$27,tech_data!$B$2:$O$15,6, FALSE)/100)*(1-(VLOOKUP(F$27,tech_data!$B$2:$O$15,7, FALSE)/100))*8760)/1000</f>
        <v>7348.8946209037458</v>
      </c>
      <c r="G32" s="30">
        <f>(G8*(VLOOKUP(G$27,tech_data!$B$2:$O$15,6, FALSE)/100)*(1-(VLOOKUP(G$27,tech_data!$B$2:$O$15,7, FALSE)/100))*8760)/1000</f>
        <v>4477.1799899076923</v>
      </c>
      <c r="H32" s="30">
        <f>(H8*(VLOOKUP(H$27,tech_data!$B$2:$O$15,6, FALSE)/100)*(1-(VLOOKUP(H$27,tech_data!$B$2:$O$15,7, FALSE)/100))*8760)/1000</f>
        <v>519.13107043393848</v>
      </c>
      <c r="I32" s="30">
        <f>(I8*(VLOOKUP(I$27,tech_data!$B$2:$O$15,6, FALSE)/100)*(1-(VLOOKUP(I$27,tech_data!$B$2:$O$15,7, FALSE)/100))*8760)/1000</f>
        <v>4589.2135661453176</v>
      </c>
      <c r="J32" s="30">
        <f>(J8*(VLOOKUP(J$27,tech_data!$B$2:$O$15,6, FALSE)/100)*(1-(VLOOKUP(J$27,tech_data!$B$2:$O$15,7, FALSE)/100))*8760)/1000</f>
        <v>370.2374798541785</v>
      </c>
      <c r="K32" s="30">
        <f>(K8*(VLOOKUP(K$27,tech_data!$B$2:$O$15,6, FALSE)/100)*(1-(VLOOKUP(K$27,tech_data!$B$2:$O$15,7, FALSE)/100))*8760)/1000</f>
        <v>5025.7894519402062</v>
      </c>
      <c r="L32" s="30">
        <f>(L8*(VLOOKUP(L$27,tech_data!$B$2:$O$15,6, FALSE)/100)*(1-(VLOOKUP(L$27,tech_data!$B$2:$O$15,7, FALSE)/100))*8760)/1000</f>
        <v>728.10825417469005</v>
      </c>
      <c r="M32" s="30">
        <f>(M8*(VLOOKUP(M$27,tech_data!$B$2:$O$15,6, FALSE)/100)*(1-(VLOOKUP(M$27,tech_data!$B$2:$O$15,7, FALSE)/100))*8760)/1000</f>
        <v>1.2488053846153846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10.751459523868542</v>
      </c>
      <c r="Q32" s="34">
        <f t="shared" si="17"/>
        <v>39039.57350865929</v>
      </c>
      <c r="R32" s="34">
        <f>proj_rukn!D106</f>
        <v>41321</v>
      </c>
      <c r="S32" s="35"/>
      <c r="T32" s="19"/>
      <c r="U32" s="20" t="str">
        <f t="shared" si="18"/>
        <v>SULAWESI</v>
      </c>
      <c r="V32" s="20">
        <f t="shared" si="18"/>
        <v>2023</v>
      </c>
      <c r="W32" s="29">
        <f t="shared" si="19"/>
        <v>0.38676456246059476</v>
      </c>
      <c r="X32" s="29">
        <f t="shared" si="19"/>
        <v>2.2557795181720932E-2</v>
      </c>
      <c r="Y32" s="29">
        <f t="shared" si="19"/>
        <v>0.18824218505547202</v>
      </c>
      <c r="Z32" s="29">
        <f t="shared" si="19"/>
        <v>0.1146831173479551</v>
      </c>
      <c r="AA32" s="29">
        <f t="shared" si="19"/>
        <v>1.3297559982790055E-2</v>
      </c>
      <c r="AB32" s="29">
        <f t="shared" si="19"/>
        <v>0.11755286120447482</v>
      </c>
      <c r="AC32" s="29">
        <f t="shared" si="19"/>
        <v>9.4836456082712291E-3</v>
      </c>
      <c r="AD32" s="29">
        <f t="shared" si="19"/>
        <v>0.12873576733171652</v>
      </c>
      <c r="AE32" s="29">
        <f t="shared" si="19"/>
        <v>1.8650517634706994E-2</v>
      </c>
      <c r="AF32" s="29">
        <f t="shared" si="19"/>
        <v>3.1988192297705035E-5</v>
      </c>
      <c r="AG32" s="29">
        <f t="shared" si="19"/>
        <v>0</v>
      </c>
      <c r="AH32" s="29">
        <f t="shared" si="19"/>
        <v>0</v>
      </c>
      <c r="AI32" s="29">
        <f t="shared" si="19"/>
        <v>2.7539900049071441E-4</v>
      </c>
      <c r="AJ32" s="29">
        <f t="shared" si="20"/>
        <v>1.0000000000000002</v>
      </c>
      <c r="AM32" s="23"/>
      <c r="AO32" s="20" t="str">
        <f t="shared" si="39"/>
        <v>SULAWESI</v>
      </c>
      <c r="AP32" s="20">
        <f t="shared" si="40"/>
        <v>2023</v>
      </c>
      <c r="AQ32" s="25">
        <f t="shared" si="21"/>
        <v>0.38676456246059476</v>
      </c>
      <c r="AR32" s="25">
        <f t="shared" si="22"/>
        <v>0.21079998023719299</v>
      </c>
      <c r="AS32" s="25">
        <f t="shared" si="23"/>
        <v>0.1146831173479551</v>
      </c>
      <c r="AT32" s="37">
        <f t="shared" si="24"/>
        <v>0.28775233995425736</v>
      </c>
      <c r="AU32" s="24">
        <f t="shared" si="32"/>
        <v>1.0000000000000002</v>
      </c>
      <c r="AW32" s="24">
        <f t="shared" si="41"/>
        <v>0.38676466726390479</v>
      </c>
      <c r="AX32" s="24">
        <f t="shared" si="25"/>
        <v>0.21079999999999999</v>
      </c>
      <c r="AY32" s="24">
        <f t="shared" si="42"/>
        <v>0.16827897516740359</v>
      </c>
      <c r="AZ32" s="25">
        <f t="shared" si="33"/>
        <v>0.19220000000000001</v>
      </c>
      <c r="BA32" s="24">
        <f t="shared" si="34"/>
        <v>0.95804364243130846</v>
      </c>
      <c r="BJ32" s="19"/>
      <c r="BK32" s="20" t="str">
        <f t="shared" si="44"/>
        <v>SULAWESI</v>
      </c>
      <c r="BL32" s="20">
        <f t="shared" si="45"/>
        <v>2023</v>
      </c>
      <c r="BM32" s="34">
        <f>proj_rukn!E106</f>
        <v>3220</v>
      </c>
      <c r="BN32" s="30">
        <f t="shared" si="26"/>
        <v>3702.9999999999995</v>
      </c>
      <c r="BO32" s="30">
        <f t="shared" si="35"/>
        <v>8077.0237332665829</v>
      </c>
      <c r="BQ32" s="30">
        <f t="shared" si="27"/>
        <v>1481.1999999999998</v>
      </c>
      <c r="BR32" s="30">
        <f t="shared" si="36"/>
        <v>5849.7096346039416</v>
      </c>
      <c r="BS32" s="30"/>
      <c r="BT32" s="30">
        <f t="shared" si="28"/>
        <v>740.59999999999991</v>
      </c>
      <c r="BU32" s="30">
        <f t="shared" si="37"/>
        <v>2227.3140986626422</v>
      </c>
      <c r="BW32" s="30">
        <f t="shared" si="29"/>
        <v>2.0727803077176232</v>
      </c>
      <c r="BX32" s="30">
        <f t="shared" si="38"/>
        <v>0</v>
      </c>
      <c r="BZ32" s="24">
        <f t="shared" si="46"/>
        <v>5.8807350000000008E-2</v>
      </c>
      <c r="CA32" s="24">
        <f t="shared" si="30"/>
        <v>0.44738391129045568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SULAWESI</v>
      </c>
      <c r="C33" s="20">
        <f t="shared" si="31"/>
        <v>2024</v>
      </c>
      <c r="D33" s="30">
        <f>(D9*(VLOOKUP(D$27,tech_data!$B$2:$O$15,6, FALSE)/100)*(1-(VLOOKUP(D$27,tech_data!$B$2:$O$15,7, FALSE)/100))*8760)/1000</f>
        <v>15330.304385153504</v>
      </c>
      <c r="E33" s="30">
        <f>(E9*(VLOOKUP(E$27,tech_data!$B$2:$O$15,6, FALSE)/100)*(1-(VLOOKUP(E$27,tech_data!$B$2:$O$15,7, FALSE)/100))*8760)/1000</f>
        <v>880.64670319007473</v>
      </c>
      <c r="F33" s="30">
        <f>(F9*(VLOOKUP(F$27,tech_data!$B$2:$O$15,6, FALSE)/100)*(1-(VLOOKUP(F$27,tech_data!$B$2:$O$15,7, FALSE)/100))*8760)/1000</f>
        <v>10289.216828467506</v>
      </c>
      <c r="G33" s="30">
        <f>(G9*(VLOOKUP(G$27,tech_data!$B$2:$O$15,6, FALSE)/100)*(1-(VLOOKUP(G$27,tech_data!$B$2:$O$15,7, FALSE)/100))*8760)/1000</f>
        <v>4477.1799899076923</v>
      </c>
      <c r="H33" s="30">
        <f>(H9*(VLOOKUP(H$27,tech_data!$B$2:$O$15,6, FALSE)/100)*(1-(VLOOKUP(H$27,tech_data!$B$2:$O$15,7, FALSE)/100))*8760)/1000</f>
        <v>519.13107043393848</v>
      </c>
      <c r="I33" s="30">
        <f>(I9*(VLOOKUP(I$27,tech_data!$B$2:$O$15,6, FALSE)/100)*(1-(VLOOKUP(I$27,tech_data!$B$2:$O$15,7, FALSE)/100))*8760)/1000</f>
        <v>4589.2135661453176</v>
      </c>
      <c r="J33" s="30">
        <f>(J9*(VLOOKUP(J$27,tech_data!$B$2:$O$15,6, FALSE)/100)*(1-(VLOOKUP(J$27,tech_data!$B$2:$O$15,7, FALSE)/100))*8760)/1000</f>
        <v>370.2374798541785</v>
      </c>
      <c r="K33" s="30">
        <f>(K9*(VLOOKUP(K$27,tech_data!$B$2:$O$15,6, FALSE)/100)*(1-(VLOOKUP(K$27,tech_data!$B$2:$O$15,7, FALSE)/100))*8760)/1000</f>
        <v>5025.7894519402062</v>
      </c>
      <c r="L33" s="30">
        <f>(L9*(VLOOKUP(L$27,tech_data!$B$2:$O$15,6, FALSE)/100)*(1-(VLOOKUP(L$27,tech_data!$B$2:$O$15,7, FALSE)/100))*8760)/1000</f>
        <v>3162.031907823201</v>
      </c>
      <c r="M33" s="30">
        <f>(M9*(VLOOKUP(M$27,tech_data!$B$2:$O$15,6, FALSE)/100)*(1-(VLOOKUP(M$27,tech_data!$B$2:$O$15,7, FALSE)/100))*8760)/1000</f>
        <v>1.2488053846153846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12.615341762299856</v>
      </c>
      <c r="Q33" s="34">
        <f t="shared" si="17"/>
        <v>44645.000188300233</v>
      </c>
      <c r="R33" s="34">
        <f>proj_rukn!D107</f>
        <v>44645</v>
      </c>
      <c r="S33" s="35"/>
      <c r="T33" s="19"/>
      <c r="U33" s="20" t="str">
        <f t="shared" si="18"/>
        <v>SULAWESI</v>
      </c>
      <c r="V33" s="20">
        <f t="shared" si="18"/>
        <v>2024</v>
      </c>
      <c r="W33" s="29">
        <f t="shared" si="19"/>
        <v>0.34338233442702498</v>
      </c>
      <c r="X33" s="29">
        <f t="shared" si="19"/>
        <v>1.9725539242373191E-2</v>
      </c>
      <c r="Y33" s="29">
        <f t="shared" si="19"/>
        <v>0.23046739355068749</v>
      </c>
      <c r="Z33" s="29">
        <f t="shared" si="19"/>
        <v>0.10028401771809135</v>
      </c>
      <c r="AA33" s="29">
        <f t="shared" si="19"/>
        <v>1.1627977785740566E-2</v>
      </c>
      <c r="AB33" s="29">
        <f t="shared" si="19"/>
        <v>0.10279344936251063</v>
      </c>
      <c r="AC33" s="29">
        <f t="shared" si="19"/>
        <v>8.2929214535249068E-3</v>
      </c>
      <c r="AD33" s="29">
        <f t="shared" si="19"/>
        <v>0.11257227977920976</v>
      </c>
      <c r="AE33" s="29">
        <f t="shared" si="19"/>
        <v>7.0826114782990862E-2</v>
      </c>
      <c r="AF33" s="29">
        <f t="shared" si="19"/>
        <v>2.7971897846304618E-5</v>
      </c>
      <c r="AG33" s="29">
        <f t="shared" si="19"/>
        <v>0</v>
      </c>
      <c r="AH33" s="29">
        <f t="shared" si="19"/>
        <v>0</v>
      </c>
      <c r="AI33" s="29">
        <f t="shared" si="19"/>
        <v>2.8257009091929314E-4</v>
      </c>
      <c r="AJ33" s="29">
        <f t="shared" si="20"/>
        <v>1</v>
      </c>
      <c r="AM33" s="23"/>
      <c r="AO33" s="20" t="str">
        <f t="shared" si="39"/>
        <v>SULAWESI</v>
      </c>
      <c r="AP33" s="20">
        <f t="shared" si="40"/>
        <v>2024</v>
      </c>
      <c r="AQ33" s="25">
        <f t="shared" si="21"/>
        <v>0.34338233442702498</v>
      </c>
      <c r="AR33" s="25">
        <f t="shared" si="22"/>
        <v>0.25019293279306071</v>
      </c>
      <c r="AS33" s="25">
        <f t="shared" si="23"/>
        <v>0.10028401771809135</v>
      </c>
      <c r="AT33" s="37">
        <f t="shared" si="24"/>
        <v>0.306140715061823</v>
      </c>
      <c r="AU33" s="24">
        <f t="shared" si="32"/>
        <v>1</v>
      </c>
      <c r="AW33" s="24">
        <f t="shared" si="41"/>
        <v>0.34338233363195236</v>
      </c>
      <c r="AX33" s="24">
        <f t="shared" si="25"/>
        <v>0.21540000000000001</v>
      </c>
      <c r="AY33" s="24">
        <f t="shared" si="42"/>
        <v>0.16491339566405552</v>
      </c>
      <c r="AZ33" s="25">
        <f t="shared" si="33"/>
        <v>0.21110000000000001</v>
      </c>
      <c r="BA33" s="24">
        <f t="shared" si="34"/>
        <v>0.93479572929600785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SULAWESI</v>
      </c>
      <c r="BL33" s="20">
        <f t="shared" si="45"/>
        <v>2024</v>
      </c>
      <c r="BM33" s="34">
        <f>proj_rukn!E107</f>
        <v>3476</v>
      </c>
      <c r="BN33" s="30">
        <f t="shared" si="26"/>
        <v>3997.3999999999996</v>
      </c>
      <c r="BO33" s="30">
        <f t="shared" si="35"/>
        <v>9187.6746530691707</v>
      </c>
      <c r="BQ33" s="30">
        <f t="shared" si="27"/>
        <v>1598.96</v>
      </c>
      <c r="BR33" s="30">
        <f t="shared" si="36"/>
        <v>6959.8365352182482</v>
      </c>
      <c r="BS33" s="30"/>
      <c r="BT33" s="30">
        <f t="shared" si="28"/>
        <v>799.48</v>
      </c>
      <c r="BU33" s="30">
        <f t="shared" si="37"/>
        <v>2227.8381178509235</v>
      </c>
      <c r="BW33" s="30">
        <f t="shared" si="29"/>
        <v>2.4684670827538771</v>
      </c>
      <c r="BX33" s="30">
        <f t="shared" si="38"/>
        <v>0</v>
      </c>
      <c r="BZ33" s="24">
        <f t="shared" si="46"/>
        <v>6.1747717500000014E-2</v>
      </c>
      <c r="CA33" s="24">
        <f t="shared" si="30"/>
        <v>0.36771417273418389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SULAWESI</v>
      </c>
      <c r="C34" s="20">
        <f t="shared" si="31"/>
        <v>2025</v>
      </c>
      <c r="D34" s="30">
        <f>(D10*(VLOOKUP(D$27,tech_data!$B$2:$O$15,6, FALSE)/100)*(1-(VLOOKUP(D$27,tech_data!$B$2:$O$15,7, FALSE)/100))*8760)/1000</f>
        <v>15330.304385153504</v>
      </c>
      <c r="E34" s="30">
        <f>(E10*(VLOOKUP(E$27,tech_data!$B$2:$O$15,6, FALSE)/100)*(1-(VLOOKUP(E$27,tech_data!$B$2:$O$15,7, FALSE)/100))*8760)/1000</f>
        <v>880.64670319007473</v>
      </c>
      <c r="F34" s="30">
        <f>(F10*(VLOOKUP(F$27,tech_data!$B$2:$O$15,6, FALSE)/100)*(1-(VLOOKUP(F$27,tech_data!$B$2:$O$15,7, FALSE)/100))*8760)/1000</f>
        <v>14024.108537283686</v>
      </c>
      <c r="G34" s="30">
        <f>(G10*(VLOOKUP(G$27,tech_data!$B$2:$O$15,6, FALSE)/100)*(1-(VLOOKUP(G$27,tech_data!$B$2:$O$15,7, FALSE)/100))*8760)/1000</f>
        <v>4477.1799899076923</v>
      </c>
      <c r="H34" s="30">
        <f>(H10*(VLOOKUP(H$27,tech_data!$B$2:$O$15,6, FALSE)/100)*(1-(VLOOKUP(H$27,tech_data!$B$2:$O$15,7, FALSE)/100))*8760)/1000</f>
        <v>519.13107043393848</v>
      </c>
      <c r="I34" s="30">
        <f>(I10*(VLOOKUP(I$27,tech_data!$B$2:$O$15,6, FALSE)/100)*(1-(VLOOKUP(I$27,tech_data!$B$2:$O$15,7, FALSE)/100))*8760)/1000</f>
        <v>4589.2135661453176</v>
      </c>
      <c r="J34" s="30">
        <f>(J10*(VLOOKUP(J$27,tech_data!$B$2:$O$15,6, FALSE)/100)*(1-(VLOOKUP(J$27,tech_data!$B$2:$O$15,7, FALSE)/100))*8760)/1000</f>
        <v>370.2374798541785</v>
      </c>
      <c r="K34" s="30">
        <f>(K10*(VLOOKUP(K$27,tech_data!$B$2:$O$15,6, FALSE)/100)*(1-(VLOOKUP(K$27,tech_data!$B$2:$O$15,7, FALSE)/100))*8760)/1000</f>
        <v>5025.7894519402062</v>
      </c>
      <c r="L34" s="30">
        <f>(L10*(VLOOKUP(L$27,tech_data!$B$2:$O$15,6, FALSE)/100)*(1-(VLOOKUP(L$27,tech_data!$B$2:$O$15,7, FALSE)/100))*8760)/1000</f>
        <v>3352.1399878481207</v>
      </c>
      <c r="M34" s="30">
        <f>(M10*(VLOOKUP(M$27,tech_data!$B$2:$O$15,6, FALSE)/100)*(1-(VLOOKUP(M$27,tech_data!$B$2:$O$15,7, FALSE)/100))*8760)/1000</f>
        <v>1.2488053846153846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13.618944073165521</v>
      </c>
      <c r="Q34" s="34">
        <f t="shared" si="17"/>
        <v>48569.999977141342</v>
      </c>
      <c r="R34" s="34">
        <f>proj_rukn!D108</f>
        <v>48570</v>
      </c>
      <c r="S34" s="35"/>
      <c r="T34" s="19"/>
      <c r="U34" s="20" t="str">
        <f t="shared" si="18"/>
        <v>SULAWESI</v>
      </c>
      <c r="V34" s="20">
        <f t="shared" si="18"/>
        <v>2025</v>
      </c>
      <c r="W34" s="29">
        <f t="shared" si="19"/>
        <v>0.31563319728985906</v>
      </c>
      <c r="X34" s="29">
        <f t="shared" si="19"/>
        <v>1.8131494824058809E-2</v>
      </c>
      <c r="Y34" s="29">
        <f t="shared" si="19"/>
        <v>0.28874013884875227</v>
      </c>
      <c r="Z34" s="29">
        <f t="shared" si="19"/>
        <v>9.2179946304607824E-2</v>
      </c>
      <c r="AA34" s="29">
        <f t="shared" si="19"/>
        <v>1.0688306993581611E-2</v>
      </c>
      <c r="AB34" s="29">
        <f t="shared" si="19"/>
        <v>9.448658777651131E-2</v>
      </c>
      <c r="AC34" s="29">
        <f t="shared" si="19"/>
        <v>7.6227605523661642E-3</v>
      </c>
      <c r="AD34" s="29">
        <f t="shared" si="19"/>
        <v>0.10347517921156084</v>
      </c>
      <c r="AE34" s="29">
        <f t="shared" si="19"/>
        <v>6.9016676743375527E-2</v>
      </c>
      <c r="AF34" s="29">
        <f t="shared" si="19"/>
        <v>2.5711455326397241E-5</v>
      </c>
      <c r="AG34" s="29">
        <f t="shared" si="19"/>
        <v>0</v>
      </c>
      <c r="AH34" s="29">
        <f t="shared" si="19"/>
        <v>0</v>
      </c>
      <c r="AI34" s="29">
        <f t="shared" si="19"/>
        <v>2.8039827217572679E-4</v>
      </c>
      <c r="AJ34" s="29">
        <f t="shared" si="20"/>
        <v>0.99999999999999978</v>
      </c>
      <c r="AM34" s="23"/>
      <c r="AO34" s="20" t="str">
        <f t="shared" si="39"/>
        <v>SULAWESI</v>
      </c>
      <c r="AP34" s="20">
        <f t="shared" si="40"/>
        <v>2025</v>
      </c>
      <c r="AQ34" s="25">
        <f t="shared" si="21"/>
        <v>0.31563319728985906</v>
      </c>
      <c r="AR34" s="25">
        <f t="shared" si="22"/>
        <v>0.30687163367281112</v>
      </c>
      <c r="AS34" s="25">
        <f t="shared" si="23"/>
        <v>9.2179946304607824E-2</v>
      </c>
      <c r="AT34" s="37">
        <f t="shared" si="24"/>
        <v>0.28531522273272186</v>
      </c>
      <c r="AU34" s="24">
        <f t="shared" si="32"/>
        <v>0.99999999999999978</v>
      </c>
      <c r="AW34" s="24">
        <f t="shared" si="41"/>
        <v>0.3</v>
      </c>
      <c r="AX34" s="24">
        <f t="shared" si="25"/>
        <v>0.22</v>
      </c>
      <c r="AY34" s="24">
        <f t="shared" si="42"/>
        <v>0.16161512775077441</v>
      </c>
      <c r="AZ34" s="25">
        <f t="shared" si="33"/>
        <v>0.23</v>
      </c>
      <c r="BA34" s="24">
        <f t="shared" si="34"/>
        <v>0.91161512775077447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SULAWESI</v>
      </c>
      <c r="BL34" s="20">
        <f t="shared" si="45"/>
        <v>2025</v>
      </c>
      <c r="BM34" s="34">
        <f>proj_rukn!E108</f>
        <v>3743</v>
      </c>
      <c r="BN34" s="30">
        <f t="shared" si="26"/>
        <v>4304.45</v>
      </c>
      <c r="BO34" s="30">
        <f t="shared" si="35"/>
        <v>10537.517928127625</v>
      </c>
      <c r="BQ34" s="30">
        <f t="shared" si="27"/>
        <v>1721.78</v>
      </c>
      <c r="BR34" s="30">
        <f t="shared" si="36"/>
        <v>8309.3976535730981</v>
      </c>
      <c r="BS34" s="30"/>
      <c r="BT34" s="30">
        <f t="shared" si="28"/>
        <v>860.89</v>
      </c>
      <c r="BU34" s="30">
        <f t="shared" si="37"/>
        <v>2228.1202745545252</v>
      </c>
      <c r="BW34" s="30">
        <f t="shared" si="29"/>
        <v>2.4993732506530359</v>
      </c>
      <c r="BX34" s="30">
        <f t="shared" si="38"/>
        <v>0</v>
      </c>
      <c r="BZ34" s="24">
        <f t="shared" si="46"/>
        <v>6.4835103375000022E-2</v>
      </c>
      <c r="CA34" s="24">
        <f t="shared" si="30"/>
        <v>0.36266967538740308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SULAWESI</v>
      </c>
      <c r="C35" s="20">
        <f t="shared" si="31"/>
        <v>2026</v>
      </c>
      <c r="D35" s="30">
        <f>(D11*(VLOOKUP(D$27,tech_data!$B$2:$O$15,6, FALSE)/100)*(1-(VLOOKUP(D$27,tech_data!$B$2:$O$15,7, FALSE)/100))*8760)/1000</f>
        <v>15427.161983263137</v>
      </c>
      <c r="E35" s="30">
        <f>(E11*(VLOOKUP(E$27,tech_data!$B$2:$O$15,6, FALSE)/100)*(1-(VLOOKUP(E$27,tech_data!$B$2:$O$15,7, FALSE)/100))*8760)/1000</f>
        <v>880.64670319007473</v>
      </c>
      <c r="F35" s="30">
        <f>(F11*(VLOOKUP(F$27,tech_data!$B$2:$O$15,6, FALSE)/100)*(1-(VLOOKUP(F$27,tech_data!$B$2:$O$15,7, FALSE)/100))*8760)/1000</f>
        <v>15914.418524901845</v>
      </c>
      <c r="G35" s="30">
        <f>(G11*(VLOOKUP(G$27,tech_data!$B$2:$O$15,6, FALSE)/100)*(1-(VLOOKUP(G$27,tech_data!$B$2:$O$15,7, FALSE)/100))*8760)/1000</f>
        <v>5689.0123677784868</v>
      </c>
      <c r="H35" s="30">
        <f>(H11*(VLOOKUP(H$27,tech_data!$B$2:$O$15,6, FALSE)/100)*(1-(VLOOKUP(H$27,tech_data!$B$2:$O$15,7, FALSE)/100))*8760)/1000</f>
        <v>519.13107043393848</v>
      </c>
      <c r="I35" s="30">
        <f>(I11*(VLOOKUP(I$27,tech_data!$B$2:$O$15,6, FALSE)/100)*(1-(VLOOKUP(I$27,tech_data!$B$2:$O$15,7, FALSE)/100))*8760)/1000</f>
        <v>4589.2135661453176</v>
      </c>
      <c r="J35" s="30">
        <f>(J11*(VLOOKUP(J$27,tech_data!$B$2:$O$15,6, FALSE)/100)*(1-(VLOOKUP(J$27,tech_data!$B$2:$O$15,7, FALSE)/100))*8760)/1000</f>
        <v>370.2374798541785</v>
      </c>
      <c r="K35" s="30">
        <f>(K11*(VLOOKUP(K$27,tech_data!$B$2:$O$15,6, FALSE)/100)*(1-(VLOOKUP(K$27,tech_data!$B$2:$O$15,7, FALSE)/100))*8760)/1000</f>
        <v>5025.7894519402062</v>
      </c>
      <c r="L35" s="30">
        <f>(L11*(VLOOKUP(L$27,tech_data!$B$2:$O$15,6, FALSE)/100)*(1-(VLOOKUP(L$27,tech_data!$B$2:$O$15,7, FALSE)/100))*8760)/1000</f>
        <v>3352.1399878481207</v>
      </c>
      <c r="M35" s="30">
        <f>(M11*(VLOOKUP(M$27,tech_data!$B$2:$O$15,6, FALSE)/100)*(1-(VLOOKUP(M$27,tech_data!$B$2:$O$15,7, FALSE)/100))*8760)/1000</f>
        <v>1.2488053846153846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14.406057929354843</v>
      </c>
      <c r="Q35" s="34">
        <f t="shared" si="17"/>
        <v>51768.99994073993</v>
      </c>
      <c r="R35" s="34">
        <f>proj_rukn!D109</f>
        <v>51769</v>
      </c>
      <c r="S35" s="35"/>
      <c r="T35" s="19"/>
      <c r="U35" s="20" t="str">
        <f t="shared" si="18"/>
        <v>SULAWESI</v>
      </c>
      <c r="V35" s="20">
        <f t="shared" si="18"/>
        <v>2026</v>
      </c>
      <c r="W35" s="29">
        <f t="shared" si="19"/>
        <v>0.29800000001782223</v>
      </c>
      <c r="X35" s="29">
        <f t="shared" si="19"/>
        <v>1.7011082002707269E-2</v>
      </c>
      <c r="Y35" s="29">
        <f t="shared" si="19"/>
        <v>0.30741212971313159</v>
      </c>
      <c r="Z35" s="29">
        <f t="shared" si="19"/>
        <v>0.10989225935001082</v>
      </c>
      <c r="AA35" s="29">
        <f t="shared" si="19"/>
        <v>1.0027836562966037E-2</v>
      </c>
      <c r="AB35" s="29">
        <f t="shared" si="19"/>
        <v>8.8647908427796532E-2</v>
      </c>
      <c r="AC35" s="29">
        <f t="shared" si="19"/>
        <v>7.1517216920935316E-3</v>
      </c>
      <c r="AD35" s="29">
        <f t="shared" si="19"/>
        <v>9.708106120831457E-2</v>
      </c>
      <c r="AE35" s="29">
        <f t="shared" si="19"/>
        <v>6.4751878376737459E-2</v>
      </c>
      <c r="AF35" s="29">
        <f t="shared" si="19"/>
        <v>2.4122648419805182E-5</v>
      </c>
      <c r="AG35" s="29">
        <f t="shared" si="19"/>
        <v>0</v>
      </c>
      <c r="AH35" s="29">
        <f t="shared" si="19"/>
        <v>0</v>
      </c>
      <c r="AI35" s="29">
        <f t="shared" si="19"/>
        <v>2.7827576244172155E-4</v>
      </c>
      <c r="AJ35" s="29">
        <f t="shared" si="20"/>
        <v>0.99999999999999989</v>
      </c>
      <c r="AM35" s="23"/>
      <c r="AO35" s="20" t="str">
        <f t="shared" si="39"/>
        <v>SULAWESI</v>
      </c>
      <c r="AP35" s="20">
        <f t="shared" si="40"/>
        <v>2026</v>
      </c>
      <c r="AQ35" s="25">
        <f t="shared" si="21"/>
        <v>0.29800000001782223</v>
      </c>
      <c r="AR35" s="25">
        <f t="shared" si="22"/>
        <v>0.32442321171583888</v>
      </c>
      <c r="AS35" s="25">
        <f t="shared" si="23"/>
        <v>0.10989225935001082</v>
      </c>
      <c r="AT35" s="37">
        <f t="shared" si="24"/>
        <v>0.26768452891632794</v>
      </c>
      <c r="AU35" s="24">
        <f t="shared" si="32"/>
        <v>0.99999999999999978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0.15838282519575891</v>
      </c>
      <c r="AZ35" s="25">
        <f t="shared" ref="AZ35:AZ47" si="47">$BG$30+((AP35-$BC$30)*($BG$31-$BG$30)/($BC$31-$BC$30))</f>
        <v>0.23320000000000002</v>
      </c>
      <c r="BA35" s="24">
        <f t="shared" si="34"/>
        <v>0.91418282519575889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SULAWESI</v>
      </c>
      <c r="BL35" s="20">
        <f t="shared" si="45"/>
        <v>2026</v>
      </c>
      <c r="BM35" s="34">
        <f>proj_rukn!E109</f>
        <v>4011</v>
      </c>
      <c r="BN35" s="30">
        <f t="shared" si="26"/>
        <v>4612.6499999999996</v>
      </c>
      <c r="BO35" s="30">
        <f t="shared" si="35"/>
        <v>11483.255816594314</v>
      </c>
      <c r="BQ35" s="30">
        <f t="shared" si="27"/>
        <v>1845.06</v>
      </c>
      <c r="BR35" s="30">
        <f t="shared" si="36"/>
        <v>9012.4140633061852</v>
      </c>
      <c r="BS35" s="30"/>
      <c r="BT35" s="30">
        <f t="shared" si="28"/>
        <v>922.53</v>
      </c>
      <c r="BU35" s="30">
        <f t="shared" si="37"/>
        <v>2470.8417532881285</v>
      </c>
      <c r="BW35" s="30">
        <f t="shared" si="29"/>
        <v>2.4993732506530359</v>
      </c>
      <c r="BX35" s="30">
        <f t="shared" si="38"/>
        <v>0</v>
      </c>
      <c r="BZ35" s="24">
        <f t="shared" si="46"/>
        <v>6.8076858543750021E-2</v>
      </c>
      <c r="CA35" s="24">
        <f t="shared" si="30"/>
        <v>0.36266967538740308</v>
      </c>
      <c r="CF35" s="23"/>
    </row>
    <row r="36" spans="1:84" x14ac:dyDescent="0.25">
      <c r="A36" s="19"/>
      <c r="B36" s="20" t="str">
        <f t="shared" si="31"/>
        <v>SULAWESI</v>
      </c>
      <c r="C36" s="20">
        <f t="shared" si="31"/>
        <v>2027</v>
      </c>
      <c r="D36" s="30">
        <f>(D12*(VLOOKUP(D$27,tech_data!$B$2:$O$15,6, FALSE)/100)*(1-(VLOOKUP(D$27,tech_data!$B$2:$O$15,7, FALSE)/100))*8760)/1000</f>
        <v>16504.664003578706</v>
      </c>
      <c r="E36" s="30">
        <f>(E12*(VLOOKUP(E$27,tech_data!$B$2:$O$15,6, FALSE)/100)*(1-(VLOOKUP(E$27,tech_data!$B$2:$O$15,7, FALSE)/100))*8760)/1000</f>
        <v>880.64670319007473</v>
      </c>
      <c r="F36" s="30">
        <f>(F12*(VLOOKUP(F$27,tech_data!$B$2:$O$15,6, FALSE)/100)*(1-(VLOOKUP(F$27,tech_data!$B$2:$O$15,7, FALSE)/100))*8760)/1000</f>
        <v>17556.322871995893</v>
      </c>
      <c r="G36" s="30">
        <f>(G12*(VLOOKUP(G$27,tech_data!$B$2:$O$15,6, FALSE)/100)*(1-(VLOOKUP(G$27,tech_data!$B$2:$O$15,7, FALSE)/100))*8760)/1000</f>
        <v>5689.0123677784868</v>
      </c>
      <c r="H36" s="30">
        <f>(H12*(VLOOKUP(H$27,tech_data!$B$2:$O$15,6, FALSE)/100)*(1-(VLOOKUP(H$27,tech_data!$B$2:$O$15,7, FALSE)/100))*8760)/1000</f>
        <v>519.13107043393848</v>
      </c>
      <c r="I36" s="30">
        <f>(I12*(VLOOKUP(I$27,tech_data!$B$2:$O$15,6, FALSE)/100)*(1-(VLOOKUP(I$27,tech_data!$B$2:$O$15,7, FALSE)/100))*8760)/1000</f>
        <v>4589.2135661453176</v>
      </c>
      <c r="J36" s="30">
        <f>(J12*(VLOOKUP(J$27,tech_data!$B$2:$O$15,6, FALSE)/100)*(1-(VLOOKUP(J$27,tech_data!$B$2:$O$15,7, FALSE)/100))*8760)/1000</f>
        <v>370.2374798541785</v>
      </c>
      <c r="K36" s="30">
        <f>(K12*(VLOOKUP(K$27,tech_data!$B$2:$O$15,6, FALSE)/100)*(1-(VLOOKUP(K$27,tech_data!$B$2:$O$15,7, FALSE)/100))*8760)/1000</f>
        <v>5025.7894519402062</v>
      </c>
      <c r="L36" s="30">
        <f>(L12*(VLOOKUP(L$27,tech_data!$B$2:$O$15,6, FALSE)/100)*(1-(VLOOKUP(L$27,tech_data!$B$2:$O$15,7, FALSE)/100))*8760)/1000</f>
        <v>4622.7337151193706</v>
      </c>
      <c r="M36" s="30">
        <f>(M12*(VLOOKUP(M$27,tech_data!$B$2:$O$15,6, FALSE)/100)*(1-(VLOOKUP(M$27,tech_data!$B$2:$O$15,7, FALSE)/100))*8760)/1000</f>
        <v>1.2488053846153846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15.64081064202429</v>
      </c>
      <c r="Q36" s="34">
        <f t="shared" si="17"/>
        <v>55759.000035420788</v>
      </c>
      <c r="R36" s="34">
        <f>proj_rukn!D110</f>
        <v>55759</v>
      </c>
      <c r="S36" s="35"/>
      <c r="T36" s="19"/>
      <c r="U36" s="20" t="str">
        <f t="shared" si="18"/>
        <v>SULAWESI</v>
      </c>
      <c r="V36" s="20">
        <f t="shared" si="18"/>
        <v>2027</v>
      </c>
      <c r="W36" s="29">
        <f t="shared" si="19"/>
        <v>0.29599999987614828</v>
      </c>
      <c r="X36" s="29">
        <f t="shared" si="19"/>
        <v>1.5793803738062839E-2</v>
      </c>
      <c r="Y36" s="29">
        <f t="shared" si="19"/>
        <v>0.3148607912775207</v>
      </c>
      <c r="Z36" s="29">
        <f t="shared" si="19"/>
        <v>0.10202859384430413</v>
      </c>
      <c r="AA36" s="29">
        <f t="shared" si="19"/>
        <v>9.310265071184232E-3</v>
      </c>
      <c r="AB36" s="29">
        <f t="shared" si="19"/>
        <v>8.2304445259599873E-2</v>
      </c>
      <c r="AC36" s="29">
        <f t="shared" si="19"/>
        <v>6.6399591029069017E-3</v>
      </c>
      <c r="AD36" s="29">
        <f t="shared" si="19"/>
        <v>9.0134138860947718E-2</v>
      </c>
      <c r="AE36" s="29">
        <f t="shared" si="19"/>
        <v>8.2905606488329939E-2</v>
      </c>
      <c r="AF36" s="29">
        <f t="shared" si="19"/>
        <v>2.2396480995392377E-5</v>
      </c>
      <c r="AG36" s="29">
        <f t="shared" si="19"/>
        <v>0</v>
      </c>
      <c r="AH36" s="29">
        <f t="shared" si="19"/>
        <v>0</v>
      </c>
      <c r="AI36" s="29">
        <f t="shared" si="19"/>
        <v>2.8050737337628897E-4</v>
      </c>
      <c r="AJ36" s="29">
        <f t="shared" si="20"/>
        <v>1</v>
      </c>
      <c r="AM36" s="23"/>
      <c r="AO36" s="20" t="str">
        <f t="shared" si="39"/>
        <v>SULAWESI</v>
      </c>
      <c r="AP36" s="20">
        <f t="shared" si="40"/>
        <v>2027</v>
      </c>
      <c r="AQ36" s="25">
        <f t="shared" si="21"/>
        <v>0.29599999987614828</v>
      </c>
      <c r="AR36" s="25">
        <f t="shared" si="22"/>
        <v>0.33065459501558353</v>
      </c>
      <c r="AS36" s="25">
        <f t="shared" si="23"/>
        <v>0.10202859384430413</v>
      </c>
      <c r="AT36" s="37">
        <f t="shared" si="24"/>
        <v>0.27131681126396406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0.15521516869184374</v>
      </c>
      <c r="AZ36" s="25">
        <f t="shared" si="47"/>
        <v>0.2364</v>
      </c>
      <c r="BA36" s="24">
        <f t="shared" si="34"/>
        <v>0.91681516869184376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SULAWESI</v>
      </c>
      <c r="BL36" s="20">
        <f t="shared" si="45"/>
        <v>2027</v>
      </c>
      <c r="BM36" s="34">
        <f>proj_rukn!E110</f>
        <v>4292</v>
      </c>
      <c r="BN36" s="30">
        <f t="shared" si="26"/>
        <v>4935.7999999999993</v>
      </c>
      <c r="BO36" s="30">
        <f t="shared" si="35"/>
        <v>12299.091092443365</v>
      </c>
      <c r="BQ36" s="30">
        <f t="shared" si="27"/>
        <v>1974.3199999999997</v>
      </c>
      <c r="BR36" s="30">
        <f t="shared" si="36"/>
        <v>9827.9021959179227</v>
      </c>
      <c r="BS36" s="30"/>
      <c r="BT36" s="30">
        <f t="shared" si="28"/>
        <v>987.15999999999985</v>
      </c>
      <c r="BU36" s="30">
        <f t="shared" si="37"/>
        <v>2471.188896525442</v>
      </c>
      <c r="BW36" s="30">
        <f t="shared" si="29"/>
        <v>2.7059356601072562</v>
      </c>
      <c r="BX36" s="30">
        <f t="shared" si="38"/>
        <v>0</v>
      </c>
      <c r="BZ36" s="24">
        <f t="shared" si="46"/>
        <v>7.1480701470937519E-2</v>
      </c>
      <c r="CA36" s="24">
        <f t="shared" si="30"/>
        <v>0.33220992993779597</v>
      </c>
      <c r="CF36" s="23"/>
    </row>
    <row r="37" spans="1:84" x14ac:dyDescent="0.25">
      <c r="A37" s="19"/>
      <c r="B37" s="20" t="str">
        <f t="shared" si="31"/>
        <v>SULAWESI</v>
      </c>
      <c r="C37" s="20">
        <f t="shared" si="31"/>
        <v>2028</v>
      </c>
      <c r="D37" s="30">
        <f>(D13*(VLOOKUP(D$27,tech_data!$B$2:$O$15,6, FALSE)/100)*(1-(VLOOKUP(D$27,tech_data!$B$2:$O$15,7, FALSE)/100))*8760)/1000</f>
        <v>16937.633974160541</v>
      </c>
      <c r="E37" s="30">
        <f>(E13*(VLOOKUP(E$27,tech_data!$B$2:$O$15,6, FALSE)/100)*(1-(VLOOKUP(E$27,tech_data!$B$2:$O$15,7, FALSE)/100))*8760)/1000</f>
        <v>880.64670319007473</v>
      </c>
      <c r="F37" s="30">
        <f>(F13*(VLOOKUP(F$27,tech_data!$B$2:$O$15,6, FALSE)/100)*(1-(VLOOKUP(F$27,tech_data!$B$2:$O$15,7, FALSE)/100))*8760)/1000</f>
        <v>17556.322871995893</v>
      </c>
      <c r="G37" s="30">
        <f>(G13*(VLOOKUP(G$27,tech_data!$B$2:$O$15,6, FALSE)/100)*(1-(VLOOKUP(G$27,tech_data!$B$2:$O$15,7, FALSE)/100))*8760)/1000</f>
        <v>7108.0422737284762</v>
      </c>
      <c r="H37" s="30">
        <f>(H13*(VLOOKUP(H$27,tech_data!$B$2:$O$15,6, FALSE)/100)*(1-(VLOOKUP(H$27,tech_data!$B$2:$O$15,7, FALSE)/100))*8760)/1000</f>
        <v>519.13107043393848</v>
      </c>
      <c r="I37" s="30">
        <f>(I13*(VLOOKUP(I$27,tech_data!$B$2:$O$15,6, FALSE)/100)*(1-(VLOOKUP(I$27,tech_data!$B$2:$O$15,7, FALSE)/100))*8760)/1000</f>
        <v>4589.2135661453176</v>
      </c>
      <c r="J37" s="30">
        <f>(J13*(VLOOKUP(J$27,tech_data!$B$2:$O$15,6, FALSE)/100)*(1-(VLOOKUP(J$27,tech_data!$B$2:$O$15,7, FALSE)/100))*8760)/1000</f>
        <v>370.2374798541785</v>
      </c>
      <c r="K37" s="30">
        <f>(K13*(VLOOKUP(K$27,tech_data!$B$2:$O$15,6, FALSE)/100)*(1-(VLOOKUP(K$27,tech_data!$B$2:$O$15,7, FALSE)/100))*8760)/1000</f>
        <v>5025.7894519402062</v>
      </c>
      <c r="L37" s="30">
        <f>(L13*(VLOOKUP(L$27,tech_data!$B$2:$O$15,6, FALSE)/100)*(1-(VLOOKUP(L$27,tech_data!$B$2:$O$15,7, FALSE)/100))*8760)/1000</f>
        <v>4622.7337151193706</v>
      </c>
      <c r="M37" s="30">
        <f>(M13*(VLOOKUP(M$27,tech_data!$B$2:$O$15,6, FALSE)/100)*(1-(VLOOKUP(M$27,tech_data!$B$2:$O$15,7, FALSE)/100))*8760)/1000</f>
        <v>1.2488053846153846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16.096495162520284</v>
      </c>
      <c r="Q37" s="34">
        <f t="shared" si="17"/>
        <v>57610.999911952618</v>
      </c>
      <c r="R37" s="34">
        <f>proj_rukn!D111</f>
        <v>57611</v>
      </c>
      <c r="S37" s="35"/>
      <c r="T37" s="19"/>
      <c r="U37" s="20" t="str">
        <f t="shared" si="18"/>
        <v>SULAWESI</v>
      </c>
      <c r="V37" s="20">
        <f t="shared" si="18"/>
        <v>2028</v>
      </c>
      <c r="W37" s="29">
        <f t="shared" si="19"/>
        <v>0.29400000000080662</v>
      </c>
      <c r="X37" s="29">
        <f t="shared" si="19"/>
        <v>1.5286086069257167E-2</v>
      </c>
      <c r="Y37" s="29">
        <f t="shared" si="19"/>
        <v>0.30473907585057319</v>
      </c>
      <c r="Z37" s="29">
        <f t="shared" si="19"/>
        <v>0.12337994974209365</v>
      </c>
      <c r="AA37" s="29">
        <f t="shared" si="19"/>
        <v>9.0109713635821449E-3</v>
      </c>
      <c r="AB37" s="29">
        <f t="shared" si="19"/>
        <v>7.9658634169846934E-2</v>
      </c>
      <c r="AC37" s="29">
        <f t="shared" si="19"/>
        <v>6.4265067507943896E-3</v>
      </c>
      <c r="AD37" s="29">
        <f t="shared" si="19"/>
        <v>8.7236629456547587E-2</v>
      </c>
      <c r="AE37" s="29">
        <f t="shared" si="19"/>
        <v>8.0240470087037788E-2</v>
      </c>
      <c r="AF37" s="29">
        <f t="shared" si="19"/>
        <v>2.1676509460414584E-5</v>
      </c>
      <c r="AG37" s="29">
        <f t="shared" si="19"/>
        <v>0</v>
      </c>
      <c r="AH37" s="29">
        <f t="shared" si="19"/>
        <v>0</v>
      </c>
      <c r="AI37" s="29">
        <f t="shared" si="19"/>
        <v>2.7939968386455185E-4</v>
      </c>
      <c r="AJ37" s="29">
        <f t="shared" si="20"/>
        <v>0.99999999999999989</v>
      </c>
      <c r="AM37" s="23"/>
      <c r="AO37" s="20" t="str">
        <f t="shared" si="39"/>
        <v>SULAWESI</v>
      </c>
      <c r="AP37" s="20">
        <f t="shared" si="40"/>
        <v>2028</v>
      </c>
      <c r="AQ37" s="25">
        <f t="shared" si="21"/>
        <v>0.29400000000080662</v>
      </c>
      <c r="AR37" s="25">
        <f t="shared" si="22"/>
        <v>0.32002516191983038</v>
      </c>
      <c r="AS37" s="25">
        <f t="shared" si="23"/>
        <v>0.12337994974209365</v>
      </c>
      <c r="AT37" s="37">
        <f t="shared" si="24"/>
        <v>0.26259488833726929</v>
      </c>
      <c r="AU37" s="24">
        <f t="shared" si="32"/>
        <v>0.99999999999999989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0.15211086531800685</v>
      </c>
      <c r="AZ37" s="25">
        <f t="shared" si="47"/>
        <v>0.23960000000000001</v>
      </c>
      <c r="BA37" s="24">
        <f t="shared" si="34"/>
        <v>0.91951086531800696</v>
      </c>
      <c r="BJ37" s="19"/>
      <c r="BK37" s="20" t="str">
        <f t="shared" si="44"/>
        <v>SULAWESI</v>
      </c>
      <c r="BL37" s="20">
        <f t="shared" si="45"/>
        <v>2028</v>
      </c>
      <c r="BM37" s="34">
        <f>proj_rukn!E111</f>
        <v>4614</v>
      </c>
      <c r="BN37" s="30">
        <f t="shared" si="26"/>
        <v>5306.0999999999995</v>
      </c>
      <c r="BO37" s="30">
        <f t="shared" si="35"/>
        <v>12672.469627794846</v>
      </c>
      <c r="BQ37" s="30">
        <f t="shared" si="27"/>
        <v>2122.44</v>
      </c>
      <c r="BR37" s="30">
        <f t="shared" si="36"/>
        <v>9917.1900645563564</v>
      </c>
      <c r="BS37" s="30"/>
      <c r="BT37" s="30">
        <f t="shared" si="28"/>
        <v>1061.22</v>
      </c>
      <c r="BU37" s="30">
        <f t="shared" si="37"/>
        <v>2755.2795632384873</v>
      </c>
      <c r="BW37" s="30">
        <f t="shared" si="29"/>
        <v>2.7059356601072562</v>
      </c>
      <c r="BX37" s="30">
        <f t="shared" si="38"/>
        <v>0</v>
      </c>
      <c r="BZ37" s="24">
        <f t="shared" si="46"/>
        <v>7.5054736544484399E-2</v>
      </c>
      <c r="CA37" s="24">
        <f t="shared" si="30"/>
        <v>0.33220992993779597</v>
      </c>
      <c r="CF37" s="23"/>
    </row>
    <row r="38" spans="1:84" x14ac:dyDescent="0.25">
      <c r="A38" s="19"/>
      <c r="B38" s="20" t="str">
        <f t="shared" si="31"/>
        <v>SULAWESI</v>
      </c>
      <c r="C38" s="20">
        <f t="shared" si="31"/>
        <v>2029</v>
      </c>
      <c r="D38" s="30">
        <f>(D14*(VLOOKUP(D$27,tech_data!$B$2:$O$15,6, FALSE)/100)*(1-(VLOOKUP(D$27,tech_data!$B$2:$O$15,7, FALSE)/100))*8760)/1000</f>
        <v>16937.633974160541</v>
      </c>
      <c r="E38" s="30">
        <f>(E14*(VLOOKUP(E$27,tech_data!$B$2:$O$15,6, FALSE)/100)*(1-(VLOOKUP(E$27,tech_data!$B$2:$O$15,7, FALSE)/100))*8760)/1000</f>
        <v>880.64670319007473</v>
      </c>
      <c r="F38" s="30">
        <f>(F14*(VLOOKUP(F$27,tech_data!$B$2:$O$15,6, FALSE)/100)*(1-(VLOOKUP(F$27,tech_data!$B$2:$O$15,7, FALSE)/100))*8760)/1000</f>
        <v>17556.322871995893</v>
      </c>
      <c r="G38" s="30">
        <f>(G14*(VLOOKUP(G$27,tech_data!$B$2:$O$15,6, FALSE)/100)*(1-(VLOOKUP(G$27,tech_data!$B$2:$O$15,7, FALSE)/100))*8760)/1000</f>
        <v>7108.0422737284762</v>
      </c>
      <c r="H38" s="30">
        <f>(H14*(VLOOKUP(H$27,tech_data!$B$2:$O$15,6, FALSE)/100)*(1-(VLOOKUP(H$27,tech_data!$B$2:$O$15,7, FALSE)/100))*8760)/1000</f>
        <v>519.13107043393848</v>
      </c>
      <c r="I38" s="30">
        <f>(I14*(VLOOKUP(I$27,tech_data!$B$2:$O$15,6, FALSE)/100)*(1-(VLOOKUP(I$27,tech_data!$B$2:$O$15,7, FALSE)/100))*8760)/1000</f>
        <v>4589.2135661453176</v>
      </c>
      <c r="J38" s="30">
        <f>(J14*(VLOOKUP(J$27,tech_data!$B$2:$O$15,6, FALSE)/100)*(1-(VLOOKUP(J$27,tech_data!$B$2:$O$15,7, FALSE)/100))*8760)/1000</f>
        <v>370.2374798541785</v>
      </c>
      <c r="K38" s="30">
        <f>(K14*(VLOOKUP(K$27,tech_data!$B$2:$O$15,6, FALSE)/100)*(1-(VLOOKUP(K$27,tech_data!$B$2:$O$15,7, FALSE)/100))*8760)/1000</f>
        <v>5025.7894519402062</v>
      </c>
      <c r="L38" s="30">
        <f>(L14*(VLOOKUP(L$27,tech_data!$B$2:$O$15,6, FALSE)/100)*(1-(VLOOKUP(L$27,tech_data!$B$2:$O$15,7, FALSE)/100))*8760)/1000</f>
        <v>4622.7337151193706</v>
      </c>
      <c r="M38" s="30">
        <f>(M14*(VLOOKUP(M$27,tech_data!$B$2:$O$15,6, FALSE)/100)*(1-(VLOOKUP(M$27,tech_data!$B$2:$O$15,7, FALSE)/100))*8760)/1000</f>
        <v>1.2488053846153846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16.096495162520284</v>
      </c>
      <c r="Q38" s="34">
        <f t="shared" si="17"/>
        <v>57610.999911952618</v>
      </c>
      <c r="R38" s="34">
        <f>proj_rukn!D112</f>
        <v>49430</v>
      </c>
      <c r="S38" s="35"/>
      <c r="T38" s="19"/>
      <c r="U38" s="20" t="str">
        <f t="shared" si="18"/>
        <v>SULAWESI</v>
      </c>
      <c r="V38" s="20">
        <f t="shared" si="18"/>
        <v>2029</v>
      </c>
      <c r="W38" s="29">
        <f t="shared" si="19"/>
        <v>0.29400000000080662</v>
      </c>
      <c r="X38" s="29">
        <f t="shared" si="19"/>
        <v>1.5286086069257167E-2</v>
      </c>
      <c r="Y38" s="29">
        <f t="shared" si="19"/>
        <v>0.30473907585057319</v>
      </c>
      <c r="Z38" s="29">
        <f t="shared" si="19"/>
        <v>0.12337994974209365</v>
      </c>
      <c r="AA38" s="29">
        <f t="shared" si="19"/>
        <v>9.0109713635821449E-3</v>
      </c>
      <c r="AB38" s="29">
        <f t="shared" si="19"/>
        <v>7.9658634169846934E-2</v>
      </c>
      <c r="AC38" s="29">
        <f t="shared" si="19"/>
        <v>6.4265067507943896E-3</v>
      </c>
      <c r="AD38" s="29">
        <f t="shared" si="19"/>
        <v>8.7236629456547587E-2</v>
      </c>
      <c r="AE38" s="29">
        <f t="shared" si="19"/>
        <v>8.0240470087037788E-2</v>
      </c>
      <c r="AF38" s="29">
        <f t="shared" si="19"/>
        <v>2.1676509460414584E-5</v>
      </c>
      <c r="AG38" s="29">
        <f t="shared" si="19"/>
        <v>0</v>
      </c>
      <c r="AH38" s="29">
        <f t="shared" si="19"/>
        <v>0</v>
      </c>
      <c r="AI38" s="29">
        <f t="shared" si="19"/>
        <v>2.7939968386455185E-4</v>
      </c>
      <c r="AJ38" s="29">
        <f t="shared" si="20"/>
        <v>0.99999999999999989</v>
      </c>
      <c r="AM38" s="23"/>
      <c r="AO38" s="20" t="str">
        <f t="shared" si="39"/>
        <v>SULAWESI</v>
      </c>
      <c r="AP38" s="20">
        <f t="shared" si="40"/>
        <v>2029</v>
      </c>
      <c r="AQ38" s="25">
        <f t="shared" si="21"/>
        <v>0.29400000000080662</v>
      </c>
      <c r="AR38" s="25">
        <f t="shared" si="22"/>
        <v>0.32002516191983038</v>
      </c>
      <c r="AS38" s="25">
        <f t="shared" si="23"/>
        <v>0.12337994974209365</v>
      </c>
      <c r="AT38" s="37">
        <f t="shared" si="24"/>
        <v>0.26259488833726929</v>
      </c>
      <c r="AU38" s="24">
        <f t="shared" si="32"/>
        <v>0.99999999999999989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0.14906864801164671</v>
      </c>
      <c r="AZ38" s="25">
        <f t="shared" si="47"/>
        <v>0.24280000000000002</v>
      </c>
      <c r="BA38" s="24">
        <f t="shared" si="34"/>
        <v>0.92226864801164676</v>
      </c>
      <c r="BJ38" s="19"/>
      <c r="BK38" s="20" t="str">
        <f t="shared" si="44"/>
        <v>SULAWESI</v>
      </c>
      <c r="BL38" s="20">
        <f t="shared" si="45"/>
        <v>2029</v>
      </c>
      <c r="BM38" s="34">
        <f>proj_rukn!E112</f>
        <v>5015.8684287261194</v>
      </c>
      <c r="BN38" s="30">
        <f t="shared" si="26"/>
        <v>5768.2486930350369</v>
      </c>
      <c r="BO38" s="30">
        <f t="shared" si="35"/>
        <v>12672.469627794846</v>
      </c>
      <c r="BQ38" s="30">
        <f t="shared" si="27"/>
        <v>2307.299477214015</v>
      </c>
      <c r="BR38" s="30">
        <f t="shared" si="36"/>
        <v>9917.1900645563564</v>
      </c>
      <c r="BS38" s="30"/>
      <c r="BT38" s="30">
        <f t="shared" si="28"/>
        <v>1153.6497386070075</v>
      </c>
      <c r="BU38" s="30">
        <f t="shared" si="37"/>
        <v>2755.2795632384873</v>
      </c>
      <c r="BW38" s="30">
        <f t="shared" si="29"/>
        <v>2.7059356601072562</v>
      </c>
      <c r="BX38" s="30">
        <f t="shared" si="38"/>
        <v>0</v>
      </c>
      <c r="BZ38" s="24">
        <f t="shared" si="46"/>
        <v>7.8807473371708625E-2</v>
      </c>
      <c r="CA38" s="24">
        <f t="shared" si="30"/>
        <v>0.33220992993779597</v>
      </c>
      <c r="CF38" s="23"/>
    </row>
    <row r="39" spans="1:84" x14ac:dyDescent="0.25">
      <c r="A39" s="19"/>
      <c r="B39" s="20" t="str">
        <f t="shared" si="31"/>
        <v>SULAWESI</v>
      </c>
      <c r="C39" s="20">
        <f t="shared" si="31"/>
        <v>2030</v>
      </c>
      <c r="D39" s="30">
        <f>(D15*(VLOOKUP(D$27,tech_data!$B$2:$O$15,6, FALSE)/100)*(1-(VLOOKUP(D$27,tech_data!$B$2:$O$15,7, FALSE)/100))*8760)/1000</f>
        <v>16937.633974160541</v>
      </c>
      <c r="E39" s="30">
        <f>(E15*(VLOOKUP(E$27,tech_data!$B$2:$O$15,6, FALSE)/100)*(1-(VLOOKUP(E$27,tech_data!$B$2:$O$15,7, FALSE)/100))*8760)/1000</f>
        <v>880.64670319007473</v>
      </c>
      <c r="F39" s="30">
        <f>(F15*(VLOOKUP(F$27,tech_data!$B$2:$O$15,6, FALSE)/100)*(1-(VLOOKUP(F$27,tech_data!$B$2:$O$15,7, FALSE)/100))*8760)/1000</f>
        <v>17556.322871995893</v>
      </c>
      <c r="G39" s="30">
        <f>(G15*(VLOOKUP(G$27,tech_data!$B$2:$O$15,6, FALSE)/100)*(1-(VLOOKUP(G$27,tech_data!$B$2:$O$15,7, FALSE)/100))*8760)/1000</f>
        <v>7108.0422737284762</v>
      </c>
      <c r="H39" s="30">
        <f>(H15*(VLOOKUP(H$27,tech_data!$B$2:$O$15,6, FALSE)/100)*(1-(VLOOKUP(H$27,tech_data!$B$2:$O$15,7, FALSE)/100))*8760)/1000</f>
        <v>519.13107043393848</v>
      </c>
      <c r="I39" s="30">
        <f>(I15*(VLOOKUP(I$27,tech_data!$B$2:$O$15,6, FALSE)/100)*(1-(VLOOKUP(I$27,tech_data!$B$2:$O$15,7, FALSE)/100))*8760)/1000</f>
        <v>4589.2135661453176</v>
      </c>
      <c r="J39" s="30">
        <f>(J15*(VLOOKUP(J$27,tech_data!$B$2:$O$15,6, FALSE)/100)*(1-(VLOOKUP(J$27,tech_data!$B$2:$O$15,7, FALSE)/100))*8760)/1000</f>
        <v>370.2374798541785</v>
      </c>
      <c r="K39" s="30">
        <f>(K15*(VLOOKUP(K$27,tech_data!$B$2:$O$15,6, FALSE)/100)*(1-(VLOOKUP(K$27,tech_data!$B$2:$O$15,7, FALSE)/100))*8760)/1000</f>
        <v>5025.7894519402062</v>
      </c>
      <c r="L39" s="30">
        <f>(L15*(VLOOKUP(L$27,tech_data!$B$2:$O$15,6, FALSE)/100)*(1-(VLOOKUP(L$27,tech_data!$B$2:$O$15,7, FALSE)/100))*8760)/1000</f>
        <v>4622.7337151193706</v>
      </c>
      <c r="M39" s="30">
        <f>(M15*(VLOOKUP(M$27,tech_data!$B$2:$O$15,6, FALSE)/100)*(1-(VLOOKUP(M$27,tech_data!$B$2:$O$15,7, FALSE)/100))*8760)/1000</f>
        <v>1.2488053846153846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16.096495162520284</v>
      </c>
      <c r="Q39" s="34">
        <f t="shared" si="17"/>
        <v>57610.999911952618</v>
      </c>
      <c r="R39" s="34">
        <f>proj_rukn!D113</f>
        <v>48107</v>
      </c>
      <c r="S39" s="35"/>
      <c r="T39" s="19"/>
      <c r="U39" s="20" t="str">
        <f t="shared" si="18"/>
        <v>SULAWESI</v>
      </c>
      <c r="V39" s="20">
        <f t="shared" si="18"/>
        <v>2030</v>
      </c>
      <c r="W39" s="29">
        <f t="shared" si="19"/>
        <v>0.29400000000080662</v>
      </c>
      <c r="X39" s="29">
        <f t="shared" si="19"/>
        <v>1.5286086069257167E-2</v>
      </c>
      <c r="Y39" s="29">
        <f t="shared" si="19"/>
        <v>0.30473907585057319</v>
      </c>
      <c r="Z39" s="29">
        <f t="shared" si="19"/>
        <v>0.12337994974209365</v>
      </c>
      <c r="AA39" s="29">
        <f t="shared" si="19"/>
        <v>9.0109713635821449E-3</v>
      </c>
      <c r="AB39" s="29">
        <f t="shared" si="19"/>
        <v>7.9658634169846934E-2</v>
      </c>
      <c r="AC39" s="29">
        <f t="shared" si="19"/>
        <v>6.4265067507943896E-3</v>
      </c>
      <c r="AD39" s="29">
        <f t="shared" si="19"/>
        <v>8.7236629456547587E-2</v>
      </c>
      <c r="AE39" s="29">
        <f t="shared" si="19"/>
        <v>8.0240470087037788E-2</v>
      </c>
      <c r="AF39" s="29">
        <f t="shared" si="19"/>
        <v>2.1676509460414584E-5</v>
      </c>
      <c r="AG39" s="29">
        <f t="shared" si="19"/>
        <v>0</v>
      </c>
      <c r="AH39" s="29">
        <f t="shared" si="19"/>
        <v>0</v>
      </c>
      <c r="AI39" s="29">
        <f t="shared" si="19"/>
        <v>2.7939968386455185E-4</v>
      </c>
      <c r="AJ39" s="29">
        <f t="shared" si="20"/>
        <v>0.99999999999999989</v>
      </c>
      <c r="AM39" s="23"/>
      <c r="AO39" s="20" t="str">
        <f t="shared" si="39"/>
        <v>SULAWESI</v>
      </c>
      <c r="AP39" s="20">
        <f t="shared" si="40"/>
        <v>2030</v>
      </c>
      <c r="AQ39" s="25">
        <f t="shared" si="21"/>
        <v>0.29400000000080662</v>
      </c>
      <c r="AR39" s="25">
        <f t="shared" si="22"/>
        <v>0.32002516191983038</v>
      </c>
      <c r="AS39" s="25">
        <f t="shared" si="23"/>
        <v>0.12337994974209365</v>
      </c>
      <c r="AT39" s="37">
        <f t="shared" si="24"/>
        <v>0.26259488833726929</v>
      </c>
      <c r="AU39" s="24">
        <f t="shared" si="32"/>
        <v>0.99999999999999989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0.14608727505141378</v>
      </c>
      <c r="AZ39" s="25">
        <f t="shared" si="47"/>
        <v>0.246</v>
      </c>
      <c r="BA39" s="24">
        <f t="shared" si="34"/>
        <v>0.92508727505141386</v>
      </c>
      <c r="BJ39" s="19"/>
      <c r="BK39" s="20" t="str">
        <f t="shared" si="44"/>
        <v>SULAWESI</v>
      </c>
      <c r="BL39" s="20">
        <f t="shared" si="45"/>
        <v>2030</v>
      </c>
      <c r="BM39" s="34">
        <f>proj_rukn!E113</f>
        <v>5452.7386420224166</v>
      </c>
      <c r="BN39" s="30">
        <f t="shared" si="26"/>
        <v>6270.6494383257786</v>
      </c>
      <c r="BO39" s="30">
        <f t="shared" si="35"/>
        <v>12672.469627794846</v>
      </c>
      <c r="BQ39" s="30">
        <f t="shared" si="27"/>
        <v>2508.2597753303116</v>
      </c>
      <c r="BR39" s="30">
        <f t="shared" si="36"/>
        <v>9917.1900645563564</v>
      </c>
      <c r="BS39" s="30"/>
      <c r="BT39" s="30">
        <f t="shared" si="28"/>
        <v>1254.1298876651558</v>
      </c>
      <c r="BU39" s="30">
        <f t="shared" si="37"/>
        <v>2755.2795632384873</v>
      </c>
      <c r="BW39" s="30">
        <f t="shared" si="29"/>
        <v>2.7059356601072562</v>
      </c>
      <c r="BX39" s="30">
        <f t="shared" si="38"/>
        <v>0</v>
      </c>
      <c r="BZ39" s="24">
        <f t="shared" si="46"/>
        <v>8.2747847040294059E-2</v>
      </c>
      <c r="CA39" s="24">
        <f t="shared" si="30"/>
        <v>0.33220992993779597</v>
      </c>
      <c r="CF39" s="23"/>
    </row>
    <row r="40" spans="1:84" x14ac:dyDescent="0.25">
      <c r="A40" s="19"/>
      <c r="B40" s="20" t="str">
        <f t="shared" si="31"/>
        <v>SULAWESI</v>
      </c>
      <c r="C40" s="20">
        <f t="shared" si="31"/>
        <v>2031</v>
      </c>
      <c r="D40" s="30">
        <f>(D16*(VLOOKUP(D$27,tech_data!$B$2:$O$15,6, FALSE)/100)*(1-(VLOOKUP(D$27,tech_data!$B$2:$O$15,7, FALSE)/100))*8760)/1000</f>
        <v>16937.633974160541</v>
      </c>
      <c r="E40" s="30">
        <f>(E16*(VLOOKUP(E$27,tech_data!$B$2:$O$15,6, FALSE)/100)*(1-(VLOOKUP(E$27,tech_data!$B$2:$O$15,7, FALSE)/100))*8760)/1000</f>
        <v>880.64670319007473</v>
      </c>
      <c r="F40" s="30">
        <f>(F16*(VLOOKUP(F$27,tech_data!$B$2:$O$15,6, FALSE)/100)*(1-(VLOOKUP(F$27,tech_data!$B$2:$O$15,7, FALSE)/100))*8760)/1000</f>
        <v>17556.322871995893</v>
      </c>
      <c r="G40" s="30">
        <f>(G16*(VLOOKUP(G$27,tech_data!$B$2:$O$15,6, FALSE)/100)*(1-(VLOOKUP(G$27,tech_data!$B$2:$O$15,7, FALSE)/100))*8760)/1000</f>
        <v>7108.0422737284762</v>
      </c>
      <c r="H40" s="30">
        <f>(H16*(VLOOKUP(H$27,tech_data!$B$2:$O$15,6, FALSE)/100)*(1-(VLOOKUP(H$27,tech_data!$B$2:$O$15,7, FALSE)/100))*8760)/1000</f>
        <v>519.13107043393848</v>
      </c>
      <c r="I40" s="30">
        <f>(I16*(VLOOKUP(I$27,tech_data!$B$2:$O$15,6, FALSE)/100)*(1-(VLOOKUP(I$27,tech_data!$B$2:$O$15,7, FALSE)/100))*8760)/1000</f>
        <v>4589.2135661453176</v>
      </c>
      <c r="J40" s="30">
        <f>(J16*(VLOOKUP(J$27,tech_data!$B$2:$O$15,6, FALSE)/100)*(1-(VLOOKUP(J$27,tech_data!$B$2:$O$15,7, FALSE)/100))*8760)/1000</f>
        <v>370.2374798541785</v>
      </c>
      <c r="K40" s="30">
        <f>(K16*(VLOOKUP(K$27,tech_data!$B$2:$O$15,6, FALSE)/100)*(1-(VLOOKUP(K$27,tech_data!$B$2:$O$15,7, FALSE)/100))*8760)/1000</f>
        <v>5025.7894519402062</v>
      </c>
      <c r="L40" s="30">
        <f>(L16*(VLOOKUP(L$27,tech_data!$B$2:$O$15,6, FALSE)/100)*(1-(VLOOKUP(L$27,tech_data!$B$2:$O$15,7, FALSE)/100))*8760)/1000</f>
        <v>4622.7337151193706</v>
      </c>
      <c r="M40" s="30">
        <f>(M16*(VLOOKUP(M$27,tech_data!$B$2:$O$15,6, FALSE)/100)*(1-(VLOOKUP(M$27,tech_data!$B$2:$O$15,7, FALSE)/100))*8760)/1000</f>
        <v>1.2488053846153846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16.096495162520284</v>
      </c>
      <c r="Q40" s="34">
        <f t="shared" si="17"/>
        <v>57610.999911952618</v>
      </c>
      <c r="R40" s="34">
        <f>proj_rukn!D114</f>
        <v>53463</v>
      </c>
      <c r="S40" s="35"/>
      <c r="T40" s="19"/>
      <c r="U40" s="20" t="str">
        <f t="shared" si="18"/>
        <v>SULAWESI</v>
      </c>
      <c r="V40" s="20">
        <f t="shared" si="18"/>
        <v>2031</v>
      </c>
      <c r="W40" s="29">
        <f t="shared" si="19"/>
        <v>0.29400000000080662</v>
      </c>
      <c r="X40" s="29">
        <f t="shared" si="19"/>
        <v>1.5286086069257167E-2</v>
      </c>
      <c r="Y40" s="29">
        <f t="shared" si="19"/>
        <v>0.30473907585057319</v>
      </c>
      <c r="Z40" s="29">
        <f t="shared" si="19"/>
        <v>0.12337994974209365</v>
      </c>
      <c r="AA40" s="29">
        <f t="shared" si="19"/>
        <v>9.0109713635821449E-3</v>
      </c>
      <c r="AB40" s="29">
        <f t="shared" si="19"/>
        <v>7.9658634169846934E-2</v>
      </c>
      <c r="AC40" s="29">
        <f t="shared" si="19"/>
        <v>6.4265067507943896E-3</v>
      </c>
      <c r="AD40" s="29">
        <f t="shared" si="19"/>
        <v>8.7236629456547587E-2</v>
      </c>
      <c r="AE40" s="29">
        <f t="shared" si="19"/>
        <v>8.0240470087037788E-2</v>
      </c>
      <c r="AF40" s="29">
        <f t="shared" si="19"/>
        <v>2.1676509460414584E-5</v>
      </c>
      <c r="AG40" s="29">
        <f t="shared" si="19"/>
        <v>0</v>
      </c>
      <c r="AH40" s="29">
        <f t="shared" si="19"/>
        <v>0</v>
      </c>
      <c r="AI40" s="29">
        <f t="shared" si="19"/>
        <v>2.7939968386455185E-4</v>
      </c>
      <c r="AJ40" s="29">
        <f t="shared" si="20"/>
        <v>0.99999999999999989</v>
      </c>
      <c r="AM40" s="23"/>
      <c r="AO40" s="20" t="str">
        <f t="shared" si="39"/>
        <v>SULAWESI</v>
      </c>
      <c r="AP40" s="20">
        <f t="shared" si="40"/>
        <v>2031</v>
      </c>
      <c r="AQ40" s="25">
        <f t="shared" si="21"/>
        <v>0.29400000000080662</v>
      </c>
      <c r="AR40" s="25">
        <f t="shared" si="22"/>
        <v>0.32002516191983038</v>
      </c>
      <c r="AS40" s="25">
        <f t="shared" si="23"/>
        <v>0.12337994974209365</v>
      </c>
      <c r="AT40" s="37">
        <f t="shared" si="24"/>
        <v>0.26259488833726929</v>
      </c>
      <c r="AU40" s="24">
        <f t="shared" si="32"/>
        <v>0.99999999999999989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0.1431655295503855</v>
      </c>
      <c r="AZ40" s="25">
        <f t="shared" si="47"/>
        <v>0.2492</v>
      </c>
      <c r="BA40" s="24">
        <f t="shared" si="34"/>
        <v>0.92796552955038547</v>
      </c>
      <c r="BJ40" s="19"/>
      <c r="BK40" s="20" t="str">
        <f t="shared" si="44"/>
        <v>SULAWESI</v>
      </c>
      <c r="BL40" s="20">
        <f t="shared" si="45"/>
        <v>2031</v>
      </c>
      <c r="BM40" s="34">
        <f>proj_rukn!E114</f>
        <v>5927.6592120969162</v>
      </c>
      <c r="BN40" s="30">
        <f t="shared" si="26"/>
        <v>6816.8080939114534</v>
      </c>
      <c r="BO40" s="30">
        <f t="shared" si="35"/>
        <v>12672.469627794846</v>
      </c>
      <c r="BQ40" s="30">
        <f t="shared" si="27"/>
        <v>2726.7232375645817</v>
      </c>
      <c r="BR40" s="30">
        <f t="shared" si="36"/>
        <v>9917.1900645563564</v>
      </c>
      <c r="BS40" s="30"/>
      <c r="BT40" s="30">
        <f t="shared" si="28"/>
        <v>1363.3616187822909</v>
      </c>
      <c r="BU40" s="30">
        <f t="shared" si="37"/>
        <v>2755.2795632384873</v>
      </c>
      <c r="BW40" s="30">
        <f t="shared" si="29"/>
        <v>2.7059356601072562</v>
      </c>
      <c r="BX40" s="30">
        <f t="shared" si="38"/>
        <v>0</v>
      </c>
      <c r="BZ40" s="24">
        <f t="shared" si="46"/>
        <v>8.6885239392308772E-2</v>
      </c>
      <c r="CA40" s="24">
        <f t="shared" si="30"/>
        <v>0.33220992993779597</v>
      </c>
      <c r="CF40" s="23"/>
    </row>
    <row r="41" spans="1:84" x14ac:dyDescent="0.25">
      <c r="A41" s="19"/>
      <c r="B41" s="20" t="str">
        <f t="shared" si="31"/>
        <v>SULAWESI</v>
      </c>
      <c r="C41" s="20">
        <f t="shared" si="31"/>
        <v>2032</v>
      </c>
      <c r="D41" s="30">
        <f>(D17*(VLOOKUP(D$27,tech_data!$B$2:$O$15,6, FALSE)/100)*(1-(VLOOKUP(D$27,tech_data!$B$2:$O$15,7, FALSE)/100))*8760)/1000</f>
        <v>16937.633974160541</v>
      </c>
      <c r="E41" s="30">
        <f>(E17*(VLOOKUP(E$27,tech_data!$B$2:$O$15,6, FALSE)/100)*(1-(VLOOKUP(E$27,tech_data!$B$2:$O$15,7, FALSE)/100))*8760)/1000</f>
        <v>880.64670319007473</v>
      </c>
      <c r="F41" s="30">
        <f>(F17*(VLOOKUP(F$27,tech_data!$B$2:$O$15,6, FALSE)/100)*(1-(VLOOKUP(F$27,tech_data!$B$2:$O$15,7, FALSE)/100))*8760)/1000</f>
        <v>17556.322871995893</v>
      </c>
      <c r="G41" s="30">
        <f>(G17*(VLOOKUP(G$27,tech_data!$B$2:$O$15,6, FALSE)/100)*(1-(VLOOKUP(G$27,tech_data!$B$2:$O$15,7, FALSE)/100))*8760)/1000</f>
        <v>7108.0422737284762</v>
      </c>
      <c r="H41" s="30">
        <f>(H17*(VLOOKUP(H$27,tech_data!$B$2:$O$15,6, FALSE)/100)*(1-(VLOOKUP(H$27,tech_data!$B$2:$O$15,7, FALSE)/100))*8760)/1000</f>
        <v>519.13107043393848</v>
      </c>
      <c r="I41" s="30">
        <f>(I17*(VLOOKUP(I$27,tech_data!$B$2:$O$15,6, FALSE)/100)*(1-(VLOOKUP(I$27,tech_data!$B$2:$O$15,7, FALSE)/100))*8760)/1000</f>
        <v>4589.2135661453176</v>
      </c>
      <c r="J41" s="30">
        <f>(J17*(VLOOKUP(J$27,tech_data!$B$2:$O$15,6, FALSE)/100)*(1-(VLOOKUP(J$27,tech_data!$B$2:$O$15,7, FALSE)/100))*8760)/1000</f>
        <v>370.2374798541785</v>
      </c>
      <c r="K41" s="30">
        <f>(K17*(VLOOKUP(K$27,tech_data!$B$2:$O$15,6, FALSE)/100)*(1-(VLOOKUP(K$27,tech_data!$B$2:$O$15,7, FALSE)/100))*8760)/1000</f>
        <v>5025.7894519402062</v>
      </c>
      <c r="L41" s="30">
        <f>(L17*(VLOOKUP(L$27,tech_data!$B$2:$O$15,6, FALSE)/100)*(1-(VLOOKUP(L$27,tech_data!$B$2:$O$15,7, FALSE)/100))*8760)/1000</f>
        <v>4622.7337151193706</v>
      </c>
      <c r="M41" s="30">
        <f>(M17*(VLOOKUP(M$27,tech_data!$B$2:$O$15,6, FALSE)/100)*(1-(VLOOKUP(M$27,tech_data!$B$2:$O$15,7, FALSE)/100))*8760)/1000</f>
        <v>1.2488053846153846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16.096495162520284</v>
      </c>
      <c r="Q41" s="34">
        <f t="shared" si="17"/>
        <v>57610.999911952618</v>
      </c>
      <c r="R41" s="34">
        <f>proj_rukn!D115</f>
        <v>52763</v>
      </c>
      <c r="S41" s="35"/>
      <c r="T41" s="19"/>
      <c r="U41" s="20" t="str">
        <f t="shared" si="18"/>
        <v>SULAWESI</v>
      </c>
      <c r="V41" s="20">
        <f t="shared" si="18"/>
        <v>2032</v>
      </c>
      <c r="W41" s="29">
        <f t="shared" si="19"/>
        <v>0.29400000000080662</v>
      </c>
      <c r="X41" s="29">
        <f t="shared" si="19"/>
        <v>1.5286086069257167E-2</v>
      </c>
      <c r="Y41" s="29">
        <f t="shared" si="19"/>
        <v>0.30473907585057319</v>
      </c>
      <c r="Z41" s="29">
        <f t="shared" si="19"/>
        <v>0.12337994974209365</v>
      </c>
      <c r="AA41" s="29">
        <f t="shared" si="19"/>
        <v>9.0109713635821449E-3</v>
      </c>
      <c r="AB41" s="29">
        <f t="shared" si="19"/>
        <v>7.9658634169846934E-2</v>
      </c>
      <c r="AC41" s="29">
        <f t="shared" si="19"/>
        <v>6.4265067507943896E-3</v>
      </c>
      <c r="AD41" s="29">
        <f t="shared" si="19"/>
        <v>8.7236629456547587E-2</v>
      </c>
      <c r="AE41" s="29">
        <f t="shared" si="19"/>
        <v>8.0240470087037788E-2</v>
      </c>
      <c r="AF41" s="29">
        <f t="shared" si="19"/>
        <v>2.1676509460414584E-5</v>
      </c>
      <c r="AG41" s="29">
        <f t="shared" si="19"/>
        <v>0</v>
      </c>
      <c r="AH41" s="29">
        <f t="shared" si="19"/>
        <v>0</v>
      </c>
      <c r="AI41" s="29">
        <f t="shared" si="19"/>
        <v>2.7939968386455185E-4</v>
      </c>
      <c r="AJ41" s="29">
        <f t="shared" si="20"/>
        <v>0.99999999999999989</v>
      </c>
      <c r="AM41" s="23"/>
      <c r="AO41" s="20" t="str">
        <f t="shared" si="39"/>
        <v>SULAWESI</v>
      </c>
      <c r="AP41" s="20">
        <f t="shared" si="40"/>
        <v>2032</v>
      </c>
      <c r="AQ41" s="25">
        <f t="shared" si="21"/>
        <v>0.29400000000080662</v>
      </c>
      <c r="AR41" s="25">
        <f t="shared" si="22"/>
        <v>0.32002516191983038</v>
      </c>
      <c r="AS41" s="25">
        <f t="shared" si="23"/>
        <v>0.12337994974209365</v>
      </c>
      <c r="AT41" s="37">
        <f t="shared" si="24"/>
        <v>0.26259488833726929</v>
      </c>
      <c r="AU41" s="24">
        <f t="shared" si="32"/>
        <v>0.99999999999999989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0.14030221895937778</v>
      </c>
      <c r="AZ41" s="25">
        <f t="shared" si="47"/>
        <v>0.25240000000000001</v>
      </c>
      <c r="BA41" s="24">
        <f t="shared" si="34"/>
        <v>0.93090221895937786</v>
      </c>
      <c r="BJ41" s="19"/>
      <c r="BK41" s="20" t="str">
        <f t="shared" si="44"/>
        <v>SULAWESI</v>
      </c>
      <c r="BL41" s="20">
        <f t="shared" si="45"/>
        <v>2032</v>
      </c>
      <c r="BM41" s="34">
        <f>proj_rukn!E115</f>
        <v>6443.9442345479983</v>
      </c>
      <c r="BN41" s="30">
        <f t="shared" si="26"/>
        <v>7410.5358697301972</v>
      </c>
      <c r="BO41" s="30">
        <f t="shared" si="35"/>
        <v>12672.469627794846</v>
      </c>
      <c r="BQ41" s="30">
        <f t="shared" si="27"/>
        <v>2964.2143478920789</v>
      </c>
      <c r="BR41" s="30">
        <f t="shared" si="36"/>
        <v>9917.1900645563564</v>
      </c>
      <c r="BS41" s="30"/>
      <c r="BT41" s="30">
        <f t="shared" si="28"/>
        <v>1482.1071739460394</v>
      </c>
      <c r="BU41" s="30">
        <f t="shared" si="37"/>
        <v>2755.2795632384873</v>
      </c>
      <c r="BW41" s="30">
        <f t="shared" si="29"/>
        <v>2.7059356601072562</v>
      </c>
      <c r="BX41" s="30">
        <f t="shared" si="38"/>
        <v>0</v>
      </c>
      <c r="BZ41" s="24">
        <f t="shared" si="46"/>
        <v>9.1229501361924217E-2</v>
      </c>
      <c r="CA41" s="24">
        <f t="shared" si="30"/>
        <v>0.33220992993779597</v>
      </c>
      <c r="CF41" s="23"/>
    </row>
    <row r="42" spans="1:84" x14ac:dyDescent="0.25">
      <c r="A42" s="19"/>
      <c r="B42" s="20" t="str">
        <f t="shared" si="31"/>
        <v>SULAWESI</v>
      </c>
      <c r="C42" s="20">
        <f t="shared" si="31"/>
        <v>2033</v>
      </c>
      <c r="D42" s="30">
        <f>(D18*(VLOOKUP(D$27,tech_data!$B$2:$O$15,6, FALSE)/100)*(1-(VLOOKUP(D$27,tech_data!$B$2:$O$15,7, FALSE)/100))*8760)/1000</f>
        <v>16937.633974160541</v>
      </c>
      <c r="E42" s="30">
        <f>(E18*(VLOOKUP(E$27,tech_data!$B$2:$O$15,6, FALSE)/100)*(1-(VLOOKUP(E$27,tech_data!$B$2:$O$15,7, FALSE)/100))*8760)/1000</f>
        <v>880.64670319007473</v>
      </c>
      <c r="F42" s="30">
        <f>(F18*(VLOOKUP(F$27,tech_data!$B$2:$O$15,6, FALSE)/100)*(1-(VLOOKUP(F$27,tech_data!$B$2:$O$15,7, FALSE)/100))*8760)/1000</f>
        <v>17556.322871995893</v>
      </c>
      <c r="G42" s="30">
        <f>(G18*(VLOOKUP(G$27,tech_data!$B$2:$O$15,6, FALSE)/100)*(1-(VLOOKUP(G$27,tech_data!$B$2:$O$15,7, FALSE)/100))*8760)/1000</f>
        <v>7108.0422737284762</v>
      </c>
      <c r="H42" s="30">
        <f>(H18*(VLOOKUP(H$27,tech_data!$B$2:$O$15,6, FALSE)/100)*(1-(VLOOKUP(H$27,tech_data!$B$2:$O$15,7, FALSE)/100))*8760)/1000</f>
        <v>519.13107043393848</v>
      </c>
      <c r="I42" s="30">
        <f>(I18*(VLOOKUP(I$27,tech_data!$B$2:$O$15,6, FALSE)/100)*(1-(VLOOKUP(I$27,tech_data!$B$2:$O$15,7, FALSE)/100))*8760)/1000</f>
        <v>4589.2135661453176</v>
      </c>
      <c r="J42" s="30">
        <f>(J18*(VLOOKUP(J$27,tech_data!$B$2:$O$15,6, FALSE)/100)*(1-(VLOOKUP(J$27,tech_data!$B$2:$O$15,7, FALSE)/100))*8760)/1000</f>
        <v>370.2374798541785</v>
      </c>
      <c r="K42" s="30">
        <f>(K18*(VLOOKUP(K$27,tech_data!$B$2:$O$15,6, FALSE)/100)*(1-(VLOOKUP(K$27,tech_data!$B$2:$O$15,7, FALSE)/100))*8760)/1000</f>
        <v>5025.7894519402062</v>
      </c>
      <c r="L42" s="30">
        <f>(L18*(VLOOKUP(L$27,tech_data!$B$2:$O$15,6, FALSE)/100)*(1-(VLOOKUP(L$27,tech_data!$B$2:$O$15,7, FALSE)/100))*8760)/1000</f>
        <v>4622.7337151193706</v>
      </c>
      <c r="M42" s="30">
        <f>(M18*(VLOOKUP(M$27,tech_data!$B$2:$O$15,6, FALSE)/100)*(1-(VLOOKUP(M$27,tech_data!$B$2:$O$15,7, FALSE)/100))*8760)/1000</f>
        <v>1.2488053846153846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16.096495162520284</v>
      </c>
      <c r="Q42" s="34">
        <f t="shared" si="17"/>
        <v>57610.999911952618</v>
      </c>
      <c r="R42" s="34">
        <f>proj_rukn!D116</f>
        <v>52681</v>
      </c>
      <c r="S42" s="35"/>
      <c r="T42" s="19"/>
      <c r="U42" s="20" t="str">
        <f t="shared" si="18"/>
        <v>SULAWESI</v>
      </c>
      <c r="V42" s="20">
        <f t="shared" si="18"/>
        <v>2033</v>
      </c>
      <c r="W42" s="29">
        <f t="shared" si="19"/>
        <v>0.29400000000080662</v>
      </c>
      <c r="X42" s="29">
        <f t="shared" si="19"/>
        <v>1.5286086069257167E-2</v>
      </c>
      <c r="Y42" s="29">
        <f t="shared" si="19"/>
        <v>0.30473907585057319</v>
      </c>
      <c r="Z42" s="29">
        <f t="shared" si="19"/>
        <v>0.12337994974209365</v>
      </c>
      <c r="AA42" s="29">
        <f t="shared" si="19"/>
        <v>9.0109713635821449E-3</v>
      </c>
      <c r="AB42" s="29">
        <f t="shared" si="19"/>
        <v>7.9658634169846934E-2</v>
      </c>
      <c r="AC42" s="29">
        <f t="shared" si="19"/>
        <v>6.4265067507943896E-3</v>
      </c>
      <c r="AD42" s="29">
        <f t="shared" si="19"/>
        <v>8.7236629456547587E-2</v>
      </c>
      <c r="AE42" s="29">
        <f t="shared" si="19"/>
        <v>8.0240470087037788E-2</v>
      </c>
      <c r="AF42" s="29">
        <f t="shared" si="19"/>
        <v>2.1676509460414584E-5</v>
      </c>
      <c r="AG42" s="29">
        <f t="shared" si="19"/>
        <v>0</v>
      </c>
      <c r="AH42" s="29">
        <f t="shared" si="19"/>
        <v>0</v>
      </c>
      <c r="AI42" s="29">
        <f t="shared" si="19"/>
        <v>2.7939968386455185E-4</v>
      </c>
      <c r="AJ42" s="29">
        <f t="shared" si="20"/>
        <v>0.99999999999999989</v>
      </c>
      <c r="AM42" s="23"/>
      <c r="AO42" s="20" t="str">
        <f t="shared" si="39"/>
        <v>SULAWESI</v>
      </c>
      <c r="AP42" s="20">
        <f t="shared" si="40"/>
        <v>2033</v>
      </c>
      <c r="AQ42" s="25">
        <f t="shared" si="21"/>
        <v>0.29400000000080662</v>
      </c>
      <c r="AR42" s="25">
        <f t="shared" si="22"/>
        <v>0.32002516191983038</v>
      </c>
      <c r="AS42" s="25">
        <f t="shared" si="23"/>
        <v>0.12337994974209365</v>
      </c>
      <c r="AT42" s="37">
        <f t="shared" si="24"/>
        <v>0.26259488833726929</v>
      </c>
      <c r="AU42" s="24">
        <f t="shared" si="32"/>
        <v>0.99999999999999989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0.13749617458019023</v>
      </c>
      <c r="AZ42" s="25">
        <f t="shared" si="47"/>
        <v>0.25559999999999999</v>
      </c>
      <c r="BA42" s="24">
        <f t="shared" si="34"/>
        <v>0.93389617458019014</v>
      </c>
      <c r="BJ42" s="19"/>
      <c r="BK42" s="20" t="str">
        <f t="shared" si="44"/>
        <v>SULAWESI</v>
      </c>
      <c r="BL42" s="20">
        <f t="shared" si="45"/>
        <v>2033</v>
      </c>
      <c r="BM42" s="34">
        <f>proj_rukn!E116</f>
        <v>7005.1964548203296</v>
      </c>
      <c r="BN42" s="30">
        <f t="shared" si="26"/>
        <v>8055.9759230433783</v>
      </c>
      <c r="BO42" s="30">
        <f t="shared" si="35"/>
        <v>12672.469627794846</v>
      </c>
      <c r="BQ42" s="30">
        <f t="shared" si="27"/>
        <v>3222.3903692173517</v>
      </c>
      <c r="BR42" s="30">
        <f t="shared" si="36"/>
        <v>9917.1900645563564</v>
      </c>
      <c r="BS42" s="30"/>
      <c r="BT42" s="30">
        <f t="shared" si="28"/>
        <v>1611.1951846086758</v>
      </c>
      <c r="BU42" s="30">
        <f t="shared" si="37"/>
        <v>2755.2795632384873</v>
      </c>
      <c r="BW42" s="30">
        <f t="shared" si="29"/>
        <v>2.7059356601072562</v>
      </c>
      <c r="BX42" s="30">
        <f t="shared" si="38"/>
        <v>0</v>
      </c>
      <c r="BZ42" s="24">
        <f t="shared" si="46"/>
        <v>9.5790976430020436E-2</v>
      </c>
      <c r="CA42" s="24">
        <f t="shared" si="30"/>
        <v>0.33220992993779597</v>
      </c>
      <c r="CF42" s="23"/>
    </row>
    <row r="43" spans="1:84" x14ac:dyDescent="0.25">
      <c r="A43" s="19"/>
      <c r="B43" s="20" t="str">
        <f t="shared" si="31"/>
        <v>SULAWESI</v>
      </c>
      <c r="C43" s="20">
        <f t="shared" si="31"/>
        <v>2034</v>
      </c>
      <c r="D43" s="30">
        <f>(D19*(VLOOKUP(D$27,tech_data!$B$2:$O$15,6, FALSE)/100)*(1-(VLOOKUP(D$27,tech_data!$B$2:$O$15,7, FALSE)/100))*8760)/1000</f>
        <v>16937.633974160541</v>
      </c>
      <c r="E43" s="30">
        <f>(E19*(VLOOKUP(E$27,tech_data!$B$2:$O$15,6, FALSE)/100)*(1-(VLOOKUP(E$27,tech_data!$B$2:$O$15,7, FALSE)/100))*8760)/1000</f>
        <v>880.64670319007473</v>
      </c>
      <c r="F43" s="30">
        <f>(F19*(VLOOKUP(F$27,tech_data!$B$2:$O$15,6, FALSE)/100)*(1-(VLOOKUP(F$27,tech_data!$B$2:$O$15,7, FALSE)/100))*8760)/1000</f>
        <v>17556.322871995893</v>
      </c>
      <c r="G43" s="30">
        <f>(G19*(VLOOKUP(G$27,tech_data!$B$2:$O$15,6, FALSE)/100)*(1-(VLOOKUP(G$27,tech_data!$B$2:$O$15,7, FALSE)/100))*8760)/1000</f>
        <v>7108.0422737284762</v>
      </c>
      <c r="H43" s="30">
        <f>(H19*(VLOOKUP(H$27,tech_data!$B$2:$O$15,6, FALSE)/100)*(1-(VLOOKUP(H$27,tech_data!$B$2:$O$15,7, FALSE)/100))*8760)/1000</f>
        <v>519.13107043393848</v>
      </c>
      <c r="I43" s="30">
        <f>(I19*(VLOOKUP(I$27,tech_data!$B$2:$O$15,6, FALSE)/100)*(1-(VLOOKUP(I$27,tech_data!$B$2:$O$15,7, FALSE)/100))*8760)/1000</f>
        <v>4589.2135661453176</v>
      </c>
      <c r="J43" s="30">
        <f>(J19*(VLOOKUP(J$27,tech_data!$B$2:$O$15,6, FALSE)/100)*(1-(VLOOKUP(J$27,tech_data!$B$2:$O$15,7, FALSE)/100))*8760)/1000</f>
        <v>370.2374798541785</v>
      </c>
      <c r="K43" s="30">
        <f>(K19*(VLOOKUP(K$27,tech_data!$B$2:$O$15,6, FALSE)/100)*(1-(VLOOKUP(K$27,tech_data!$B$2:$O$15,7, FALSE)/100))*8760)/1000</f>
        <v>5025.7894519402062</v>
      </c>
      <c r="L43" s="30">
        <f>(L19*(VLOOKUP(L$27,tech_data!$B$2:$O$15,6, FALSE)/100)*(1-(VLOOKUP(L$27,tech_data!$B$2:$O$15,7, FALSE)/100))*8760)/1000</f>
        <v>4622.7337151193706</v>
      </c>
      <c r="M43" s="30">
        <f>(M19*(VLOOKUP(M$27,tech_data!$B$2:$O$15,6, FALSE)/100)*(1-(VLOOKUP(M$27,tech_data!$B$2:$O$15,7, FALSE)/100))*8760)/1000</f>
        <v>1.2488053846153846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16.096495162520284</v>
      </c>
      <c r="Q43" s="34">
        <f t="shared" si="17"/>
        <v>57610.999911952618</v>
      </c>
      <c r="R43" s="34">
        <f>proj_rukn!D117</f>
        <v>55625</v>
      </c>
      <c r="S43" s="35"/>
      <c r="T43" s="19"/>
      <c r="U43" s="20" t="str">
        <f t="shared" si="18"/>
        <v>SULAWESI</v>
      </c>
      <c r="V43" s="20">
        <f t="shared" si="18"/>
        <v>2034</v>
      </c>
      <c r="W43" s="29">
        <f t="shared" si="19"/>
        <v>0.29400000000080662</v>
      </c>
      <c r="X43" s="29">
        <f t="shared" si="19"/>
        <v>1.5286086069257167E-2</v>
      </c>
      <c r="Y43" s="29">
        <f t="shared" si="19"/>
        <v>0.30473907585057319</v>
      </c>
      <c r="Z43" s="29">
        <f t="shared" si="19"/>
        <v>0.12337994974209365</v>
      </c>
      <c r="AA43" s="29">
        <f t="shared" si="19"/>
        <v>9.0109713635821449E-3</v>
      </c>
      <c r="AB43" s="29">
        <f t="shared" si="19"/>
        <v>7.9658634169846934E-2</v>
      </c>
      <c r="AC43" s="29">
        <f t="shared" si="19"/>
        <v>6.4265067507943896E-3</v>
      </c>
      <c r="AD43" s="29">
        <f t="shared" si="19"/>
        <v>8.7236629456547587E-2</v>
      </c>
      <c r="AE43" s="29">
        <f t="shared" si="19"/>
        <v>8.0240470087037788E-2</v>
      </c>
      <c r="AF43" s="29">
        <f t="shared" si="19"/>
        <v>2.1676509460414584E-5</v>
      </c>
      <c r="AG43" s="29">
        <f t="shared" si="19"/>
        <v>0</v>
      </c>
      <c r="AH43" s="29">
        <f t="shared" si="19"/>
        <v>0</v>
      </c>
      <c r="AI43" s="29">
        <f t="shared" si="19"/>
        <v>2.7939968386455185E-4</v>
      </c>
      <c r="AJ43" s="29">
        <f t="shared" si="20"/>
        <v>0.99999999999999989</v>
      </c>
      <c r="AM43" s="23"/>
      <c r="AO43" s="20" t="str">
        <f t="shared" si="39"/>
        <v>SULAWESI</v>
      </c>
      <c r="AP43" s="20">
        <f t="shared" si="40"/>
        <v>2034</v>
      </c>
      <c r="AQ43" s="25">
        <f t="shared" si="21"/>
        <v>0.29400000000080662</v>
      </c>
      <c r="AR43" s="25">
        <f t="shared" si="22"/>
        <v>0.32002516191983038</v>
      </c>
      <c r="AS43" s="25">
        <f t="shared" si="23"/>
        <v>0.12337994974209365</v>
      </c>
      <c r="AT43" s="37">
        <f t="shared" si="24"/>
        <v>0.26259488833726929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0.13474625108858643</v>
      </c>
      <c r="AZ43" s="25">
        <f t="shared" si="47"/>
        <v>0.25880000000000003</v>
      </c>
      <c r="BA43" s="24">
        <f t="shared" si="34"/>
        <v>0.93694625108858642</v>
      </c>
      <c r="BJ43" s="19"/>
      <c r="BK43" s="20" t="str">
        <f t="shared" si="44"/>
        <v>SULAWESI</v>
      </c>
      <c r="BL43" s="20">
        <f t="shared" si="45"/>
        <v>2034</v>
      </c>
      <c r="BM43" s="34">
        <f>proj_rukn!E117</f>
        <v>7615.3324089201187</v>
      </c>
      <c r="BN43" s="30">
        <f t="shared" si="26"/>
        <v>8757.6322702581365</v>
      </c>
      <c r="BO43" s="30">
        <f t="shared" si="35"/>
        <v>12672.469627794846</v>
      </c>
      <c r="BQ43" s="30">
        <f t="shared" si="27"/>
        <v>3503.0529081032546</v>
      </c>
      <c r="BR43" s="30">
        <f t="shared" si="36"/>
        <v>9917.1900645563564</v>
      </c>
      <c r="BS43" s="30"/>
      <c r="BT43" s="30">
        <f t="shared" si="28"/>
        <v>1751.5264540516273</v>
      </c>
      <c r="BU43" s="30">
        <f t="shared" si="37"/>
        <v>2755.2795632384873</v>
      </c>
      <c r="BW43" s="30">
        <f t="shared" si="29"/>
        <v>2.7059356601072562</v>
      </c>
      <c r="BX43" s="30">
        <f t="shared" si="38"/>
        <v>0</v>
      </c>
      <c r="BZ43" s="24">
        <f t="shared" si="46"/>
        <v>0.10058052525152146</v>
      </c>
      <c r="CA43" s="24">
        <f t="shared" si="30"/>
        <v>0.33220992993779597</v>
      </c>
      <c r="CF43" s="23"/>
    </row>
    <row r="44" spans="1:84" x14ac:dyDescent="0.25">
      <c r="A44" s="19"/>
      <c r="B44" s="20" t="str">
        <f t="shared" si="31"/>
        <v>SULAWESI</v>
      </c>
      <c r="C44" s="20">
        <f t="shared" si="31"/>
        <v>2035</v>
      </c>
      <c r="D44" s="30">
        <f>(D20*(VLOOKUP(D$27,tech_data!$B$2:$O$15,6, FALSE)/100)*(1-(VLOOKUP(D$27,tech_data!$B$2:$O$15,7, FALSE)/100))*8760)/1000</f>
        <v>16937.633974160541</v>
      </c>
      <c r="E44" s="30">
        <f>(E20*(VLOOKUP(E$27,tech_data!$B$2:$O$15,6, FALSE)/100)*(1-(VLOOKUP(E$27,tech_data!$B$2:$O$15,7, FALSE)/100))*8760)/1000</f>
        <v>880.64670319007473</v>
      </c>
      <c r="F44" s="30">
        <f>(F20*(VLOOKUP(F$27,tech_data!$B$2:$O$15,6, FALSE)/100)*(1-(VLOOKUP(F$27,tech_data!$B$2:$O$15,7, FALSE)/100))*8760)/1000</f>
        <v>17556.322871995893</v>
      </c>
      <c r="G44" s="30">
        <f>(G20*(VLOOKUP(G$27,tech_data!$B$2:$O$15,6, FALSE)/100)*(1-(VLOOKUP(G$27,tech_data!$B$2:$O$15,7, FALSE)/100))*8760)/1000</f>
        <v>7144.0423598241423</v>
      </c>
      <c r="H44" s="30">
        <f>(H20*(VLOOKUP(H$27,tech_data!$B$2:$O$15,6, FALSE)/100)*(1-(VLOOKUP(H$27,tech_data!$B$2:$O$15,7, FALSE)/100))*8760)/1000</f>
        <v>519.13107043393848</v>
      </c>
      <c r="I44" s="30">
        <f>(I20*(VLOOKUP(I$27,tech_data!$B$2:$O$15,6, FALSE)/100)*(1-(VLOOKUP(I$27,tech_data!$B$2:$O$15,7, FALSE)/100))*8760)/1000</f>
        <v>4589.2135661453176</v>
      </c>
      <c r="J44" s="30">
        <f>(J20*(VLOOKUP(J$27,tech_data!$B$2:$O$15,6, FALSE)/100)*(1-(VLOOKUP(J$27,tech_data!$B$2:$O$15,7, FALSE)/100))*8760)/1000</f>
        <v>370.2374798541785</v>
      </c>
      <c r="K44" s="30">
        <f>(K20*(VLOOKUP(K$27,tech_data!$B$2:$O$15,6, FALSE)/100)*(1-(VLOOKUP(K$27,tech_data!$B$2:$O$15,7, FALSE)/100))*8760)/1000</f>
        <v>5025.7894519402062</v>
      </c>
      <c r="L44" s="30">
        <f>(L20*(VLOOKUP(L$27,tech_data!$B$2:$O$15,6, FALSE)/100)*(1-(VLOOKUP(L$27,tech_data!$B$2:$O$15,7, FALSE)/100))*8760)/1000</f>
        <v>4622.7337151193706</v>
      </c>
      <c r="M44" s="30">
        <f>(M20*(VLOOKUP(M$27,tech_data!$B$2:$O$15,6, FALSE)/100)*(1-(VLOOKUP(M$27,tech_data!$B$2:$O$15,7, FALSE)/100))*8760)/1000</f>
        <v>1.2488053846153846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16.10535298274921</v>
      </c>
      <c r="Q44" s="34">
        <f t="shared" si="17"/>
        <v>57646.999998048283</v>
      </c>
      <c r="R44" s="34">
        <f>proj_rukn!D118</f>
        <v>57647</v>
      </c>
      <c r="S44" s="35"/>
      <c r="T44" s="19"/>
      <c r="U44" s="20" t="str">
        <f t="shared" si="18"/>
        <v>SULAWESI</v>
      </c>
      <c r="V44" s="20">
        <f t="shared" si="18"/>
        <v>2035</v>
      </c>
      <c r="W44" s="29">
        <f t="shared" si="19"/>
        <v>0.29381639937436443</v>
      </c>
      <c r="X44" s="29">
        <f t="shared" si="19"/>
        <v>1.5276540031916495E-2</v>
      </c>
      <c r="Y44" s="29">
        <f t="shared" si="19"/>
        <v>0.30454876875796288</v>
      </c>
      <c r="Z44" s="29">
        <f t="shared" si="19"/>
        <v>0.1239273918862389</v>
      </c>
      <c r="AA44" s="29">
        <f t="shared" si="19"/>
        <v>9.0053440847141109E-3</v>
      </c>
      <c r="AB44" s="29">
        <f t="shared" si="19"/>
        <v>7.9608887995918115E-2</v>
      </c>
      <c r="AC44" s="29">
        <f t="shared" si="19"/>
        <v>6.4224934492118132E-3</v>
      </c>
      <c r="AD44" s="29">
        <f t="shared" si="19"/>
        <v>8.7182150885741855E-2</v>
      </c>
      <c r="AE44" s="29">
        <f t="shared" si="19"/>
        <v>8.0190360561276028E-2</v>
      </c>
      <c r="AF44" s="29">
        <f t="shared" si="19"/>
        <v>2.1662972655258114E-5</v>
      </c>
      <c r="AG44" s="29">
        <f t="shared" si="19"/>
        <v>0</v>
      </c>
      <c r="AH44" s="29">
        <f t="shared" si="19"/>
        <v>0</v>
      </c>
      <c r="AI44" s="29">
        <f t="shared" si="19"/>
        <v>2.7937885723965648E-4</v>
      </c>
      <c r="AJ44" s="29">
        <f t="shared" si="20"/>
        <v>1</v>
      </c>
      <c r="AM44" s="23"/>
      <c r="AO44" s="20" t="str">
        <f t="shared" si="39"/>
        <v>SULAWESI</v>
      </c>
      <c r="AP44" s="20">
        <f t="shared" si="40"/>
        <v>2035</v>
      </c>
      <c r="AQ44" s="25">
        <f t="shared" si="21"/>
        <v>0.29381639937436443</v>
      </c>
      <c r="AR44" s="25">
        <f t="shared" si="22"/>
        <v>0.31982530878987941</v>
      </c>
      <c r="AS44" s="25">
        <f t="shared" si="23"/>
        <v>0.1239273918862389</v>
      </c>
      <c r="AT44" s="37">
        <f t="shared" si="24"/>
        <v>0.26243089994951724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0.13205132606681469</v>
      </c>
      <c r="AZ44" s="25">
        <f t="shared" si="47"/>
        <v>0.26200000000000001</v>
      </c>
      <c r="BA44" s="24">
        <f t="shared" si="34"/>
        <v>0.94005132606681474</v>
      </c>
      <c r="BJ44" s="19"/>
      <c r="BK44" s="20" t="str">
        <f t="shared" si="44"/>
        <v>SULAWESI</v>
      </c>
      <c r="BL44" s="20">
        <f t="shared" si="45"/>
        <v>2035</v>
      </c>
      <c r="BM44" s="34">
        <f>proj_rukn!E118</f>
        <v>8278.6097538268841</v>
      </c>
      <c r="BN44" s="30">
        <f t="shared" si="26"/>
        <v>9520.4012169009166</v>
      </c>
      <c r="BO44" s="30">
        <f t="shared" si="35"/>
        <v>12679.676107505336</v>
      </c>
      <c r="BQ44" s="30">
        <f t="shared" si="27"/>
        <v>3808.1604867603669</v>
      </c>
      <c r="BR44" s="30">
        <f t="shared" si="36"/>
        <v>9917.1900645563564</v>
      </c>
      <c r="BS44" s="30"/>
      <c r="BT44" s="30">
        <f t="shared" si="28"/>
        <v>1904.0802433801834</v>
      </c>
      <c r="BU44" s="30">
        <f t="shared" si="37"/>
        <v>2762.48604294898</v>
      </c>
      <c r="BW44" s="30">
        <f t="shared" si="29"/>
        <v>2.7059356601072562</v>
      </c>
      <c r="BX44" s="30">
        <f t="shared" si="38"/>
        <v>0</v>
      </c>
      <c r="BZ44" s="24">
        <f t="shared" si="46"/>
        <v>0.10560955151409754</v>
      </c>
      <c r="CA44" s="24">
        <f t="shared" si="30"/>
        <v>0.33220992993779597</v>
      </c>
      <c r="CF44" s="23"/>
    </row>
    <row r="45" spans="1:84" x14ac:dyDescent="0.25">
      <c r="A45" s="19"/>
      <c r="B45" s="20" t="str">
        <f t="shared" ref="B45:C47" si="50">B21</f>
        <v>SULAWESI</v>
      </c>
      <c r="C45" s="20">
        <f t="shared" si="50"/>
        <v>2036</v>
      </c>
      <c r="D45" s="30">
        <f>(D21*(VLOOKUP(D$27,tech_data!$B$2:$O$15,6, FALSE)/100)*(1-(VLOOKUP(D$27,tech_data!$B$2:$O$15,7, FALSE)/100))*8760)/1000</f>
        <v>16937.633974160541</v>
      </c>
      <c r="E45" s="30">
        <f>(E21*(VLOOKUP(E$27,tech_data!$B$2:$O$15,6, FALSE)/100)*(1-(VLOOKUP(E$27,tech_data!$B$2:$O$15,7, FALSE)/100))*8760)/1000</f>
        <v>880.64670319007473</v>
      </c>
      <c r="F45" s="30">
        <f>(F21*(VLOOKUP(F$27,tech_data!$B$2:$O$15,6, FALSE)/100)*(1-(VLOOKUP(F$27,tech_data!$B$2:$O$15,7, FALSE)/100))*8760)/1000</f>
        <v>18543.846772568835</v>
      </c>
      <c r="G45" s="30">
        <f>(G21*(VLOOKUP(G$27,tech_data!$B$2:$O$15,6, FALSE)/100)*(1-(VLOOKUP(G$27,tech_data!$B$2:$O$15,7, FALSE)/100))*8760)/1000</f>
        <v>7772.9003410638579</v>
      </c>
      <c r="H45" s="30">
        <f>(H21*(VLOOKUP(H$27,tech_data!$B$2:$O$15,6, FALSE)/100)*(1-(VLOOKUP(H$27,tech_data!$B$2:$O$15,7, FALSE)/100))*8760)/1000</f>
        <v>519.13107043393848</v>
      </c>
      <c r="I45" s="30">
        <f>(I21*(VLOOKUP(I$27,tech_data!$B$2:$O$15,6, FALSE)/100)*(1-(VLOOKUP(I$27,tech_data!$B$2:$O$15,7, FALSE)/100))*8760)/1000</f>
        <v>4589.2135661453176</v>
      </c>
      <c r="J45" s="30">
        <f>(J21*(VLOOKUP(J$27,tech_data!$B$2:$O$15,6, FALSE)/100)*(1-(VLOOKUP(J$27,tech_data!$B$2:$O$15,7, FALSE)/100))*8760)/1000</f>
        <v>370.2374798541785</v>
      </c>
      <c r="K45" s="30">
        <f>(K21*(VLOOKUP(K$27,tech_data!$B$2:$O$15,6, FALSE)/100)*(1-(VLOOKUP(K$27,tech_data!$B$2:$O$15,7, FALSE)/100))*8760)/1000</f>
        <v>5025.7894519402062</v>
      </c>
      <c r="L45" s="30">
        <f>(L21*(VLOOKUP(L$27,tech_data!$B$2:$O$15,6, FALSE)/100)*(1-(VLOOKUP(L$27,tech_data!$B$2:$O$15,7, FALSE)/100))*8760)/1000</f>
        <v>5423.3526640098698</v>
      </c>
      <c r="M45" s="30">
        <f>(M21*(VLOOKUP(M$27,tech_data!$B$2:$O$15,6, FALSE)/100)*(1-(VLOOKUP(M$27,tech_data!$B$2:$O$15,7, FALSE)/100))*8760)/1000</f>
        <v>1.2488053846153846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16.859483203088285</v>
      </c>
      <c r="Q45" s="34">
        <f t="shared" si="17"/>
        <v>60064.000828751443</v>
      </c>
      <c r="R45" s="34">
        <f>proj_rukn!D119</f>
        <v>60064</v>
      </c>
      <c r="S45" s="35"/>
      <c r="T45" s="19"/>
      <c r="U45" s="20" t="str">
        <f t="shared" si="18"/>
        <v>SULAWESI</v>
      </c>
      <c r="V45" s="20">
        <f t="shared" si="18"/>
        <v>2036</v>
      </c>
      <c r="W45" s="29">
        <f t="shared" si="19"/>
        <v>0.28199310303107267</v>
      </c>
      <c r="X45" s="29">
        <f t="shared" si="19"/>
        <v>1.4661805591353926E-2</v>
      </c>
      <c r="Y45" s="29">
        <f t="shared" si="19"/>
        <v>0.30873479150080635</v>
      </c>
      <c r="Z45" s="29">
        <f t="shared" si="19"/>
        <v>0.12941029957736558</v>
      </c>
      <c r="AA45" s="29">
        <f t="shared" si="19"/>
        <v>8.6429652249445359E-3</v>
      </c>
      <c r="AB45" s="29">
        <f t="shared" si="19"/>
        <v>7.6405392628267149E-2</v>
      </c>
      <c r="AC45" s="29">
        <f t="shared" si="19"/>
        <v>6.1640495928628383E-3</v>
      </c>
      <c r="AD45" s="29">
        <f t="shared" si="19"/>
        <v>8.3673904212096056E-2</v>
      </c>
      <c r="AE45" s="29">
        <f t="shared" si="19"/>
        <v>9.0292897395769525E-2</v>
      </c>
      <c r="AF45" s="29">
        <f t="shared" si="19"/>
        <v>2.0791245461251498E-5</v>
      </c>
      <c r="AG45" s="29">
        <f t="shared" si="19"/>
        <v>0</v>
      </c>
      <c r="AH45" s="29">
        <f t="shared" si="19"/>
        <v>0</v>
      </c>
      <c r="AI45" s="29">
        <f t="shared" si="19"/>
        <v>2.8069197806447128E-4</v>
      </c>
      <c r="AJ45" s="29">
        <f t="shared" si="20"/>
        <v>1</v>
      </c>
      <c r="AM45" s="23"/>
      <c r="AO45" s="20" t="str">
        <f t="shared" si="39"/>
        <v>SULAWESI</v>
      </c>
      <c r="AP45" s="20">
        <f t="shared" si="40"/>
        <v>2036</v>
      </c>
      <c r="AQ45" s="25">
        <f t="shared" si="21"/>
        <v>0.28199310303107267</v>
      </c>
      <c r="AR45" s="25">
        <f t="shared" si="22"/>
        <v>0.32339659709216029</v>
      </c>
      <c r="AS45" s="25">
        <f t="shared" si="23"/>
        <v>0.12941029957736558</v>
      </c>
      <c r="AT45" s="37">
        <f t="shared" si="24"/>
        <v>0.26520000029940138</v>
      </c>
      <c r="AU45" s="24">
        <f t="shared" si="32"/>
        <v>0.99999999999999989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0.12941029954547839</v>
      </c>
      <c r="AZ45" s="25">
        <f t="shared" si="47"/>
        <v>0.26519999999999999</v>
      </c>
      <c r="BA45" s="24">
        <f t="shared" si="34"/>
        <v>0.94321029954547841</v>
      </c>
      <c r="BJ45" s="19"/>
      <c r="BK45" s="20" t="str">
        <f t="shared" si="44"/>
        <v>SULAWESI</v>
      </c>
      <c r="BL45" s="20">
        <f t="shared" si="45"/>
        <v>2036</v>
      </c>
      <c r="BM45" s="34">
        <f>proj_rukn!E119</f>
        <v>8999.6569783191098</v>
      </c>
      <c r="BN45" s="30">
        <f t="shared" si="26"/>
        <v>10349.605525066976</v>
      </c>
      <c r="BO45" s="30">
        <f t="shared" si="35"/>
        <v>13162.559765971662</v>
      </c>
      <c r="BQ45" s="30">
        <f t="shared" si="27"/>
        <v>4139.8422100267908</v>
      </c>
      <c r="BR45" s="30">
        <f t="shared" si="36"/>
        <v>10274.0207208545</v>
      </c>
      <c r="BS45" s="30"/>
      <c r="BT45" s="30">
        <f t="shared" si="28"/>
        <v>2069.9211050133954</v>
      </c>
      <c r="BU45" s="30">
        <f t="shared" si="37"/>
        <v>2888.5390451171625</v>
      </c>
      <c r="BW45" s="30">
        <f t="shared" si="29"/>
        <v>2.8360935347984007</v>
      </c>
      <c r="BX45" s="30">
        <f t="shared" si="38"/>
        <v>0</v>
      </c>
      <c r="BZ45" s="24">
        <f t="shared" si="46"/>
        <v>0.11089002908980242</v>
      </c>
      <c r="CA45" s="24">
        <f t="shared" si="30"/>
        <v>0.31551245896542685</v>
      </c>
      <c r="CF45" s="23"/>
    </row>
    <row r="46" spans="1:84" x14ac:dyDescent="0.25">
      <c r="A46" s="19"/>
      <c r="B46" s="20" t="str">
        <f t="shared" si="50"/>
        <v>SULAWESI</v>
      </c>
      <c r="C46" s="20">
        <f t="shared" si="50"/>
        <v>2037</v>
      </c>
      <c r="D46" s="30">
        <f>(D22*(VLOOKUP(D$27,tech_data!$B$2:$O$15,6, FALSE)/100)*(1-(VLOOKUP(D$27,tech_data!$B$2:$O$15,7, FALSE)/100))*8760)/1000</f>
        <v>17910.192004443343</v>
      </c>
      <c r="E46" s="30">
        <f>(E22*(VLOOKUP(E$27,tech_data!$B$2:$O$15,6, FALSE)/100)*(1-(VLOOKUP(E$27,tech_data!$B$2:$O$15,7, FALSE)/100))*8760)/1000</f>
        <v>880.64670319007473</v>
      </c>
      <c r="F46" s="30">
        <f>(F22*(VLOOKUP(F$27,tech_data!$B$2:$O$15,6, FALSE)/100)*(1-(VLOOKUP(F$27,tech_data!$B$2:$O$15,7, FALSE)/100))*8760)/1000</f>
        <v>20604.100744437419</v>
      </c>
      <c r="G46" s="30">
        <f>(G22*(VLOOKUP(G$27,tech_data!$B$2:$O$15,6, FALSE)/100)*(1-(VLOOKUP(G$27,tech_data!$B$2:$O$15,7, FALSE)/100))*8760)/1000</f>
        <v>8080.0477067583715</v>
      </c>
      <c r="H46" s="30">
        <f>(H22*(VLOOKUP(H$27,tech_data!$B$2:$O$15,6, FALSE)/100)*(1-(VLOOKUP(H$27,tech_data!$B$2:$O$15,7, FALSE)/100))*8760)/1000</f>
        <v>519.13107043393848</v>
      </c>
      <c r="I46" s="30">
        <f>(I22*(VLOOKUP(I$27,tech_data!$B$2:$O$15,6, FALSE)/100)*(1-(VLOOKUP(I$27,tech_data!$B$2:$O$15,7, FALSE)/100))*8760)/1000</f>
        <v>4589.2135661453176</v>
      </c>
      <c r="J46" s="30">
        <f>(J22*(VLOOKUP(J$27,tech_data!$B$2:$O$15,6, FALSE)/100)*(1-(VLOOKUP(J$27,tech_data!$B$2:$O$15,7, FALSE)/100))*8760)/1000</f>
        <v>370.2374798541785</v>
      </c>
      <c r="K46" s="30">
        <f>(K22*(VLOOKUP(K$27,tech_data!$B$2:$O$15,6, FALSE)/100)*(1-(VLOOKUP(K$27,tech_data!$B$2:$O$15,7, FALSE)/100))*8760)/1000</f>
        <v>5025.7894519402062</v>
      </c>
      <c r="L46" s="30">
        <f>(L22*(VLOOKUP(L$27,tech_data!$B$2:$O$15,6, FALSE)/100)*(1-(VLOOKUP(L$27,tech_data!$B$2:$O$15,7, FALSE)/100))*8760)/1000</f>
        <v>6911.3924988659437</v>
      </c>
      <c r="M46" s="30">
        <f>(M22*(VLOOKUP(M$27,tech_data!$B$2:$O$15,6, FALSE)/100)*(1-(VLOOKUP(M$27,tech_data!$B$2:$O$15,7, FALSE)/100))*8760)/1000</f>
        <v>1.2488053846153846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18.343725611693795</v>
      </c>
      <c r="Q46" s="34">
        <f t="shared" si="17"/>
        <v>64892.000031453405</v>
      </c>
      <c r="R46" s="34">
        <f>proj_rukn!D120</f>
        <v>64892</v>
      </c>
      <c r="S46" s="35"/>
      <c r="T46" s="19"/>
      <c r="U46" s="20" t="str">
        <f t="shared" si="18"/>
        <v>SULAWESI</v>
      </c>
      <c r="V46" s="20">
        <f t="shared" si="18"/>
        <v>2037</v>
      </c>
      <c r="W46" s="29">
        <f t="shared" si="19"/>
        <v>0.2759999999346946</v>
      </c>
      <c r="X46" s="29">
        <f t="shared" si="19"/>
        <v>1.3570959482882665E-2</v>
      </c>
      <c r="Y46" s="29">
        <f t="shared" si="19"/>
        <v>0.31751372641389586</v>
      </c>
      <c r="Z46" s="29">
        <f t="shared" si="19"/>
        <v>0.12451531317946651</v>
      </c>
      <c r="AA46" s="29">
        <f t="shared" si="19"/>
        <v>7.9999240304246075E-3</v>
      </c>
      <c r="AB46" s="29">
        <f t="shared" si="19"/>
        <v>7.0720790912915429E-2</v>
      </c>
      <c r="AC46" s="29">
        <f t="shared" si="19"/>
        <v>5.7054410354854673E-3</v>
      </c>
      <c r="AD46" s="29">
        <f t="shared" si="19"/>
        <v>7.744852138174485E-2</v>
      </c>
      <c r="AE46" s="29">
        <f t="shared" si="19"/>
        <v>0.1065060792627129</v>
      </c>
      <c r="AF46" s="29">
        <f t="shared" si="19"/>
        <v>1.9244365777138688E-5</v>
      </c>
      <c r="AG46" s="29">
        <f t="shared" si="19"/>
        <v>0</v>
      </c>
      <c r="AH46" s="29">
        <f t="shared" si="19"/>
        <v>0</v>
      </c>
      <c r="AI46" s="29">
        <f t="shared" si="19"/>
        <v>2.8268084822169942E-4</v>
      </c>
      <c r="AJ46" s="29">
        <f t="shared" si="20"/>
        <v>1</v>
      </c>
      <c r="AM46" s="23"/>
      <c r="AO46" s="20" t="str">
        <f t="shared" si="39"/>
        <v>SULAWESI</v>
      </c>
      <c r="AP46" s="20">
        <f t="shared" si="40"/>
        <v>2037</v>
      </c>
      <c r="AQ46" s="25">
        <f t="shared" si="21"/>
        <v>0.2759999999346946</v>
      </c>
      <c r="AR46" s="25">
        <f t="shared" si="22"/>
        <v>0.33108468589677853</v>
      </c>
      <c r="AS46" s="25">
        <f t="shared" si="23"/>
        <v>0.12451531317946651</v>
      </c>
      <c r="AT46" s="37">
        <f t="shared" si="24"/>
        <v>0.26840000098906036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0.12682209355456883</v>
      </c>
      <c r="AZ46" s="25">
        <f t="shared" si="47"/>
        <v>0.26840000000000003</v>
      </c>
      <c r="BA46" s="24">
        <f t="shared" si="34"/>
        <v>0.94642209355456886</v>
      </c>
      <c r="BJ46" s="19"/>
      <c r="BK46" s="20" t="str">
        <f t="shared" si="44"/>
        <v>SULAWESI</v>
      </c>
      <c r="BL46" s="20">
        <f t="shared" si="45"/>
        <v>2037</v>
      </c>
      <c r="BM46" s="34">
        <f>proj_rukn!E120</f>
        <v>9783.5057015421608</v>
      </c>
      <c r="BN46" s="30">
        <f t="shared" si="26"/>
        <v>11251.031556773483</v>
      </c>
      <c r="BO46" s="30">
        <f t="shared" si="35"/>
        <v>14169.452735953901</v>
      </c>
      <c r="BQ46" s="30">
        <f t="shared" si="27"/>
        <v>4500.4126227093939</v>
      </c>
      <c r="BR46" s="30">
        <f t="shared" si="36"/>
        <v>11219.033041992658</v>
      </c>
      <c r="BS46" s="30"/>
      <c r="BT46" s="30">
        <f t="shared" si="28"/>
        <v>2250.2063113546969</v>
      </c>
      <c r="BU46" s="30">
        <f t="shared" si="37"/>
        <v>2950.419693961242</v>
      </c>
      <c r="BW46" s="30">
        <f t="shared" si="29"/>
        <v>3.0780064980489357</v>
      </c>
      <c r="BX46" s="30">
        <f t="shared" si="38"/>
        <v>0</v>
      </c>
      <c r="BZ46" s="24">
        <f t="shared" si="46"/>
        <v>0.11643453054429254</v>
      </c>
      <c r="CA46" s="24">
        <f t="shared" si="30"/>
        <v>0.28855633791484803</v>
      </c>
      <c r="CF46" s="23"/>
    </row>
    <row r="47" spans="1:84" x14ac:dyDescent="0.25">
      <c r="A47" s="19"/>
      <c r="B47" s="20" t="str">
        <f t="shared" si="50"/>
        <v>SULAWESI</v>
      </c>
      <c r="C47" s="20">
        <f t="shared" si="50"/>
        <v>2038</v>
      </c>
      <c r="D47" s="30">
        <f>(D23*(VLOOKUP(D$27,tech_data!$B$2:$O$15,6, FALSE)/100)*(1-(VLOOKUP(D$27,tech_data!$B$2:$O$15,7, FALSE)/100))*8760)/1000</f>
        <v>19306.862049986074</v>
      </c>
      <c r="E47" s="30">
        <f>(E23*(VLOOKUP(E$27,tech_data!$B$2:$O$15,6, FALSE)/100)*(1-(VLOOKUP(E$27,tech_data!$B$2:$O$15,7, FALSE)/100))*8760)/1000</f>
        <v>880.64670319007473</v>
      </c>
      <c r="F47" s="30">
        <f>(F23*(VLOOKUP(F$27,tech_data!$B$2:$O$15,6, FALSE)/100)*(1-(VLOOKUP(F$27,tech_data!$B$2:$O$15,7, FALSE)/100))*8760)/1000</f>
        <v>22435.887361593435</v>
      </c>
      <c r="G47" s="30">
        <f>(G23*(VLOOKUP(G$27,tech_data!$B$2:$O$15,6, FALSE)/100)*(1-(VLOOKUP(G$27,tech_data!$B$2:$O$15,7, FALSE)/100))*8760)/1000</f>
        <v>8080.0477067583715</v>
      </c>
      <c r="H47" s="30">
        <f>(H23*(VLOOKUP(H$27,tech_data!$B$2:$O$15,6, FALSE)/100)*(1-(VLOOKUP(H$27,tech_data!$B$2:$O$15,7, FALSE)/100))*8760)/1000</f>
        <v>519.13107043393848</v>
      </c>
      <c r="I47" s="30">
        <f>(I23*(VLOOKUP(I$27,tech_data!$B$2:$O$15,6, FALSE)/100)*(1-(VLOOKUP(I$27,tech_data!$B$2:$O$15,7, FALSE)/100))*8760)/1000</f>
        <v>4589.2135661453176</v>
      </c>
      <c r="J47" s="30">
        <f>(J23*(VLOOKUP(J$27,tech_data!$B$2:$O$15,6, FALSE)/100)*(1-(VLOOKUP(J$27,tech_data!$B$2:$O$15,7, FALSE)/100))*8760)/1000</f>
        <v>370.2374798541785</v>
      </c>
      <c r="K47" s="30">
        <f>(K23*(VLOOKUP(K$27,tech_data!$B$2:$O$15,6, FALSE)/100)*(1-(VLOOKUP(K$27,tech_data!$B$2:$O$15,7, FALSE)/100))*8760)/1000</f>
        <v>5025.7894519402062</v>
      </c>
      <c r="L47" s="30">
        <f>(L23*(VLOOKUP(L$27,tech_data!$B$2:$O$15,6, FALSE)/100)*(1-(VLOOKUP(L$27,tech_data!$B$2:$O$15,7, FALSE)/100))*8760)/1000</f>
        <v>9253.9360877204435</v>
      </c>
      <c r="M47" s="30">
        <f>(M23*(VLOOKUP(M$27,tech_data!$B$2:$O$15,6, FALSE)/100)*(1-(VLOOKUP(M$27,tech_data!$B$2:$O$15,7, FALSE)/100))*8760)/1000</f>
        <v>1.2488053846153846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20.180940718528753</v>
      </c>
      <c r="Q47" s="34">
        <f t="shared" si="17"/>
        <v>70463.000283006651</v>
      </c>
      <c r="R47" s="34">
        <f>proj_rukn!D121</f>
        <v>70463</v>
      </c>
      <c r="S47" s="35"/>
      <c r="T47" s="19"/>
      <c r="U47" s="20" t="str">
        <f t="shared" si="18"/>
        <v>SULAWESI</v>
      </c>
      <c r="V47" s="20">
        <f t="shared" si="18"/>
        <v>2038</v>
      </c>
      <c r="W47" s="29">
        <f t="shared" si="19"/>
        <v>0.2739999996089047</v>
      </c>
      <c r="X47" s="29">
        <f t="shared" si="19"/>
        <v>1.2498001783248756E-2</v>
      </c>
      <c r="Y47" s="29">
        <f t="shared" si="19"/>
        <v>0.318406642798096</v>
      </c>
      <c r="Z47" s="29">
        <f t="shared" si="19"/>
        <v>0.11467078714085088</v>
      </c>
      <c r="AA47" s="29">
        <f t="shared" si="19"/>
        <v>7.3674278465138783E-3</v>
      </c>
      <c r="AB47" s="29">
        <f t="shared" si="19"/>
        <v>6.5129409019105938E-2</v>
      </c>
      <c r="AC47" s="29">
        <f t="shared" si="19"/>
        <v>5.2543530415560171E-3</v>
      </c>
      <c r="AD47" s="29">
        <f t="shared" si="19"/>
        <v>7.1325226455795129E-2</v>
      </c>
      <c r="AE47" s="29">
        <f t="shared" ref="AE47:AI47" si="51">L47/$Q47</f>
        <v>0.13133042945308968</v>
      </c>
      <c r="AF47" s="29">
        <f t="shared" si="51"/>
        <v>1.77228528390744E-5</v>
      </c>
      <c r="AG47" s="29">
        <f t="shared" si="51"/>
        <v>0</v>
      </c>
      <c r="AH47" s="29">
        <f t="shared" si="51"/>
        <v>0</v>
      </c>
      <c r="AI47" s="29">
        <f t="shared" si="51"/>
        <v>2.8640478886045572E-4</v>
      </c>
      <c r="AJ47" s="29">
        <f t="shared" si="20"/>
        <v>1</v>
      </c>
      <c r="AM47" s="23"/>
      <c r="AO47" s="20" t="str">
        <f t="shared" si="39"/>
        <v>SULAWESI</v>
      </c>
      <c r="AP47" s="20">
        <f t="shared" si="40"/>
        <v>2038</v>
      </c>
      <c r="AQ47" s="25">
        <f t="shared" si="21"/>
        <v>0.2739999996089047</v>
      </c>
      <c r="AR47" s="25">
        <f t="shared" si="22"/>
        <v>0.33090464458134478</v>
      </c>
      <c r="AS47" s="25">
        <f t="shared" si="23"/>
        <v>0.11467078714085088</v>
      </c>
      <c r="AT47" s="37">
        <f t="shared" si="24"/>
        <v>0.2804245686688997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0.12428565168347745</v>
      </c>
      <c r="AZ47" s="25">
        <f t="shared" si="47"/>
        <v>0.27160000000000001</v>
      </c>
      <c r="BA47" s="24">
        <f t="shared" si="34"/>
        <v>0.94968565168347752</v>
      </c>
      <c r="BJ47" s="19"/>
      <c r="BK47" s="20" t="str">
        <f t="shared" si="44"/>
        <v>SULAWESI</v>
      </c>
      <c r="BL47" s="20">
        <f t="shared" si="45"/>
        <v>2038</v>
      </c>
      <c r="BM47" s="34">
        <f>proj_rukn!E121</f>
        <v>10635.62578470466</v>
      </c>
      <c r="BN47" s="30">
        <f t="shared" si="26"/>
        <v>12230.969652410358</v>
      </c>
      <c r="BO47" s="30">
        <f t="shared" si="35"/>
        <v>15119.888634274592</v>
      </c>
      <c r="BQ47" s="30">
        <f t="shared" si="27"/>
        <v>4892.3878609641433</v>
      </c>
      <c r="BR47" s="30">
        <f t="shared" si="36"/>
        <v>12168.952418427401</v>
      </c>
      <c r="BS47" s="30"/>
      <c r="BT47" s="30">
        <f t="shared" si="28"/>
        <v>2446.1939304820717</v>
      </c>
      <c r="BU47" s="30">
        <f t="shared" si="37"/>
        <v>2950.9362158471913</v>
      </c>
      <c r="BW47" s="30">
        <f t="shared" si="29"/>
        <v>3.4588374730329798</v>
      </c>
      <c r="BX47" s="30">
        <f t="shared" si="38"/>
        <v>0</v>
      </c>
      <c r="BZ47" s="24">
        <f t="shared" si="46"/>
        <v>0.12225625707150717</v>
      </c>
      <c r="CA47" s="24">
        <f t="shared" si="30"/>
        <v>0.25434728060510847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SULAWESI</v>
      </c>
      <c r="C52" s="20">
        <f t="shared" si="52"/>
        <v>2019</v>
      </c>
      <c r="D52" s="30">
        <f>(sulawesi!D28*3.6/(VLOOKUP(D$51,tech_data!$B$2:$J$15,4,FALSE)/100))/1000</f>
        <v>128.01496382068964</v>
      </c>
      <c r="E52" s="30">
        <f>(sulawesi!E28*3.6/(VLOOKUP(E$51,tech_data!$B$2:$J$15,4,FALSE)/100))/1000</f>
        <v>8.7116116674254496</v>
      </c>
      <c r="F52" s="30">
        <f>(sulawesi!F28*3.6/(VLOOKUP(F$51,tech_data!$B$2:$J$15,4,FALSE)/100))/1000</f>
        <v>5.3799930830769229</v>
      </c>
      <c r="G52" s="30">
        <f>(sulawesi!G28*3.6/(VLOOKUP(G$51,tech_data!$B$2:$J$15,4,FALSE)/100))/1000</f>
        <v>35.038799921016725</v>
      </c>
      <c r="H52" s="30">
        <f>(sulawesi!H28*3.6/(VLOOKUP(H$51,tech_data!$B$2:$J$15,4,FALSE)/100))/1000</f>
        <v>13.843495384615382</v>
      </c>
      <c r="I52" s="30">
        <f>(sulawesi!I28*3.6/(VLOOKUP(I$51,tech_data!$B$2:$J$15,4,FALSE)/100))/1000</f>
        <v>13.945434615138463</v>
      </c>
      <c r="J52" s="30">
        <f>(sulawesi!J28*3.6/(VLOOKUP(J$51,tech_data!$B$2:$J$15,4,FALSE)/100))/1000</f>
        <v>1.6660687126153846</v>
      </c>
      <c r="K52" s="30">
        <f>K28*3.6/1000</f>
        <v>2.8079654399999997E-2</v>
      </c>
      <c r="L52" s="30">
        <f>L28*3.6/1000</f>
        <v>0</v>
      </c>
      <c r="M52" s="30">
        <f>(sulawesi!M28*3.6/(VLOOKUP(M$51,tech_data!$B$2:$J$15,4,FALSE)/100))/1000</f>
        <v>1.4502256079404467E-2</v>
      </c>
      <c r="N52" s="30">
        <f>N28*3.6/1000</f>
        <v>0</v>
      </c>
      <c r="O52" s="30">
        <f>(sulawesi!O28*3.6/(VLOOKUP(O$51,tech_data!$B$2:$J$15,4,FALSE)/100))/1000</f>
        <v>0</v>
      </c>
      <c r="P52" s="30">
        <v>0</v>
      </c>
      <c r="Q52" s="30">
        <f t="shared" ref="Q52:Q71" si="53">SUM(D52:O52)</f>
        <v>206.64294911505735</v>
      </c>
      <c r="R52" s="30"/>
      <c r="T52" s="19"/>
      <c r="U52" s="20" t="str">
        <f t="shared" ref="U52:V71" si="54">B52</f>
        <v>SULAWESI</v>
      </c>
      <c r="V52" s="20">
        <f t="shared" si="54"/>
        <v>2019</v>
      </c>
      <c r="W52" s="30">
        <f>D52*VLOOKUP(W$51,tech_data!$B$2:$K$15,10,FALSE)*1000</f>
        <v>12765652.192199172</v>
      </c>
      <c r="X52" s="30">
        <f>E52*VLOOKUP(X$51,tech_data!$B$2:$K$15,10,FALSE)*1000</f>
        <v>540991.08454712038</v>
      </c>
      <c r="Y52" s="30">
        <f>F52*VLOOKUP(Y$51,tech_data!$B$2:$K$15,10,FALSE)*1000</f>
        <v>334097.5704590769</v>
      </c>
      <c r="Z52" s="30">
        <f>G52*VLOOKUP(Z$51,tech_data!$B$2:$K$15,10,FALSE)*1000</f>
        <v>2633866.5900628269</v>
      </c>
      <c r="AA52" s="30">
        <f>H28*VLOOKUP(AA$51,tech_data!$B$2:$K$15,10,FALSE)/1000</f>
        <v>32.653344738461534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1629.4734930818859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16276269.564106019</v>
      </c>
      <c r="AK52" s="25"/>
      <c r="AM52" s="23"/>
      <c r="AO52" s="20" t="str">
        <f t="shared" ref="AO52:AP71" si="56">U52</f>
        <v>SULAWESI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131.19080867006963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6.496506944274155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7.182120563185566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7.1007160817294661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3.9413370249321025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31.348889790170919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3.1504357941594194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4.5791999999999999E-2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2.1583612400403008E-2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190.47819048092168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SULAWESI</v>
      </c>
      <c r="C53" s="20">
        <f t="shared" si="52"/>
        <v>2020</v>
      </c>
      <c r="D53" s="30">
        <f>(sulawesi!D29*3.6/(VLOOKUP(D$51,tech_data!$B$2:$J$15,4,FALSE)/100))/1000</f>
        <v>128.01496382068964</v>
      </c>
      <c r="E53" s="30">
        <f>(sulawesi!E29*3.6/(VLOOKUP(E$51,tech_data!$B$2:$J$15,4,FALSE)/100))/1000</f>
        <v>8.8887705224518623</v>
      </c>
      <c r="F53" s="30">
        <f>(sulawesi!F29*3.6/(VLOOKUP(F$51,tech_data!$B$2:$J$15,4,FALSE)/100))/1000</f>
        <v>8.5236018879517381</v>
      </c>
      <c r="G53" s="30">
        <f>(sulawesi!G29*3.6/(VLOOKUP(G$51,tech_data!$B$2:$J$15,4,FALSE)/100))/1000</f>
        <v>35.038799921016725</v>
      </c>
      <c r="H53" s="30">
        <f>(sulawesi!H29*3.6/(VLOOKUP(H$51,tech_data!$B$2:$J$15,4,FALSE)/100))/1000</f>
        <v>13.843495384615382</v>
      </c>
      <c r="I53" s="30">
        <f>(sulawesi!I29*3.6/(VLOOKUP(I$51,tech_data!$B$2:$J$15,4,FALSE)/100))/1000</f>
        <v>13.945434615138463</v>
      </c>
      <c r="J53" s="30">
        <f>(sulawesi!J29*3.6/(VLOOKUP(J$51,tech_data!$B$2:$J$15,4,FALSE)/100))/1000</f>
        <v>1.6660687126153846</v>
      </c>
      <c r="K53" s="30">
        <f t="shared" ref="K53:L53" si="57">K29*3.6/1000</f>
        <v>0.88061816561366979</v>
      </c>
      <c r="L53" s="30">
        <f t="shared" si="57"/>
        <v>0</v>
      </c>
      <c r="M53" s="30">
        <f>(sulawesi!M29*3.6/(VLOOKUP(M$51,tech_data!$B$2:$J$15,4,FALSE)/100))/1000</f>
        <v>1.4502256079404467E-2</v>
      </c>
      <c r="N53" s="30">
        <f t="shared" ref="N53:N71" si="58">N29*3.6/1000</f>
        <v>0</v>
      </c>
      <c r="O53" s="30">
        <f>(sulawesi!O29*3.6/(VLOOKUP(O$51,tech_data!$B$2:$J$15,4,FALSE)/100))/1000</f>
        <v>0</v>
      </c>
      <c r="P53" s="30">
        <v>0</v>
      </c>
      <c r="Q53" s="30">
        <f t="shared" si="53"/>
        <v>210.81625528617226</v>
      </c>
      <c r="R53" s="30"/>
      <c r="T53" s="19"/>
      <c r="U53" s="20" t="str">
        <f t="shared" si="54"/>
        <v>SULAWESI</v>
      </c>
      <c r="V53" s="20">
        <f t="shared" si="54"/>
        <v>2020</v>
      </c>
      <c r="W53" s="30">
        <f>D53*VLOOKUP(W$51,tech_data!$B$2:$K$15,10,FALSE)*1000</f>
        <v>12765652.192199172</v>
      </c>
      <c r="X53" s="30">
        <f>E53*VLOOKUP(X$51,tech_data!$B$2:$K$15,10,FALSE)*1000</f>
        <v>551992.64944426063</v>
      </c>
      <c r="Y53" s="30">
        <f>F53*VLOOKUP(Y$51,tech_data!$B$2:$K$15,10,FALSE)*1000</f>
        <v>529315.67724180303</v>
      </c>
      <c r="Z53" s="30">
        <f>G53*VLOOKUP(Z$51,tech_data!$B$2:$K$15,10,FALSE)*1000</f>
        <v>2633866.5900628269</v>
      </c>
      <c r="AA53" s="30">
        <f>H29*VLOOKUP(AA$51,tech_data!$B$2:$K$15,10,FALSE)/1000</f>
        <v>32.653344738461534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1629.4734930818859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16482489.235785885</v>
      </c>
      <c r="AK53" s="25">
        <f>(AJ53-AJ52)/AJ52</f>
        <v>1.2669959223005303E-2</v>
      </c>
      <c r="AL53" s="24">
        <v>6.7000000000000004E-2</v>
      </c>
      <c r="AM53" s="26"/>
      <c r="AN53" s="24"/>
      <c r="AO53" s="20" t="str">
        <f t="shared" si="56"/>
        <v>SULAWESI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131.19080867006963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10.895165870736708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131.63069496551927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7.1007160817294661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3.9413370249321025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31.348889790170919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3.1504357941594194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145.48773740618799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2.1583612400403008E-2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1.531247850329617</v>
      </c>
      <c r="BD53" s="30">
        <f>SUM(AQ53:BC53)</f>
        <v>466.29861706623552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SULAWESI</v>
      </c>
      <c r="C54" s="20">
        <f t="shared" si="52"/>
        <v>2021</v>
      </c>
      <c r="D54" s="30">
        <f>(sulawesi!D30*3.6/(VLOOKUP(D$51,tech_data!$B$2:$J$15,4,FALSE)/100))/1000</f>
        <v>128.01496377554241</v>
      </c>
      <c r="E54" s="30">
        <f>(sulawesi!E30*3.6/(VLOOKUP(E$51,tech_data!$B$2:$J$15,4,FALSE)/100))/1000</f>
        <v>8.8887704922786455</v>
      </c>
      <c r="F54" s="30">
        <f>(sulawesi!F30*3.6/(VLOOKUP(F$51,tech_data!$B$2:$J$15,4,FALSE)/100))/1000</f>
        <v>26.306641906848622</v>
      </c>
      <c r="G54" s="30">
        <f>(sulawesi!G30*3.6/(VLOOKUP(G$51,tech_data!$B$2:$J$15,4,FALSE)/100))/1000</f>
        <v>35.038799921016725</v>
      </c>
      <c r="H54" s="30">
        <f>(sulawesi!H30*3.6/(VLOOKUP(H$51,tech_data!$B$2:$J$15,4,FALSE)/100))/1000</f>
        <v>13.843495384615382</v>
      </c>
      <c r="I54" s="30">
        <f>(sulawesi!I30*3.6/(VLOOKUP(I$51,tech_data!$B$2:$J$15,4,FALSE)/100))/1000</f>
        <v>13.945434615138463</v>
      </c>
      <c r="J54" s="30">
        <f>(sulawesi!J30*3.6/(VLOOKUP(J$51,tech_data!$B$2:$J$15,4,FALSE)/100))/1000</f>
        <v>1.6660687126153846</v>
      </c>
      <c r="K54" s="30">
        <f t="shared" ref="K54:L54" si="59">K30*3.6/1000</f>
        <v>0.92712955813433406</v>
      </c>
      <c r="L54" s="30">
        <f t="shared" si="59"/>
        <v>0</v>
      </c>
      <c r="M54" s="30">
        <f>(sulawesi!M30*3.6/(VLOOKUP(M$51,tech_data!$B$2:$J$15,4,FALSE)/100))/1000</f>
        <v>1.4502256079404467E-2</v>
      </c>
      <c r="N54" s="30">
        <f t="shared" si="58"/>
        <v>0</v>
      </c>
      <c r="O54" s="30">
        <f>(sulawesi!O30*3.6/(VLOOKUP(O$51,tech_data!$B$2:$J$15,4,FALSE)/100))/1000</f>
        <v>0</v>
      </c>
      <c r="P54" s="30">
        <v>0</v>
      </c>
      <c r="Q54" s="30">
        <f t="shared" si="53"/>
        <v>228.64580662226936</v>
      </c>
      <c r="R54" s="30"/>
      <c r="T54" s="19"/>
      <c r="U54" s="20" t="str">
        <f t="shared" si="54"/>
        <v>SULAWESI</v>
      </c>
      <c r="V54" s="20">
        <f t="shared" si="54"/>
        <v>2021</v>
      </c>
      <c r="W54" s="30">
        <f>D54*VLOOKUP(W$51,tech_data!$B$2:$K$15,10,FALSE)*1000</f>
        <v>12765652.187697088</v>
      </c>
      <c r="X54" s="30">
        <f>E54*VLOOKUP(X$51,tech_data!$B$2:$K$15,10,FALSE)*1000</f>
        <v>551992.64757050388</v>
      </c>
      <c r="Y54" s="30">
        <f>F54*VLOOKUP(Y$51,tech_data!$B$2:$K$15,10,FALSE)*1000</f>
        <v>1633642.4624152994</v>
      </c>
      <c r="Z54" s="30">
        <f>G54*VLOOKUP(Z$51,tech_data!$B$2:$K$15,10,FALSE)*1000</f>
        <v>2633866.5900628269</v>
      </c>
      <c r="AA54" s="30">
        <f>H30*VLOOKUP(AA$51,tech_data!$B$2:$K$15,10,FALSE)/1000</f>
        <v>32.653344738461534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1629.4734930818859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17586816.014583539</v>
      </c>
      <c r="AK54" s="25">
        <f t="shared" ref="AK54:AK71" si="60">(AJ54-AJ53)/AJ53</f>
        <v>6.7000000000000004E-2</v>
      </c>
      <c r="AL54" s="24">
        <f>AL53</f>
        <v>6.7000000000000004E-2</v>
      </c>
      <c r="AM54" s="26"/>
      <c r="AN54" s="24"/>
      <c r="AO54" s="20" t="str">
        <f t="shared" si="56"/>
        <v>SULAWESI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131.19080714491352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6.6286188024925279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715.3702709735411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7.1007160817294661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3.9413370249321025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31.348889790170919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3.1504357941594194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9.3708848932246589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2.1583612400403008E-2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0.18853478547817737</v>
      </c>
      <c r="BD54" s="30">
        <f t="shared" ref="BD54:BD71" si="61">SUM(AQ54:BC54)</f>
        <v>908.31207890304233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SULAWESI</v>
      </c>
      <c r="C55" s="20">
        <f t="shared" si="52"/>
        <v>2022</v>
      </c>
      <c r="D55" s="30">
        <f>(sulawesi!D31*3.6/(VLOOKUP(D$51,tech_data!$B$2:$J$15,4,FALSE)/100))/1000</f>
        <v>133.23378069455316</v>
      </c>
      <c r="E55" s="30">
        <f>(sulawesi!E31*3.6/(VLOOKUP(E$51,tech_data!$B$2:$J$15,4,FALSE)/100))/1000</f>
        <v>8.8887704621054286</v>
      </c>
      <c r="F55" s="30">
        <f>(sulawesi!F31*3.6/(VLOOKUP(F$51,tech_data!$B$2:$J$15,4,FALSE)/100))/1000</f>
        <v>36.900784446093567</v>
      </c>
      <c r="G55" s="30">
        <f>(sulawesi!G31*3.6/(VLOOKUP(G$51,tech_data!$B$2:$J$15,4,FALSE)/100))/1000</f>
        <v>35.038799921016725</v>
      </c>
      <c r="H55" s="30">
        <f>(sulawesi!H31*3.6/(VLOOKUP(H$51,tech_data!$B$2:$J$15,4,FALSE)/100))/1000</f>
        <v>13.843495384615382</v>
      </c>
      <c r="I55" s="30">
        <f>(sulawesi!I31*3.6/(VLOOKUP(I$51,tech_data!$B$2:$J$15,4,FALSE)/100))/1000</f>
        <v>13.945434615138463</v>
      </c>
      <c r="J55" s="30">
        <f>(sulawesi!J31*3.6/(VLOOKUP(J$51,tech_data!$B$2:$J$15,4,FALSE)/100))/1000</f>
        <v>1.6660686859795941</v>
      </c>
      <c r="K55" s="30">
        <f t="shared" ref="K55:L55" si="62">K31*3.6/1000</f>
        <v>10.981096185886798</v>
      </c>
      <c r="L55" s="30">
        <f t="shared" si="62"/>
        <v>0</v>
      </c>
      <c r="M55" s="30">
        <f>(sulawesi!M31*3.6/(VLOOKUP(M$51,tech_data!$B$2:$J$15,4,FALSE)/100))/1000</f>
        <v>1.4502256079404467E-2</v>
      </c>
      <c r="N55" s="30">
        <f t="shared" si="58"/>
        <v>0</v>
      </c>
      <c r="O55" s="30">
        <f>(sulawesi!O31*3.6/(VLOOKUP(O$51,tech_data!$B$2:$J$15,4,FALSE)/100))/1000</f>
        <v>0</v>
      </c>
      <c r="P55" s="30">
        <v>0</v>
      </c>
      <c r="Q55" s="30">
        <f t="shared" si="53"/>
        <v>254.51273265146853</v>
      </c>
      <c r="R55" s="30"/>
      <c r="T55" s="19"/>
      <c r="U55" s="20" t="str">
        <f t="shared" si="54"/>
        <v>SULAWESI</v>
      </c>
      <c r="V55" s="20">
        <f t="shared" si="54"/>
        <v>2022</v>
      </c>
      <c r="W55" s="30">
        <f>D55*VLOOKUP(W$51,tech_data!$B$2:$K$15,10,FALSE)*1000</f>
        <v>13286072.610860841</v>
      </c>
      <c r="X55" s="30">
        <f>E55*VLOOKUP(X$51,tech_data!$B$2:$K$15,10,FALSE)*1000</f>
        <v>551992.64569674712</v>
      </c>
      <c r="Y55" s="30">
        <f>F55*VLOOKUP(Y$51,tech_data!$B$2:$K$15,10,FALSE)*1000</f>
        <v>2291538.7141024107</v>
      </c>
      <c r="Z55" s="30">
        <f>G55*VLOOKUP(Z$51,tech_data!$B$2:$K$15,10,FALSE)*1000</f>
        <v>2633866.5900628269</v>
      </c>
      <c r="AA55" s="30">
        <f>H31*VLOOKUP(AA$51,tech_data!$B$2:$K$15,10,FALSE)/1000</f>
        <v>32.653344738461534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1629.4734930818859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18765132.687560644</v>
      </c>
      <c r="AK55" s="25">
        <f t="shared" si="60"/>
        <v>6.7000000000000434E-2</v>
      </c>
      <c r="AL55" s="24">
        <f>AL54</f>
        <v>6.7000000000000004E-2</v>
      </c>
      <c r="AM55" s="26"/>
      <c r="AN55" s="24"/>
      <c r="AO55" s="20" t="str">
        <f t="shared" si="56"/>
        <v>SULAWESI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307.49201528731692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6.6286187799914655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454.51739055881126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7.1007160817294661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3.9413370249321025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31.348889790170919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3.150433180459407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1716.7053971972448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2.1583612400403008E-2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0.45585469113080945</v>
      </c>
      <c r="BD55" s="30">
        <f t="shared" si="61"/>
        <v>2531.3622362041874</v>
      </c>
      <c r="BE55" s="20">
        <v>2022</v>
      </c>
      <c r="BF55" s="23"/>
      <c r="BG55" s="19"/>
      <c r="BH55" s="30"/>
      <c r="BI55" s="30">
        <f>MIN($BD$53)</f>
        <v>466.29861706623552</v>
      </c>
      <c r="BJ55" s="30">
        <f>MIN($BD$54)</f>
        <v>908.31207890304233</v>
      </c>
      <c r="BK55" s="30">
        <f t="shared" ref="BK55" si="63">MIN($BD$55)</f>
        <v>2531.3622362041874</v>
      </c>
      <c r="BL55" s="30">
        <f>MIN($BD$56)</f>
        <v>2802.1858350494108</v>
      </c>
      <c r="BM55" s="30">
        <f>MIN($BD$57)</f>
        <v>2156.6816505888241</v>
      </c>
      <c r="BN55" s="30">
        <f>MIN($BD$58)</f>
        <v>1368.7938518460708</v>
      </c>
      <c r="BO55" s="30">
        <f>MIN($BD$59)</f>
        <v>1094.095167013058</v>
      </c>
      <c r="BP55" s="30">
        <f>MIN($BD$60)</f>
        <v>1718.8530094712312</v>
      </c>
      <c r="BQ55" s="30">
        <f>MIN($BD$61)</f>
        <v>834.5894810635707</v>
      </c>
      <c r="BR55" s="30">
        <f>MIN($BD$62)</f>
        <v>477.15550776663321</v>
      </c>
      <c r="BS55" s="30">
        <f>MIN($BD$63)</f>
        <v>477.15550776663321</v>
      </c>
      <c r="BT55" s="30">
        <f>MIN($BD$64)</f>
        <v>477.15550776663321</v>
      </c>
      <c r="BU55" s="30">
        <f>MIN($BD$65)</f>
        <v>477.15550776663321</v>
      </c>
      <c r="BV55" s="30">
        <f>MIN($BD$66)</f>
        <v>477.15550776663321</v>
      </c>
      <c r="BW55" s="30">
        <f>MIN($BD$67)</f>
        <v>477.15550776663321</v>
      </c>
      <c r="BX55" s="30">
        <f>MIN($BD$68)</f>
        <v>482.92992968279469</v>
      </c>
      <c r="BY55" s="30">
        <f>MIN($BD$69)</f>
        <v>1167.8129228715252</v>
      </c>
      <c r="BZ55" s="30">
        <f>MIN($BD$70)</f>
        <v>2005.966330939091</v>
      </c>
      <c r="CA55" s="30">
        <f>MIN($BD$71)</f>
        <v>2457.7541848142387</v>
      </c>
      <c r="CD55" s="23"/>
    </row>
    <row r="56" spans="1:82" x14ac:dyDescent="0.25">
      <c r="A56" s="19"/>
      <c r="B56" s="20" t="str">
        <f t="shared" si="52"/>
        <v>SULAWESI</v>
      </c>
      <c r="C56" s="20">
        <f t="shared" si="52"/>
        <v>2023</v>
      </c>
      <c r="D56" s="30">
        <f>(sulawesi!D32*3.6/(VLOOKUP(D$51,tech_data!$B$2:$J$15,4,FALSE)/100))/1000</f>
        <v>140.57804700054157</v>
      </c>
      <c r="E56" s="30">
        <f>(sulawesi!E32*3.6/(VLOOKUP(E$51,tech_data!$B$2:$J$15,4,FALSE)/100))/1000</f>
        <v>8.8887704621054286</v>
      </c>
      <c r="F56" s="30">
        <f>(sulawesi!F32*3.6/(VLOOKUP(F$51,tech_data!$B$2:$J$15,4,FALSE)/100))/1000</f>
        <v>45.353178231863119</v>
      </c>
      <c r="G56" s="30">
        <f>(sulawesi!G32*3.6/(VLOOKUP(G$51,tech_data!$B$2:$J$15,4,FALSE)/100))/1000</f>
        <v>35.038799921016725</v>
      </c>
      <c r="H56" s="30">
        <f>(sulawesi!H32*3.6/(VLOOKUP(H$51,tech_data!$B$2:$J$15,4,FALSE)/100))/1000</f>
        <v>13.843495211571691</v>
      </c>
      <c r="I56" s="30">
        <f>(sulawesi!I32*3.6/(VLOOKUP(I$51,tech_data!$B$2:$J$15,4,FALSE)/100))/1000</f>
        <v>17.390704040129627</v>
      </c>
      <c r="J56" s="30">
        <f>(sulawesi!J32*3.6/(VLOOKUP(J$51,tech_data!$B$2:$J$15,4,FALSE)/100))/1000</f>
        <v>1.6660686593438032</v>
      </c>
      <c r="K56" s="30">
        <f t="shared" ref="K56:L56" si="64">K32*3.6/1000</f>
        <v>18.092842026984741</v>
      </c>
      <c r="L56" s="30">
        <f t="shared" si="64"/>
        <v>2.6211897150288843</v>
      </c>
      <c r="M56" s="30">
        <f>(sulawesi!M32*3.6/(VLOOKUP(M$51,tech_data!$B$2:$J$15,4,FALSE)/100))/1000</f>
        <v>1.4502256079404467E-2</v>
      </c>
      <c r="N56" s="30">
        <f t="shared" si="58"/>
        <v>0</v>
      </c>
      <c r="O56" s="30">
        <f>(sulawesi!O32*3.6/(VLOOKUP(O$51,tech_data!$B$2:$J$15,4,FALSE)/100))/1000</f>
        <v>0</v>
      </c>
      <c r="P56" s="30">
        <v>0</v>
      </c>
      <c r="Q56" s="30">
        <f t="shared" si="53"/>
        <v>283.48759752466503</v>
      </c>
      <c r="R56" s="30"/>
      <c r="T56" s="19"/>
      <c r="U56" s="20" t="str">
        <f t="shared" si="54"/>
        <v>SULAWESI</v>
      </c>
      <c r="V56" s="20">
        <f t="shared" si="54"/>
        <v>2023</v>
      </c>
      <c r="W56" s="30">
        <f>D56*VLOOKUP(W$51,tech_data!$B$2:$K$15,10,FALSE)*1000</f>
        <v>14018442.846894005</v>
      </c>
      <c r="X56" s="30">
        <f>E56*VLOOKUP(X$51,tech_data!$B$2:$K$15,10,FALSE)*1000</f>
        <v>551992.64569674712</v>
      </c>
      <c r="Y56" s="30">
        <f>F56*VLOOKUP(Y$51,tech_data!$B$2:$K$15,10,FALSE)*1000</f>
        <v>2816432.3681986998</v>
      </c>
      <c r="Z56" s="30">
        <f>G56*VLOOKUP(Z$51,tech_data!$B$2:$K$15,10,FALSE)*1000</f>
        <v>2633866.5900628269</v>
      </c>
      <c r="AA56" s="30">
        <f>H32*VLOOKUP(AA$51,tech_data!$B$2:$K$15,10,FALSE)/1000</f>
        <v>32.653344330294729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1629.4734930818859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20022396.577689689</v>
      </c>
      <c r="AK56" s="25">
        <f t="shared" si="60"/>
        <v>6.700000000332966E-2</v>
      </c>
      <c r="AL56" s="24">
        <f t="shared" ref="AL56:AL70" si="65">AL55</f>
        <v>6.7000000000000004E-2</v>
      </c>
      <c r="AM56" s="26"/>
      <c r="AN56" s="24"/>
      <c r="AO56" s="20" t="str">
        <f t="shared" si="56"/>
        <v>SULAWESI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384.64188093628792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6.6286195066581302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383.87310228940123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7.1007160817294661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3.9413331206653992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464.39507622576815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3.150433130092734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1231.1623133773091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316.77309352247306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2.1583612400403008E-2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0.49768324662500374</v>
      </c>
      <c r="BD56" s="30">
        <f t="shared" si="61"/>
        <v>2802.1858350494108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SULAWESI</v>
      </c>
      <c r="C57" s="20">
        <f t="shared" si="52"/>
        <v>2024</v>
      </c>
      <c r="D57" s="30">
        <f>(sulawesi!D33*3.6/(VLOOKUP(D$51,tech_data!$B$2:$J$15,4,FALSE)/100))/1000</f>
        <v>142.73042013763606</v>
      </c>
      <c r="E57" s="30">
        <f>(sulawesi!E33*3.6/(VLOOKUP(E$51,tech_data!$B$2:$J$15,4,FALSE)/100))/1000</f>
        <v>8.8887704621054286</v>
      </c>
      <c r="F57" s="30">
        <f>(sulawesi!F33*3.6/(VLOOKUP(F$51,tech_data!$B$2:$J$15,4,FALSE)/100))/1000</f>
        <v>63.499166712828028</v>
      </c>
      <c r="G57" s="30">
        <f>(sulawesi!G33*3.6/(VLOOKUP(G$51,tech_data!$B$2:$J$15,4,FALSE)/100))/1000</f>
        <v>35.038799921016725</v>
      </c>
      <c r="H57" s="30">
        <f>(sulawesi!H33*3.6/(VLOOKUP(H$51,tech_data!$B$2:$J$15,4,FALSE)/100))/1000</f>
        <v>13.843495211571691</v>
      </c>
      <c r="I57" s="30">
        <f>(sulawesi!I33*3.6/(VLOOKUP(I$51,tech_data!$B$2:$J$15,4,FALSE)/100))/1000</f>
        <v>17.390704040129627</v>
      </c>
      <c r="J57" s="30">
        <f>(sulawesi!J33*3.6/(VLOOKUP(J$51,tech_data!$B$2:$J$15,4,FALSE)/100))/1000</f>
        <v>1.6660686593438032</v>
      </c>
      <c r="K57" s="30">
        <f t="shared" ref="K57:L57" si="66">K33*3.6/1000</f>
        <v>18.092842026984741</v>
      </c>
      <c r="L57" s="30">
        <f t="shared" si="66"/>
        <v>11.383314868163524</v>
      </c>
      <c r="M57" s="30">
        <f>(sulawesi!M33*3.6/(VLOOKUP(M$51,tech_data!$B$2:$J$15,4,FALSE)/100))/1000</f>
        <v>1.4502256079404467E-2</v>
      </c>
      <c r="N57" s="30">
        <f t="shared" si="58"/>
        <v>0</v>
      </c>
      <c r="O57" s="30">
        <f>(sulawesi!O33*3.6/(VLOOKUP(O$51,tech_data!$B$2:$J$15,4,FALSE)/100))/1000</f>
        <v>0</v>
      </c>
      <c r="P57" s="30">
        <v>0</v>
      </c>
      <c r="Q57" s="30">
        <f t="shared" si="53"/>
        <v>312.54808429585904</v>
      </c>
      <c r="R57" s="30"/>
      <c r="T57" s="19"/>
      <c r="U57" s="20" t="str">
        <f t="shared" si="54"/>
        <v>SULAWESI</v>
      </c>
      <c r="V57" s="20">
        <f t="shared" si="54"/>
        <v>2024</v>
      </c>
      <c r="W57" s="30">
        <f>D57*VLOOKUP(W$51,tech_data!$B$2:$K$15,10,FALSE)*1000</f>
        <v>14233077.496125069</v>
      </c>
      <c r="X57" s="30">
        <f>E57*VLOOKUP(X$51,tech_data!$B$2:$K$15,10,FALSE)*1000</f>
        <v>551992.64569674712</v>
      </c>
      <c r="Y57" s="30">
        <f>F57*VLOOKUP(Y$51,tech_data!$B$2:$K$15,10,FALSE)*1000</f>
        <v>3943298.2528666207</v>
      </c>
      <c r="Z57" s="30">
        <f>G57*VLOOKUP(Z$51,tech_data!$B$2:$K$15,10,FALSE)*1000</f>
        <v>2633866.5900628269</v>
      </c>
      <c r="AA57" s="30">
        <f>H33*VLOOKUP(AA$51,tech_data!$B$2:$K$15,10,FALSE)/1000</f>
        <v>32.653344330294729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1629.4734930818859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21363897.111588676</v>
      </c>
      <c r="AK57" s="25">
        <f t="shared" si="60"/>
        <v>6.6999998161747412E-2</v>
      </c>
      <c r="AL57" s="24">
        <f t="shared" si="65"/>
        <v>6.7000000000000004E-2</v>
      </c>
      <c r="AM57" s="26"/>
      <c r="AN57" s="24"/>
      <c r="AO57" s="20" t="str">
        <f t="shared" si="56"/>
        <v>SULAWESI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216.77667364061736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6.6286195066581302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778.90492342032928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7.1007160817294661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3.9413369756653895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39.093744969101543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3.1504356934260609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29.505613220783989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1071.0789731515199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2.1583612400403008E-2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0.47903031659275397</v>
      </c>
      <c r="BD57" s="30">
        <f t="shared" si="61"/>
        <v>2156.6816505888241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SULAWESI</v>
      </c>
      <c r="C58" s="20">
        <f t="shared" si="52"/>
        <v>2025</v>
      </c>
      <c r="D58" s="30">
        <f>(sulawesi!D34*3.6/(VLOOKUP(D$51,tech_data!$B$2:$J$15,4,FALSE)/100))/1000</f>
        <v>142.73042013763606</v>
      </c>
      <c r="E58" s="30">
        <f>(sulawesi!E34*3.6/(VLOOKUP(E$51,tech_data!$B$2:$J$15,4,FALSE)/100))/1000</f>
        <v>8.8887704621054286</v>
      </c>
      <c r="F58" s="30">
        <f>(sulawesi!F34*3.6/(VLOOKUP(F$51,tech_data!$B$2:$J$15,4,FALSE)/100))/1000</f>
        <v>86.548784115807877</v>
      </c>
      <c r="G58" s="30">
        <f>(sulawesi!G34*3.6/(VLOOKUP(G$51,tech_data!$B$2:$J$15,4,FALSE)/100))/1000</f>
        <v>35.038799921016725</v>
      </c>
      <c r="H58" s="30">
        <f>(sulawesi!H34*3.6/(VLOOKUP(H$51,tech_data!$B$2:$J$15,4,FALSE)/100))/1000</f>
        <v>13.843495211571691</v>
      </c>
      <c r="I58" s="30">
        <f>(sulawesi!I34*3.6/(VLOOKUP(I$51,tech_data!$B$2:$J$15,4,FALSE)/100))/1000</f>
        <v>17.390704040129627</v>
      </c>
      <c r="J58" s="30">
        <f>(sulawesi!J34*3.6/(VLOOKUP(J$51,tech_data!$B$2:$J$15,4,FALSE)/100))/1000</f>
        <v>1.6660686593438032</v>
      </c>
      <c r="K58" s="30">
        <f t="shared" ref="K58:L58" si="67">K34*3.6/1000</f>
        <v>18.092842026984741</v>
      </c>
      <c r="L58" s="30">
        <f t="shared" si="67"/>
        <v>12.067703956253235</v>
      </c>
      <c r="M58" s="30">
        <f>(sulawesi!M34*3.6/(VLOOKUP(M$51,tech_data!$B$2:$J$15,4,FALSE)/100))/1000</f>
        <v>1.4502256079404467E-2</v>
      </c>
      <c r="N58" s="30">
        <f t="shared" si="58"/>
        <v>0</v>
      </c>
      <c r="O58" s="30">
        <f>(sulawesi!O34*3.6/(VLOOKUP(O$51,tech_data!$B$2:$J$15,4,FALSE)/100))/1000</f>
        <v>0</v>
      </c>
      <c r="P58" s="30">
        <v>0</v>
      </c>
      <c r="Q58" s="30">
        <f t="shared" si="53"/>
        <v>336.28209078692856</v>
      </c>
      <c r="R58" s="30"/>
      <c r="T58" s="19"/>
      <c r="U58" s="20" t="str">
        <f t="shared" si="54"/>
        <v>SULAWESI</v>
      </c>
      <c r="V58" s="20">
        <f t="shared" si="54"/>
        <v>2025</v>
      </c>
      <c r="W58" s="30">
        <f>D58*VLOOKUP(W$51,tech_data!$B$2:$K$15,10,FALSE)*1000</f>
        <v>14233077.496125069</v>
      </c>
      <c r="X58" s="30">
        <f>E58*VLOOKUP(X$51,tech_data!$B$2:$K$15,10,FALSE)*1000</f>
        <v>551992.64569674712</v>
      </c>
      <c r="Y58" s="30">
        <f>F58*VLOOKUP(Y$51,tech_data!$B$2:$K$15,10,FALSE)*1000</f>
        <v>5374679.4935916699</v>
      </c>
      <c r="Z58" s="30">
        <f>G58*VLOOKUP(Z$51,tech_data!$B$2:$K$15,10,FALSE)*1000</f>
        <v>2633866.5900628269</v>
      </c>
      <c r="AA58" s="30">
        <f>H34*VLOOKUP(AA$51,tech_data!$B$2:$K$15,10,FALSE)/1000</f>
        <v>32.653344330294729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1629.4734930818859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22795278.352313723</v>
      </c>
      <c r="AK58" s="25">
        <f t="shared" si="60"/>
        <v>6.700000628390064E-2</v>
      </c>
      <c r="AL58" s="24">
        <f t="shared" si="65"/>
        <v>6.7000000000000004E-2</v>
      </c>
      <c r="AM58" s="26"/>
      <c r="AN58" s="24"/>
      <c r="AO58" s="20" t="str">
        <f t="shared" si="56"/>
        <v>SULAWESI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146.27133173199371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6.6286195066581302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997.2531527088197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7.1007160817294661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3.9413369756653895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39.093744969101543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3.1504356934260609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29.505613220783989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135.55403151209538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2.1583612400403008E-2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0.27328583339685719</v>
      </c>
      <c r="BD58" s="30">
        <f t="shared" si="61"/>
        <v>1368.7938518460708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0</v>
      </c>
      <c r="BM58" s="20" t="b">
        <f>$AK$57&lt;=$AL$57</f>
        <v>1</v>
      </c>
      <c r="BN58" s="20" t="b">
        <f>$AK$58&lt;=$AL$58</f>
        <v>0</v>
      </c>
      <c r="BO58" s="20" t="b">
        <f>$AK$59&lt;=$AL$59</f>
        <v>1</v>
      </c>
      <c r="BP58" s="20" t="b">
        <f>$AK$60&lt;=$AL$60</f>
        <v>0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52"/>
        <v>SULAWESI</v>
      </c>
      <c r="C59" s="20">
        <f t="shared" si="52"/>
        <v>2026</v>
      </c>
      <c r="D59" s="30">
        <f>(sulawesi!D35*3.6/(VLOOKUP(D$51,tech_data!$B$2:$J$15,4,FALSE)/100))/1000</f>
        <v>143.63219777520851</v>
      </c>
      <c r="E59" s="30">
        <f>(sulawesi!E35*3.6/(VLOOKUP(E$51,tech_data!$B$2:$J$15,4,FALSE)/100))/1000</f>
        <v>8.8887704621054286</v>
      </c>
      <c r="F59" s="30">
        <f>(sulawesi!F35*3.6/(VLOOKUP(F$51,tech_data!$B$2:$J$15,4,FALSE)/100))/1000</f>
        <v>98.214697182251371</v>
      </c>
      <c r="G59" s="30">
        <f>(sulawesi!G35*3.6/(VLOOKUP(G$51,tech_data!$B$2:$J$15,4,FALSE)/100))/1000</f>
        <v>44.522705486962067</v>
      </c>
      <c r="H59" s="30">
        <f>(sulawesi!H35*3.6/(VLOOKUP(H$51,tech_data!$B$2:$J$15,4,FALSE)/100))/1000</f>
        <v>13.843495211571691</v>
      </c>
      <c r="I59" s="30">
        <f>(sulawesi!I35*3.6/(VLOOKUP(I$51,tech_data!$B$2:$J$15,4,FALSE)/100))/1000</f>
        <v>17.390704040129627</v>
      </c>
      <c r="J59" s="30">
        <f>(sulawesi!J35*3.6/(VLOOKUP(J$51,tech_data!$B$2:$J$15,4,FALSE)/100))/1000</f>
        <v>1.6660686593438032</v>
      </c>
      <c r="K59" s="30">
        <f t="shared" ref="K59:L59" si="68">K35*3.6/1000</f>
        <v>18.092842026984741</v>
      </c>
      <c r="L59" s="30">
        <f t="shared" si="68"/>
        <v>12.067703956253235</v>
      </c>
      <c r="M59" s="30">
        <f>(sulawesi!M35*3.6/(VLOOKUP(M$51,tech_data!$B$2:$J$15,4,FALSE)/100))/1000</f>
        <v>1.4502256079404467E-2</v>
      </c>
      <c r="N59" s="30">
        <f t="shared" si="58"/>
        <v>0</v>
      </c>
      <c r="O59" s="30">
        <f>(sulawesi!O35*3.6/(VLOOKUP(O$51,tech_data!$B$2:$J$15,4,FALSE)/100))/1000</f>
        <v>0</v>
      </c>
      <c r="P59" s="30">
        <v>0</v>
      </c>
      <c r="Q59" s="30">
        <f t="shared" si="53"/>
        <v>358.33368705688986</v>
      </c>
      <c r="R59" s="30"/>
      <c r="T59" s="19"/>
      <c r="U59" s="20" t="str">
        <f t="shared" si="54"/>
        <v>SULAWESI</v>
      </c>
      <c r="V59" s="20">
        <f t="shared" si="54"/>
        <v>2026</v>
      </c>
      <c r="W59" s="30">
        <f>D59*VLOOKUP(W$51,tech_data!$B$2:$K$15,10,FALSE)*1000</f>
        <v>14323002.762143793</v>
      </c>
      <c r="X59" s="30">
        <f>E59*VLOOKUP(X$51,tech_data!$B$2:$K$15,10,FALSE)*1000</f>
        <v>551992.64569674712</v>
      </c>
      <c r="Y59" s="30">
        <f>F59*VLOOKUP(Y$51,tech_data!$B$2:$K$15,10,FALSE)*1000</f>
        <v>6099132.69501781</v>
      </c>
      <c r="Z59" s="30">
        <f>G59*VLOOKUP(Z$51,tech_data!$B$2:$K$15,10,FALSE)*1000</f>
        <v>3346771.7714549387</v>
      </c>
      <c r="AA59" s="30">
        <f>H35*VLOOKUP(AA$51,tech_data!$B$2:$K$15,10,FALSE)/1000</f>
        <v>32.653344330294729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1629.4734930818859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24322562.001150697</v>
      </c>
      <c r="AK59" s="25">
        <f t="shared" si="60"/>
        <v>6.6999999966306817E-2</v>
      </c>
      <c r="AL59" s="24">
        <f t="shared" si="65"/>
        <v>6.7000000000000004E-2</v>
      </c>
      <c r="AM59" s="26"/>
      <c r="AN59" s="24"/>
      <c r="AO59" s="20" t="str">
        <f t="shared" si="56"/>
        <v>SULAWESI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176.73503415984769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6.6286195066581302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577.36778790378003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201.40613874602963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3.9413369756653762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39.093744969101543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3.1504356934260609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29.505613220783989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56.022159451593446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2.1583612400403008E-2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0.222712773771466</v>
      </c>
      <c r="BD59" s="30">
        <f t="shared" si="61"/>
        <v>1094.095167013058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0</v>
      </c>
      <c r="BL59" s="20" t="b">
        <f>$AQ$32&gt;=$AW$32</f>
        <v>0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0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1</v>
      </c>
      <c r="BX59" s="20" t="b">
        <f>$AQ$44&gt;=$AW$44</f>
        <v>1</v>
      </c>
      <c r="BY59" s="20" t="b">
        <f>$AQ$45&gt;=$AW$45</f>
        <v>1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SULAWESI</v>
      </c>
      <c r="C60" s="20">
        <f t="shared" si="52"/>
        <v>2027</v>
      </c>
      <c r="D60" s="30">
        <f>(sulawesi!D36*3.6/(VLOOKUP(D$51,tech_data!$B$2:$J$15,4,FALSE)/100))/1000</f>
        <v>153.66411313676727</v>
      </c>
      <c r="E60" s="30">
        <f>(sulawesi!E36*3.6/(VLOOKUP(E$51,tech_data!$B$2:$J$15,4,FALSE)/100))/1000</f>
        <v>8.8887704621054286</v>
      </c>
      <c r="F60" s="30">
        <f>(sulawesi!F36*3.6/(VLOOKUP(F$51,tech_data!$B$2:$J$15,4,FALSE)/100))/1000</f>
        <v>108.34759258146038</v>
      </c>
      <c r="G60" s="30">
        <f>(sulawesi!G36*3.6/(VLOOKUP(G$51,tech_data!$B$2:$J$15,4,FALSE)/100))/1000</f>
        <v>44.522705486962067</v>
      </c>
      <c r="H60" s="30">
        <f>(sulawesi!H36*3.6/(VLOOKUP(H$51,tech_data!$B$2:$J$15,4,FALSE)/100))/1000</f>
        <v>13.843495211571691</v>
      </c>
      <c r="I60" s="30">
        <f>(sulawesi!I36*3.6/(VLOOKUP(I$51,tech_data!$B$2:$J$15,4,FALSE)/100))/1000</f>
        <v>17.390704040129627</v>
      </c>
      <c r="J60" s="30">
        <f>(sulawesi!J36*3.6/(VLOOKUP(J$51,tech_data!$B$2:$J$15,4,FALSE)/100))/1000</f>
        <v>1.6660686593438032</v>
      </c>
      <c r="K60" s="30">
        <f t="shared" ref="K60:L60" si="69">K36*3.6/1000</f>
        <v>18.092842026984741</v>
      </c>
      <c r="L60" s="30">
        <f t="shared" si="69"/>
        <v>16.641841374429735</v>
      </c>
      <c r="M60" s="30">
        <f>(sulawesi!M36*3.6/(VLOOKUP(M$51,tech_data!$B$2:$J$15,4,FALSE)/100))/1000</f>
        <v>1.4502256079404467E-2</v>
      </c>
      <c r="N60" s="30">
        <f t="shared" si="58"/>
        <v>0</v>
      </c>
      <c r="O60" s="30">
        <f>(sulawesi!O36*3.6/(VLOOKUP(O$51,tech_data!$B$2:$J$15,4,FALSE)/100))/1000</f>
        <v>0</v>
      </c>
      <c r="P60" s="30">
        <v>0</v>
      </c>
      <c r="Q60" s="30">
        <f t="shared" si="53"/>
        <v>383.07263523583418</v>
      </c>
      <c r="R60" s="30"/>
      <c r="T60" s="19"/>
      <c r="U60" s="20" t="str">
        <f t="shared" si="54"/>
        <v>SULAWESI</v>
      </c>
      <c r="V60" s="20">
        <f t="shared" si="54"/>
        <v>2027</v>
      </c>
      <c r="W60" s="30">
        <f>D60*VLOOKUP(W$51,tech_data!$B$2:$K$15,10,FALSE)*1000</f>
        <v>15323385.361998431</v>
      </c>
      <c r="X60" s="30">
        <f>E60*VLOOKUP(X$51,tech_data!$B$2:$K$15,10,FALSE)*1000</f>
        <v>551992.64569674712</v>
      </c>
      <c r="Y60" s="30">
        <f>F60*VLOOKUP(Y$51,tech_data!$B$2:$K$15,10,FALSE)*1000</f>
        <v>6728385.4993086895</v>
      </c>
      <c r="Z60" s="30">
        <f>G60*VLOOKUP(Z$51,tech_data!$B$2:$K$15,10,FALSE)*1000</f>
        <v>3346771.7714549387</v>
      </c>
      <c r="AA60" s="30">
        <f>H36*VLOOKUP(AA$51,tech_data!$B$2:$K$15,10,FALSE)/1000</f>
        <v>32.653344330294729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1629.4734930818859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25952197.405296218</v>
      </c>
      <c r="AK60" s="25">
        <f t="shared" si="60"/>
        <v>6.7000976462447598E-2</v>
      </c>
      <c r="AL60" s="24">
        <f t="shared" si="65"/>
        <v>6.7000000000000004E-2</v>
      </c>
      <c r="AM60" s="26"/>
      <c r="AN60" s="24"/>
      <c r="AO60" s="20" t="str">
        <f t="shared" si="56"/>
        <v>SULAWESI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486.09198013650405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6.6286195066581302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532.25260731570779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9.0226574987161499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3.9413369756653895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39.093744969101543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3.1504356934260609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29.505613220783989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608.81070880568018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2.1583612400403008E-2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0.33372173658748722</v>
      </c>
      <c r="BD60" s="30">
        <f t="shared" si="61"/>
        <v>1718.8530094712312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SULAWESI</v>
      </c>
      <c r="C61" s="20">
        <f t="shared" si="52"/>
        <v>2028</v>
      </c>
      <c r="D61" s="30">
        <f>(sulawesi!D37*3.6/(VLOOKUP(D$51,tech_data!$B$2:$J$15,4,FALSE)/100))/1000</f>
        <v>157.695212862874</v>
      </c>
      <c r="E61" s="30">
        <f>(sulawesi!E37*3.6/(VLOOKUP(E$51,tech_data!$B$2:$J$15,4,FALSE)/100))/1000</f>
        <v>8.8887704621054286</v>
      </c>
      <c r="F61" s="30">
        <f>(sulawesi!F37*3.6/(VLOOKUP(F$51,tech_data!$B$2:$J$15,4,FALSE)/100))/1000</f>
        <v>108.34759258146038</v>
      </c>
      <c r="G61" s="30">
        <f>(sulawesi!G37*3.6/(VLOOKUP(G$51,tech_data!$B$2:$J$15,4,FALSE)/100))/1000</f>
        <v>55.628156924831551</v>
      </c>
      <c r="H61" s="30">
        <f>(sulawesi!H37*3.6/(VLOOKUP(H$51,tech_data!$B$2:$J$15,4,FALSE)/100))/1000</f>
        <v>13.843495211571691</v>
      </c>
      <c r="I61" s="30">
        <f>(sulawesi!I37*3.6/(VLOOKUP(I$51,tech_data!$B$2:$J$15,4,FALSE)/100))/1000</f>
        <v>17.390704040129627</v>
      </c>
      <c r="J61" s="30">
        <f>(sulawesi!J37*3.6/(VLOOKUP(J$51,tech_data!$B$2:$J$15,4,FALSE)/100))/1000</f>
        <v>1.6660686593438032</v>
      </c>
      <c r="K61" s="30">
        <f t="shared" ref="K61:L61" si="70">K37*3.6/1000</f>
        <v>18.092842026984741</v>
      </c>
      <c r="L61" s="30">
        <f t="shared" si="70"/>
        <v>16.641841374429735</v>
      </c>
      <c r="M61" s="30">
        <f>(sulawesi!M37*3.6/(VLOOKUP(M$51,tech_data!$B$2:$J$15,4,FALSE)/100))/1000</f>
        <v>1.4502256079404467E-2</v>
      </c>
      <c r="N61" s="30">
        <f t="shared" si="58"/>
        <v>0</v>
      </c>
      <c r="O61" s="30">
        <f>(sulawesi!O37*3.6/(VLOOKUP(O$51,tech_data!$B$2:$J$15,4,FALSE)/100))/1000</f>
        <v>0</v>
      </c>
      <c r="P61" s="30">
        <v>0</v>
      </c>
      <c r="Q61" s="30">
        <f t="shared" si="53"/>
        <v>398.20918639981039</v>
      </c>
      <c r="R61" s="30"/>
      <c r="T61" s="19"/>
      <c r="U61" s="20" t="str">
        <f t="shared" si="54"/>
        <v>SULAWESI</v>
      </c>
      <c r="V61" s="20">
        <f t="shared" si="54"/>
        <v>2028</v>
      </c>
      <c r="W61" s="30">
        <f>D61*VLOOKUP(W$51,tech_data!$B$2:$K$15,10,FALSE)*1000</f>
        <v>15725366.626685794</v>
      </c>
      <c r="X61" s="30">
        <f>E61*VLOOKUP(X$51,tech_data!$B$2:$K$15,10,FALSE)*1000</f>
        <v>551992.64569674712</v>
      </c>
      <c r="Y61" s="30">
        <f>F61*VLOOKUP(Y$51,tech_data!$B$2:$K$15,10,FALSE)*1000</f>
        <v>6728385.4993086895</v>
      </c>
      <c r="Z61" s="30">
        <f>G61*VLOOKUP(Z$51,tech_data!$B$2:$K$15,10,FALSE)*1000</f>
        <v>4181568.5560395876</v>
      </c>
      <c r="AA61" s="30">
        <f>H37*VLOOKUP(AA$51,tech_data!$B$2:$K$15,10,FALSE)/1000</f>
        <v>32.653344330294729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1629.4734930818859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27188975.45456823</v>
      </c>
      <c r="AK61" s="25">
        <f t="shared" si="60"/>
        <v>4.7656004998621632E-2</v>
      </c>
      <c r="AL61" s="24">
        <f t="shared" si="65"/>
        <v>6.7000000000000004E-2</v>
      </c>
      <c r="AM61" s="26"/>
      <c r="AN61" s="24"/>
      <c r="AO61" s="20" t="str">
        <f t="shared" si="56"/>
        <v>SULAWESI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293.6542136784368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6.6286195066581302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144.64060838641643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236.55016929316685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3.9413369756653895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39.093744969101543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3.1504356934260609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29.505613220783989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77.25677514348726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2.1583612400403008E-2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0.14638058402780915</v>
      </c>
      <c r="BD61" s="30">
        <f t="shared" si="61"/>
        <v>834.5894810635707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0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SULAWESI</v>
      </c>
      <c r="C62" s="20">
        <f t="shared" si="52"/>
        <v>2029</v>
      </c>
      <c r="D62" s="30">
        <f>(sulawesi!D38*3.6/(VLOOKUP(D$51,tech_data!$B$2:$J$15,4,FALSE)/100))/1000</f>
        <v>157.695212862874</v>
      </c>
      <c r="E62" s="30">
        <f>(sulawesi!E38*3.6/(VLOOKUP(E$51,tech_data!$B$2:$J$15,4,FALSE)/100))/1000</f>
        <v>8.8887704621054286</v>
      </c>
      <c r="F62" s="30">
        <f>(sulawesi!F38*3.6/(VLOOKUP(F$51,tech_data!$B$2:$J$15,4,FALSE)/100))/1000</f>
        <v>108.34759258146038</v>
      </c>
      <c r="G62" s="30">
        <f>(sulawesi!G38*3.6/(VLOOKUP(G$51,tech_data!$B$2:$J$15,4,FALSE)/100))/1000</f>
        <v>55.628156924831551</v>
      </c>
      <c r="H62" s="30">
        <f>(sulawesi!H38*3.6/(VLOOKUP(H$51,tech_data!$B$2:$J$15,4,FALSE)/100))/1000</f>
        <v>13.843495211571691</v>
      </c>
      <c r="I62" s="30">
        <f>(sulawesi!I38*3.6/(VLOOKUP(I$51,tech_data!$B$2:$J$15,4,FALSE)/100))/1000</f>
        <v>17.390704040129627</v>
      </c>
      <c r="J62" s="30">
        <f>(sulawesi!J38*3.6/(VLOOKUP(J$51,tech_data!$B$2:$J$15,4,FALSE)/100))/1000</f>
        <v>1.6660686593438032</v>
      </c>
      <c r="K62" s="30">
        <f t="shared" ref="K62:L62" si="71">K38*3.6/1000</f>
        <v>18.092842026984741</v>
      </c>
      <c r="L62" s="30">
        <f t="shared" si="71"/>
        <v>16.641841374429735</v>
      </c>
      <c r="M62" s="30">
        <f>(sulawesi!M38*3.6/(VLOOKUP(M$51,tech_data!$B$2:$J$15,4,FALSE)/100))/1000</f>
        <v>1.4502256079404467E-2</v>
      </c>
      <c r="N62" s="30">
        <f t="shared" si="58"/>
        <v>0</v>
      </c>
      <c r="O62" s="30">
        <f>(sulawesi!O38*3.6/(VLOOKUP(O$51,tech_data!$B$2:$J$15,4,FALSE)/100))/1000</f>
        <v>0</v>
      </c>
      <c r="P62" s="30">
        <v>0</v>
      </c>
      <c r="Q62" s="30">
        <f t="shared" si="53"/>
        <v>398.20918639981039</v>
      </c>
      <c r="R62" s="30"/>
      <c r="T62" s="19"/>
      <c r="U62" s="20" t="str">
        <f t="shared" si="54"/>
        <v>SULAWESI</v>
      </c>
      <c r="V62" s="20">
        <f t="shared" si="54"/>
        <v>2029</v>
      </c>
      <c r="W62" s="30">
        <f>D62*VLOOKUP(W$51,tech_data!$B$2:$K$15,10,FALSE)*1000</f>
        <v>15725366.626685794</v>
      </c>
      <c r="X62" s="30">
        <f>E62*VLOOKUP(X$51,tech_data!$B$2:$K$15,10,FALSE)*1000</f>
        <v>551992.64569674712</v>
      </c>
      <c r="Y62" s="30">
        <f>F62*VLOOKUP(Y$51,tech_data!$B$2:$K$15,10,FALSE)*1000</f>
        <v>6728385.4993086895</v>
      </c>
      <c r="Z62" s="30">
        <f>G62*VLOOKUP(Z$51,tech_data!$B$2:$K$15,10,FALSE)*1000</f>
        <v>4181568.5560395876</v>
      </c>
      <c r="AA62" s="30">
        <f>H38*VLOOKUP(AA$51,tech_data!$B$2:$K$15,10,FALSE)/1000</f>
        <v>32.653344330294729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1629.4734930818859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27188975.45456823</v>
      </c>
      <c r="AK62" s="25">
        <f t="shared" si="60"/>
        <v>0</v>
      </c>
      <c r="AL62" s="24">
        <f t="shared" si="65"/>
        <v>6.7000000000000004E-2</v>
      </c>
      <c r="AM62" s="26"/>
      <c r="AN62" s="24"/>
      <c r="AO62" s="20" t="str">
        <f t="shared" si="56"/>
        <v>SULAWESI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161.60737683648517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6.6286195066581302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144.64060838641643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11.273209966195099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3.9413369756653895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39.093744969101543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3.1504356934260609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29.505613220783989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77.25677514348726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2.1583612400403008E-2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3.6203456013779285E-2</v>
      </c>
      <c r="BD62" s="30">
        <f t="shared" si="61"/>
        <v>477.15550776663321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SULAWESI</v>
      </c>
      <c r="C63" s="20">
        <f t="shared" si="52"/>
        <v>2030</v>
      </c>
      <c r="D63" s="30">
        <f>(sulawesi!D39*3.6/(VLOOKUP(D$51,tech_data!$B$2:$J$15,4,FALSE)/100))/1000</f>
        <v>157.695212862874</v>
      </c>
      <c r="E63" s="30">
        <f>(sulawesi!E39*3.6/(VLOOKUP(E$51,tech_data!$B$2:$J$15,4,FALSE)/100))/1000</f>
        <v>8.8887704621054286</v>
      </c>
      <c r="F63" s="30">
        <f>(sulawesi!F39*3.6/(VLOOKUP(F$51,tech_data!$B$2:$J$15,4,FALSE)/100))/1000</f>
        <v>108.34759258146038</v>
      </c>
      <c r="G63" s="30">
        <f>(sulawesi!G39*3.6/(VLOOKUP(G$51,tech_data!$B$2:$J$15,4,FALSE)/100))/1000</f>
        <v>55.628156924831551</v>
      </c>
      <c r="H63" s="30">
        <f>(sulawesi!H39*3.6/(VLOOKUP(H$51,tech_data!$B$2:$J$15,4,FALSE)/100))/1000</f>
        <v>13.843495211571691</v>
      </c>
      <c r="I63" s="30">
        <f>(sulawesi!I39*3.6/(VLOOKUP(I$51,tech_data!$B$2:$J$15,4,FALSE)/100))/1000</f>
        <v>17.390704040129627</v>
      </c>
      <c r="J63" s="30">
        <f>(sulawesi!J39*3.6/(VLOOKUP(J$51,tech_data!$B$2:$J$15,4,FALSE)/100))/1000</f>
        <v>1.6660686593438032</v>
      </c>
      <c r="K63" s="30">
        <f t="shared" ref="K63:L63" si="72">K39*3.6/1000</f>
        <v>18.092842026984741</v>
      </c>
      <c r="L63" s="30">
        <f t="shared" si="72"/>
        <v>16.641841374429735</v>
      </c>
      <c r="M63" s="30">
        <f>(sulawesi!M39*3.6/(VLOOKUP(M$51,tech_data!$B$2:$J$15,4,FALSE)/100))/1000</f>
        <v>1.4502256079404467E-2</v>
      </c>
      <c r="N63" s="30">
        <f t="shared" si="58"/>
        <v>0</v>
      </c>
      <c r="O63" s="30">
        <f>(sulawesi!O39*3.6/(VLOOKUP(O$51,tech_data!$B$2:$J$15,4,FALSE)/100))/1000</f>
        <v>0</v>
      </c>
      <c r="P63" s="30">
        <v>0</v>
      </c>
      <c r="Q63" s="30">
        <f t="shared" si="53"/>
        <v>398.20918639981039</v>
      </c>
      <c r="R63" s="30"/>
      <c r="T63" s="19"/>
      <c r="U63" s="20" t="str">
        <f t="shared" si="54"/>
        <v>SULAWESI</v>
      </c>
      <c r="V63" s="20">
        <f t="shared" si="54"/>
        <v>2030</v>
      </c>
      <c r="W63" s="30">
        <f>D63*VLOOKUP(W$51,tech_data!$B$2:$K$15,10,FALSE)*1000</f>
        <v>15725366.626685794</v>
      </c>
      <c r="X63" s="30">
        <f>E63*VLOOKUP(X$51,tech_data!$B$2:$K$15,10,FALSE)*1000</f>
        <v>551992.64569674712</v>
      </c>
      <c r="Y63" s="30">
        <f>F63*VLOOKUP(Y$51,tech_data!$B$2:$K$15,10,FALSE)*1000</f>
        <v>6728385.4993086895</v>
      </c>
      <c r="Z63" s="30">
        <f>G63*VLOOKUP(Z$51,tech_data!$B$2:$K$15,10,FALSE)*1000</f>
        <v>4181568.5560395876</v>
      </c>
      <c r="AA63" s="30">
        <f>H39*VLOOKUP(AA$51,tech_data!$B$2:$K$15,10,FALSE)/1000</f>
        <v>32.653344330294729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1629.4734930818859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27188975.45456823</v>
      </c>
      <c r="AK63" s="25">
        <f t="shared" si="60"/>
        <v>0</v>
      </c>
      <c r="AL63" s="24">
        <f t="shared" si="65"/>
        <v>6.7000000000000004E-2</v>
      </c>
      <c r="AM63" s="26"/>
      <c r="AN63" s="24"/>
      <c r="AO63" s="20" t="str">
        <f t="shared" si="56"/>
        <v>SULAWESI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161.60737683648517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6.6286195066581302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144.64060838641643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11.273209966195099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3.9413369756653895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39.093744969101543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3.1504356934260609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29.505613220783989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77.25677514348726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2.1583612400403008E-2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3.6203456013779285E-2</v>
      </c>
      <c r="BD63" s="30">
        <f t="shared" si="61"/>
        <v>477.15550776663321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SULAWESI</v>
      </c>
      <c r="C64" s="20">
        <f t="shared" si="52"/>
        <v>2031</v>
      </c>
      <c r="D64" s="30">
        <f>(sulawesi!D40*3.6/(VLOOKUP(D$51,tech_data!$B$2:$J$15,4,FALSE)/100))/1000</f>
        <v>157.695212862874</v>
      </c>
      <c r="E64" s="30">
        <f>(sulawesi!E40*3.6/(VLOOKUP(E$51,tech_data!$B$2:$J$15,4,FALSE)/100))/1000</f>
        <v>8.8887704621054286</v>
      </c>
      <c r="F64" s="30">
        <f>(sulawesi!F40*3.6/(VLOOKUP(F$51,tech_data!$B$2:$J$15,4,FALSE)/100))/1000</f>
        <v>108.34759258146038</v>
      </c>
      <c r="G64" s="30">
        <f>(sulawesi!G40*3.6/(VLOOKUP(G$51,tech_data!$B$2:$J$15,4,FALSE)/100))/1000</f>
        <v>55.628156924831551</v>
      </c>
      <c r="H64" s="30">
        <f>(sulawesi!H40*3.6/(VLOOKUP(H$51,tech_data!$B$2:$J$15,4,FALSE)/100))/1000</f>
        <v>13.843495211571691</v>
      </c>
      <c r="I64" s="30">
        <f>(sulawesi!I40*3.6/(VLOOKUP(I$51,tech_data!$B$2:$J$15,4,FALSE)/100))/1000</f>
        <v>17.390704040129627</v>
      </c>
      <c r="J64" s="30">
        <f>(sulawesi!J40*3.6/(VLOOKUP(J$51,tech_data!$B$2:$J$15,4,FALSE)/100))/1000</f>
        <v>1.6660686593438032</v>
      </c>
      <c r="K64" s="30">
        <f t="shared" ref="K64:L64" si="73">K40*3.6/1000</f>
        <v>18.092842026984741</v>
      </c>
      <c r="L64" s="30">
        <f t="shared" si="73"/>
        <v>16.641841374429735</v>
      </c>
      <c r="M64" s="30">
        <f>(sulawesi!M40*3.6/(VLOOKUP(M$51,tech_data!$B$2:$J$15,4,FALSE)/100))/1000</f>
        <v>1.4502256079404467E-2</v>
      </c>
      <c r="N64" s="30">
        <f t="shared" si="58"/>
        <v>0</v>
      </c>
      <c r="O64" s="30">
        <f>(sulawesi!O40*3.6/(VLOOKUP(O$51,tech_data!$B$2:$J$15,4,FALSE)/100))/1000</f>
        <v>0</v>
      </c>
      <c r="P64" s="30">
        <v>0</v>
      </c>
      <c r="Q64" s="30">
        <f t="shared" si="53"/>
        <v>398.20918639981039</v>
      </c>
      <c r="R64" s="30"/>
      <c r="T64" s="19"/>
      <c r="U64" s="20" t="str">
        <f t="shared" si="54"/>
        <v>SULAWESI</v>
      </c>
      <c r="V64" s="20">
        <f t="shared" si="54"/>
        <v>2031</v>
      </c>
      <c r="W64" s="30">
        <f>D64*VLOOKUP(W$51,tech_data!$B$2:$K$15,10,FALSE)*1000</f>
        <v>15725366.626685794</v>
      </c>
      <c r="X64" s="30">
        <f>E64*VLOOKUP(X$51,tech_data!$B$2:$K$15,10,FALSE)*1000</f>
        <v>551992.64569674712</v>
      </c>
      <c r="Y64" s="30">
        <f>F64*VLOOKUP(Y$51,tech_data!$B$2:$K$15,10,FALSE)*1000</f>
        <v>6728385.4993086895</v>
      </c>
      <c r="Z64" s="30">
        <f>G64*VLOOKUP(Z$51,tech_data!$B$2:$K$15,10,FALSE)*1000</f>
        <v>4181568.5560395876</v>
      </c>
      <c r="AA64" s="30">
        <f>H40*VLOOKUP(AA$51,tech_data!$B$2:$K$15,10,FALSE)/1000</f>
        <v>32.653344330294729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1629.4734930818859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27188975.45456823</v>
      </c>
      <c r="AK64" s="25">
        <f t="shared" si="60"/>
        <v>0</v>
      </c>
      <c r="AL64" s="24">
        <f t="shared" si="65"/>
        <v>6.7000000000000004E-2</v>
      </c>
      <c r="AM64" s="26"/>
      <c r="AN64" s="24"/>
      <c r="AO64" s="20" t="str">
        <f t="shared" si="56"/>
        <v>SULAWESI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161.60737683648517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6.6286195066581302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144.64060838641643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11.273209966195099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3.9413369756653895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39.093744969101543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3.1504356934260609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29.505613220783989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77.25677514348726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2.1583612400403008E-2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3.6203456013779285E-2</v>
      </c>
      <c r="BD64" s="30">
        <f t="shared" si="61"/>
        <v>477.15550776663321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SULAWESI</v>
      </c>
      <c r="C65" s="20">
        <f t="shared" si="52"/>
        <v>2032</v>
      </c>
      <c r="D65" s="30">
        <f>(sulawesi!D41*3.6/(VLOOKUP(D$51,tech_data!$B$2:$J$15,4,FALSE)/100))/1000</f>
        <v>157.695212862874</v>
      </c>
      <c r="E65" s="30">
        <f>(sulawesi!E41*3.6/(VLOOKUP(E$51,tech_data!$B$2:$J$15,4,FALSE)/100))/1000</f>
        <v>8.8887704621054286</v>
      </c>
      <c r="F65" s="30">
        <f>(sulawesi!F41*3.6/(VLOOKUP(F$51,tech_data!$B$2:$J$15,4,FALSE)/100))/1000</f>
        <v>108.34759258146038</v>
      </c>
      <c r="G65" s="30">
        <f>(sulawesi!G41*3.6/(VLOOKUP(G$51,tech_data!$B$2:$J$15,4,FALSE)/100))/1000</f>
        <v>55.628156924831551</v>
      </c>
      <c r="H65" s="30">
        <f>(sulawesi!H41*3.6/(VLOOKUP(H$51,tech_data!$B$2:$J$15,4,FALSE)/100))/1000</f>
        <v>13.843495211571691</v>
      </c>
      <c r="I65" s="30">
        <f>(sulawesi!I41*3.6/(VLOOKUP(I$51,tech_data!$B$2:$J$15,4,FALSE)/100))/1000</f>
        <v>17.390704040129627</v>
      </c>
      <c r="J65" s="30">
        <f>(sulawesi!J41*3.6/(VLOOKUP(J$51,tech_data!$B$2:$J$15,4,FALSE)/100))/1000</f>
        <v>1.6660686593438032</v>
      </c>
      <c r="K65" s="30">
        <f t="shared" ref="K65:L65" si="74">K41*3.6/1000</f>
        <v>18.092842026984741</v>
      </c>
      <c r="L65" s="30">
        <f t="shared" si="74"/>
        <v>16.641841374429735</v>
      </c>
      <c r="M65" s="30">
        <f>(sulawesi!M41*3.6/(VLOOKUP(M$51,tech_data!$B$2:$J$15,4,FALSE)/100))/1000</f>
        <v>1.4502256079404467E-2</v>
      </c>
      <c r="N65" s="30">
        <f t="shared" si="58"/>
        <v>0</v>
      </c>
      <c r="O65" s="30">
        <f>(sulawesi!O41*3.6/(VLOOKUP(O$51,tech_data!$B$2:$J$15,4,FALSE)/100))/1000</f>
        <v>0</v>
      </c>
      <c r="P65" s="30">
        <v>0</v>
      </c>
      <c r="Q65" s="30">
        <f t="shared" si="53"/>
        <v>398.20918639981039</v>
      </c>
      <c r="R65" s="30"/>
      <c r="T65" s="19"/>
      <c r="U65" s="20" t="str">
        <f t="shared" si="54"/>
        <v>SULAWESI</v>
      </c>
      <c r="V65" s="20">
        <f t="shared" si="54"/>
        <v>2032</v>
      </c>
      <c r="W65" s="30">
        <f>D65*VLOOKUP(W$51,tech_data!$B$2:$K$15,10,FALSE)*1000</f>
        <v>15725366.626685794</v>
      </c>
      <c r="X65" s="30">
        <f>E65*VLOOKUP(X$51,tech_data!$B$2:$K$15,10,FALSE)*1000</f>
        <v>551992.64569674712</v>
      </c>
      <c r="Y65" s="30">
        <f>F65*VLOOKUP(Y$51,tech_data!$B$2:$K$15,10,FALSE)*1000</f>
        <v>6728385.4993086895</v>
      </c>
      <c r="Z65" s="30">
        <f>G65*VLOOKUP(Z$51,tech_data!$B$2:$K$15,10,FALSE)*1000</f>
        <v>4181568.5560395876</v>
      </c>
      <c r="AA65" s="30">
        <f>H41*VLOOKUP(AA$51,tech_data!$B$2:$K$15,10,FALSE)/1000</f>
        <v>32.653344330294729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1629.4734930818859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27188975.45456823</v>
      </c>
      <c r="AK65" s="25">
        <f t="shared" si="60"/>
        <v>0</v>
      </c>
      <c r="AL65" s="24">
        <f t="shared" si="65"/>
        <v>6.7000000000000004E-2</v>
      </c>
      <c r="AM65" s="26"/>
      <c r="AN65" s="24"/>
      <c r="AO65" s="20" t="str">
        <f t="shared" si="56"/>
        <v>SULAWESI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161.60737683648517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6.6286195066581302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144.64060838641643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11.273209966195099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3.9413369756653895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39.093744969101543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3.1504356934260609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29.505613220783989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77.25677514348726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2.1583612400403008E-2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3.6203456013779285E-2</v>
      </c>
      <c r="BD65" s="30">
        <f t="shared" si="61"/>
        <v>477.15550776663321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SULAWESI</v>
      </c>
      <c r="C66" s="20">
        <f t="shared" si="52"/>
        <v>2033</v>
      </c>
      <c r="D66" s="30">
        <f>(sulawesi!D42*3.6/(VLOOKUP(D$51,tech_data!$B$2:$J$15,4,FALSE)/100))/1000</f>
        <v>157.695212862874</v>
      </c>
      <c r="E66" s="30">
        <f>(sulawesi!E42*3.6/(VLOOKUP(E$51,tech_data!$B$2:$J$15,4,FALSE)/100))/1000</f>
        <v>8.8887704621054286</v>
      </c>
      <c r="F66" s="30">
        <f>(sulawesi!F42*3.6/(VLOOKUP(F$51,tech_data!$B$2:$J$15,4,FALSE)/100))/1000</f>
        <v>108.34759258146038</v>
      </c>
      <c r="G66" s="30">
        <f>(sulawesi!G42*3.6/(VLOOKUP(G$51,tech_data!$B$2:$J$15,4,FALSE)/100))/1000</f>
        <v>55.628156924831551</v>
      </c>
      <c r="H66" s="30">
        <f>(sulawesi!H42*3.6/(VLOOKUP(H$51,tech_data!$B$2:$J$15,4,FALSE)/100))/1000</f>
        <v>13.843495211571691</v>
      </c>
      <c r="I66" s="30">
        <f>(sulawesi!I42*3.6/(VLOOKUP(I$51,tech_data!$B$2:$J$15,4,FALSE)/100))/1000</f>
        <v>17.390704040129627</v>
      </c>
      <c r="J66" s="30">
        <f>(sulawesi!J42*3.6/(VLOOKUP(J$51,tech_data!$B$2:$J$15,4,FALSE)/100))/1000</f>
        <v>1.6660686593438032</v>
      </c>
      <c r="K66" s="30">
        <f t="shared" ref="K66:L66" si="75">K42*3.6/1000</f>
        <v>18.092842026984741</v>
      </c>
      <c r="L66" s="30">
        <f t="shared" si="75"/>
        <v>16.641841374429735</v>
      </c>
      <c r="M66" s="30">
        <f>(sulawesi!M42*3.6/(VLOOKUP(M$51,tech_data!$B$2:$J$15,4,FALSE)/100))/1000</f>
        <v>1.4502256079404467E-2</v>
      </c>
      <c r="N66" s="30">
        <f t="shared" si="58"/>
        <v>0</v>
      </c>
      <c r="O66" s="30">
        <f>(sulawesi!O42*3.6/(VLOOKUP(O$51,tech_data!$B$2:$J$15,4,FALSE)/100))/1000</f>
        <v>0</v>
      </c>
      <c r="P66" s="30">
        <v>0</v>
      </c>
      <c r="Q66" s="30">
        <f t="shared" si="53"/>
        <v>398.20918639981039</v>
      </c>
      <c r="R66" s="30"/>
      <c r="T66" s="19"/>
      <c r="U66" s="20" t="str">
        <f t="shared" si="54"/>
        <v>SULAWESI</v>
      </c>
      <c r="V66" s="20">
        <f t="shared" si="54"/>
        <v>2033</v>
      </c>
      <c r="W66" s="30">
        <f>D66*VLOOKUP(W$51,tech_data!$B$2:$K$15,10,FALSE)*1000</f>
        <v>15725366.626685794</v>
      </c>
      <c r="X66" s="30">
        <f>E66*VLOOKUP(X$51,tech_data!$B$2:$K$15,10,FALSE)*1000</f>
        <v>551992.64569674712</v>
      </c>
      <c r="Y66" s="30">
        <f>F66*VLOOKUP(Y$51,tech_data!$B$2:$K$15,10,FALSE)*1000</f>
        <v>6728385.4993086895</v>
      </c>
      <c r="Z66" s="30">
        <f>G66*VLOOKUP(Z$51,tech_data!$B$2:$K$15,10,FALSE)*1000</f>
        <v>4181568.5560395876</v>
      </c>
      <c r="AA66" s="30">
        <f>H42*VLOOKUP(AA$51,tech_data!$B$2:$K$15,10,FALSE)/1000</f>
        <v>32.653344330294729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1629.4734930818859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27188975.45456823</v>
      </c>
      <c r="AK66" s="25">
        <f t="shared" si="60"/>
        <v>0</v>
      </c>
      <c r="AL66" s="24">
        <f t="shared" si="65"/>
        <v>6.7000000000000004E-2</v>
      </c>
      <c r="AM66" s="26"/>
      <c r="AN66" s="24"/>
      <c r="AO66" s="20" t="str">
        <f t="shared" si="56"/>
        <v>SULAWESI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161.60737683648517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6.6286195066581302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144.64060838641643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11.273209966195099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3.9413369756653895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39.093744969101543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3.1504356934260609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29.505613220783989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77.25677514348726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2.1583612400403008E-2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3.6203456013779285E-2</v>
      </c>
      <c r="BD66" s="30">
        <f t="shared" si="61"/>
        <v>477.15550776663321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SULAWESI</v>
      </c>
      <c r="C67" s="20">
        <f t="shared" si="52"/>
        <v>2034</v>
      </c>
      <c r="D67" s="30">
        <f>(sulawesi!D43*3.6/(VLOOKUP(D$51,tech_data!$B$2:$J$15,4,FALSE)/100))/1000</f>
        <v>157.695212862874</v>
      </c>
      <c r="E67" s="30">
        <f>(sulawesi!E43*3.6/(VLOOKUP(E$51,tech_data!$B$2:$J$15,4,FALSE)/100))/1000</f>
        <v>8.8887704621054286</v>
      </c>
      <c r="F67" s="30">
        <f>(sulawesi!F43*3.6/(VLOOKUP(F$51,tech_data!$B$2:$J$15,4,FALSE)/100))/1000</f>
        <v>108.34759258146038</v>
      </c>
      <c r="G67" s="30">
        <f>(sulawesi!G43*3.6/(VLOOKUP(G$51,tech_data!$B$2:$J$15,4,FALSE)/100))/1000</f>
        <v>55.628156924831551</v>
      </c>
      <c r="H67" s="30">
        <f>(sulawesi!H43*3.6/(VLOOKUP(H$51,tech_data!$B$2:$J$15,4,FALSE)/100))/1000</f>
        <v>13.843495211571691</v>
      </c>
      <c r="I67" s="30">
        <f>(sulawesi!I43*3.6/(VLOOKUP(I$51,tech_data!$B$2:$J$15,4,FALSE)/100))/1000</f>
        <v>17.390704040129627</v>
      </c>
      <c r="J67" s="30">
        <f>(sulawesi!J43*3.6/(VLOOKUP(J$51,tech_data!$B$2:$J$15,4,FALSE)/100))/1000</f>
        <v>1.6660686593438032</v>
      </c>
      <c r="K67" s="30">
        <f t="shared" ref="K67:L67" si="76">K43*3.6/1000</f>
        <v>18.092842026984741</v>
      </c>
      <c r="L67" s="30">
        <f t="shared" si="76"/>
        <v>16.641841374429735</v>
      </c>
      <c r="M67" s="30">
        <f>(sulawesi!M43*3.6/(VLOOKUP(M$51,tech_data!$B$2:$J$15,4,FALSE)/100))/1000</f>
        <v>1.4502256079404467E-2</v>
      </c>
      <c r="N67" s="30">
        <f t="shared" si="58"/>
        <v>0</v>
      </c>
      <c r="O67" s="30">
        <f>(sulawesi!O43*3.6/(VLOOKUP(O$51,tech_data!$B$2:$J$15,4,FALSE)/100))/1000</f>
        <v>0</v>
      </c>
      <c r="P67" s="30">
        <v>0</v>
      </c>
      <c r="Q67" s="30">
        <f t="shared" si="53"/>
        <v>398.20918639981039</v>
      </c>
      <c r="R67" s="30"/>
      <c r="T67" s="19"/>
      <c r="U67" s="20" t="str">
        <f t="shared" si="54"/>
        <v>SULAWESI</v>
      </c>
      <c r="V67" s="20">
        <f t="shared" si="54"/>
        <v>2034</v>
      </c>
      <c r="W67" s="30">
        <f>D67*VLOOKUP(W$51,tech_data!$B$2:$K$15,10,FALSE)*1000</f>
        <v>15725366.626685794</v>
      </c>
      <c r="X67" s="30">
        <f>E67*VLOOKUP(X$51,tech_data!$B$2:$K$15,10,FALSE)*1000</f>
        <v>551992.64569674712</v>
      </c>
      <c r="Y67" s="30">
        <f>F67*VLOOKUP(Y$51,tech_data!$B$2:$K$15,10,FALSE)*1000</f>
        <v>6728385.4993086895</v>
      </c>
      <c r="Z67" s="30">
        <f>G67*VLOOKUP(Z$51,tech_data!$B$2:$K$15,10,FALSE)*1000</f>
        <v>4181568.5560395876</v>
      </c>
      <c r="AA67" s="30">
        <f>H43*VLOOKUP(AA$51,tech_data!$B$2:$K$15,10,FALSE)/1000</f>
        <v>32.653344330294729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1629.4734930818859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27188975.45456823</v>
      </c>
      <c r="AK67" s="25">
        <f t="shared" si="60"/>
        <v>0</v>
      </c>
      <c r="AL67" s="24">
        <f t="shared" si="65"/>
        <v>6.7000000000000004E-2</v>
      </c>
      <c r="AM67" s="26"/>
      <c r="AN67" s="24"/>
      <c r="AO67" s="20" t="str">
        <f t="shared" si="56"/>
        <v>SULAWESI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161.60737683648517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6.6286195066581302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144.64060838641643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11.273209966195099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3.9413369756653895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39.093744969101543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3.1504356934260609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29.505613220783989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77.25677514348726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2.1583612400403008E-2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3.6203456013779285E-2</v>
      </c>
      <c r="BD67" s="30">
        <f t="shared" si="61"/>
        <v>477.15550776663321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SULAWESI</v>
      </c>
      <c r="C68" s="20">
        <f t="shared" si="77"/>
        <v>2035</v>
      </c>
      <c r="D68" s="30">
        <f>(sulawesi!D44*3.6/(VLOOKUP(D$51,tech_data!$B$2:$J$15,4,FALSE)/100))/1000</f>
        <v>157.695212862874</v>
      </c>
      <c r="E68" s="30">
        <f>(sulawesi!E44*3.6/(VLOOKUP(E$51,tech_data!$B$2:$J$15,4,FALSE)/100))/1000</f>
        <v>8.8887704621054286</v>
      </c>
      <c r="F68" s="30">
        <f>(sulawesi!F44*3.6/(VLOOKUP(F$51,tech_data!$B$2:$J$15,4,FALSE)/100))/1000</f>
        <v>108.34759258146038</v>
      </c>
      <c r="G68" s="30">
        <f>(sulawesi!G44*3.6/(VLOOKUP(G$51,tech_data!$B$2:$J$15,4,FALSE)/100))/1000</f>
        <v>55.909896729058502</v>
      </c>
      <c r="H68" s="30">
        <f>(sulawesi!H44*3.6/(VLOOKUP(H$51,tech_data!$B$2:$J$15,4,FALSE)/100))/1000</f>
        <v>13.843495211571691</v>
      </c>
      <c r="I68" s="30">
        <f>(sulawesi!I44*3.6/(VLOOKUP(I$51,tech_data!$B$2:$J$15,4,FALSE)/100))/1000</f>
        <v>17.390704040129627</v>
      </c>
      <c r="J68" s="30">
        <f>(sulawesi!J44*3.6/(VLOOKUP(J$51,tech_data!$B$2:$J$15,4,FALSE)/100))/1000</f>
        <v>1.6660686593438032</v>
      </c>
      <c r="K68" s="30">
        <f t="shared" ref="K68:L68" si="78">K44*3.6/1000</f>
        <v>18.092842026984741</v>
      </c>
      <c r="L68" s="30">
        <f t="shared" si="78"/>
        <v>16.641841374429735</v>
      </c>
      <c r="M68" s="30">
        <f>(sulawesi!M44*3.6/(VLOOKUP(M$51,tech_data!$B$2:$J$15,4,FALSE)/100))/1000</f>
        <v>1.4502256079404467E-2</v>
      </c>
      <c r="N68" s="30">
        <f t="shared" si="58"/>
        <v>0</v>
      </c>
      <c r="O68" s="30">
        <f>(sulawesi!O44*3.6/(VLOOKUP(O$51,tech_data!$B$2:$J$15,4,FALSE)/100))/1000</f>
        <v>0</v>
      </c>
      <c r="P68" s="30">
        <v>0</v>
      </c>
      <c r="Q68" s="30">
        <f t="shared" si="53"/>
        <v>398.49092620403735</v>
      </c>
      <c r="R68" s="30"/>
      <c r="T68" s="19"/>
      <c r="U68" s="20" t="str">
        <f t="shared" si="54"/>
        <v>SULAWESI</v>
      </c>
      <c r="V68" s="20">
        <f t="shared" si="54"/>
        <v>2035</v>
      </c>
      <c r="W68" s="30">
        <f>D68*VLOOKUP(W$51,tech_data!$B$2:$K$15,10,FALSE)*1000</f>
        <v>15725366.626685794</v>
      </c>
      <c r="X68" s="30">
        <f>E68*VLOOKUP(X$51,tech_data!$B$2:$K$15,10,FALSE)*1000</f>
        <v>551992.64569674712</v>
      </c>
      <c r="Y68" s="30">
        <f>F68*VLOOKUP(Y$51,tech_data!$B$2:$K$15,10,FALSE)*1000</f>
        <v>6728385.4993086895</v>
      </c>
      <c r="Z68" s="30">
        <f>G68*VLOOKUP(Z$51,tech_data!$B$2:$K$15,10,FALSE)*1000</f>
        <v>4202746.9371233275</v>
      </c>
      <c r="AA68" s="30">
        <f>H44*VLOOKUP(AA$51,tech_data!$B$2:$K$15,10,FALSE)/1000</f>
        <v>32.653344330294729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1629.4734930818859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27210153.835651971</v>
      </c>
      <c r="AK68" s="25">
        <f t="shared" si="60"/>
        <v>7.7893266405459351E-4</v>
      </c>
      <c r="AL68" s="24">
        <f t="shared" si="65"/>
        <v>6.7000000000000004E-2</v>
      </c>
      <c r="AM68" s="26"/>
      <c r="AN68" s="24"/>
      <c r="AO68" s="20" t="str">
        <f t="shared" si="56"/>
        <v>SULAWESI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161.60737683648517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6.6286195066581302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144.64060838641643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17.045470282477595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3.9413369756653895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39.093744969101543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3.1504356934260609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29.505613220783989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77.25677514348726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2.1583612400403008E-2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3.8365055892827099E-2</v>
      </c>
      <c r="BD68" s="30">
        <f t="shared" si="61"/>
        <v>482.92992968279469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SULAWESI</v>
      </c>
      <c r="C69" s="20">
        <f t="shared" si="77"/>
        <v>2036</v>
      </c>
      <c r="D69" s="30">
        <f>(sulawesi!D45*3.6/(VLOOKUP(D$51,tech_data!$B$2:$J$15,4,FALSE)/100))/1000</f>
        <v>157.695212862874</v>
      </c>
      <c r="E69" s="30">
        <f>(sulawesi!E45*3.6/(VLOOKUP(E$51,tech_data!$B$2:$J$15,4,FALSE)/100))/1000</f>
        <v>8.8887704621054286</v>
      </c>
      <c r="F69" s="30">
        <f>(sulawesi!F45*3.6/(VLOOKUP(F$51,tech_data!$B$2:$J$15,4,FALSE)/100))/1000</f>
        <v>114.4420257964248</v>
      </c>
      <c r="G69" s="30">
        <f>(sulawesi!G45*3.6/(VLOOKUP(G$51,tech_data!$B$2:$J$15,4,FALSE)/100))/1000</f>
        <v>60.831393973543229</v>
      </c>
      <c r="H69" s="30">
        <f>(sulawesi!H45*3.6/(VLOOKUP(H$51,tech_data!$B$2:$J$15,4,FALSE)/100))/1000</f>
        <v>13.843495211571691</v>
      </c>
      <c r="I69" s="30">
        <f>(sulawesi!I45*3.6/(VLOOKUP(I$51,tech_data!$B$2:$J$15,4,FALSE)/100))/1000</f>
        <v>17.390704040129627</v>
      </c>
      <c r="J69" s="30">
        <f>(sulawesi!J45*3.6/(VLOOKUP(J$51,tech_data!$B$2:$J$15,4,FALSE)/100))/1000</f>
        <v>1.6660686593438032</v>
      </c>
      <c r="K69" s="30">
        <f t="shared" ref="K69:L69" si="79">K45*3.6/1000</f>
        <v>18.092842026984741</v>
      </c>
      <c r="L69" s="30">
        <f t="shared" si="79"/>
        <v>19.524069590435531</v>
      </c>
      <c r="M69" s="30">
        <f>(sulawesi!M45*3.6/(VLOOKUP(M$51,tech_data!$B$2:$J$15,4,FALSE)/100))/1000</f>
        <v>1.4502256079404467E-2</v>
      </c>
      <c r="N69" s="30">
        <f t="shared" si="58"/>
        <v>0</v>
      </c>
      <c r="O69" s="30">
        <f>(sulawesi!O45*3.6/(VLOOKUP(O$51,tech_data!$B$2:$J$15,4,FALSE)/100))/1000</f>
        <v>0</v>
      </c>
      <c r="P69" s="30">
        <v>0</v>
      </c>
      <c r="Q69" s="30">
        <f t="shared" si="53"/>
        <v>412.38908487949226</v>
      </c>
      <c r="R69" s="30"/>
      <c r="T69" s="19"/>
      <c r="U69" s="20" t="str">
        <f t="shared" si="54"/>
        <v>SULAWESI</v>
      </c>
      <c r="V69" s="20">
        <f t="shared" si="54"/>
        <v>2036</v>
      </c>
      <c r="W69" s="30">
        <f>D69*VLOOKUP(W$51,tech_data!$B$2:$K$15,10,FALSE)*1000</f>
        <v>15725366.626685794</v>
      </c>
      <c r="X69" s="30">
        <f>E69*VLOOKUP(X$51,tech_data!$B$2:$K$15,10,FALSE)*1000</f>
        <v>551992.64569674712</v>
      </c>
      <c r="Y69" s="30">
        <f>F69*VLOOKUP(Y$51,tech_data!$B$2:$K$15,10,FALSE)*1000</f>
        <v>7106849.8019579798</v>
      </c>
      <c r="Z69" s="30">
        <f>G69*VLOOKUP(Z$51,tech_data!$B$2:$K$15,10,FALSE)*1000</f>
        <v>4572695.8849912444</v>
      </c>
      <c r="AA69" s="30">
        <f>H45*VLOOKUP(AA$51,tech_data!$B$2:$K$15,10,FALSE)/1000</f>
        <v>32.653344330294729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1629.4734930818859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27958567.086169176</v>
      </c>
      <c r="AK69" s="25">
        <f t="shared" si="60"/>
        <v>2.7504925368580593E-2</v>
      </c>
      <c r="AL69" s="24">
        <f t="shared" si="65"/>
        <v>6.7000000000000004E-2</v>
      </c>
      <c r="AM69" s="26"/>
      <c r="AN69" s="24"/>
      <c r="AO69" s="20" t="str">
        <f t="shared" si="56"/>
        <v>SULAWESI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161.60737683648517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6.6286195066581302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385.9058460382625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112.16150782789741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3.9413369756653895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39.093744969101543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3.1504356934260609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29.505613220783989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425.57660220028356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2.1583612400403008E-2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0.22025599056117673</v>
      </c>
      <c r="BD69" s="30">
        <f t="shared" si="61"/>
        <v>1167.8129228715252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SULAWESI</v>
      </c>
      <c r="C70" s="20">
        <f t="shared" si="77"/>
        <v>2037</v>
      </c>
      <c r="D70" s="30">
        <f>(sulawesi!D46*3.6/(VLOOKUP(D$51,tech_data!$B$2:$J$15,4,FALSE)/100))/1000</f>
        <v>166.7500634896449</v>
      </c>
      <c r="E70" s="30">
        <f>(sulawesi!E46*3.6/(VLOOKUP(E$51,tech_data!$B$2:$J$15,4,FALSE)/100))/1000</f>
        <v>8.8887704621054286</v>
      </c>
      <c r="F70" s="30">
        <f>(sulawesi!F46*3.6/(VLOOKUP(F$51,tech_data!$B$2:$J$15,4,FALSE)/100))/1000</f>
        <v>127.15673602281379</v>
      </c>
      <c r="G70" s="30">
        <f>(sulawesi!G46*3.6/(VLOOKUP(G$51,tech_data!$B$2:$J$15,4,FALSE)/100))/1000</f>
        <v>63.235155965935085</v>
      </c>
      <c r="H70" s="30">
        <f>(sulawesi!H46*3.6/(VLOOKUP(H$51,tech_data!$B$2:$J$15,4,FALSE)/100))/1000</f>
        <v>13.843495211571691</v>
      </c>
      <c r="I70" s="30">
        <f>(sulawesi!I46*3.6/(VLOOKUP(I$51,tech_data!$B$2:$J$15,4,FALSE)/100))/1000</f>
        <v>17.390704040129627</v>
      </c>
      <c r="J70" s="30">
        <f>(sulawesi!J46*3.6/(VLOOKUP(J$51,tech_data!$B$2:$J$15,4,FALSE)/100))/1000</f>
        <v>1.6660686593438032</v>
      </c>
      <c r="K70" s="30">
        <f t="shared" ref="K70:L70" si="80">K46*3.6/1000</f>
        <v>18.092842026984741</v>
      </c>
      <c r="L70" s="30">
        <f t="shared" si="80"/>
        <v>24.881012995917398</v>
      </c>
      <c r="M70" s="30">
        <f>(sulawesi!M46*3.6/(VLOOKUP(M$51,tech_data!$B$2:$J$15,4,FALSE)/100))/1000</f>
        <v>1.4502256079404467E-2</v>
      </c>
      <c r="N70" s="30">
        <f t="shared" si="58"/>
        <v>0</v>
      </c>
      <c r="O70" s="30">
        <f>(sulawesi!O46*3.6/(VLOOKUP(O$51,tech_data!$B$2:$J$15,4,FALSE)/100))/1000</f>
        <v>0</v>
      </c>
      <c r="P70" s="30">
        <v>0</v>
      </c>
      <c r="Q70" s="30">
        <f t="shared" si="53"/>
        <v>441.91935113052585</v>
      </c>
      <c r="R70" s="30"/>
      <c r="T70" s="19"/>
      <c r="U70" s="20" t="str">
        <f t="shared" si="54"/>
        <v>SULAWESI</v>
      </c>
      <c r="V70" s="20">
        <f t="shared" si="54"/>
        <v>2037</v>
      </c>
      <c r="W70" s="30">
        <f>D70*VLOOKUP(W$51,tech_data!$B$2:$K$15,10,FALSE)*1000</f>
        <v>16628316.33118739</v>
      </c>
      <c r="X70" s="30">
        <f>E70*VLOOKUP(X$51,tech_data!$B$2:$K$15,10,FALSE)*1000</f>
        <v>551992.64569674712</v>
      </c>
      <c r="Y70" s="30">
        <f>F70*VLOOKUP(Y$51,tech_data!$B$2:$K$15,10,FALSE)*1000</f>
        <v>7896433.3070167368</v>
      </c>
      <c r="Z70" s="30">
        <f>G70*VLOOKUP(Z$51,tech_data!$B$2:$K$15,10,FALSE)*1000</f>
        <v>4753386.6739593409</v>
      </c>
      <c r="AA70" s="30">
        <f>H46*VLOOKUP(AA$51,tech_data!$B$2:$K$15,10,FALSE)/1000</f>
        <v>32.653344330294729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1629.4734930818859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29831791.084697627</v>
      </c>
      <c r="AK70" s="25">
        <f t="shared" si="60"/>
        <v>6.7000000134310025E-2</v>
      </c>
      <c r="AL70" s="24">
        <f t="shared" si="65"/>
        <v>6.7000000000000004E-2</v>
      </c>
      <c r="AM70" s="26"/>
      <c r="AN70" s="24"/>
      <c r="AO70" s="20" t="str">
        <f t="shared" si="56"/>
        <v>SULAWESI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467.49683730834334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6.6286195066581355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656.12396124290524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61.575725463125998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3.9413369756653895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39.093744969101543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3.1504356934260609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29.505613220783982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738.02834938193519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2.1583612400403008E-2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0.40012356474562694</v>
      </c>
      <c r="BD70" s="30">
        <f t="shared" si="61"/>
        <v>2005.966330939091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SULAWESI</v>
      </c>
      <c r="C71" s="20">
        <f t="shared" si="77"/>
        <v>2038</v>
      </c>
      <c r="D71" s="30">
        <f>(sulawesi!D47*3.6/(VLOOKUP(D$51,tech_data!$B$2:$J$15,4,FALSE)/100))/1000</f>
        <v>179.75354322400827</v>
      </c>
      <c r="E71" s="30">
        <f>(sulawesi!E47*3.6/(VLOOKUP(E$51,tech_data!$B$2:$J$15,4,FALSE)/100))/1000</f>
        <v>8.8887704621054286</v>
      </c>
      <c r="F71" s="30">
        <f>(sulawesi!F47*3.6/(VLOOKUP(F$51,tech_data!$B$2:$J$15,4,FALSE)/100))/1000</f>
        <v>138.46147628869093</v>
      </c>
      <c r="G71" s="30">
        <f>(sulawesi!G47*3.6/(VLOOKUP(G$51,tech_data!$B$2:$J$15,4,FALSE)/100))/1000</f>
        <v>63.235155965935085</v>
      </c>
      <c r="H71" s="30">
        <f>(sulawesi!H47*3.6/(VLOOKUP(H$51,tech_data!$B$2:$J$15,4,FALSE)/100))/1000</f>
        <v>13.843495211571691</v>
      </c>
      <c r="I71" s="30">
        <f>(sulawesi!I47*3.6/(VLOOKUP(I$51,tech_data!$B$2:$J$15,4,FALSE)/100))/1000</f>
        <v>17.390704040129627</v>
      </c>
      <c r="J71" s="30">
        <f>(sulawesi!J47*3.6/(VLOOKUP(J$51,tech_data!$B$2:$J$15,4,FALSE)/100))/1000</f>
        <v>1.6660686593438032</v>
      </c>
      <c r="K71" s="30">
        <f t="shared" ref="K71:L71" si="81">K47*3.6/1000</f>
        <v>18.092842026984741</v>
      </c>
      <c r="L71" s="30">
        <f t="shared" si="81"/>
        <v>33.314169915793592</v>
      </c>
      <c r="M71" s="30">
        <f>(sulawesi!M47*3.6/(VLOOKUP(M$51,tech_data!$B$2:$J$15,4,FALSE)/100))/1000</f>
        <v>1.4502256079404467E-2</v>
      </c>
      <c r="N71" s="30">
        <f t="shared" si="58"/>
        <v>0</v>
      </c>
      <c r="O71" s="30">
        <f>(sulawesi!O47*3.6/(VLOOKUP(O$51,tech_data!$B$2:$J$15,4,FALSE)/100))/1000</f>
        <v>0</v>
      </c>
      <c r="P71" s="30">
        <v>0</v>
      </c>
      <c r="Q71" s="30">
        <f t="shared" si="53"/>
        <v>474.66072805064249</v>
      </c>
      <c r="R71" s="30"/>
      <c r="T71" s="19"/>
      <c r="U71" s="20" t="str">
        <f t="shared" si="54"/>
        <v>SULAWESI</v>
      </c>
      <c r="V71" s="20">
        <f t="shared" si="54"/>
        <v>2038</v>
      </c>
      <c r="W71" s="30">
        <f>D71*VLOOKUP(W$51,tech_data!$B$2:$K$15,10,FALSE)*1000</f>
        <v>17925023.330298103</v>
      </c>
      <c r="X71" s="30">
        <f>E71*VLOOKUP(X$51,tech_data!$B$2:$K$15,10,FALSE)*1000</f>
        <v>551992.64569674712</v>
      </c>
      <c r="Y71" s="30">
        <f>F71*VLOOKUP(Y$51,tech_data!$B$2:$K$15,10,FALSE)*1000</f>
        <v>8598457.6775277071</v>
      </c>
      <c r="Z71" s="30">
        <f>G71*VLOOKUP(Z$51,tech_data!$B$2:$K$15,10,FALSE)*1000</f>
        <v>4753386.6739593409</v>
      </c>
      <c r="AA71" s="30">
        <f>H47*VLOOKUP(AA$51,tech_data!$B$2:$K$15,10,FALSE)/1000</f>
        <v>32.653344330294729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1629.4734930818859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31830522.454319309</v>
      </c>
      <c r="AK71" s="25">
        <f t="shared" si="60"/>
        <v>6.7000045821819343E-2</v>
      </c>
      <c r="AL71" s="24">
        <f>AL70</f>
        <v>6.7000000000000004E-2</v>
      </c>
      <c r="AM71" s="26"/>
      <c r="AN71" s="24"/>
      <c r="AO71" s="20" t="str">
        <f t="shared" si="56"/>
        <v>SULAWESI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610.16825709066211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6.6286195066581302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617.28008038259975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12.814790743693862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3.9413369756653895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39.093744969101543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3.1504356934260609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29.505613220783992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1134.6601238045259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2.1583612400403008E-2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0.48959881472185934</v>
      </c>
      <c r="BD71" s="30">
        <f t="shared" si="61"/>
        <v>2457.7541848142387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SULAWESI</v>
      </c>
      <c r="C76" s="20">
        <f t="shared" si="82"/>
        <v>2019</v>
      </c>
      <c r="D76" s="30">
        <f>D28*3.6/1000</f>
        <v>49.499119344</v>
      </c>
      <c r="E76" s="30">
        <f t="shared" ref="E76:O76" si="83">E28*3.6/1000</f>
        <v>3.1071414947150768</v>
      </c>
      <c r="F76" s="30">
        <f t="shared" si="83"/>
        <v>3.1383292984615383</v>
      </c>
      <c r="G76" s="30">
        <f t="shared" si="83"/>
        <v>16.117847963667693</v>
      </c>
      <c r="H76" s="30">
        <f t="shared" si="83"/>
        <v>1.8688718769230768</v>
      </c>
      <c r="I76" s="30">
        <f t="shared" si="83"/>
        <v>13.248162884381539</v>
      </c>
      <c r="J76" s="30">
        <f t="shared" si="83"/>
        <v>1.3328549700923076</v>
      </c>
      <c r="K76" s="30">
        <f t="shared" si="83"/>
        <v>2.8079654399999997E-2</v>
      </c>
      <c r="L76" s="30">
        <f t="shared" si="83"/>
        <v>0</v>
      </c>
      <c r="M76" s="30">
        <f t="shared" si="83"/>
        <v>4.4956993846153852E-3</v>
      </c>
      <c r="N76" s="30">
        <f t="shared" si="83"/>
        <v>0</v>
      </c>
      <c r="O76" s="30">
        <f t="shared" si="83"/>
        <v>0</v>
      </c>
      <c r="P76" s="30">
        <f>(sulawesi!P52*3.6/(VLOOKUP(P$51,tech_data!$B$2:$J$15,4,FALSE)/100))/1000</f>
        <v>0</v>
      </c>
      <c r="Q76" s="30">
        <f t="shared" ref="Q76:Q95" si="84">SUM(D76:O76)</f>
        <v>88.344903186025874</v>
      </c>
      <c r="R76" s="30"/>
      <c r="S76" s="23"/>
      <c r="T76" s="19"/>
      <c r="U76" s="20" t="str">
        <f t="shared" ref="U76:V91" si="85">U28</f>
        <v>SULAWESI</v>
      </c>
      <c r="V76" s="20">
        <f t="shared" si="85"/>
        <v>2019</v>
      </c>
      <c r="W76" s="30">
        <f>D52*(1-(VLOOKUP(W$75,tech_data!$B$2:$O$15,4,FALSE)/100))</f>
        <v>78.515844476689637</v>
      </c>
      <c r="X76" s="30">
        <f>E52*(1-(VLOOKUP(X$75,tech_data!$B$2:$O$15,4,FALSE)/100))</f>
        <v>5.6044701727103723</v>
      </c>
      <c r="Y76" s="30">
        <f>F52*(1-(VLOOKUP(Y$75,tech_data!$B$2:$O$15,4,FALSE)/100))</f>
        <v>2.2416637846153842</v>
      </c>
      <c r="Z76" s="30">
        <f>G52*(1-(VLOOKUP(Z$75,tech_data!$B$2:$O$15,4,FALSE)/100))</f>
        <v>18.920951957349033</v>
      </c>
      <c r="AA76" s="30">
        <f>H52*(1-(VLOOKUP(AA$75,tech_data!$B$2:$O$15,4,FALSE)/100))</f>
        <v>11.974623507692305</v>
      </c>
      <c r="AB76" s="30">
        <f>I52*(1-(VLOOKUP(AB$75,tech_data!$B$2:$O$15,4,FALSE)/100))</f>
        <v>0.69727173075692384</v>
      </c>
      <c r="AC76" s="30">
        <f>J52*(1-(VLOOKUP(AC$75,tech_data!$B$2:$O$15,4,FALSE)/100))</f>
        <v>0.33321374252307684</v>
      </c>
      <c r="AD76" s="30">
        <f>K52*(1-(VLOOKUP(AD$75,tech_data!$B$2:$O$15,4,FALSE)/100))</f>
        <v>2.3586909695999997E-2</v>
      </c>
      <c r="AE76" s="30">
        <f>L52*(1-(VLOOKUP(AE$75,tech_data!$B$2:$O$15,4,FALSE)/100))</f>
        <v>0</v>
      </c>
      <c r="AF76" s="30">
        <f>M52*(1-(VLOOKUP(AF$75,tech_data!$B$2:$O$15,4,FALSE)/100))</f>
        <v>1.0006556694789082E-2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(sulawesi!AI52*3.6/(VLOOKUP(AI$51,tech_data!$B$2:$J$15,4,FALSE)/100))/1000</f>
        <v>0</v>
      </c>
      <c r="AJ76" s="30">
        <f t="shared" ref="AJ76:AJ95" si="86">SUM(W76:AH76)</f>
        <v>118.32163283872751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SULAWESI</v>
      </c>
      <c r="C77" s="20">
        <f t="shared" si="82"/>
        <v>2020</v>
      </c>
      <c r="D77" s="30">
        <f t="shared" ref="D77:O92" si="87">D29*3.6/1000</f>
        <v>49.499119344</v>
      </c>
      <c r="E77" s="30">
        <f t="shared" si="87"/>
        <v>3.1703281530078313</v>
      </c>
      <c r="F77" s="30">
        <f t="shared" si="87"/>
        <v>4.9721011013051806</v>
      </c>
      <c r="G77" s="30">
        <f t="shared" si="87"/>
        <v>16.117847963667693</v>
      </c>
      <c r="H77" s="30">
        <f t="shared" si="87"/>
        <v>1.8688718769230768</v>
      </c>
      <c r="I77" s="30">
        <f t="shared" si="87"/>
        <v>13.248162884381539</v>
      </c>
      <c r="J77" s="30">
        <f t="shared" si="87"/>
        <v>1.3328549700923076</v>
      </c>
      <c r="K77" s="30">
        <f t="shared" si="87"/>
        <v>0.88061816561366979</v>
      </c>
      <c r="L77" s="30">
        <f t="shared" si="87"/>
        <v>0</v>
      </c>
      <c r="M77" s="30">
        <f t="shared" si="87"/>
        <v>4.4956993846153852E-3</v>
      </c>
      <c r="N77" s="30">
        <f t="shared" si="87"/>
        <v>0</v>
      </c>
      <c r="O77" s="30">
        <f t="shared" si="87"/>
        <v>0</v>
      </c>
      <c r="P77" s="30">
        <f>(sulawesi!P53*3.6/(VLOOKUP(P$51,tech_data!$B$2:$J$15,4,FALSE)/100))/1000</f>
        <v>0</v>
      </c>
      <c r="Q77" s="30">
        <f t="shared" si="84"/>
        <v>91.094400158375933</v>
      </c>
      <c r="R77" s="30"/>
      <c r="S77" s="23"/>
      <c r="T77" s="19"/>
      <c r="U77" s="20" t="str">
        <f t="shared" si="85"/>
        <v>SULAWESI</v>
      </c>
      <c r="V77" s="20">
        <f t="shared" si="85"/>
        <v>2020</v>
      </c>
      <c r="W77" s="30">
        <f>D53*(1-(VLOOKUP(W$75,tech_data!$B$2:$O$15,4,FALSE)/100))</f>
        <v>78.515844476689637</v>
      </c>
      <c r="X77" s="30">
        <f>E53*(1-(VLOOKUP(X$75,tech_data!$B$2:$O$15,4,FALSE)/100))</f>
        <v>5.7184423694440314</v>
      </c>
      <c r="Y77" s="30">
        <f>F53*(1-(VLOOKUP(Y$75,tech_data!$B$2:$O$15,4,FALSE)/100))</f>
        <v>3.5515007866465571</v>
      </c>
      <c r="Z77" s="30">
        <f>G53*(1-(VLOOKUP(Z$75,tech_data!$B$2:$O$15,4,FALSE)/100))</f>
        <v>18.920951957349033</v>
      </c>
      <c r="AA77" s="30">
        <f>H53*(1-(VLOOKUP(AA$75,tech_data!$B$2:$O$15,4,FALSE)/100))</f>
        <v>11.974623507692305</v>
      </c>
      <c r="AB77" s="30">
        <f>I53*(1-(VLOOKUP(AB$75,tech_data!$B$2:$O$15,4,FALSE)/100))</f>
        <v>0.69727173075692384</v>
      </c>
      <c r="AC77" s="30">
        <f>J53*(1-(VLOOKUP(AC$75,tech_data!$B$2:$O$15,4,FALSE)/100))</f>
        <v>0.33321374252307684</v>
      </c>
      <c r="AD77" s="30">
        <f>K53*(1-(VLOOKUP(AD$75,tech_data!$B$2:$O$15,4,FALSE)/100))</f>
        <v>0.73971925911548264</v>
      </c>
      <c r="AE77" s="30">
        <f>L53*(1-(VLOOKUP(AE$75,tech_data!$B$2:$O$15,4,FALSE)/100))</f>
        <v>0</v>
      </c>
      <c r="AF77" s="30">
        <f>M53*(1-(VLOOKUP(AF$75,tech_data!$B$2:$O$15,4,FALSE)/100))</f>
        <v>1.0006556694789082E-2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(sulawesi!AI53*3.6/(VLOOKUP(AI$51,tech_data!$B$2:$J$15,4,FALSE)/100))/1000</f>
        <v>0</v>
      </c>
      <c r="AJ77" s="30">
        <f t="shared" si="86"/>
        <v>120.46157438691183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SULAWESI</v>
      </c>
      <c r="C78" s="20">
        <f t="shared" si="82"/>
        <v>2021</v>
      </c>
      <c r="D78" s="30">
        <f t="shared" si="87"/>
        <v>49.499119326543067</v>
      </c>
      <c r="E78" s="30">
        <f t="shared" si="87"/>
        <v>3.1703281422460501</v>
      </c>
      <c r="F78" s="30">
        <f t="shared" si="87"/>
        <v>15.345541112328362</v>
      </c>
      <c r="G78" s="30">
        <f t="shared" si="87"/>
        <v>16.117847963667693</v>
      </c>
      <c r="H78" s="30">
        <f t="shared" si="87"/>
        <v>1.8688718769230768</v>
      </c>
      <c r="I78" s="30">
        <f t="shared" si="87"/>
        <v>13.248162884381539</v>
      </c>
      <c r="J78" s="30">
        <f t="shared" si="87"/>
        <v>1.3328549700923076</v>
      </c>
      <c r="K78" s="30">
        <f t="shared" si="87"/>
        <v>0.92712955813433406</v>
      </c>
      <c r="L78" s="30">
        <f t="shared" si="87"/>
        <v>0</v>
      </c>
      <c r="M78" s="30">
        <f t="shared" si="87"/>
        <v>4.4956993846153852E-3</v>
      </c>
      <c r="N78" s="30">
        <f t="shared" si="87"/>
        <v>0</v>
      </c>
      <c r="O78" s="30">
        <f t="shared" si="87"/>
        <v>0</v>
      </c>
      <c r="P78" s="30">
        <f>(sulawesi!P54*3.6/(VLOOKUP(P$51,tech_data!$B$2:$J$15,4,FALSE)/100))/1000</f>
        <v>0</v>
      </c>
      <c r="Q78" s="30">
        <f t="shared" si="84"/>
        <v>101.51435153370106</v>
      </c>
      <c r="R78" s="30"/>
      <c r="S78" s="23"/>
      <c r="T78" s="19"/>
      <c r="U78" s="20" t="str">
        <f t="shared" si="85"/>
        <v>SULAWESI</v>
      </c>
      <c r="V78" s="20">
        <f t="shared" si="85"/>
        <v>2021</v>
      </c>
      <c r="W78" s="30">
        <f>D54*(1-(VLOOKUP(W$75,tech_data!$B$2:$O$15,4,FALSE)/100))</f>
        <v>78.515844448999346</v>
      </c>
      <c r="X78" s="30">
        <f>E54*(1-(VLOOKUP(X$75,tech_data!$B$2:$O$15,4,FALSE)/100))</f>
        <v>5.7184423500325954</v>
      </c>
      <c r="Y78" s="30">
        <f>F54*(1-(VLOOKUP(Y$75,tech_data!$B$2:$O$15,4,FALSE)/100))</f>
        <v>10.961100794520258</v>
      </c>
      <c r="Z78" s="30">
        <f>G54*(1-(VLOOKUP(Z$75,tech_data!$B$2:$O$15,4,FALSE)/100))</f>
        <v>18.920951957349033</v>
      </c>
      <c r="AA78" s="30">
        <f>H54*(1-(VLOOKUP(AA$75,tech_data!$B$2:$O$15,4,FALSE)/100))</f>
        <v>11.974623507692305</v>
      </c>
      <c r="AB78" s="30">
        <f>I54*(1-(VLOOKUP(AB$75,tech_data!$B$2:$O$15,4,FALSE)/100))</f>
        <v>0.69727173075692384</v>
      </c>
      <c r="AC78" s="30">
        <f>J54*(1-(VLOOKUP(AC$75,tech_data!$B$2:$O$15,4,FALSE)/100))</f>
        <v>0.33321374252307684</v>
      </c>
      <c r="AD78" s="30">
        <f>K54*(1-(VLOOKUP(AD$75,tech_data!$B$2:$O$15,4,FALSE)/100))</f>
        <v>0.77878882883284062</v>
      </c>
      <c r="AE78" s="30">
        <f>L54*(1-(VLOOKUP(AE$75,tech_data!$B$2:$O$15,4,FALSE)/100))</f>
        <v>0</v>
      </c>
      <c r="AF78" s="30">
        <f>M54*(1-(VLOOKUP(AF$75,tech_data!$B$2:$O$15,4,FALSE)/100))</f>
        <v>1.0006556694789082E-2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(sulawesi!AI54*3.6/(VLOOKUP(AI$51,tech_data!$B$2:$J$15,4,FALSE)/100))/1000</f>
        <v>0</v>
      </c>
      <c r="AJ78" s="30">
        <f t="shared" si="86"/>
        <v>127.91024391740116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SULAWESI</v>
      </c>
      <c r="C79" s="20">
        <f t="shared" si="82"/>
        <v>2022</v>
      </c>
      <c r="D79" s="30">
        <f t="shared" si="87"/>
        <v>51.51706186856056</v>
      </c>
      <c r="E79" s="30">
        <f t="shared" si="87"/>
        <v>3.1703281314842693</v>
      </c>
      <c r="F79" s="30">
        <f t="shared" si="87"/>
        <v>21.525457593554584</v>
      </c>
      <c r="G79" s="30">
        <f t="shared" si="87"/>
        <v>16.117847963667693</v>
      </c>
      <c r="H79" s="30">
        <f t="shared" si="87"/>
        <v>1.8688718769230768</v>
      </c>
      <c r="I79" s="30">
        <f t="shared" si="87"/>
        <v>13.248162884381539</v>
      </c>
      <c r="J79" s="30">
        <f t="shared" si="87"/>
        <v>1.3328549487836754</v>
      </c>
      <c r="K79" s="30">
        <f t="shared" si="87"/>
        <v>10.981096185886798</v>
      </c>
      <c r="L79" s="30">
        <f t="shared" si="87"/>
        <v>0</v>
      </c>
      <c r="M79" s="30">
        <f t="shared" si="87"/>
        <v>4.4956993846153852E-3</v>
      </c>
      <c r="N79" s="30">
        <f t="shared" si="87"/>
        <v>0</v>
      </c>
      <c r="O79" s="30">
        <f t="shared" si="87"/>
        <v>0</v>
      </c>
      <c r="P79" s="30">
        <f>(sulawesi!P55*3.6/(VLOOKUP(P$51,tech_data!$B$2:$J$15,4,FALSE)/100))/1000</f>
        <v>0</v>
      </c>
      <c r="Q79" s="30">
        <f t="shared" si="84"/>
        <v>119.76617715262681</v>
      </c>
      <c r="R79" s="30"/>
      <c r="S79" s="23"/>
      <c r="T79" s="19"/>
      <c r="U79" s="20" t="str">
        <f t="shared" si="85"/>
        <v>SULAWESI</v>
      </c>
      <c r="V79" s="20">
        <f t="shared" si="85"/>
        <v>2022</v>
      </c>
      <c r="W79" s="30">
        <f>D55*(1-(VLOOKUP(W$75,tech_data!$B$2:$O$15,4,FALSE)/100))</f>
        <v>81.716718825992601</v>
      </c>
      <c r="X79" s="30">
        <f>E55*(1-(VLOOKUP(X$75,tech_data!$B$2:$O$15,4,FALSE)/100))</f>
        <v>5.7184423306211585</v>
      </c>
      <c r="Y79" s="30">
        <f>F55*(1-(VLOOKUP(Y$75,tech_data!$B$2:$O$15,4,FALSE)/100))</f>
        <v>15.375326852538985</v>
      </c>
      <c r="Z79" s="30">
        <f>G55*(1-(VLOOKUP(Z$75,tech_data!$B$2:$O$15,4,FALSE)/100))</f>
        <v>18.920951957349033</v>
      </c>
      <c r="AA79" s="30">
        <f>H55*(1-(VLOOKUP(AA$75,tech_data!$B$2:$O$15,4,FALSE)/100))</f>
        <v>11.974623507692305</v>
      </c>
      <c r="AB79" s="30">
        <f>I55*(1-(VLOOKUP(AB$75,tech_data!$B$2:$O$15,4,FALSE)/100))</f>
        <v>0.69727173075692384</v>
      </c>
      <c r="AC79" s="30">
        <f>J55*(1-(VLOOKUP(AC$75,tech_data!$B$2:$O$15,4,FALSE)/100))</f>
        <v>0.33321373719591874</v>
      </c>
      <c r="AD79" s="30">
        <f>K55*(1-(VLOOKUP(AD$75,tech_data!$B$2:$O$15,4,FALSE)/100))</f>
        <v>9.224120796144911</v>
      </c>
      <c r="AE79" s="30">
        <f>L55*(1-(VLOOKUP(AE$75,tech_data!$B$2:$O$15,4,FALSE)/100))</f>
        <v>0</v>
      </c>
      <c r="AF79" s="30">
        <f>M55*(1-(VLOOKUP(AF$75,tech_data!$B$2:$O$15,4,FALSE)/100))</f>
        <v>1.0006556694789082E-2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(sulawesi!AI55*3.6/(VLOOKUP(AI$51,tech_data!$B$2:$J$15,4,FALSE)/100))/1000</f>
        <v>0</v>
      </c>
      <c r="AJ79" s="30">
        <f t="shared" si="86"/>
        <v>143.97067629498659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SULAWESI</v>
      </c>
      <c r="C80" s="20">
        <f t="shared" si="82"/>
        <v>2023</v>
      </c>
      <c r="D80" s="30">
        <f t="shared" si="87"/>
        <v>54.356844840209412</v>
      </c>
      <c r="E80" s="30">
        <f t="shared" si="87"/>
        <v>3.1703281314842693</v>
      </c>
      <c r="F80" s="30">
        <f t="shared" si="87"/>
        <v>26.456020635253484</v>
      </c>
      <c r="G80" s="30">
        <f t="shared" si="87"/>
        <v>16.117847963667693</v>
      </c>
      <c r="H80" s="30">
        <f t="shared" si="87"/>
        <v>1.8688718535621787</v>
      </c>
      <c r="I80" s="30">
        <f t="shared" si="87"/>
        <v>16.521168838123142</v>
      </c>
      <c r="J80" s="30">
        <f t="shared" si="87"/>
        <v>1.3328549274750425</v>
      </c>
      <c r="K80" s="30">
        <f t="shared" si="87"/>
        <v>18.092842026984741</v>
      </c>
      <c r="L80" s="30">
        <f t="shared" si="87"/>
        <v>2.6211897150288843</v>
      </c>
      <c r="M80" s="30">
        <f t="shared" si="87"/>
        <v>4.4956993846153852E-3</v>
      </c>
      <c r="N80" s="30">
        <f t="shared" si="87"/>
        <v>0</v>
      </c>
      <c r="O80" s="30">
        <f t="shared" si="87"/>
        <v>0</v>
      </c>
      <c r="P80" s="30">
        <f>(sulawesi!P56*3.6/(VLOOKUP(P$51,tech_data!$B$2:$J$15,4,FALSE)/100))/1000</f>
        <v>0</v>
      </c>
      <c r="Q80" s="30">
        <f t="shared" si="84"/>
        <v>140.54246463117346</v>
      </c>
      <c r="R80" s="30"/>
      <c r="S80" s="23"/>
      <c r="T80" s="19"/>
      <c r="U80" s="20" t="str">
        <f t="shared" si="85"/>
        <v>SULAWESI</v>
      </c>
      <c r="V80" s="20">
        <f t="shared" si="85"/>
        <v>2023</v>
      </c>
      <c r="W80" s="30">
        <f>D56*(1-(VLOOKUP(W$75,tech_data!$B$2:$O$15,4,FALSE)/100))</f>
        <v>86.221202160332155</v>
      </c>
      <c r="X80" s="30">
        <f>E56*(1-(VLOOKUP(X$75,tech_data!$B$2:$O$15,4,FALSE)/100))</f>
        <v>5.7184423306211585</v>
      </c>
      <c r="Y80" s="30">
        <f>F56*(1-(VLOOKUP(Y$75,tech_data!$B$2:$O$15,4,FALSE)/100))</f>
        <v>18.897157596609631</v>
      </c>
      <c r="Z80" s="30">
        <f>G56*(1-(VLOOKUP(Z$75,tech_data!$B$2:$O$15,4,FALSE)/100))</f>
        <v>18.920951957349033</v>
      </c>
      <c r="AA80" s="30">
        <f>H56*(1-(VLOOKUP(AA$75,tech_data!$B$2:$O$15,4,FALSE)/100))</f>
        <v>11.974623358009513</v>
      </c>
      <c r="AB80" s="30">
        <f>I56*(1-(VLOOKUP(AB$75,tech_data!$B$2:$O$15,4,FALSE)/100))</f>
        <v>0.86953520200648216</v>
      </c>
      <c r="AC80" s="30">
        <f>J56*(1-(VLOOKUP(AC$75,tech_data!$B$2:$O$15,4,FALSE)/100))</f>
        <v>0.33321373186876058</v>
      </c>
      <c r="AD80" s="30">
        <f>K56*(1-(VLOOKUP(AD$75,tech_data!$B$2:$O$15,4,FALSE)/100))</f>
        <v>15.197987302667181</v>
      </c>
      <c r="AE80" s="30">
        <f>L56*(1-(VLOOKUP(AE$75,tech_data!$B$2:$O$15,4,FALSE)/100))</f>
        <v>1.0668242140167561</v>
      </c>
      <c r="AF80" s="30">
        <f>M56*(1-(VLOOKUP(AF$75,tech_data!$B$2:$O$15,4,FALSE)/100))</f>
        <v>1.0006556694789082E-2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(sulawesi!AI56*3.6/(VLOOKUP(AI$51,tech_data!$B$2:$J$15,4,FALSE)/100))/1000</f>
        <v>0</v>
      </c>
      <c r="AJ80" s="30">
        <f t="shared" si="86"/>
        <v>159.20994441017544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SULAWESI</v>
      </c>
      <c r="C81" s="20">
        <f t="shared" si="82"/>
        <v>2024</v>
      </c>
      <c r="D81" s="30">
        <f t="shared" si="87"/>
        <v>55.189095786552613</v>
      </c>
      <c r="E81" s="30">
        <f t="shared" si="87"/>
        <v>3.1703281314842693</v>
      </c>
      <c r="F81" s="30">
        <f t="shared" si="87"/>
        <v>37.041180582483022</v>
      </c>
      <c r="G81" s="30">
        <f t="shared" si="87"/>
        <v>16.117847963667693</v>
      </c>
      <c r="H81" s="30">
        <f t="shared" si="87"/>
        <v>1.8688718535621787</v>
      </c>
      <c r="I81" s="30">
        <f t="shared" si="87"/>
        <v>16.521168838123142</v>
      </c>
      <c r="J81" s="30">
        <f t="shared" si="87"/>
        <v>1.3328549274750425</v>
      </c>
      <c r="K81" s="30">
        <f t="shared" si="87"/>
        <v>18.092842026984741</v>
      </c>
      <c r="L81" s="30">
        <f t="shared" si="87"/>
        <v>11.383314868163524</v>
      </c>
      <c r="M81" s="30">
        <f t="shared" si="87"/>
        <v>4.4956993846153852E-3</v>
      </c>
      <c r="N81" s="30">
        <f t="shared" si="87"/>
        <v>0</v>
      </c>
      <c r="O81" s="30">
        <f t="shared" si="87"/>
        <v>0</v>
      </c>
      <c r="P81" s="30">
        <f>(sulawesi!P57*3.6/(VLOOKUP(P$51,tech_data!$B$2:$J$15,4,FALSE)/100))/1000</f>
        <v>0</v>
      </c>
      <c r="Q81" s="30">
        <f t="shared" si="84"/>
        <v>160.72200067788086</v>
      </c>
      <c r="R81" s="30"/>
      <c r="S81" s="23"/>
      <c r="T81" s="19"/>
      <c r="U81" s="20" t="str">
        <f t="shared" si="85"/>
        <v>SULAWESI</v>
      </c>
      <c r="V81" s="20">
        <f t="shared" si="85"/>
        <v>2024</v>
      </c>
      <c r="W81" s="30">
        <f>D57*(1-(VLOOKUP(W$75,tech_data!$B$2:$O$15,4,FALSE)/100))</f>
        <v>87.541324351083446</v>
      </c>
      <c r="X81" s="30">
        <f>E57*(1-(VLOOKUP(X$75,tech_data!$B$2:$O$15,4,FALSE)/100))</f>
        <v>5.7184423306211585</v>
      </c>
      <c r="Y81" s="30">
        <f>F57*(1-(VLOOKUP(Y$75,tech_data!$B$2:$O$15,4,FALSE)/100))</f>
        <v>26.457986130345009</v>
      </c>
      <c r="Z81" s="30">
        <f>G57*(1-(VLOOKUP(Z$75,tech_data!$B$2:$O$15,4,FALSE)/100))</f>
        <v>18.920951957349033</v>
      </c>
      <c r="AA81" s="30">
        <f>H57*(1-(VLOOKUP(AA$75,tech_data!$B$2:$O$15,4,FALSE)/100))</f>
        <v>11.974623358009513</v>
      </c>
      <c r="AB81" s="30">
        <f>I57*(1-(VLOOKUP(AB$75,tech_data!$B$2:$O$15,4,FALSE)/100))</f>
        <v>0.86953520200648216</v>
      </c>
      <c r="AC81" s="30">
        <f>J57*(1-(VLOOKUP(AC$75,tech_data!$B$2:$O$15,4,FALSE)/100))</f>
        <v>0.33321373186876058</v>
      </c>
      <c r="AD81" s="30">
        <f>K57*(1-(VLOOKUP(AD$75,tech_data!$B$2:$O$15,4,FALSE)/100))</f>
        <v>15.197987302667181</v>
      </c>
      <c r="AE81" s="30">
        <f>L57*(1-(VLOOKUP(AE$75,tech_data!$B$2:$O$15,4,FALSE)/100))</f>
        <v>4.6330091513425549</v>
      </c>
      <c r="AF81" s="30">
        <f>M57*(1-(VLOOKUP(AF$75,tech_data!$B$2:$O$15,4,FALSE)/100))</f>
        <v>1.0006556694789082E-2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(sulawesi!AI57*3.6/(VLOOKUP(AI$51,tech_data!$B$2:$J$15,4,FALSE)/100))/1000</f>
        <v>0</v>
      </c>
      <c r="AJ81" s="30">
        <f t="shared" si="86"/>
        <v>171.65708007198793</v>
      </c>
      <c r="AK81" s="30"/>
      <c r="AL81" s="23"/>
    </row>
    <row r="82" spans="1:38" x14ac:dyDescent="0.25">
      <c r="A82" s="19"/>
      <c r="B82" s="20" t="str">
        <f t="shared" si="82"/>
        <v>SULAWESI</v>
      </c>
      <c r="C82" s="20">
        <f t="shared" si="82"/>
        <v>2025</v>
      </c>
      <c r="D82" s="30">
        <f t="shared" si="87"/>
        <v>55.189095786552613</v>
      </c>
      <c r="E82" s="30">
        <f t="shared" si="87"/>
        <v>3.1703281314842693</v>
      </c>
      <c r="F82" s="30">
        <f t="shared" si="87"/>
        <v>50.486790734221273</v>
      </c>
      <c r="G82" s="30">
        <f t="shared" si="87"/>
        <v>16.117847963667693</v>
      </c>
      <c r="H82" s="30">
        <f t="shared" si="87"/>
        <v>1.8688718535621787</v>
      </c>
      <c r="I82" s="30">
        <f t="shared" si="87"/>
        <v>16.521168838123142</v>
      </c>
      <c r="J82" s="30">
        <f t="shared" si="87"/>
        <v>1.3328549274750425</v>
      </c>
      <c r="K82" s="30">
        <f t="shared" si="87"/>
        <v>18.092842026984741</v>
      </c>
      <c r="L82" s="30">
        <f t="shared" si="87"/>
        <v>12.067703956253235</v>
      </c>
      <c r="M82" s="30">
        <f t="shared" si="87"/>
        <v>4.4956993846153852E-3</v>
      </c>
      <c r="N82" s="30">
        <f t="shared" si="87"/>
        <v>0</v>
      </c>
      <c r="O82" s="30">
        <f t="shared" si="87"/>
        <v>0</v>
      </c>
      <c r="P82" s="30">
        <f>(sulawesi!P58*3.6/(VLOOKUP(P$51,tech_data!$B$2:$J$15,4,FALSE)/100))/1000</f>
        <v>0</v>
      </c>
      <c r="Q82" s="30">
        <f t="shared" si="84"/>
        <v>174.85199991770884</v>
      </c>
      <c r="R82" s="30"/>
      <c r="S82" s="23"/>
      <c r="T82" s="19"/>
      <c r="U82" s="20" t="str">
        <f t="shared" si="85"/>
        <v>SULAWESI</v>
      </c>
      <c r="V82" s="20">
        <f t="shared" si="85"/>
        <v>2025</v>
      </c>
      <c r="W82" s="30">
        <f>D58*(1-(VLOOKUP(W$75,tech_data!$B$2:$O$15,4,FALSE)/100))</f>
        <v>87.541324351083446</v>
      </c>
      <c r="X82" s="30">
        <f>E58*(1-(VLOOKUP(X$75,tech_data!$B$2:$O$15,4,FALSE)/100))</f>
        <v>5.7184423306211585</v>
      </c>
      <c r="Y82" s="30">
        <f>F58*(1-(VLOOKUP(Y$75,tech_data!$B$2:$O$15,4,FALSE)/100))</f>
        <v>36.06199338158661</v>
      </c>
      <c r="Z82" s="30">
        <f>G58*(1-(VLOOKUP(Z$75,tech_data!$B$2:$O$15,4,FALSE)/100))</f>
        <v>18.920951957349033</v>
      </c>
      <c r="AA82" s="30">
        <f>H58*(1-(VLOOKUP(AA$75,tech_data!$B$2:$O$15,4,FALSE)/100))</f>
        <v>11.974623358009513</v>
      </c>
      <c r="AB82" s="30">
        <f>I58*(1-(VLOOKUP(AB$75,tech_data!$B$2:$O$15,4,FALSE)/100))</f>
        <v>0.86953520200648216</v>
      </c>
      <c r="AC82" s="30">
        <f>J58*(1-(VLOOKUP(AC$75,tech_data!$B$2:$O$15,4,FALSE)/100))</f>
        <v>0.33321373186876058</v>
      </c>
      <c r="AD82" s="30">
        <f>K58*(1-(VLOOKUP(AD$75,tech_data!$B$2:$O$15,4,FALSE)/100))</f>
        <v>15.197987302667181</v>
      </c>
      <c r="AE82" s="30">
        <f>L58*(1-(VLOOKUP(AE$75,tech_data!$B$2:$O$15,4,FALSE)/100))</f>
        <v>4.9115555101950665</v>
      </c>
      <c r="AF82" s="30">
        <f>M58*(1-(VLOOKUP(AF$75,tech_data!$B$2:$O$15,4,FALSE)/100))</f>
        <v>1.0006556694789082E-2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(sulawesi!AI58*3.6/(VLOOKUP(AI$51,tech_data!$B$2:$J$15,4,FALSE)/100))/1000</f>
        <v>0</v>
      </c>
      <c r="AJ82" s="30">
        <f t="shared" si="86"/>
        <v>181.53963368208201</v>
      </c>
      <c r="AK82" s="30"/>
      <c r="AL82" s="23"/>
    </row>
    <row r="83" spans="1:38" x14ac:dyDescent="0.25">
      <c r="A83" s="19"/>
      <c r="B83" s="20" t="str">
        <f t="shared" si="82"/>
        <v>SULAWESI</v>
      </c>
      <c r="C83" s="20">
        <f t="shared" si="82"/>
        <v>2026</v>
      </c>
      <c r="D83" s="30">
        <f t="shared" si="87"/>
        <v>55.53778313974729</v>
      </c>
      <c r="E83" s="30">
        <f t="shared" si="87"/>
        <v>3.1703281314842693</v>
      </c>
      <c r="F83" s="30">
        <f t="shared" si="87"/>
        <v>57.291906689646638</v>
      </c>
      <c r="G83" s="30">
        <f t="shared" si="87"/>
        <v>20.480444524002554</v>
      </c>
      <c r="H83" s="30">
        <f t="shared" si="87"/>
        <v>1.8688718535621787</v>
      </c>
      <c r="I83" s="30">
        <f t="shared" si="87"/>
        <v>16.521168838123142</v>
      </c>
      <c r="J83" s="30">
        <f t="shared" si="87"/>
        <v>1.3328549274750425</v>
      </c>
      <c r="K83" s="30">
        <f t="shared" si="87"/>
        <v>18.092842026984741</v>
      </c>
      <c r="L83" s="30">
        <f t="shared" si="87"/>
        <v>12.067703956253235</v>
      </c>
      <c r="M83" s="30">
        <f t="shared" si="87"/>
        <v>4.4956993846153852E-3</v>
      </c>
      <c r="N83" s="30">
        <f t="shared" si="87"/>
        <v>0</v>
      </c>
      <c r="O83" s="30">
        <f t="shared" si="87"/>
        <v>0</v>
      </c>
      <c r="P83" s="30">
        <f>(sulawesi!P59*3.6/(VLOOKUP(P$51,tech_data!$B$2:$J$15,4,FALSE)/100))/1000</f>
        <v>0</v>
      </c>
      <c r="Q83" s="30">
        <f t="shared" si="84"/>
        <v>186.3683997866637</v>
      </c>
      <c r="R83" s="30"/>
      <c r="S83" s="23"/>
      <c r="T83" s="19"/>
      <c r="U83" s="20" t="str">
        <f t="shared" si="85"/>
        <v>SULAWESI</v>
      </c>
      <c r="V83" s="20">
        <f t="shared" si="85"/>
        <v>2026</v>
      </c>
      <c r="W83" s="30">
        <f>D59*(1-(VLOOKUP(W$75,tech_data!$B$2:$O$15,4,FALSE)/100))</f>
        <v>88.094414635461206</v>
      </c>
      <c r="X83" s="30">
        <f>E59*(1-(VLOOKUP(X$75,tech_data!$B$2:$O$15,4,FALSE)/100))</f>
        <v>5.7184423306211585</v>
      </c>
      <c r="Y83" s="30">
        <f>F59*(1-(VLOOKUP(Y$75,tech_data!$B$2:$O$15,4,FALSE)/100))</f>
        <v>40.922790492604733</v>
      </c>
      <c r="Z83" s="30">
        <f>G59*(1-(VLOOKUP(Z$75,tech_data!$B$2:$O$15,4,FALSE)/100))</f>
        <v>24.042260962959517</v>
      </c>
      <c r="AA83" s="30">
        <f>H59*(1-(VLOOKUP(AA$75,tech_data!$B$2:$O$15,4,FALSE)/100))</f>
        <v>11.974623358009513</v>
      </c>
      <c r="AB83" s="30">
        <f>I59*(1-(VLOOKUP(AB$75,tech_data!$B$2:$O$15,4,FALSE)/100))</f>
        <v>0.86953520200648216</v>
      </c>
      <c r="AC83" s="30">
        <f>J59*(1-(VLOOKUP(AC$75,tech_data!$B$2:$O$15,4,FALSE)/100))</f>
        <v>0.33321373186876058</v>
      </c>
      <c r="AD83" s="30">
        <f>K59*(1-(VLOOKUP(AD$75,tech_data!$B$2:$O$15,4,FALSE)/100))</f>
        <v>15.197987302667181</v>
      </c>
      <c r="AE83" s="30">
        <f>L59*(1-(VLOOKUP(AE$75,tech_data!$B$2:$O$15,4,FALSE)/100))</f>
        <v>4.9115555101950665</v>
      </c>
      <c r="AF83" s="30">
        <f>M59*(1-(VLOOKUP(AF$75,tech_data!$B$2:$O$15,4,FALSE)/100))</f>
        <v>1.0006556694789082E-2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(sulawesi!AI59*3.6/(VLOOKUP(AI$51,tech_data!$B$2:$J$15,4,FALSE)/100))/1000</f>
        <v>0</v>
      </c>
      <c r="AJ83" s="30">
        <f t="shared" si="86"/>
        <v>192.07483008308839</v>
      </c>
      <c r="AK83" s="30"/>
      <c r="AL83" s="23"/>
    </row>
    <row r="84" spans="1:38" x14ac:dyDescent="0.25">
      <c r="A84" s="19"/>
      <c r="B84" s="20" t="str">
        <f t="shared" si="82"/>
        <v>SULAWESI</v>
      </c>
      <c r="C84" s="20">
        <f t="shared" si="82"/>
        <v>2027</v>
      </c>
      <c r="D84" s="30">
        <f t="shared" si="87"/>
        <v>59.416790412883337</v>
      </c>
      <c r="E84" s="30">
        <f t="shared" si="87"/>
        <v>3.1703281314842693</v>
      </c>
      <c r="F84" s="30">
        <f t="shared" si="87"/>
        <v>63.20276233918522</v>
      </c>
      <c r="G84" s="30">
        <f t="shared" si="87"/>
        <v>20.480444524002554</v>
      </c>
      <c r="H84" s="30">
        <f t="shared" si="87"/>
        <v>1.8688718535621787</v>
      </c>
      <c r="I84" s="30">
        <f t="shared" si="87"/>
        <v>16.521168838123142</v>
      </c>
      <c r="J84" s="30">
        <f t="shared" si="87"/>
        <v>1.3328549274750425</v>
      </c>
      <c r="K84" s="30">
        <f t="shared" si="87"/>
        <v>18.092842026984741</v>
      </c>
      <c r="L84" s="30">
        <f t="shared" si="87"/>
        <v>16.641841374429735</v>
      </c>
      <c r="M84" s="30">
        <f t="shared" si="87"/>
        <v>4.4956993846153852E-3</v>
      </c>
      <c r="N84" s="30">
        <f t="shared" si="87"/>
        <v>0</v>
      </c>
      <c r="O84" s="30">
        <f t="shared" si="87"/>
        <v>0</v>
      </c>
      <c r="P84" s="30">
        <f>(sulawesi!P60*3.6/(VLOOKUP(P$51,tech_data!$B$2:$J$15,4,FALSE)/100))/1000</f>
        <v>0</v>
      </c>
      <c r="Q84" s="30">
        <f t="shared" si="84"/>
        <v>200.73240012751486</v>
      </c>
      <c r="R84" s="30"/>
      <c r="S84" s="23"/>
      <c r="T84" s="19"/>
      <c r="U84" s="20" t="str">
        <f t="shared" si="85"/>
        <v>SULAWESI</v>
      </c>
      <c r="V84" s="20">
        <f t="shared" si="85"/>
        <v>2027</v>
      </c>
      <c r="W84" s="30">
        <f>D60*(1-(VLOOKUP(W$75,tech_data!$B$2:$O$15,4,FALSE)/100))</f>
        <v>94.247322723883912</v>
      </c>
      <c r="X84" s="30">
        <f>E60*(1-(VLOOKUP(X$75,tech_data!$B$2:$O$15,4,FALSE)/100))</f>
        <v>5.7184423306211585</v>
      </c>
      <c r="Y84" s="30">
        <f>F60*(1-(VLOOKUP(Y$75,tech_data!$B$2:$O$15,4,FALSE)/100))</f>
        <v>45.144830242275155</v>
      </c>
      <c r="Z84" s="30">
        <f>G60*(1-(VLOOKUP(Z$75,tech_data!$B$2:$O$15,4,FALSE)/100))</f>
        <v>24.042260962959517</v>
      </c>
      <c r="AA84" s="30">
        <f>H60*(1-(VLOOKUP(AA$75,tech_data!$B$2:$O$15,4,FALSE)/100))</f>
        <v>11.974623358009513</v>
      </c>
      <c r="AB84" s="30">
        <f>I60*(1-(VLOOKUP(AB$75,tech_data!$B$2:$O$15,4,FALSE)/100))</f>
        <v>0.86953520200648216</v>
      </c>
      <c r="AC84" s="30">
        <f>J60*(1-(VLOOKUP(AC$75,tech_data!$B$2:$O$15,4,FALSE)/100))</f>
        <v>0.33321373186876058</v>
      </c>
      <c r="AD84" s="30">
        <f>K60*(1-(VLOOKUP(AD$75,tech_data!$B$2:$O$15,4,FALSE)/100))</f>
        <v>15.197987302667181</v>
      </c>
      <c r="AE84" s="30">
        <f>L60*(1-(VLOOKUP(AE$75,tech_data!$B$2:$O$15,4,FALSE)/100))</f>
        <v>6.7732294393929022</v>
      </c>
      <c r="AF84" s="30">
        <f>M60*(1-(VLOOKUP(AF$75,tech_data!$B$2:$O$15,4,FALSE)/100))</f>
        <v>1.0006556694789082E-2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(sulawesi!AI60*3.6/(VLOOKUP(AI$51,tech_data!$B$2:$J$15,4,FALSE)/100))/1000</f>
        <v>0</v>
      </c>
      <c r="AJ84" s="30">
        <f t="shared" si="86"/>
        <v>204.31145185037937</v>
      </c>
      <c r="AK84" s="30"/>
      <c r="AL84" s="23"/>
    </row>
    <row r="85" spans="1:38" x14ac:dyDescent="0.25">
      <c r="A85" s="19"/>
      <c r="B85" s="20" t="str">
        <f t="shared" si="82"/>
        <v>SULAWESI</v>
      </c>
      <c r="C85" s="20">
        <f t="shared" si="82"/>
        <v>2028</v>
      </c>
      <c r="D85" s="30">
        <f t="shared" si="87"/>
        <v>60.975482306977945</v>
      </c>
      <c r="E85" s="30">
        <f t="shared" si="87"/>
        <v>3.1703281314842693</v>
      </c>
      <c r="F85" s="30">
        <f t="shared" si="87"/>
        <v>63.20276233918522</v>
      </c>
      <c r="G85" s="30">
        <f t="shared" si="87"/>
        <v>25.588952185422514</v>
      </c>
      <c r="H85" s="30">
        <f t="shared" si="87"/>
        <v>1.8688718535621787</v>
      </c>
      <c r="I85" s="30">
        <f t="shared" si="87"/>
        <v>16.521168838123142</v>
      </c>
      <c r="J85" s="30">
        <f t="shared" si="87"/>
        <v>1.3328549274750425</v>
      </c>
      <c r="K85" s="30">
        <f t="shared" si="87"/>
        <v>18.092842026984741</v>
      </c>
      <c r="L85" s="30">
        <f t="shared" si="87"/>
        <v>16.641841374429735</v>
      </c>
      <c r="M85" s="30">
        <f t="shared" si="87"/>
        <v>4.4956993846153852E-3</v>
      </c>
      <c r="N85" s="30">
        <f t="shared" si="87"/>
        <v>0</v>
      </c>
      <c r="O85" s="30">
        <f t="shared" si="87"/>
        <v>0</v>
      </c>
      <c r="P85" s="30">
        <f>(sulawesi!P61*3.6/(VLOOKUP(P$51,tech_data!$B$2:$J$15,4,FALSE)/100))/1000</f>
        <v>0</v>
      </c>
      <c r="Q85" s="30">
        <f t="shared" si="84"/>
        <v>207.39959968302944</v>
      </c>
      <c r="R85" s="30"/>
      <c r="S85" s="23"/>
      <c r="T85" s="19"/>
      <c r="U85" s="20" t="str">
        <f t="shared" si="85"/>
        <v>SULAWESI</v>
      </c>
      <c r="V85" s="20">
        <f t="shared" si="85"/>
        <v>2028</v>
      </c>
      <c r="W85" s="30">
        <f>D61*(1-(VLOOKUP(W$75,tech_data!$B$2:$O$15,4,FALSE)/100))</f>
        <v>96.719730555896049</v>
      </c>
      <c r="X85" s="30">
        <f>E61*(1-(VLOOKUP(X$75,tech_data!$B$2:$O$15,4,FALSE)/100))</f>
        <v>5.7184423306211585</v>
      </c>
      <c r="Y85" s="30">
        <f>F61*(1-(VLOOKUP(Y$75,tech_data!$B$2:$O$15,4,FALSE)/100))</f>
        <v>45.144830242275155</v>
      </c>
      <c r="Z85" s="30">
        <f>G61*(1-(VLOOKUP(Z$75,tech_data!$B$2:$O$15,4,FALSE)/100))</f>
        <v>30.03920473940904</v>
      </c>
      <c r="AA85" s="30">
        <f>H61*(1-(VLOOKUP(AA$75,tech_data!$B$2:$O$15,4,FALSE)/100))</f>
        <v>11.974623358009513</v>
      </c>
      <c r="AB85" s="30">
        <f>I61*(1-(VLOOKUP(AB$75,tech_data!$B$2:$O$15,4,FALSE)/100))</f>
        <v>0.86953520200648216</v>
      </c>
      <c r="AC85" s="30">
        <f>J61*(1-(VLOOKUP(AC$75,tech_data!$B$2:$O$15,4,FALSE)/100))</f>
        <v>0.33321373186876058</v>
      </c>
      <c r="AD85" s="30">
        <f>K61*(1-(VLOOKUP(AD$75,tech_data!$B$2:$O$15,4,FALSE)/100))</f>
        <v>15.197987302667181</v>
      </c>
      <c r="AE85" s="30">
        <f>L61*(1-(VLOOKUP(AE$75,tech_data!$B$2:$O$15,4,FALSE)/100))</f>
        <v>6.7732294393929022</v>
      </c>
      <c r="AF85" s="30">
        <f>M61*(1-(VLOOKUP(AF$75,tech_data!$B$2:$O$15,4,FALSE)/100))</f>
        <v>1.0006556694789082E-2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(sulawesi!AI61*3.6/(VLOOKUP(AI$51,tech_data!$B$2:$J$15,4,FALSE)/100))/1000</f>
        <v>0</v>
      </c>
      <c r="AJ85" s="30">
        <f t="shared" si="86"/>
        <v>212.78080345884104</v>
      </c>
      <c r="AK85" s="30"/>
      <c r="AL85" s="23"/>
    </row>
    <row r="86" spans="1:38" x14ac:dyDescent="0.25">
      <c r="A86" s="19"/>
      <c r="B86" s="20" t="str">
        <f t="shared" si="82"/>
        <v>SULAWESI</v>
      </c>
      <c r="C86" s="20">
        <f t="shared" si="82"/>
        <v>2029</v>
      </c>
      <c r="D86" s="30">
        <f t="shared" si="87"/>
        <v>60.975482306977945</v>
      </c>
      <c r="E86" s="30">
        <f t="shared" si="87"/>
        <v>3.1703281314842693</v>
      </c>
      <c r="F86" s="30">
        <f t="shared" si="87"/>
        <v>63.20276233918522</v>
      </c>
      <c r="G86" s="30">
        <f t="shared" si="87"/>
        <v>25.588952185422514</v>
      </c>
      <c r="H86" s="30">
        <f t="shared" si="87"/>
        <v>1.8688718535621787</v>
      </c>
      <c r="I86" s="30">
        <f t="shared" si="87"/>
        <v>16.521168838123142</v>
      </c>
      <c r="J86" s="30">
        <f t="shared" si="87"/>
        <v>1.3328549274750425</v>
      </c>
      <c r="K86" s="30">
        <f t="shared" si="87"/>
        <v>18.092842026984741</v>
      </c>
      <c r="L86" s="30">
        <f t="shared" si="87"/>
        <v>16.641841374429735</v>
      </c>
      <c r="M86" s="30">
        <f t="shared" si="87"/>
        <v>4.4956993846153852E-3</v>
      </c>
      <c r="N86" s="30">
        <f t="shared" si="87"/>
        <v>0</v>
      </c>
      <c r="O86" s="30">
        <f t="shared" si="87"/>
        <v>0</v>
      </c>
      <c r="P86" s="30">
        <f>(sulawesi!P62*3.6/(VLOOKUP(P$51,tech_data!$B$2:$J$15,4,FALSE)/100))/1000</f>
        <v>0</v>
      </c>
      <c r="Q86" s="30">
        <f t="shared" si="84"/>
        <v>207.39959968302944</v>
      </c>
      <c r="R86" s="30"/>
      <c r="S86" s="23"/>
      <c r="T86" s="19"/>
      <c r="U86" s="20" t="str">
        <f t="shared" si="85"/>
        <v>SULAWESI</v>
      </c>
      <c r="V86" s="20">
        <f t="shared" si="85"/>
        <v>2029</v>
      </c>
      <c r="W86" s="30">
        <f>D62*(1-(VLOOKUP(W$75,tech_data!$B$2:$O$15,4,FALSE)/100))</f>
        <v>96.719730555896049</v>
      </c>
      <c r="X86" s="30">
        <f>E62*(1-(VLOOKUP(X$75,tech_data!$B$2:$O$15,4,FALSE)/100))</f>
        <v>5.7184423306211585</v>
      </c>
      <c r="Y86" s="30">
        <f>F62*(1-(VLOOKUP(Y$75,tech_data!$B$2:$O$15,4,FALSE)/100))</f>
        <v>45.144830242275155</v>
      </c>
      <c r="Z86" s="30">
        <f>G62*(1-(VLOOKUP(Z$75,tech_data!$B$2:$O$15,4,FALSE)/100))</f>
        <v>30.03920473940904</v>
      </c>
      <c r="AA86" s="30">
        <f>H62*(1-(VLOOKUP(AA$75,tech_data!$B$2:$O$15,4,FALSE)/100))</f>
        <v>11.974623358009513</v>
      </c>
      <c r="AB86" s="30">
        <f>I62*(1-(VLOOKUP(AB$75,tech_data!$B$2:$O$15,4,FALSE)/100))</f>
        <v>0.86953520200648216</v>
      </c>
      <c r="AC86" s="30">
        <f>J62*(1-(VLOOKUP(AC$75,tech_data!$B$2:$O$15,4,FALSE)/100))</f>
        <v>0.33321373186876058</v>
      </c>
      <c r="AD86" s="30">
        <f>K62*(1-(VLOOKUP(AD$75,tech_data!$B$2:$O$15,4,FALSE)/100))</f>
        <v>15.197987302667181</v>
      </c>
      <c r="AE86" s="30">
        <f>L62*(1-(VLOOKUP(AE$75,tech_data!$B$2:$O$15,4,FALSE)/100))</f>
        <v>6.7732294393929022</v>
      </c>
      <c r="AF86" s="30">
        <f>M62*(1-(VLOOKUP(AF$75,tech_data!$B$2:$O$15,4,FALSE)/100))</f>
        <v>1.0006556694789082E-2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(sulawesi!AI62*3.6/(VLOOKUP(AI$51,tech_data!$B$2:$J$15,4,FALSE)/100))/1000</f>
        <v>0</v>
      </c>
      <c r="AJ86" s="30">
        <f t="shared" si="86"/>
        <v>212.78080345884104</v>
      </c>
      <c r="AK86" s="30"/>
      <c r="AL86" s="23"/>
    </row>
    <row r="87" spans="1:38" x14ac:dyDescent="0.25">
      <c r="A87" s="19"/>
      <c r="B87" s="20" t="str">
        <f t="shared" si="82"/>
        <v>SULAWESI</v>
      </c>
      <c r="C87" s="20">
        <f t="shared" si="82"/>
        <v>2030</v>
      </c>
      <c r="D87" s="30">
        <f t="shared" si="87"/>
        <v>60.975482306977945</v>
      </c>
      <c r="E87" s="30">
        <f t="shared" si="87"/>
        <v>3.1703281314842693</v>
      </c>
      <c r="F87" s="30">
        <f t="shared" si="87"/>
        <v>63.20276233918522</v>
      </c>
      <c r="G87" s="30">
        <f t="shared" si="87"/>
        <v>25.588952185422514</v>
      </c>
      <c r="H87" s="30">
        <f t="shared" si="87"/>
        <v>1.8688718535621787</v>
      </c>
      <c r="I87" s="30">
        <f t="shared" si="87"/>
        <v>16.521168838123142</v>
      </c>
      <c r="J87" s="30">
        <f t="shared" si="87"/>
        <v>1.3328549274750425</v>
      </c>
      <c r="K87" s="30">
        <f t="shared" si="87"/>
        <v>18.092842026984741</v>
      </c>
      <c r="L87" s="30">
        <f t="shared" si="87"/>
        <v>16.641841374429735</v>
      </c>
      <c r="M87" s="30">
        <f t="shared" si="87"/>
        <v>4.4956993846153852E-3</v>
      </c>
      <c r="N87" s="30">
        <f t="shared" si="87"/>
        <v>0</v>
      </c>
      <c r="O87" s="30">
        <f t="shared" si="87"/>
        <v>0</v>
      </c>
      <c r="P87" s="30">
        <f>(sulawesi!P63*3.6/(VLOOKUP(P$51,tech_data!$B$2:$J$15,4,FALSE)/100))/1000</f>
        <v>0</v>
      </c>
      <c r="Q87" s="30">
        <f t="shared" si="84"/>
        <v>207.39959968302944</v>
      </c>
      <c r="R87" s="30"/>
      <c r="S87" s="23"/>
      <c r="T87" s="19"/>
      <c r="U87" s="20" t="str">
        <f t="shared" si="85"/>
        <v>SULAWESI</v>
      </c>
      <c r="V87" s="20">
        <f t="shared" si="85"/>
        <v>2030</v>
      </c>
      <c r="W87" s="30">
        <f>D63*(1-(VLOOKUP(W$75,tech_data!$B$2:$O$15,4,FALSE)/100))</f>
        <v>96.719730555896049</v>
      </c>
      <c r="X87" s="30">
        <f>E63*(1-(VLOOKUP(X$75,tech_data!$B$2:$O$15,4,FALSE)/100))</f>
        <v>5.7184423306211585</v>
      </c>
      <c r="Y87" s="30">
        <f>F63*(1-(VLOOKUP(Y$75,tech_data!$B$2:$O$15,4,FALSE)/100))</f>
        <v>45.144830242275155</v>
      </c>
      <c r="Z87" s="30">
        <f>G63*(1-(VLOOKUP(Z$75,tech_data!$B$2:$O$15,4,FALSE)/100))</f>
        <v>30.03920473940904</v>
      </c>
      <c r="AA87" s="30">
        <f>H63*(1-(VLOOKUP(AA$75,tech_data!$B$2:$O$15,4,FALSE)/100))</f>
        <v>11.974623358009513</v>
      </c>
      <c r="AB87" s="30">
        <f>I63*(1-(VLOOKUP(AB$75,tech_data!$B$2:$O$15,4,FALSE)/100))</f>
        <v>0.86953520200648216</v>
      </c>
      <c r="AC87" s="30">
        <f>J63*(1-(VLOOKUP(AC$75,tech_data!$B$2:$O$15,4,FALSE)/100))</f>
        <v>0.33321373186876058</v>
      </c>
      <c r="AD87" s="30">
        <f>K63*(1-(VLOOKUP(AD$75,tech_data!$B$2:$O$15,4,FALSE)/100))</f>
        <v>15.197987302667181</v>
      </c>
      <c r="AE87" s="30">
        <f>L63*(1-(VLOOKUP(AE$75,tech_data!$B$2:$O$15,4,FALSE)/100))</f>
        <v>6.7732294393929022</v>
      </c>
      <c r="AF87" s="30">
        <f>M63*(1-(VLOOKUP(AF$75,tech_data!$B$2:$O$15,4,FALSE)/100))</f>
        <v>1.0006556694789082E-2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(sulawesi!AI63*3.6/(VLOOKUP(AI$51,tech_data!$B$2:$J$15,4,FALSE)/100))/1000</f>
        <v>0</v>
      </c>
      <c r="AJ87" s="30">
        <f t="shared" si="86"/>
        <v>212.78080345884104</v>
      </c>
      <c r="AK87" s="30"/>
      <c r="AL87" s="23"/>
    </row>
    <row r="88" spans="1:38" x14ac:dyDescent="0.25">
      <c r="A88" s="19"/>
      <c r="B88" s="20" t="str">
        <f t="shared" si="82"/>
        <v>SULAWESI</v>
      </c>
      <c r="C88" s="20">
        <f t="shared" si="82"/>
        <v>2031</v>
      </c>
      <c r="D88" s="30">
        <f t="shared" si="87"/>
        <v>60.975482306977945</v>
      </c>
      <c r="E88" s="30">
        <f t="shared" si="87"/>
        <v>3.1703281314842693</v>
      </c>
      <c r="F88" s="30">
        <f t="shared" si="87"/>
        <v>63.20276233918522</v>
      </c>
      <c r="G88" s="30">
        <f t="shared" si="87"/>
        <v>25.588952185422514</v>
      </c>
      <c r="H88" s="30">
        <f t="shared" si="87"/>
        <v>1.8688718535621787</v>
      </c>
      <c r="I88" s="30">
        <f t="shared" si="87"/>
        <v>16.521168838123142</v>
      </c>
      <c r="J88" s="30">
        <f t="shared" si="87"/>
        <v>1.3328549274750425</v>
      </c>
      <c r="K88" s="30">
        <f t="shared" si="87"/>
        <v>18.092842026984741</v>
      </c>
      <c r="L88" s="30">
        <f t="shared" si="87"/>
        <v>16.641841374429735</v>
      </c>
      <c r="M88" s="30">
        <f t="shared" si="87"/>
        <v>4.4956993846153852E-3</v>
      </c>
      <c r="N88" s="30">
        <f t="shared" si="87"/>
        <v>0</v>
      </c>
      <c r="O88" s="30">
        <f t="shared" si="87"/>
        <v>0</v>
      </c>
      <c r="P88" s="30">
        <f>(sulawesi!P64*3.6/(VLOOKUP(P$51,tech_data!$B$2:$J$15,4,FALSE)/100))/1000</f>
        <v>0</v>
      </c>
      <c r="Q88" s="30">
        <f t="shared" si="84"/>
        <v>207.39959968302944</v>
      </c>
      <c r="R88" s="30"/>
      <c r="S88" s="23"/>
      <c r="T88" s="19"/>
      <c r="U88" s="20" t="str">
        <f t="shared" si="85"/>
        <v>SULAWESI</v>
      </c>
      <c r="V88" s="20">
        <f t="shared" si="85"/>
        <v>2031</v>
      </c>
      <c r="W88" s="30">
        <f>D64*(1-(VLOOKUP(W$75,tech_data!$B$2:$O$15,4,FALSE)/100))</f>
        <v>96.719730555896049</v>
      </c>
      <c r="X88" s="30">
        <f>E64*(1-(VLOOKUP(X$75,tech_data!$B$2:$O$15,4,FALSE)/100))</f>
        <v>5.7184423306211585</v>
      </c>
      <c r="Y88" s="30">
        <f>F64*(1-(VLOOKUP(Y$75,tech_data!$B$2:$O$15,4,FALSE)/100))</f>
        <v>45.144830242275155</v>
      </c>
      <c r="Z88" s="30">
        <f>G64*(1-(VLOOKUP(Z$75,tech_data!$B$2:$O$15,4,FALSE)/100))</f>
        <v>30.03920473940904</v>
      </c>
      <c r="AA88" s="30">
        <f>H64*(1-(VLOOKUP(AA$75,tech_data!$B$2:$O$15,4,FALSE)/100))</f>
        <v>11.974623358009513</v>
      </c>
      <c r="AB88" s="30">
        <f>I64*(1-(VLOOKUP(AB$75,tech_data!$B$2:$O$15,4,FALSE)/100))</f>
        <v>0.86953520200648216</v>
      </c>
      <c r="AC88" s="30">
        <f>J64*(1-(VLOOKUP(AC$75,tech_data!$B$2:$O$15,4,FALSE)/100))</f>
        <v>0.33321373186876058</v>
      </c>
      <c r="AD88" s="30">
        <f>K64*(1-(VLOOKUP(AD$75,tech_data!$B$2:$O$15,4,FALSE)/100))</f>
        <v>15.197987302667181</v>
      </c>
      <c r="AE88" s="30">
        <f>L64*(1-(VLOOKUP(AE$75,tech_data!$B$2:$O$15,4,FALSE)/100))</f>
        <v>6.7732294393929022</v>
      </c>
      <c r="AF88" s="30">
        <f>M64*(1-(VLOOKUP(AF$75,tech_data!$B$2:$O$15,4,FALSE)/100))</f>
        <v>1.0006556694789082E-2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(sulawesi!AI64*3.6/(VLOOKUP(AI$51,tech_data!$B$2:$J$15,4,FALSE)/100))/1000</f>
        <v>0</v>
      </c>
      <c r="AJ88" s="30">
        <f t="shared" si="86"/>
        <v>212.78080345884104</v>
      </c>
      <c r="AK88" s="30"/>
      <c r="AL88" s="23"/>
    </row>
    <row r="89" spans="1:38" x14ac:dyDescent="0.25">
      <c r="A89" s="19"/>
      <c r="B89" s="20" t="str">
        <f t="shared" si="82"/>
        <v>SULAWESI</v>
      </c>
      <c r="C89" s="20">
        <f t="shared" si="82"/>
        <v>2032</v>
      </c>
      <c r="D89" s="30">
        <f t="shared" si="87"/>
        <v>60.975482306977945</v>
      </c>
      <c r="E89" s="30">
        <f t="shared" si="87"/>
        <v>3.1703281314842693</v>
      </c>
      <c r="F89" s="30">
        <f t="shared" si="87"/>
        <v>63.20276233918522</v>
      </c>
      <c r="G89" s="30">
        <f t="shared" si="87"/>
        <v>25.588952185422514</v>
      </c>
      <c r="H89" s="30">
        <f t="shared" si="87"/>
        <v>1.8688718535621787</v>
      </c>
      <c r="I89" s="30">
        <f t="shared" si="87"/>
        <v>16.521168838123142</v>
      </c>
      <c r="J89" s="30">
        <f t="shared" si="87"/>
        <v>1.3328549274750425</v>
      </c>
      <c r="K89" s="30">
        <f t="shared" si="87"/>
        <v>18.092842026984741</v>
      </c>
      <c r="L89" s="30">
        <f t="shared" si="87"/>
        <v>16.641841374429735</v>
      </c>
      <c r="M89" s="30">
        <f t="shared" si="87"/>
        <v>4.4956993846153852E-3</v>
      </c>
      <c r="N89" s="30">
        <f t="shared" si="87"/>
        <v>0</v>
      </c>
      <c r="O89" s="30">
        <f t="shared" si="87"/>
        <v>0</v>
      </c>
      <c r="P89" s="30">
        <f>(sulawesi!P65*3.6/(VLOOKUP(P$51,tech_data!$B$2:$J$15,4,FALSE)/100))/1000</f>
        <v>0</v>
      </c>
      <c r="Q89" s="30">
        <f t="shared" si="84"/>
        <v>207.39959968302944</v>
      </c>
      <c r="R89" s="30"/>
      <c r="S89" s="23"/>
      <c r="T89" s="19"/>
      <c r="U89" s="20" t="str">
        <f t="shared" si="85"/>
        <v>SULAWESI</v>
      </c>
      <c r="V89" s="20">
        <f t="shared" si="85"/>
        <v>2032</v>
      </c>
      <c r="W89" s="30">
        <f>D65*(1-(VLOOKUP(W$75,tech_data!$B$2:$O$15,4,FALSE)/100))</f>
        <v>96.719730555896049</v>
      </c>
      <c r="X89" s="30">
        <f>E65*(1-(VLOOKUP(X$75,tech_data!$B$2:$O$15,4,FALSE)/100))</f>
        <v>5.7184423306211585</v>
      </c>
      <c r="Y89" s="30">
        <f>F65*(1-(VLOOKUP(Y$75,tech_data!$B$2:$O$15,4,FALSE)/100))</f>
        <v>45.144830242275155</v>
      </c>
      <c r="Z89" s="30">
        <f>G65*(1-(VLOOKUP(Z$75,tech_data!$B$2:$O$15,4,FALSE)/100))</f>
        <v>30.03920473940904</v>
      </c>
      <c r="AA89" s="30">
        <f>H65*(1-(VLOOKUP(AA$75,tech_data!$B$2:$O$15,4,FALSE)/100))</f>
        <v>11.974623358009513</v>
      </c>
      <c r="AB89" s="30">
        <f>I65*(1-(VLOOKUP(AB$75,tech_data!$B$2:$O$15,4,FALSE)/100))</f>
        <v>0.86953520200648216</v>
      </c>
      <c r="AC89" s="30">
        <f>J65*(1-(VLOOKUP(AC$75,tech_data!$B$2:$O$15,4,FALSE)/100))</f>
        <v>0.33321373186876058</v>
      </c>
      <c r="AD89" s="30">
        <f>K65*(1-(VLOOKUP(AD$75,tech_data!$B$2:$O$15,4,FALSE)/100))</f>
        <v>15.197987302667181</v>
      </c>
      <c r="AE89" s="30">
        <f>L65*(1-(VLOOKUP(AE$75,tech_data!$B$2:$O$15,4,FALSE)/100))</f>
        <v>6.7732294393929022</v>
      </c>
      <c r="AF89" s="30">
        <f>M65*(1-(VLOOKUP(AF$75,tech_data!$B$2:$O$15,4,FALSE)/100))</f>
        <v>1.0006556694789082E-2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(sulawesi!AI65*3.6/(VLOOKUP(AI$51,tech_data!$B$2:$J$15,4,FALSE)/100))/1000</f>
        <v>0</v>
      </c>
      <c r="AJ89" s="30">
        <f t="shared" si="86"/>
        <v>212.78080345884104</v>
      </c>
      <c r="AK89" s="30"/>
      <c r="AL89" s="23"/>
    </row>
    <row r="90" spans="1:38" x14ac:dyDescent="0.25">
      <c r="A90" s="19"/>
      <c r="B90" s="20" t="str">
        <f t="shared" si="82"/>
        <v>SULAWESI</v>
      </c>
      <c r="C90" s="20">
        <f t="shared" si="82"/>
        <v>2033</v>
      </c>
      <c r="D90" s="30">
        <f t="shared" si="87"/>
        <v>60.975482306977945</v>
      </c>
      <c r="E90" s="30">
        <f t="shared" si="87"/>
        <v>3.1703281314842693</v>
      </c>
      <c r="F90" s="30">
        <f t="shared" si="87"/>
        <v>63.20276233918522</v>
      </c>
      <c r="G90" s="30">
        <f t="shared" si="87"/>
        <v>25.588952185422514</v>
      </c>
      <c r="H90" s="30">
        <f t="shared" si="87"/>
        <v>1.8688718535621787</v>
      </c>
      <c r="I90" s="30">
        <f t="shared" si="87"/>
        <v>16.521168838123142</v>
      </c>
      <c r="J90" s="30">
        <f t="shared" si="87"/>
        <v>1.3328549274750425</v>
      </c>
      <c r="K90" s="30">
        <f t="shared" si="87"/>
        <v>18.092842026984741</v>
      </c>
      <c r="L90" s="30">
        <f t="shared" si="87"/>
        <v>16.641841374429735</v>
      </c>
      <c r="M90" s="30">
        <f t="shared" si="87"/>
        <v>4.4956993846153852E-3</v>
      </c>
      <c r="N90" s="30">
        <f t="shared" si="87"/>
        <v>0</v>
      </c>
      <c r="O90" s="30">
        <f t="shared" si="87"/>
        <v>0</v>
      </c>
      <c r="P90" s="30">
        <f>(sulawesi!P66*3.6/(VLOOKUP(P$51,tech_data!$B$2:$J$15,4,FALSE)/100))/1000</f>
        <v>0</v>
      </c>
      <c r="Q90" s="30">
        <f t="shared" si="84"/>
        <v>207.39959968302944</v>
      </c>
      <c r="R90" s="30"/>
      <c r="S90" s="23"/>
      <c r="T90" s="19"/>
      <c r="U90" s="20" t="str">
        <f t="shared" si="85"/>
        <v>SULAWESI</v>
      </c>
      <c r="V90" s="20">
        <f t="shared" si="85"/>
        <v>2033</v>
      </c>
      <c r="W90" s="30">
        <f>D66*(1-(VLOOKUP(W$75,tech_data!$B$2:$O$15,4,FALSE)/100))</f>
        <v>96.719730555896049</v>
      </c>
      <c r="X90" s="30">
        <f>E66*(1-(VLOOKUP(X$75,tech_data!$B$2:$O$15,4,FALSE)/100))</f>
        <v>5.7184423306211585</v>
      </c>
      <c r="Y90" s="30">
        <f>F66*(1-(VLOOKUP(Y$75,tech_data!$B$2:$O$15,4,FALSE)/100))</f>
        <v>45.144830242275155</v>
      </c>
      <c r="Z90" s="30">
        <f>G66*(1-(VLOOKUP(Z$75,tech_data!$B$2:$O$15,4,FALSE)/100))</f>
        <v>30.03920473940904</v>
      </c>
      <c r="AA90" s="30">
        <f>H66*(1-(VLOOKUP(AA$75,tech_data!$B$2:$O$15,4,FALSE)/100))</f>
        <v>11.974623358009513</v>
      </c>
      <c r="AB90" s="30">
        <f>I66*(1-(VLOOKUP(AB$75,tech_data!$B$2:$O$15,4,FALSE)/100))</f>
        <v>0.86953520200648216</v>
      </c>
      <c r="AC90" s="30">
        <f>J66*(1-(VLOOKUP(AC$75,tech_data!$B$2:$O$15,4,FALSE)/100))</f>
        <v>0.33321373186876058</v>
      </c>
      <c r="AD90" s="30">
        <f>K66*(1-(VLOOKUP(AD$75,tech_data!$B$2:$O$15,4,FALSE)/100))</f>
        <v>15.197987302667181</v>
      </c>
      <c r="AE90" s="30">
        <f>L66*(1-(VLOOKUP(AE$75,tech_data!$B$2:$O$15,4,FALSE)/100))</f>
        <v>6.7732294393929022</v>
      </c>
      <c r="AF90" s="30">
        <f>M66*(1-(VLOOKUP(AF$75,tech_data!$B$2:$O$15,4,FALSE)/100))</f>
        <v>1.0006556694789082E-2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(sulawesi!AI66*3.6/(VLOOKUP(AI$51,tech_data!$B$2:$J$15,4,FALSE)/100))/1000</f>
        <v>0</v>
      </c>
      <c r="AJ90" s="30">
        <f t="shared" si="86"/>
        <v>212.78080345884104</v>
      </c>
      <c r="AK90" s="30"/>
      <c r="AL90" s="23"/>
    </row>
    <row r="91" spans="1:38" x14ac:dyDescent="0.25">
      <c r="A91" s="19"/>
      <c r="B91" s="20" t="str">
        <f t="shared" si="82"/>
        <v>SULAWESI</v>
      </c>
      <c r="C91" s="20">
        <f t="shared" si="82"/>
        <v>2034</v>
      </c>
      <c r="D91" s="30">
        <f t="shared" si="87"/>
        <v>60.975482306977945</v>
      </c>
      <c r="E91" s="30">
        <f t="shared" si="87"/>
        <v>3.1703281314842693</v>
      </c>
      <c r="F91" s="30">
        <f t="shared" si="87"/>
        <v>63.20276233918522</v>
      </c>
      <c r="G91" s="30">
        <f t="shared" si="87"/>
        <v>25.588952185422514</v>
      </c>
      <c r="H91" s="30">
        <f t="shared" si="87"/>
        <v>1.8688718535621787</v>
      </c>
      <c r="I91" s="30">
        <f t="shared" si="87"/>
        <v>16.521168838123142</v>
      </c>
      <c r="J91" s="30">
        <f t="shared" si="87"/>
        <v>1.3328549274750425</v>
      </c>
      <c r="K91" s="30">
        <f t="shared" si="87"/>
        <v>18.092842026984741</v>
      </c>
      <c r="L91" s="30">
        <f t="shared" si="87"/>
        <v>16.641841374429735</v>
      </c>
      <c r="M91" s="30">
        <f t="shared" si="87"/>
        <v>4.4956993846153852E-3</v>
      </c>
      <c r="N91" s="30">
        <f t="shared" si="87"/>
        <v>0</v>
      </c>
      <c r="O91" s="30">
        <f t="shared" si="87"/>
        <v>0</v>
      </c>
      <c r="P91" s="30">
        <f>(sulawesi!P67*3.6/(VLOOKUP(P$51,tech_data!$B$2:$J$15,4,FALSE)/100))/1000</f>
        <v>0</v>
      </c>
      <c r="Q91" s="30">
        <f t="shared" si="84"/>
        <v>207.39959968302944</v>
      </c>
      <c r="R91" s="30"/>
      <c r="S91" s="23"/>
      <c r="T91" s="19"/>
      <c r="U91" s="20" t="str">
        <f t="shared" si="85"/>
        <v>SULAWESI</v>
      </c>
      <c r="V91" s="20">
        <f t="shared" si="85"/>
        <v>2034</v>
      </c>
      <c r="W91" s="30">
        <f>D67*(1-(VLOOKUP(W$75,tech_data!$B$2:$O$15,4,FALSE)/100))</f>
        <v>96.719730555896049</v>
      </c>
      <c r="X91" s="30">
        <f>E67*(1-(VLOOKUP(X$75,tech_data!$B$2:$O$15,4,FALSE)/100))</f>
        <v>5.7184423306211585</v>
      </c>
      <c r="Y91" s="30">
        <f>F67*(1-(VLOOKUP(Y$75,tech_data!$B$2:$O$15,4,FALSE)/100))</f>
        <v>45.144830242275155</v>
      </c>
      <c r="Z91" s="30">
        <f>G67*(1-(VLOOKUP(Z$75,tech_data!$B$2:$O$15,4,FALSE)/100))</f>
        <v>30.03920473940904</v>
      </c>
      <c r="AA91" s="30">
        <f>H67*(1-(VLOOKUP(AA$75,tech_data!$B$2:$O$15,4,FALSE)/100))</f>
        <v>11.974623358009513</v>
      </c>
      <c r="AB91" s="30">
        <f>I67*(1-(VLOOKUP(AB$75,tech_data!$B$2:$O$15,4,FALSE)/100))</f>
        <v>0.86953520200648216</v>
      </c>
      <c r="AC91" s="30">
        <f>J67*(1-(VLOOKUP(AC$75,tech_data!$B$2:$O$15,4,FALSE)/100))</f>
        <v>0.33321373186876058</v>
      </c>
      <c r="AD91" s="30">
        <f>K67*(1-(VLOOKUP(AD$75,tech_data!$B$2:$O$15,4,FALSE)/100))</f>
        <v>15.197987302667181</v>
      </c>
      <c r="AE91" s="30">
        <f>L67*(1-(VLOOKUP(AE$75,tech_data!$B$2:$O$15,4,FALSE)/100))</f>
        <v>6.7732294393929022</v>
      </c>
      <c r="AF91" s="30">
        <f>M67*(1-(VLOOKUP(AF$75,tech_data!$B$2:$O$15,4,FALSE)/100))</f>
        <v>1.0006556694789082E-2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(sulawesi!AI67*3.6/(VLOOKUP(AI$51,tech_data!$B$2:$J$15,4,FALSE)/100))/1000</f>
        <v>0</v>
      </c>
      <c r="AJ91" s="30">
        <f t="shared" si="86"/>
        <v>212.78080345884104</v>
      </c>
      <c r="AK91" s="30"/>
      <c r="AL91" s="23"/>
    </row>
    <row r="92" spans="1:38" x14ac:dyDescent="0.25">
      <c r="A92" s="19"/>
      <c r="B92" s="20" t="str">
        <f t="shared" ref="B92:C95" si="88">B44</f>
        <v>SULAWESI</v>
      </c>
      <c r="C92" s="20">
        <f t="shared" si="88"/>
        <v>2035</v>
      </c>
      <c r="D92" s="30">
        <f t="shared" si="87"/>
        <v>60.975482306977945</v>
      </c>
      <c r="E92" s="30">
        <f t="shared" si="87"/>
        <v>3.1703281314842693</v>
      </c>
      <c r="F92" s="30">
        <f t="shared" si="87"/>
        <v>63.20276233918522</v>
      </c>
      <c r="G92" s="30">
        <f t="shared" si="87"/>
        <v>25.718552495366911</v>
      </c>
      <c r="H92" s="30">
        <f t="shared" si="87"/>
        <v>1.8688718535621787</v>
      </c>
      <c r="I92" s="30">
        <f t="shared" si="87"/>
        <v>16.521168838123142</v>
      </c>
      <c r="J92" s="30">
        <f t="shared" si="87"/>
        <v>1.3328549274750425</v>
      </c>
      <c r="K92" s="30">
        <f t="shared" si="87"/>
        <v>18.092842026984741</v>
      </c>
      <c r="L92" s="30">
        <f t="shared" si="87"/>
        <v>16.641841374429735</v>
      </c>
      <c r="M92" s="30">
        <f t="shared" si="87"/>
        <v>4.4956993846153852E-3</v>
      </c>
      <c r="N92" s="30">
        <f t="shared" si="87"/>
        <v>0</v>
      </c>
      <c r="O92" s="30">
        <f t="shared" si="87"/>
        <v>0</v>
      </c>
      <c r="P92" s="30">
        <f>(sulawesi!P68*3.6/(VLOOKUP(P$51,tech_data!$B$2:$J$15,4,FALSE)/100))/1000</f>
        <v>0</v>
      </c>
      <c r="Q92" s="30">
        <f t="shared" si="84"/>
        <v>207.52919999297379</v>
      </c>
      <c r="R92" s="30"/>
      <c r="S92" s="23"/>
      <c r="T92" s="19"/>
      <c r="U92" s="20" t="str">
        <f t="shared" ref="U92:V95" si="89">U44</f>
        <v>SULAWESI</v>
      </c>
      <c r="V92" s="20">
        <f t="shared" si="89"/>
        <v>2035</v>
      </c>
      <c r="W92" s="30">
        <f>D68*(1-(VLOOKUP(W$75,tech_data!$B$2:$O$15,4,FALSE)/100))</f>
        <v>96.719730555896049</v>
      </c>
      <c r="X92" s="30">
        <f>E68*(1-(VLOOKUP(X$75,tech_data!$B$2:$O$15,4,FALSE)/100))</f>
        <v>5.7184423306211585</v>
      </c>
      <c r="Y92" s="30">
        <f>F68*(1-(VLOOKUP(Y$75,tech_data!$B$2:$O$15,4,FALSE)/100))</f>
        <v>45.144830242275155</v>
      </c>
      <c r="Z92" s="30">
        <f>G68*(1-(VLOOKUP(Z$75,tech_data!$B$2:$O$15,4,FALSE)/100))</f>
        <v>30.191344233691595</v>
      </c>
      <c r="AA92" s="30">
        <f>H68*(1-(VLOOKUP(AA$75,tech_data!$B$2:$O$15,4,FALSE)/100))</f>
        <v>11.974623358009513</v>
      </c>
      <c r="AB92" s="30">
        <f>I68*(1-(VLOOKUP(AB$75,tech_data!$B$2:$O$15,4,FALSE)/100))</f>
        <v>0.86953520200648216</v>
      </c>
      <c r="AC92" s="30">
        <f>J68*(1-(VLOOKUP(AC$75,tech_data!$B$2:$O$15,4,FALSE)/100))</f>
        <v>0.33321373186876058</v>
      </c>
      <c r="AD92" s="30">
        <f>K68*(1-(VLOOKUP(AD$75,tech_data!$B$2:$O$15,4,FALSE)/100))</f>
        <v>15.197987302667181</v>
      </c>
      <c r="AE92" s="30">
        <f>L68*(1-(VLOOKUP(AE$75,tech_data!$B$2:$O$15,4,FALSE)/100))</f>
        <v>6.7732294393929022</v>
      </c>
      <c r="AF92" s="30">
        <f>M68*(1-(VLOOKUP(AF$75,tech_data!$B$2:$O$15,4,FALSE)/100))</f>
        <v>1.0006556694789082E-2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(sulawesi!AI68*3.6/(VLOOKUP(AI$51,tech_data!$B$2:$J$15,4,FALSE)/100))/1000</f>
        <v>0</v>
      </c>
      <c r="AJ92" s="30">
        <f t="shared" si="86"/>
        <v>212.93294295312361</v>
      </c>
      <c r="AK92" s="30"/>
      <c r="AL92" s="23"/>
    </row>
    <row r="93" spans="1:38" x14ac:dyDescent="0.25">
      <c r="A93" s="19"/>
      <c r="B93" s="20" t="str">
        <f t="shared" si="88"/>
        <v>SULAWESI</v>
      </c>
      <c r="C93" s="20">
        <f t="shared" si="88"/>
        <v>2036</v>
      </c>
      <c r="D93" s="30">
        <f t="shared" ref="D93:O95" si="90">D45*3.6/1000</f>
        <v>60.975482306977945</v>
      </c>
      <c r="E93" s="30">
        <f t="shared" si="90"/>
        <v>3.1703281314842693</v>
      </c>
      <c r="F93" s="30">
        <f t="shared" si="90"/>
        <v>66.757848381247811</v>
      </c>
      <c r="G93" s="30">
        <f t="shared" si="90"/>
        <v>27.982441227829888</v>
      </c>
      <c r="H93" s="30">
        <f t="shared" si="90"/>
        <v>1.8688718535621787</v>
      </c>
      <c r="I93" s="30">
        <f t="shared" si="90"/>
        <v>16.521168838123142</v>
      </c>
      <c r="J93" s="30">
        <f t="shared" si="90"/>
        <v>1.3328549274750425</v>
      </c>
      <c r="K93" s="30">
        <f t="shared" si="90"/>
        <v>18.092842026984741</v>
      </c>
      <c r="L93" s="30">
        <f t="shared" si="90"/>
        <v>19.524069590435531</v>
      </c>
      <c r="M93" s="30">
        <f t="shared" si="90"/>
        <v>4.4956993846153852E-3</v>
      </c>
      <c r="N93" s="30">
        <f t="shared" si="90"/>
        <v>0</v>
      </c>
      <c r="O93" s="30">
        <f t="shared" si="90"/>
        <v>0</v>
      </c>
      <c r="P93" s="30">
        <f>(sulawesi!P69*3.6/(VLOOKUP(P$51,tech_data!$B$2:$J$15,4,FALSE)/100))/1000</f>
        <v>0</v>
      </c>
      <c r="Q93" s="30">
        <f t="shared" si="84"/>
        <v>216.2304029835052</v>
      </c>
      <c r="R93" s="30"/>
      <c r="S93" s="23"/>
      <c r="T93" s="19"/>
      <c r="U93" s="20" t="str">
        <f t="shared" si="89"/>
        <v>SULAWESI</v>
      </c>
      <c r="V93" s="20">
        <f t="shared" si="89"/>
        <v>2036</v>
      </c>
      <c r="W93" s="30">
        <f>D69*(1-(VLOOKUP(W$75,tech_data!$B$2:$O$15,4,FALSE)/100))</f>
        <v>96.719730555896049</v>
      </c>
      <c r="X93" s="30">
        <f>E69*(1-(VLOOKUP(X$75,tech_data!$B$2:$O$15,4,FALSE)/100))</f>
        <v>5.7184423306211585</v>
      </c>
      <c r="Y93" s="30">
        <f>F69*(1-(VLOOKUP(Y$75,tech_data!$B$2:$O$15,4,FALSE)/100))</f>
        <v>47.684177415176997</v>
      </c>
      <c r="Z93" s="30">
        <f>G69*(1-(VLOOKUP(Z$75,tech_data!$B$2:$O$15,4,FALSE)/100))</f>
        <v>32.848952745713348</v>
      </c>
      <c r="AA93" s="30">
        <f>H69*(1-(VLOOKUP(AA$75,tech_data!$B$2:$O$15,4,FALSE)/100))</f>
        <v>11.974623358009513</v>
      </c>
      <c r="AB93" s="30">
        <f>I69*(1-(VLOOKUP(AB$75,tech_data!$B$2:$O$15,4,FALSE)/100))</f>
        <v>0.86953520200648216</v>
      </c>
      <c r="AC93" s="30">
        <f>J69*(1-(VLOOKUP(AC$75,tech_data!$B$2:$O$15,4,FALSE)/100))</f>
        <v>0.33321373186876058</v>
      </c>
      <c r="AD93" s="30">
        <f>K69*(1-(VLOOKUP(AD$75,tech_data!$B$2:$O$15,4,FALSE)/100))</f>
        <v>15.197987302667181</v>
      </c>
      <c r="AE93" s="30">
        <f>L69*(1-(VLOOKUP(AE$75,tech_data!$B$2:$O$15,4,FALSE)/100))</f>
        <v>7.9462963233072612</v>
      </c>
      <c r="AF93" s="30">
        <f>M69*(1-(VLOOKUP(AF$75,tech_data!$B$2:$O$15,4,FALSE)/100))</f>
        <v>1.0006556694789082E-2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(sulawesi!AI69*3.6/(VLOOKUP(AI$51,tech_data!$B$2:$J$15,4,FALSE)/100))/1000</f>
        <v>0</v>
      </c>
      <c r="AJ93" s="30">
        <f t="shared" si="86"/>
        <v>219.30296552196154</v>
      </c>
      <c r="AK93" s="30"/>
      <c r="AL93" s="23"/>
    </row>
    <row r="94" spans="1:38" x14ac:dyDescent="0.25">
      <c r="A94" s="19"/>
      <c r="B94" s="20" t="str">
        <f t="shared" si="88"/>
        <v>SULAWESI</v>
      </c>
      <c r="C94" s="20">
        <f t="shared" si="88"/>
        <v>2037</v>
      </c>
      <c r="D94" s="30">
        <f t="shared" si="90"/>
        <v>64.476691215996027</v>
      </c>
      <c r="E94" s="30">
        <f t="shared" si="90"/>
        <v>3.1703281314842693</v>
      </c>
      <c r="F94" s="30">
        <f t="shared" si="90"/>
        <v>74.174762679974705</v>
      </c>
      <c r="G94" s="30">
        <f t="shared" si="90"/>
        <v>29.08817174433014</v>
      </c>
      <c r="H94" s="30">
        <f t="shared" si="90"/>
        <v>1.8688718535621787</v>
      </c>
      <c r="I94" s="30">
        <f t="shared" si="90"/>
        <v>16.521168838123142</v>
      </c>
      <c r="J94" s="30">
        <f t="shared" si="90"/>
        <v>1.3328549274750425</v>
      </c>
      <c r="K94" s="30">
        <f t="shared" si="90"/>
        <v>18.092842026984741</v>
      </c>
      <c r="L94" s="30">
        <f t="shared" si="90"/>
        <v>24.881012995917398</v>
      </c>
      <c r="M94" s="30">
        <f t="shared" si="90"/>
        <v>4.4956993846153852E-3</v>
      </c>
      <c r="N94" s="30">
        <f t="shared" si="90"/>
        <v>0</v>
      </c>
      <c r="O94" s="30">
        <f t="shared" si="90"/>
        <v>0</v>
      </c>
      <c r="P94" s="30">
        <f>(sulawesi!P70*3.6/(VLOOKUP(P$51,tech_data!$B$2:$J$15,4,FALSE)/100))/1000</f>
        <v>0</v>
      </c>
      <c r="Q94" s="30">
        <f t="shared" si="84"/>
        <v>233.61120011323226</v>
      </c>
      <c r="R94" s="30"/>
      <c r="S94" s="23"/>
      <c r="T94" s="19"/>
      <c r="U94" s="20" t="str">
        <f t="shared" si="89"/>
        <v>SULAWESI</v>
      </c>
      <c r="V94" s="20">
        <f t="shared" si="89"/>
        <v>2037</v>
      </c>
      <c r="W94" s="30">
        <f>D70*(1-(VLOOKUP(W$75,tech_data!$B$2:$O$15,4,FALSE)/100))</f>
        <v>102.27337227364886</v>
      </c>
      <c r="X94" s="30">
        <f>E70*(1-(VLOOKUP(X$75,tech_data!$B$2:$O$15,4,FALSE)/100))</f>
        <v>5.7184423306211585</v>
      </c>
      <c r="Y94" s="30">
        <f>F70*(1-(VLOOKUP(Y$75,tech_data!$B$2:$O$15,4,FALSE)/100))</f>
        <v>52.981973342839076</v>
      </c>
      <c r="Z94" s="30">
        <f>G70*(1-(VLOOKUP(Z$75,tech_data!$B$2:$O$15,4,FALSE)/100))</f>
        <v>34.146984221604946</v>
      </c>
      <c r="AA94" s="30">
        <f>H70*(1-(VLOOKUP(AA$75,tech_data!$B$2:$O$15,4,FALSE)/100))</f>
        <v>11.974623358009513</v>
      </c>
      <c r="AB94" s="30">
        <f>I70*(1-(VLOOKUP(AB$75,tech_data!$B$2:$O$15,4,FALSE)/100))</f>
        <v>0.86953520200648216</v>
      </c>
      <c r="AC94" s="30">
        <f>J70*(1-(VLOOKUP(AC$75,tech_data!$B$2:$O$15,4,FALSE)/100))</f>
        <v>0.33321373186876058</v>
      </c>
      <c r="AD94" s="30">
        <f>K70*(1-(VLOOKUP(AD$75,tech_data!$B$2:$O$15,4,FALSE)/100))</f>
        <v>15.197987302667181</v>
      </c>
      <c r="AE94" s="30">
        <f>L70*(1-(VLOOKUP(AE$75,tech_data!$B$2:$O$15,4,FALSE)/100))</f>
        <v>10.126572289338382</v>
      </c>
      <c r="AF94" s="30">
        <f>M70*(1-(VLOOKUP(AF$75,tech_data!$B$2:$O$15,4,FALSE)/100))</f>
        <v>1.0006556694789082E-2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(sulawesi!AI70*3.6/(VLOOKUP(AI$51,tech_data!$B$2:$J$15,4,FALSE)/100))/1000</f>
        <v>0</v>
      </c>
      <c r="AJ94" s="30">
        <f t="shared" si="86"/>
        <v>233.63271060929915</v>
      </c>
      <c r="AK94" s="30"/>
      <c r="AL94" s="23"/>
    </row>
    <row r="95" spans="1:38" x14ac:dyDescent="0.25">
      <c r="A95" s="19"/>
      <c r="B95" s="20" t="str">
        <f t="shared" si="88"/>
        <v>SULAWESI</v>
      </c>
      <c r="C95" s="20">
        <f t="shared" si="88"/>
        <v>2038</v>
      </c>
      <c r="D95" s="30">
        <f t="shared" si="90"/>
        <v>69.504703379949859</v>
      </c>
      <c r="E95" s="30">
        <f t="shared" si="90"/>
        <v>3.1703281314842693</v>
      </c>
      <c r="F95" s="30">
        <f t="shared" si="90"/>
        <v>80.769194501736379</v>
      </c>
      <c r="G95" s="30">
        <f t="shared" si="90"/>
        <v>29.08817174433014</v>
      </c>
      <c r="H95" s="30">
        <f t="shared" si="90"/>
        <v>1.8688718535621787</v>
      </c>
      <c r="I95" s="30">
        <f t="shared" si="90"/>
        <v>16.521168838123142</v>
      </c>
      <c r="J95" s="30">
        <f t="shared" si="90"/>
        <v>1.3328549274750425</v>
      </c>
      <c r="K95" s="30">
        <f t="shared" si="90"/>
        <v>18.092842026984741</v>
      </c>
      <c r="L95" s="30">
        <f t="shared" si="90"/>
        <v>33.314169915793592</v>
      </c>
      <c r="M95" s="30">
        <f t="shared" si="90"/>
        <v>4.4956993846153852E-3</v>
      </c>
      <c r="N95" s="30">
        <f t="shared" si="90"/>
        <v>0</v>
      </c>
      <c r="O95" s="30">
        <f t="shared" si="90"/>
        <v>0</v>
      </c>
      <c r="P95" s="30">
        <f>(sulawesi!P71*3.6/(VLOOKUP(P$51,tech_data!$B$2:$J$15,4,FALSE)/100))/1000</f>
        <v>0</v>
      </c>
      <c r="Q95" s="30">
        <f t="shared" si="84"/>
        <v>253.66680101882397</v>
      </c>
      <c r="R95" s="30"/>
      <c r="S95" s="23"/>
      <c r="T95" s="19"/>
      <c r="U95" s="20" t="str">
        <f t="shared" si="89"/>
        <v>SULAWESI</v>
      </c>
      <c r="V95" s="20">
        <f t="shared" si="89"/>
        <v>2038</v>
      </c>
      <c r="W95" s="30">
        <f>D71*(1-(VLOOKUP(W$75,tech_data!$B$2:$O$15,4,FALSE)/100))</f>
        <v>110.24883984405839</v>
      </c>
      <c r="X95" s="30">
        <f>E71*(1-(VLOOKUP(X$75,tech_data!$B$2:$O$15,4,FALSE)/100))</f>
        <v>5.7184423306211585</v>
      </c>
      <c r="Y95" s="30">
        <f>F71*(1-(VLOOKUP(Y$75,tech_data!$B$2:$O$15,4,FALSE)/100))</f>
        <v>57.692281786954553</v>
      </c>
      <c r="Z95" s="30">
        <f>G71*(1-(VLOOKUP(Z$75,tech_data!$B$2:$O$15,4,FALSE)/100))</f>
        <v>34.146984221604946</v>
      </c>
      <c r="AA95" s="30">
        <f>H71*(1-(VLOOKUP(AA$75,tech_data!$B$2:$O$15,4,FALSE)/100))</f>
        <v>11.974623358009513</v>
      </c>
      <c r="AB95" s="30">
        <f>I71*(1-(VLOOKUP(AB$75,tech_data!$B$2:$O$15,4,FALSE)/100))</f>
        <v>0.86953520200648216</v>
      </c>
      <c r="AC95" s="30">
        <f>J71*(1-(VLOOKUP(AC$75,tech_data!$B$2:$O$15,4,FALSE)/100))</f>
        <v>0.33321373186876058</v>
      </c>
      <c r="AD95" s="30">
        <f>K71*(1-(VLOOKUP(AD$75,tech_data!$B$2:$O$15,4,FALSE)/100))</f>
        <v>15.197987302667181</v>
      </c>
      <c r="AE95" s="30">
        <f>L71*(1-(VLOOKUP(AE$75,tech_data!$B$2:$O$15,4,FALSE)/100))</f>
        <v>13.558867155727993</v>
      </c>
      <c r="AF95" s="30">
        <f>M71*(1-(VLOOKUP(AF$75,tech_data!$B$2:$O$15,4,FALSE)/100))</f>
        <v>1.0006556694789082E-2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(sulawesi!AI71*3.6/(VLOOKUP(AI$51,tech_data!$B$2:$J$15,4,FALSE)/100))/1000</f>
        <v>0</v>
      </c>
      <c r="AJ95" s="30">
        <f t="shared" si="86"/>
        <v>249.75078149021377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EE5-78D8-4B46-ABFD-54F49F05D04B}">
  <sheetPr codeName="Sheet13"/>
  <dimension ref="A1:CF96"/>
  <sheetViews>
    <sheetView topLeftCell="B37" zoomScale="85" zoomScaleNormal="85" workbookViewId="0">
      <selection activeCell="N60" sqref="N6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proj_rukn!A122</f>
        <v>MALUKU_PAPUA</v>
      </c>
      <c r="C4" s="20">
        <f>proj_rukn!B122</f>
        <v>2019</v>
      </c>
      <c r="D4" s="30">
        <f>existing_capacity!C8</f>
        <v>279</v>
      </c>
      <c r="E4" s="30">
        <f>existing_capacity!D8</f>
        <v>4</v>
      </c>
      <c r="F4" s="30">
        <f>existing_capacity!E8</f>
        <v>0</v>
      </c>
      <c r="G4" s="30">
        <f>existing_capacity!F8</f>
        <v>893.06</v>
      </c>
      <c r="H4" s="30">
        <f>existing_capacity!G8</f>
        <v>0</v>
      </c>
      <c r="I4" s="30">
        <f>existing_capacity!H8</f>
        <v>29.79</v>
      </c>
      <c r="J4" s="30">
        <f>existing_capacity!I8</f>
        <v>0</v>
      </c>
      <c r="K4" s="30">
        <f>existing_capacity!J8</f>
        <v>6.41</v>
      </c>
      <c r="L4" s="30">
        <f>existing_capacity!K8</f>
        <v>0</v>
      </c>
      <c r="M4" s="30">
        <f>existing_capacity!L8</f>
        <v>0</v>
      </c>
      <c r="N4" s="30">
        <f>existing_capacity!M8</f>
        <v>0</v>
      </c>
      <c r="O4" s="30">
        <f>existing_capacity!N8</f>
        <v>0</v>
      </c>
      <c r="P4" s="30">
        <v>0</v>
      </c>
      <c r="Q4" s="30">
        <f>SUM(D4:O4)</f>
        <v>1212.26</v>
      </c>
      <c r="R4" s="30"/>
      <c r="S4" s="36"/>
      <c r="T4" s="19"/>
      <c r="U4" s="20" t="str">
        <f t="shared" ref="U4:V23" si="0">B4</f>
        <v>MALUKU_PAPUA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MALUKU_PAPUA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3">SUM(AU4:BA4)</f>
        <v>437628.8</v>
      </c>
      <c r="BF4" s="23"/>
      <c r="BG4" s="19"/>
      <c r="BH4" s="20" t="str">
        <f>AO4</f>
        <v>MALUKU_PAPUA</v>
      </c>
      <c r="BI4" s="20">
        <f>AP4</f>
        <v>2019</v>
      </c>
      <c r="BJ4" s="25">
        <f t="shared" ref="BJ4:BJ22" si="4">SUM(K28:L28,N28)/Q28</f>
        <v>1.9746044471554503E-3</v>
      </c>
      <c r="BK4" s="43">
        <f t="shared" ref="BK4:BK23" si="5">$BO$5+((BJ4-$BN$5)*($BO$6-$BO$5)/($BN$6-$BN$5))</f>
        <v>2.7312542994695845E-4</v>
      </c>
      <c r="BL4" s="34">
        <f>BK4*Q28*1000</f>
        <v>1631.0356648915608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MALUKU_PAPUA</v>
      </c>
      <c r="C5" s="20">
        <f>C4+1</f>
        <v>2020</v>
      </c>
      <c r="D5" s="30">
        <f>D4+W5</f>
        <v>279</v>
      </c>
      <c r="E5" s="30">
        <f t="shared" ref="E5:O20" si="6">E4+X5</f>
        <v>3.9999990000000025</v>
      </c>
      <c r="F5" s="30">
        <f t="shared" si="6"/>
        <v>245.6691115891654</v>
      </c>
      <c r="G5" s="30">
        <f t="shared" si="6"/>
        <v>893.06</v>
      </c>
      <c r="H5" s="30">
        <f t="shared" si="6"/>
        <v>0</v>
      </c>
      <c r="I5" s="30">
        <f t="shared" si="6"/>
        <v>29.79</v>
      </c>
      <c r="J5" s="30">
        <f t="shared" si="6"/>
        <v>0</v>
      </c>
      <c r="K5" s="30">
        <f t="shared" si="6"/>
        <v>6.409999</v>
      </c>
      <c r="L5" s="30">
        <f t="shared" si="6"/>
        <v>0</v>
      </c>
      <c r="M5" s="30">
        <f t="shared" si="6"/>
        <v>0</v>
      </c>
      <c r="N5" s="30">
        <f t="shared" si="6"/>
        <v>-3.3184666029494048E-7</v>
      </c>
      <c r="O5" s="30">
        <f t="shared" si="6"/>
        <v>0</v>
      </c>
      <c r="P5" s="30">
        <f>BL5/((VLOOKUP(P$3,tech_data!$B$2:$G$15,6,FALSE)/100)*24*365)</f>
        <v>0.46078982868869955</v>
      </c>
      <c r="Q5" s="30">
        <f t="shared" ref="Q5:Q23" si="7">SUM(D5:O5)</f>
        <v>1457.9291092573187</v>
      </c>
      <c r="R5" s="30"/>
      <c r="S5" s="36"/>
      <c r="T5" s="19"/>
      <c r="U5" s="20" t="str">
        <f t="shared" si="0"/>
        <v>MALUKU_PAPUA</v>
      </c>
      <c r="V5" s="20">
        <f t="shared" si="0"/>
        <v>2020</v>
      </c>
      <c r="W5" s="30">
        <v>0</v>
      </c>
      <c r="X5" s="30">
        <v>-9.9999999747524271E-7</v>
      </c>
      <c r="Y5" s="30">
        <v>245.6691115891654</v>
      </c>
      <c r="Z5" s="30">
        <v>0</v>
      </c>
      <c r="AA5" s="30">
        <v>0</v>
      </c>
      <c r="AB5" s="30">
        <v>0</v>
      </c>
      <c r="AC5" s="30">
        <v>0</v>
      </c>
      <c r="AD5" s="30">
        <v>-9.9999999991773336E-7</v>
      </c>
      <c r="AE5" s="30">
        <v>0</v>
      </c>
      <c r="AF5" s="30">
        <v>0</v>
      </c>
      <c r="AG5" s="30">
        <v>-3.3184666029494048E-7</v>
      </c>
      <c r="AH5" s="30">
        <v>0</v>
      </c>
      <c r="AI5" s="30">
        <f t="shared" ref="AI5:AI23" si="8">IF(P5&gt;=P4, P5-P4, 0)</f>
        <v>0.46078982868869955</v>
      </c>
      <c r="AJ5" s="34">
        <f t="shared" si="1"/>
        <v>246.12989908600744</v>
      </c>
      <c r="AM5" s="23"/>
      <c r="AO5" s="20" t="str">
        <f t="shared" si="2"/>
        <v>MALUKU_PAPUA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23965.8</v>
      </c>
      <c r="AV5" s="30">
        <f t="shared" si="9"/>
        <v>75091</v>
      </c>
      <c r="AW5" s="30">
        <f t="shared" si="9"/>
        <v>19385</v>
      </c>
      <c r="AX5" s="30">
        <f t="shared" si="9"/>
        <v>207898.00000100001</v>
      </c>
      <c r="AY5" s="30">
        <f t="shared" si="9"/>
        <v>60647</v>
      </c>
      <c r="AZ5" s="30">
        <f t="shared" si="9"/>
        <v>32654</v>
      </c>
      <c r="BA5" s="30">
        <f t="shared" si="9"/>
        <v>17988.000000331846</v>
      </c>
      <c r="BB5" s="30">
        <v>999</v>
      </c>
      <c r="BC5" s="30">
        <v>999</v>
      </c>
      <c r="BD5" s="30">
        <f t="shared" si="3"/>
        <v>437628.80000133184</v>
      </c>
      <c r="BF5" s="23"/>
      <c r="BG5" s="19"/>
      <c r="BH5" s="20" t="str">
        <f t="shared" ref="BH5:BI23" si="10">AO5</f>
        <v>MALUKU_PAPUA</v>
      </c>
      <c r="BI5" s="20">
        <f t="shared" si="10"/>
        <v>2020</v>
      </c>
      <c r="BJ5" s="25">
        <f t="shared" si="4"/>
        <v>1.7727729973684475E-3</v>
      </c>
      <c r="BK5" s="43">
        <f t="shared" si="5"/>
        <v>2.7308088783390203E-4</v>
      </c>
      <c r="BL5" s="34">
        <f t="shared" ref="BL5:BL23" si="11">BK5*Q29*1000</f>
        <v>1816.4335046908539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MALUKU_PAPUA</v>
      </c>
      <c r="C6" s="20">
        <f t="shared" ref="C6:C23" si="13">C5+1</f>
        <v>2021</v>
      </c>
      <c r="D6" s="30">
        <f t="shared" ref="D6:O21" si="14">D5+W6</f>
        <v>279</v>
      </c>
      <c r="E6" s="30">
        <f t="shared" si="6"/>
        <v>3.9999980000000033</v>
      </c>
      <c r="F6" s="30">
        <f t="shared" si="6"/>
        <v>507.79805342918644</v>
      </c>
      <c r="G6" s="30">
        <f t="shared" si="6"/>
        <v>893.06</v>
      </c>
      <c r="H6" s="30">
        <f t="shared" si="6"/>
        <v>-3.3644169840764491E-15</v>
      </c>
      <c r="I6" s="30">
        <f t="shared" si="6"/>
        <v>29.790505433438195</v>
      </c>
      <c r="J6" s="30">
        <f t="shared" si="6"/>
        <v>75.510804178099022</v>
      </c>
      <c r="K6" s="30">
        <f t="shared" si="6"/>
        <v>340.55731414609454</v>
      </c>
      <c r="L6" s="30">
        <f t="shared" si="6"/>
        <v>37.155986149229314</v>
      </c>
      <c r="M6" s="30">
        <f t="shared" si="6"/>
        <v>0</v>
      </c>
      <c r="N6" s="30">
        <f t="shared" si="6"/>
        <v>0.24162813712232287</v>
      </c>
      <c r="O6" s="30">
        <f t="shared" si="6"/>
        <v>0</v>
      </c>
      <c r="P6" s="30">
        <f>BL6/((VLOOKUP(P$3,tech_data!$B$2:$G$15,6,FALSE)/100)*24*365)</f>
        <v>0.63321986188724666</v>
      </c>
      <c r="Q6" s="30">
        <f t="shared" si="7"/>
        <v>2167.1142894731697</v>
      </c>
      <c r="R6" s="30"/>
      <c r="S6" s="36"/>
      <c r="T6" s="19"/>
      <c r="U6" s="20" t="str">
        <f t="shared" si="0"/>
        <v>MALUKU_PAPUA</v>
      </c>
      <c r="V6" s="20">
        <f t="shared" si="0"/>
        <v>2021</v>
      </c>
      <c r="W6" s="30">
        <v>0</v>
      </c>
      <c r="X6" s="30">
        <v>-9.9999999925159955E-7</v>
      </c>
      <c r="Y6" s="30">
        <v>262.12894184002107</v>
      </c>
      <c r="Z6" s="30">
        <v>0</v>
      </c>
      <c r="AA6" s="30">
        <v>-3.3644169840764491E-15</v>
      </c>
      <c r="AB6" s="30">
        <v>5.0543343819716249E-4</v>
      </c>
      <c r="AC6" s="30">
        <v>75.510804178099022</v>
      </c>
      <c r="AD6" s="30">
        <v>334.14731514609451</v>
      </c>
      <c r="AE6" s="30">
        <v>37.155986149229314</v>
      </c>
      <c r="AF6" s="30">
        <v>0</v>
      </c>
      <c r="AG6" s="30">
        <v>0.24162846896898316</v>
      </c>
      <c r="AH6" s="30">
        <v>0</v>
      </c>
      <c r="AI6" s="30">
        <f t="shared" si="8"/>
        <v>0.17243003319854711</v>
      </c>
      <c r="AJ6" s="34">
        <f t="shared" si="1"/>
        <v>709.35761024904969</v>
      </c>
      <c r="AM6" s="23"/>
      <c r="AO6" s="20" t="str">
        <f t="shared" si="2"/>
        <v>MALUKU_PAPUA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23965.8</v>
      </c>
      <c r="AV6" s="30">
        <f t="shared" si="9"/>
        <v>75090.999494566568</v>
      </c>
      <c r="AW6" s="30">
        <f t="shared" si="9"/>
        <v>19309.489195821901</v>
      </c>
      <c r="AX6" s="30">
        <f t="shared" si="9"/>
        <v>207563.85268585393</v>
      </c>
      <c r="AY6" s="30">
        <f t="shared" si="9"/>
        <v>60609.844013850772</v>
      </c>
      <c r="AZ6" s="30">
        <f t="shared" si="9"/>
        <v>32654</v>
      </c>
      <c r="BA6" s="30">
        <f t="shared" si="9"/>
        <v>17987.758371862878</v>
      </c>
      <c r="BB6" s="30">
        <v>999</v>
      </c>
      <c r="BC6" s="30">
        <v>999</v>
      </c>
      <c r="BD6" s="30">
        <f t="shared" si="3"/>
        <v>437181.74376195605</v>
      </c>
      <c r="BF6" s="23"/>
      <c r="BG6" s="19"/>
      <c r="BH6" s="20" t="str">
        <f t="shared" si="10"/>
        <v>MALUKU_PAPUA</v>
      </c>
      <c r="BI6" s="20">
        <f t="shared" si="10"/>
        <v>2021</v>
      </c>
      <c r="BJ6" s="25">
        <f t="shared" si="4"/>
        <v>8.6686559450935896E-2</v>
      </c>
      <c r="BK6" s="43">
        <f t="shared" si="5"/>
        <v>2.9182048208572381E-4</v>
      </c>
      <c r="BL6" s="34">
        <f t="shared" si="11"/>
        <v>2496.1526955595268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MALUKU_PAPUA</v>
      </c>
      <c r="C7" s="20">
        <f t="shared" si="13"/>
        <v>2022</v>
      </c>
      <c r="D7" s="30">
        <f t="shared" si="14"/>
        <v>298.36405964897546</v>
      </c>
      <c r="E7" s="30">
        <f t="shared" si="6"/>
        <v>3.9999970000000058</v>
      </c>
      <c r="F7" s="30">
        <f t="shared" si="6"/>
        <v>705.29432904128828</v>
      </c>
      <c r="G7" s="30">
        <f t="shared" si="6"/>
        <v>893.06</v>
      </c>
      <c r="H7" s="30">
        <f t="shared" si="6"/>
        <v>0</v>
      </c>
      <c r="I7" s="30">
        <f t="shared" si="6"/>
        <v>49.354844898709693</v>
      </c>
      <c r="J7" s="30">
        <f t="shared" si="6"/>
        <v>106.97541618651606</v>
      </c>
      <c r="K7" s="30">
        <f t="shared" si="6"/>
        <v>348.66846547507458</v>
      </c>
      <c r="L7" s="30">
        <f t="shared" si="6"/>
        <v>50.712294988868564</v>
      </c>
      <c r="M7" s="30">
        <f t="shared" si="6"/>
        <v>0</v>
      </c>
      <c r="N7" s="30">
        <f t="shared" si="6"/>
        <v>0.27798618837005767</v>
      </c>
      <c r="O7" s="30">
        <f t="shared" si="6"/>
        <v>0</v>
      </c>
      <c r="P7" s="30">
        <f>BL7/((VLOOKUP(P$3,tech_data!$B$2:$G$15,6,FALSE)/100)*24*365)</f>
        <v>0.70351539974811073</v>
      </c>
      <c r="Q7" s="30">
        <f t="shared" si="7"/>
        <v>2456.7073934278028</v>
      </c>
      <c r="R7" s="30"/>
      <c r="S7" s="36"/>
      <c r="T7" s="19"/>
      <c r="U7" s="20" t="str">
        <f t="shared" si="0"/>
        <v>MALUKU_PAPUA</v>
      </c>
      <c r="V7" s="20">
        <f t="shared" si="0"/>
        <v>2022</v>
      </c>
      <c r="W7" s="30">
        <v>19.364059648975463</v>
      </c>
      <c r="X7" s="30">
        <v>-9.9999999747524271E-7</v>
      </c>
      <c r="Y7" s="30">
        <v>197.49627561210181</v>
      </c>
      <c r="Z7" s="30">
        <v>0</v>
      </c>
      <c r="AA7" s="30">
        <v>3.3644169840764475E-15</v>
      </c>
      <c r="AB7" s="30">
        <v>19.564339465271498</v>
      </c>
      <c r="AC7" s="30">
        <v>31.464612008417035</v>
      </c>
      <c r="AD7" s="30">
        <v>8.1111513289800214</v>
      </c>
      <c r="AE7" s="30">
        <v>13.55630883963925</v>
      </c>
      <c r="AF7" s="30">
        <v>0</v>
      </c>
      <c r="AG7" s="30">
        <v>3.63580512477348E-2</v>
      </c>
      <c r="AH7" s="30">
        <v>0</v>
      </c>
      <c r="AI7" s="30">
        <f t="shared" si="8"/>
        <v>7.0295537860864066E-2</v>
      </c>
      <c r="AJ7" s="34">
        <f t="shared" si="1"/>
        <v>289.66339949249374</v>
      </c>
      <c r="AM7" s="23"/>
      <c r="AO7" s="20" t="str">
        <f t="shared" si="2"/>
        <v>MALUKU_PAPUA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23965.8</v>
      </c>
      <c r="AV7" s="30">
        <f t="shared" si="9"/>
        <v>75071.435155101295</v>
      </c>
      <c r="AW7" s="30">
        <f t="shared" si="9"/>
        <v>19278.024583813483</v>
      </c>
      <c r="AX7" s="30">
        <f t="shared" si="9"/>
        <v>207555.74153452495</v>
      </c>
      <c r="AY7" s="30">
        <f t="shared" si="9"/>
        <v>60596.287705011135</v>
      </c>
      <c r="AZ7" s="30">
        <f t="shared" si="9"/>
        <v>32654</v>
      </c>
      <c r="BA7" s="30">
        <f t="shared" si="9"/>
        <v>17987.722013811628</v>
      </c>
      <c r="BB7" s="30">
        <v>999</v>
      </c>
      <c r="BC7" s="30">
        <v>999</v>
      </c>
      <c r="BD7" s="30">
        <f t="shared" si="3"/>
        <v>437109.01099226251</v>
      </c>
      <c r="BF7" s="23"/>
      <c r="BG7" s="19"/>
      <c r="BH7" s="20" t="str">
        <f t="shared" si="10"/>
        <v>MALUKU_PAPUA</v>
      </c>
      <c r="BI7" s="20">
        <f t="shared" si="10"/>
        <v>2022</v>
      </c>
      <c r="BJ7" s="25">
        <f t="shared" si="4"/>
        <v>8.3811044525368542E-2</v>
      </c>
      <c r="BK7" s="43">
        <f t="shared" si="5"/>
        <v>2.9118588568835719E-4</v>
      </c>
      <c r="BL7" s="34">
        <f t="shared" si="11"/>
        <v>2773.2577058070528</v>
      </c>
      <c r="BP7" s="23"/>
    </row>
    <row r="8" spans="1:68" x14ac:dyDescent="0.25">
      <c r="A8" s="19"/>
      <c r="B8" s="20" t="str">
        <f t="shared" si="12"/>
        <v>MALUKU_PAPUA</v>
      </c>
      <c r="C8" s="20">
        <f t="shared" si="13"/>
        <v>2023</v>
      </c>
      <c r="D8" s="30">
        <f t="shared" si="14"/>
        <v>350.59962662286966</v>
      </c>
      <c r="E8" s="30">
        <f t="shared" si="6"/>
        <v>3.9999970000000058</v>
      </c>
      <c r="F8" s="30">
        <f t="shared" si="6"/>
        <v>781.99909929127398</v>
      </c>
      <c r="G8" s="30">
        <f t="shared" si="6"/>
        <v>893.06</v>
      </c>
      <c r="H8" s="30">
        <f t="shared" si="6"/>
        <v>-3.3644176193511595E-15</v>
      </c>
      <c r="I8" s="30">
        <f t="shared" si="6"/>
        <v>49.893261336787482</v>
      </c>
      <c r="J8" s="30">
        <f t="shared" si="6"/>
        <v>106.97888429870441</v>
      </c>
      <c r="K8" s="30">
        <f t="shared" si="6"/>
        <v>355.06238544460746</v>
      </c>
      <c r="L8" s="30">
        <f t="shared" si="6"/>
        <v>154.56819345917864</v>
      </c>
      <c r="M8" s="30">
        <f t="shared" si="6"/>
        <v>0</v>
      </c>
      <c r="N8" s="30">
        <f t="shared" si="6"/>
        <v>0.28339305824292482</v>
      </c>
      <c r="O8" s="30">
        <f t="shared" si="6"/>
        <v>0</v>
      </c>
      <c r="P8" s="30">
        <f>BL8/((VLOOKUP(P$3,tech_data!$B$2:$G$15,6,FALSE)/100)*24*365)</f>
        <v>0.77734087030196652</v>
      </c>
      <c r="Q8" s="30">
        <f t="shared" si="7"/>
        <v>2696.4448405116646</v>
      </c>
      <c r="R8" s="30"/>
      <c r="S8" s="36"/>
      <c r="T8" s="19"/>
      <c r="U8" s="20" t="str">
        <f t="shared" si="0"/>
        <v>MALUKU_PAPUA</v>
      </c>
      <c r="V8" s="20">
        <f t="shared" si="0"/>
        <v>2023</v>
      </c>
      <c r="W8" s="30">
        <v>52.235566973894187</v>
      </c>
      <c r="X8" s="30">
        <v>0</v>
      </c>
      <c r="Y8" s="30">
        <v>76.704770249985685</v>
      </c>
      <c r="Z8" s="30">
        <v>0</v>
      </c>
      <c r="AA8" s="30">
        <v>-3.3644176193511595E-15</v>
      </c>
      <c r="AB8" s="30">
        <v>0.53841643807778894</v>
      </c>
      <c r="AC8" s="30">
        <v>3.468112188361093E-3</v>
      </c>
      <c r="AD8" s="30">
        <v>6.3939199695328846</v>
      </c>
      <c r="AE8" s="30">
        <v>103.85589847031007</v>
      </c>
      <c r="AF8" s="30">
        <v>0</v>
      </c>
      <c r="AG8" s="30">
        <v>5.4068698728671691E-3</v>
      </c>
      <c r="AH8" s="30">
        <v>0</v>
      </c>
      <c r="AI8" s="30">
        <f t="shared" si="8"/>
        <v>7.3825470553855799E-2</v>
      </c>
      <c r="AJ8" s="34">
        <f t="shared" si="1"/>
        <v>239.81127255441569</v>
      </c>
      <c r="AM8" s="23"/>
      <c r="AO8" s="20" t="str">
        <f t="shared" si="2"/>
        <v>MALUKU_PAPUA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23965.8</v>
      </c>
      <c r="AV8" s="30">
        <f t="shared" si="9"/>
        <v>75070.896738663214</v>
      </c>
      <c r="AW8" s="30">
        <f t="shared" si="9"/>
        <v>19278.021115701296</v>
      </c>
      <c r="AX8" s="30">
        <f t="shared" si="9"/>
        <v>207549.34761455542</v>
      </c>
      <c r="AY8" s="30">
        <f t="shared" si="9"/>
        <v>60492.431806540822</v>
      </c>
      <c r="AZ8" s="30">
        <f t="shared" si="9"/>
        <v>32654</v>
      </c>
      <c r="BA8" s="30">
        <f t="shared" si="9"/>
        <v>17987.716606941754</v>
      </c>
      <c r="BB8" s="30">
        <v>999</v>
      </c>
      <c r="BC8" s="30">
        <v>999</v>
      </c>
      <c r="BD8" s="30">
        <f t="shared" si="3"/>
        <v>436998.21388240252</v>
      </c>
      <c r="BF8" s="23"/>
      <c r="BG8" s="19"/>
      <c r="BH8" s="20" t="str">
        <f t="shared" si="10"/>
        <v>MALUKU_PAPUA</v>
      </c>
      <c r="BI8" s="20">
        <f t="shared" si="10"/>
        <v>2023</v>
      </c>
      <c r="BJ8" s="25">
        <f t="shared" si="4"/>
        <v>0.10940527138179341</v>
      </c>
      <c r="BK8" s="43">
        <f t="shared" si="5"/>
        <v>2.9683426678770613E-4</v>
      </c>
      <c r="BL8" s="34">
        <f t="shared" si="11"/>
        <v>3064.2777107303523</v>
      </c>
      <c r="BP8" s="23"/>
    </row>
    <row r="9" spans="1:68" x14ac:dyDescent="0.25">
      <c r="A9" s="19"/>
      <c r="B9" s="20" t="str">
        <f t="shared" si="12"/>
        <v>MALUKU_PAPUA</v>
      </c>
      <c r="C9" s="20">
        <f t="shared" si="13"/>
        <v>2024</v>
      </c>
      <c r="D9" s="30">
        <f t="shared" si="14"/>
        <v>405.33203747611225</v>
      </c>
      <c r="E9" s="30">
        <f t="shared" si="6"/>
        <v>3.9999960000000065</v>
      </c>
      <c r="F9" s="30">
        <f t="shared" si="6"/>
        <v>868.10030084865502</v>
      </c>
      <c r="G9" s="30">
        <f t="shared" si="6"/>
        <v>893.06</v>
      </c>
      <c r="H9" s="30">
        <f t="shared" si="6"/>
        <v>-1.5410366119894324E-7</v>
      </c>
      <c r="I9" s="30">
        <f t="shared" si="6"/>
        <v>63.172852350506801</v>
      </c>
      <c r="J9" s="30">
        <f t="shared" si="6"/>
        <v>157.39739624247019</v>
      </c>
      <c r="K9" s="30">
        <f t="shared" si="6"/>
        <v>355.06238544460746</v>
      </c>
      <c r="L9" s="30">
        <f t="shared" si="6"/>
        <v>162.60425077469961</v>
      </c>
      <c r="M9" s="30">
        <f t="shared" si="6"/>
        <v>0</v>
      </c>
      <c r="N9" s="30">
        <f t="shared" si="6"/>
        <v>0.28339305824292482</v>
      </c>
      <c r="O9" s="30">
        <f t="shared" si="6"/>
        <v>0</v>
      </c>
      <c r="P9" s="30">
        <f>BL9/((VLOOKUP(P$3,tech_data!$B$2:$G$15,6,FALSE)/100)*24*365)</f>
        <v>0.83999928720215589</v>
      </c>
      <c r="Q9" s="30">
        <f t="shared" si="7"/>
        <v>2909.0126120411906</v>
      </c>
      <c r="R9" s="30"/>
      <c r="S9" s="36"/>
      <c r="T9" s="19"/>
      <c r="U9" s="20" t="str">
        <f t="shared" si="0"/>
        <v>MALUKU_PAPUA</v>
      </c>
      <c r="V9" s="20">
        <f t="shared" si="0"/>
        <v>2024</v>
      </c>
      <c r="W9" s="30">
        <v>54.732410853242584</v>
      </c>
      <c r="X9" s="30">
        <v>-9.9999999925159955E-7</v>
      </c>
      <c r="Y9" s="30">
        <v>86.10120155738106</v>
      </c>
      <c r="Z9" s="30">
        <v>0</v>
      </c>
      <c r="AA9" s="30">
        <v>-1.5410365783452562E-7</v>
      </c>
      <c r="AB9" s="30">
        <v>13.279591013719321</v>
      </c>
      <c r="AC9" s="30">
        <v>50.418511943765786</v>
      </c>
      <c r="AD9" s="30">
        <v>0</v>
      </c>
      <c r="AE9" s="30">
        <v>8.0360573155209636</v>
      </c>
      <c r="AF9" s="30">
        <v>0</v>
      </c>
      <c r="AG9" s="30">
        <v>0</v>
      </c>
      <c r="AH9" s="30">
        <v>0</v>
      </c>
      <c r="AI9" s="30">
        <f t="shared" si="8"/>
        <v>6.2658416900189362E-2</v>
      </c>
      <c r="AJ9" s="34">
        <f t="shared" si="1"/>
        <v>212.63042994642623</v>
      </c>
      <c r="AM9" s="23"/>
      <c r="AO9" s="20" t="str">
        <f t="shared" si="2"/>
        <v>MALUKU_PAPUA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23965.800000154104</v>
      </c>
      <c r="AV9" s="30">
        <f t="shared" si="9"/>
        <v>75057.617147649493</v>
      </c>
      <c r="AW9" s="30">
        <f t="shared" si="9"/>
        <v>19227.602603757532</v>
      </c>
      <c r="AX9" s="30">
        <f t="shared" si="9"/>
        <v>207549.34761455542</v>
      </c>
      <c r="AY9" s="30">
        <f t="shared" si="9"/>
        <v>60484.395749225303</v>
      </c>
      <c r="AZ9" s="30">
        <f t="shared" si="9"/>
        <v>32654</v>
      </c>
      <c r="BA9" s="30">
        <f t="shared" si="9"/>
        <v>17987.716606941754</v>
      </c>
      <c r="BB9" s="30">
        <v>999</v>
      </c>
      <c r="BC9" s="30">
        <v>999</v>
      </c>
      <c r="BD9" s="30">
        <f t="shared" si="3"/>
        <v>436926.47972228361</v>
      </c>
      <c r="BF9" s="23"/>
      <c r="BG9" s="19"/>
      <c r="BH9" s="20" t="str">
        <f t="shared" si="10"/>
        <v>MALUKU_PAPUA</v>
      </c>
      <c r="BI9" s="20">
        <f t="shared" si="10"/>
        <v>2024</v>
      </c>
      <c r="BJ9" s="25">
        <f t="shared" si="4"/>
        <v>0.10296451163242275</v>
      </c>
      <c r="BK9" s="43">
        <f t="shared" si="5"/>
        <v>2.9541285773956915E-4</v>
      </c>
      <c r="BL9" s="34">
        <f t="shared" si="11"/>
        <v>3311.2771901508991</v>
      </c>
      <c r="BN9" s="38"/>
      <c r="BP9" s="23"/>
    </row>
    <row r="10" spans="1:68" x14ac:dyDescent="0.25">
      <c r="A10" s="19"/>
      <c r="B10" s="20" t="str">
        <f t="shared" si="12"/>
        <v>MALUKU_PAPUA</v>
      </c>
      <c r="C10" s="20">
        <f t="shared" si="13"/>
        <v>2025</v>
      </c>
      <c r="D10" s="30">
        <f t="shared" si="14"/>
        <v>462.56609481853565</v>
      </c>
      <c r="E10" s="30">
        <f t="shared" si="6"/>
        <v>3.9999950000000073</v>
      </c>
      <c r="F10" s="30">
        <f t="shared" si="6"/>
        <v>964.9172083647851</v>
      </c>
      <c r="G10" s="30">
        <f t="shared" si="6"/>
        <v>893.06</v>
      </c>
      <c r="H10" s="30">
        <f t="shared" si="6"/>
        <v>-1.5410366119894324E-7</v>
      </c>
      <c r="I10" s="30">
        <f t="shared" si="6"/>
        <v>122.32451216658625</v>
      </c>
      <c r="J10" s="30">
        <f t="shared" si="6"/>
        <v>163.82303990892518</v>
      </c>
      <c r="K10" s="30">
        <f t="shared" si="6"/>
        <v>378.85564916975579</v>
      </c>
      <c r="L10" s="30">
        <f t="shared" si="6"/>
        <v>193.06051058591694</v>
      </c>
      <c r="M10" s="30">
        <f t="shared" si="6"/>
        <v>0</v>
      </c>
      <c r="N10" s="30">
        <f t="shared" si="6"/>
        <v>0.28340801578564845</v>
      </c>
      <c r="O10" s="30">
        <f t="shared" si="6"/>
        <v>0</v>
      </c>
      <c r="P10" s="30">
        <f>BL10/((VLOOKUP(P$3,tech_data!$B$2:$G$15,6,FALSE)/100)*24*365)</f>
        <v>0.9157307406313</v>
      </c>
      <c r="Q10" s="30">
        <f t="shared" si="7"/>
        <v>3182.8904178761868</v>
      </c>
      <c r="R10" s="30"/>
      <c r="S10" s="36"/>
      <c r="T10" s="19"/>
      <c r="U10" s="20" t="str">
        <f t="shared" si="0"/>
        <v>MALUKU_PAPUA</v>
      </c>
      <c r="V10" s="20">
        <f t="shared" si="0"/>
        <v>2025</v>
      </c>
      <c r="W10" s="30">
        <v>57.234057342423412</v>
      </c>
      <c r="X10" s="30">
        <v>-9.9999999925159955E-7</v>
      </c>
      <c r="Y10" s="30">
        <v>96.816907516130073</v>
      </c>
      <c r="Z10" s="30">
        <v>0</v>
      </c>
      <c r="AA10" s="30">
        <v>0</v>
      </c>
      <c r="AB10" s="30">
        <v>59.151659816079444</v>
      </c>
      <c r="AC10" s="30">
        <v>6.425643666454997</v>
      </c>
      <c r="AD10" s="30">
        <v>23.793263725148364</v>
      </c>
      <c r="AE10" s="30">
        <v>30.456259811217326</v>
      </c>
      <c r="AF10" s="30">
        <v>0</v>
      </c>
      <c r="AG10" s="30">
        <v>1.4957542723621736E-5</v>
      </c>
      <c r="AH10" s="30">
        <v>0</v>
      </c>
      <c r="AI10" s="30">
        <f t="shared" si="8"/>
        <v>7.5731453429144113E-2</v>
      </c>
      <c r="AJ10" s="34">
        <f t="shared" si="1"/>
        <v>273.95353728842548</v>
      </c>
      <c r="AM10" s="23"/>
      <c r="AO10" s="20" t="str">
        <f t="shared" si="2"/>
        <v>MALUKU_PAPUA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23965.800000154104</v>
      </c>
      <c r="AV10" s="30">
        <f t="shared" si="9"/>
        <v>74998.465487833411</v>
      </c>
      <c r="AW10" s="30">
        <f t="shared" si="9"/>
        <v>19221.176960091077</v>
      </c>
      <c r="AX10" s="30">
        <f t="shared" si="9"/>
        <v>207525.55435083027</v>
      </c>
      <c r="AY10" s="30">
        <f t="shared" si="9"/>
        <v>60453.939489414086</v>
      </c>
      <c r="AZ10" s="30">
        <f t="shared" si="9"/>
        <v>32654</v>
      </c>
      <c r="BA10" s="30">
        <f t="shared" si="9"/>
        <v>17987.716591984212</v>
      </c>
      <c r="BB10" s="30">
        <v>999</v>
      </c>
      <c r="BC10" s="30">
        <v>999</v>
      </c>
      <c r="BD10" s="30">
        <f t="shared" si="3"/>
        <v>436806.65288030717</v>
      </c>
      <c r="BF10" s="23"/>
      <c r="BG10" s="19"/>
      <c r="BH10" s="20" t="str">
        <f t="shared" si="10"/>
        <v>MALUKU_PAPUA</v>
      </c>
      <c r="BI10" s="20">
        <f t="shared" si="10"/>
        <v>2025</v>
      </c>
      <c r="BJ10" s="25">
        <f t="shared" si="4"/>
        <v>0.10593112789389472</v>
      </c>
      <c r="BK10" s="43">
        <f t="shared" si="5"/>
        <v>2.960675592593423E-4</v>
      </c>
      <c r="BL10" s="34">
        <f t="shared" si="11"/>
        <v>3609.8105795685851</v>
      </c>
      <c r="BP10" s="23"/>
    </row>
    <row r="11" spans="1:68" x14ac:dyDescent="0.25">
      <c r="A11" s="19"/>
      <c r="B11" s="20" t="str">
        <f t="shared" si="12"/>
        <v>MALUKU_PAPUA</v>
      </c>
      <c r="C11" s="20">
        <f t="shared" si="13"/>
        <v>2026</v>
      </c>
      <c r="D11" s="30">
        <f t="shared" si="14"/>
        <v>528.55918576194347</v>
      </c>
      <c r="E11" s="30">
        <f t="shared" si="6"/>
        <v>3.9999950000000073</v>
      </c>
      <c r="F11" s="30">
        <f t="shared" si="6"/>
        <v>1047.3182739413792</v>
      </c>
      <c r="G11" s="30">
        <f t="shared" si="6"/>
        <v>893.06</v>
      </c>
      <c r="H11" s="30">
        <f t="shared" si="6"/>
        <v>0</v>
      </c>
      <c r="I11" s="30">
        <f t="shared" si="6"/>
        <v>137.1490665464537</v>
      </c>
      <c r="J11" s="30">
        <f t="shared" si="6"/>
        <v>182.74435055809892</v>
      </c>
      <c r="K11" s="30">
        <f t="shared" si="6"/>
        <v>383.91489379703012</v>
      </c>
      <c r="L11" s="30">
        <f t="shared" si="6"/>
        <v>202.90553916919714</v>
      </c>
      <c r="M11" s="30">
        <f t="shared" si="6"/>
        <v>0</v>
      </c>
      <c r="N11" s="30">
        <f t="shared" si="6"/>
        <v>0.33691294614266781</v>
      </c>
      <c r="O11" s="30">
        <f t="shared" si="6"/>
        <v>0</v>
      </c>
      <c r="P11" s="30">
        <f>BL11/((VLOOKUP(P$3,tech_data!$B$2:$G$15,6,FALSE)/100)*24*365)</f>
        <v>0.97091726789943822</v>
      </c>
      <c r="Q11" s="30">
        <f t="shared" si="7"/>
        <v>3379.9882177202453</v>
      </c>
      <c r="R11" s="30"/>
      <c r="S11" s="36"/>
      <c r="T11" s="19"/>
      <c r="U11" s="20" t="str">
        <f t="shared" si="0"/>
        <v>MALUKU_PAPUA</v>
      </c>
      <c r="V11" s="20">
        <f t="shared" si="0"/>
        <v>2026</v>
      </c>
      <c r="W11" s="30">
        <v>65.993090943407793</v>
      </c>
      <c r="X11" s="30">
        <v>0</v>
      </c>
      <c r="Y11" s="30">
        <v>82.401065576594121</v>
      </c>
      <c r="Z11" s="30">
        <v>0</v>
      </c>
      <c r="AA11" s="30">
        <v>1.5410366119894316E-7</v>
      </c>
      <c r="AB11" s="30">
        <v>14.824554379867456</v>
      </c>
      <c r="AC11" s="30">
        <v>18.921310649173719</v>
      </c>
      <c r="AD11" s="30">
        <v>5.0592446272743086</v>
      </c>
      <c r="AE11" s="30">
        <v>9.8450285832801931</v>
      </c>
      <c r="AF11" s="30">
        <v>0</v>
      </c>
      <c r="AG11" s="30">
        <v>5.3504930357019372E-2</v>
      </c>
      <c r="AH11" s="30">
        <v>0</v>
      </c>
      <c r="AI11" s="30">
        <f t="shared" si="8"/>
        <v>5.5186527268138219E-2</v>
      </c>
      <c r="AJ11" s="34">
        <f t="shared" si="1"/>
        <v>197.15298637132642</v>
      </c>
      <c r="AM11" s="23"/>
      <c r="AO11" s="20" t="str">
        <f t="shared" si="2"/>
        <v>MALUKU_PAPUA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23965.8</v>
      </c>
      <c r="AV11" s="30">
        <f t="shared" si="9"/>
        <v>74983.640933453542</v>
      </c>
      <c r="AW11" s="30">
        <f t="shared" si="9"/>
        <v>19202.255649441904</v>
      </c>
      <c r="AX11" s="30">
        <f t="shared" si="9"/>
        <v>207520.49510620299</v>
      </c>
      <c r="AY11" s="30">
        <f t="shared" si="9"/>
        <v>60444.094460830805</v>
      </c>
      <c r="AZ11" s="30">
        <f t="shared" si="9"/>
        <v>32654</v>
      </c>
      <c r="BA11" s="30">
        <f t="shared" si="9"/>
        <v>17987.663087053854</v>
      </c>
      <c r="BB11" s="30">
        <v>999</v>
      </c>
      <c r="BC11" s="30">
        <v>999</v>
      </c>
      <c r="BD11" s="30">
        <f t="shared" si="3"/>
        <v>436757.94923698308</v>
      </c>
      <c r="BF11" s="23"/>
      <c r="BG11" s="19"/>
      <c r="BH11" s="20" t="str">
        <f t="shared" si="10"/>
        <v>MALUKU_PAPUA</v>
      </c>
      <c r="BI11" s="20">
        <f t="shared" si="10"/>
        <v>2026</v>
      </c>
      <c r="BJ11" s="25">
        <f t="shared" si="4"/>
        <v>0.10273973609482821</v>
      </c>
      <c r="BK11" s="43">
        <f t="shared" si="5"/>
        <v>2.9536325210368622E-4</v>
      </c>
      <c r="BL11" s="34">
        <f t="shared" si="11"/>
        <v>3827.3558700595859</v>
      </c>
      <c r="BP11" s="23"/>
    </row>
    <row r="12" spans="1:68" x14ac:dyDescent="0.25">
      <c r="A12" s="19"/>
      <c r="B12" s="20" t="str">
        <f t="shared" si="12"/>
        <v>MALUKU_PAPUA</v>
      </c>
      <c r="C12" s="20">
        <f t="shared" si="13"/>
        <v>2027</v>
      </c>
      <c r="D12" s="30">
        <f t="shared" si="14"/>
        <v>598.53410328403595</v>
      </c>
      <c r="E12" s="30">
        <f t="shared" si="6"/>
        <v>3.9999940000000072</v>
      </c>
      <c r="F12" s="30">
        <f t="shared" si="6"/>
        <v>1137.1066673322885</v>
      </c>
      <c r="G12" s="30">
        <f t="shared" si="6"/>
        <v>893.06</v>
      </c>
      <c r="H12" s="30">
        <f t="shared" si="6"/>
        <v>-3.3644289219470494E-15</v>
      </c>
      <c r="I12" s="30">
        <f t="shared" si="6"/>
        <v>158.71441492001441</v>
      </c>
      <c r="J12" s="30">
        <f t="shared" si="6"/>
        <v>199.6711997731189</v>
      </c>
      <c r="K12" s="30">
        <f t="shared" si="6"/>
        <v>383.93207044072346</v>
      </c>
      <c r="L12" s="30">
        <f t="shared" si="6"/>
        <v>215.88549294963642</v>
      </c>
      <c r="M12" s="30">
        <f t="shared" si="6"/>
        <v>0</v>
      </c>
      <c r="N12" s="30">
        <f t="shared" si="6"/>
        <v>0.47021768032859246</v>
      </c>
      <c r="O12" s="30">
        <f t="shared" si="6"/>
        <v>0</v>
      </c>
      <c r="P12" s="30">
        <f>BL12/((VLOOKUP(P$3,tech_data!$B$2:$G$15,6,FALSE)/100)*24*365)</f>
        <v>1.0301830478593823</v>
      </c>
      <c r="Q12" s="30">
        <f t="shared" si="7"/>
        <v>3591.3741603801463</v>
      </c>
      <c r="R12" s="30"/>
      <c r="S12" s="36"/>
      <c r="T12" s="19"/>
      <c r="U12" s="20" t="str">
        <f t="shared" si="0"/>
        <v>MALUKU_PAPUA</v>
      </c>
      <c r="V12" s="20">
        <f t="shared" si="0"/>
        <v>2027</v>
      </c>
      <c r="W12" s="30">
        <v>69.974917522092497</v>
      </c>
      <c r="X12" s="30">
        <v>-9.9999999991773336E-7</v>
      </c>
      <c r="Y12" s="30">
        <v>89.788393390909164</v>
      </c>
      <c r="Z12" s="30">
        <v>0</v>
      </c>
      <c r="AA12" s="30">
        <v>-3.3644289219470494E-15</v>
      </c>
      <c r="AB12" s="30">
        <v>21.565348373560699</v>
      </c>
      <c r="AC12" s="30">
        <v>16.926849215019974</v>
      </c>
      <c r="AD12" s="30">
        <v>1.7176643693359906E-2</v>
      </c>
      <c r="AE12" s="30">
        <v>12.979953780439271</v>
      </c>
      <c r="AF12" s="30">
        <v>0</v>
      </c>
      <c r="AG12" s="30">
        <v>0.13330473418592467</v>
      </c>
      <c r="AH12" s="30">
        <v>0</v>
      </c>
      <c r="AI12" s="30">
        <f t="shared" si="8"/>
        <v>5.9265779959944087E-2</v>
      </c>
      <c r="AJ12" s="34">
        <f t="shared" si="1"/>
        <v>211.44520843986083</v>
      </c>
      <c r="AM12" s="23"/>
      <c r="AO12" s="20" t="str">
        <f t="shared" si="2"/>
        <v>MALUKU_PAPUA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23965.8</v>
      </c>
      <c r="AV12" s="30">
        <f t="shared" si="9"/>
        <v>74962.075585079976</v>
      </c>
      <c r="AW12" s="30">
        <f t="shared" si="9"/>
        <v>19185.328800226886</v>
      </c>
      <c r="AX12" s="30">
        <f t="shared" si="9"/>
        <v>207520.4779295593</v>
      </c>
      <c r="AY12" s="30">
        <f t="shared" si="9"/>
        <v>60431.114507050363</v>
      </c>
      <c r="AZ12" s="30">
        <f t="shared" si="9"/>
        <v>32654</v>
      </c>
      <c r="BA12" s="30">
        <f t="shared" si="9"/>
        <v>17987.529782319667</v>
      </c>
      <c r="BB12" s="30">
        <v>999</v>
      </c>
      <c r="BC12" s="30">
        <v>999</v>
      </c>
      <c r="BD12" s="30">
        <f t="shared" si="3"/>
        <v>436706.32660423621</v>
      </c>
      <c r="BF12" s="23"/>
      <c r="BG12" s="19"/>
      <c r="BH12" s="20" t="str">
        <f t="shared" si="10"/>
        <v>MALUKU_PAPUA</v>
      </c>
      <c r="BI12" s="20">
        <f t="shared" si="10"/>
        <v>2027</v>
      </c>
      <c r="BJ12" s="25">
        <f t="shared" si="4"/>
        <v>9.9524547416166689E-2</v>
      </c>
      <c r="BK12" s="43">
        <f t="shared" si="5"/>
        <v>2.9465369322287816E-4</v>
      </c>
      <c r="BL12" s="34">
        <f t="shared" si="11"/>
        <v>4060.9815746616855</v>
      </c>
      <c r="BP12" s="23"/>
    </row>
    <row r="13" spans="1:68" x14ac:dyDescent="0.25">
      <c r="A13" s="19"/>
      <c r="B13" s="20" t="str">
        <f t="shared" si="12"/>
        <v>MALUKU_PAPUA</v>
      </c>
      <c r="C13" s="20">
        <f t="shared" si="13"/>
        <v>2028</v>
      </c>
      <c r="D13" s="30">
        <f t="shared" si="14"/>
        <v>672.71287207468106</v>
      </c>
      <c r="E13" s="30">
        <f t="shared" si="6"/>
        <v>3.9999930000000079</v>
      </c>
      <c r="F13" s="30">
        <f t="shared" si="6"/>
        <v>1234.9673221574787</v>
      </c>
      <c r="G13" s="30">
        <f t="shared" si="6"/>
        <v>893.06</v>
      </c>
      <c r="H13" s="30">
        <f t="shared" si="6"/>
        <v>-3.3644289219470494E-15</v>
      </c>
      <c r="I13" s="30">
        <f t="shared" si="6"/>
        <v>158.71441789906615</v>
      </c>
      <c r="J13" s="30">
        <f t="shared" si="6"/>
        <v>199.67120225865247</v>
      </c>
      <c r="K13" s="30">
        <f t="shared" si="6"/>
        <v>419.14606276539462</v>
      </c>
      <c r="L13" s="30">
        <f t="shared" si="6"/>
        <v>278.22339328590277</v>
      </c>
      <c r="M13" s="30">
        <f t="shared" si="6"/>
        <v>0</v>
      </c>
      <c r="N13" s="30">
        <f t="shared" si="6"/>
        <v>0.52814161069059862</v>
      </c>
      <c r="O13" s="30">
        <f t="shared" si="6"/>
        <v>0</v>
      </c>
      <c r="P13" s="30">
        <f>BL13/((VLOOKUP(P$3,tech_data!$B$2:$G$15,6,FALSE)/100)*24*365)</f>
        <v>1.1059261855625977</v>
      </c>
      <c r="Q13" s="30">
        <f t="shared" si="7"/>
        <v>3861.0234050518661</v>
      </c>
      <c r="R13" s="30"/>
      <c r="S13" s="36"/>
      <c r="T13" s="19"/>
      <c r="U13" s="20" t="str">
        <f t="shared" si="0"/>
        <v>MALUKU_PAPUA</v>
      </c>
      <c r="V13" s="20">
        <f t="shared" si="0"/>
        <v>2028</v>
      </c>
      <c r="W13" s="30">
        <v>74.178768790645094</v>
      </c>
      <c r="X13" s="30">
        <v>-9.9999999925159955E-7</v>
      </c>
      <c r="Y13" s="30">
        <v>97.860654825190309</v>
      </c>
      <c r="Z13" s="30">
        <v>0</v>
      </c>
      <c r="AA13" s="30">
        <v>0</v>
      </c>
      <c r="AB13" s="30">
        <v>2.9790517513454281E-6</v>
      </c>
      <c r="AC13" s="30">
        <v>2.4855335613262388E-6</v>
      </c>
      <c r="AD13" s="30">
        <v>35.213992324671175</v>
      </c>
      <c r="AE13" s="30">
        <v>62.337900336266379</v>
      </c>
      <c r="AF13" s="30">
        <v>0</v>
      </c>
      <c r="AG13" s="30">
        <v>5.7923930362006187E-2</v>
      </c>
      <c r="AH13" s="30">
        <v>0</v>
      </c>
      <c r="AI13" s="30">
        <f t="shared" si="8"/>
        <v>7.5743137703215391E-2</v>
      </c>
      <c r="AJ13" s="34">
        <f t="shared" si="1"/>
        <v>269.72498780942351</v>
      </c>
      <c r="AM13" s="23"/>
      <c r="AO13" s="20" t="str">
        <f t="shared" si="2"/>
        <v>MALUKU_PAPUA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23965.8</v>
      </c>
      <c r="AV13" s="30">
        <f t="shared" si="9"/>
        <v>74962.075582100922</v>
      </c>
      <c r="AW13" s="30">
        <f t="shared" si="9"/>
        <v>19185.328797741353</v>
      </c>
      <c r="AX13" s="30">
        <f t="shared" si="9"/>
        <v>207485.26393723465</v>
      </c>
      <c r="AY13" s="30">
        <f t="shared" si="9"/>
        <v>60368.776606714098</v>
      </c>
      <c r="AZ13" s="30">
        <f t="shared" si="9"/>
        <v>32654</v>
      </c>
      <c r="BA13" s="30">
        <f t="shared" si="9"/>
        <v>17987.471858389305</v>
      </c>
      <c r="BB13" s="30">
        <v>999</v>
      </c>
      <c r="BC13" s="30">
        <v>999</v>
      </c>
      <c r="BD13" s="30">
        <f t="shared" si="3"/>
        <v>436608.71678218036</v>
      </c>
      <c r="BF13" s="23"/>
      <c r="BG13" s="19"/>
      <c r="BH13" s="20" t="str">
        <f t="shared" si="10"/>
        <v>MALUKU_PAPUA</v>
      </c>
      <c r="BI13" s="20">
        <f t="shared" si="10"/>
        <v>2028</v>
      </c>
      <c r="BJ13" s="25">
        <f t="shared" si="4"/>
        <v>0.11100280477813018</v>
      </c>
      <c r="BK13" s="43">
        <f t="shared" si="5"/>
        <v>2.971868258820701E-4</v>
      </c>
      <c r="BL13" s="34">
        <f t="shared" si="11"/>
        <v>4359.5610234877604</v>
      </c>
      <c r="BP13" s="23"/>
    </row>
    <row r="14" spans="1:68" x14ac:dyDescent="0.25">
      <c r="A14" s="19"/>
      <c r="B14" s="20" t="str">
        <f t="shared" si="12"/>
        <v>MALUKU_PAPUA</v>
      </c>
      <c r="C14" s="20">
        <f t="shared" si="13"/>
        <v>2029</v>
      </c>
      <c r="D14" s="30">
        <f t="shared" si="14"/>
        <v>751.32844130453395</v>
      </c>
      <c r="E14" s="30">
        <f t="shared" si="6"/>
        <v>3.9999930000000079</v>
      </c>
      <c r="F14" s="30">
        <f t="shared" si="6"/>
        <v>1341.6478343924366</v>
      </c>
      <c r="G14" s="30">
        <f t="shared" si="6"/>
        <v>893.06</v>
      </c>
      <c r="H14" s="30">
        <f t="shared" si="6"/>
        <v>0</v>
      </c>
      <c r="I14" s="30">
        <f t="shared" si="6"/>
        <v>176.65116307670868</v>
      </c>
      <c r="J14" s="30">
        <f t="shared" si="6"/>
        <v>224.57124505439819</v>
      </c>
      <c r="K14" s="30">
        <f t="shared" si="6"/>
        <v>426.58445970437003</v>
      </c>
      <c r="L14" s="30">
        <f t="shared" si="6"/>
        <v>290.6464502351713</v>
      </c>
      <c r="M14" s="30">
        <f t="shared" si="6"/>
        <v>0</v>
      </c>
      <c r="N14" s="30">
        <f t="shared" si="6"/>
        <v>0.5281552557872855</v>
      </c>
      <c r="O14" s="30">
        <f t="shared" si="6"/>
        <v>0</v>
      </c>
      <c r="P14" s="30">
        <f>BL14/((VLOOKUP(P$3,tech_data!$B$2:$G$15,6,FALSE)/100)*24*365)</f>
        <v>1.1749186588648985</v>
      </c>
      <c r="Q14" s="30">
        <f t="shared" si="7"/>
        <v>4109.0177420234058</v>
      </c>
      <c r="R14" s="30"/>
      <c r="S14" s="36"/>
      <c r="T14" s="19"/>
      <c r="U14" s="20" t="str">
        <f t="shared" si="0"/>
        <v>MALUKU_PAPUA</v>
      </c>
      <c r="V14" s="20">
        <f t="shared" si="0"/>
        <v>2029</v>
      </c>
      <c r="W14" s="30">
        <v>78.615569229852881</v>
      </c>
      <c r="X14" s="30">
        <v>0</v>
      </c>
      <c r="Y14" s="30">
        <v>106.68051223495786</v>
      </c>
      <c r="Z14" s="30">
        <v>0</v>
      </c>
      <c r="AA14" s="30">
        <v>3.3644289219470479E-15</v>
      </c>
      <c r="AB14" s="30">
        <v>17.936745177642546</v>
      </c>
      <c r="AC14" s="30">
        <v>24.900042795745716</v>
      </c>
      <c r="AD14" s="30">
        <v>7.4383969389754112</v>
      </c>
      <c r="AE14" s="30">
        <v>12.423056949268503</v>
      </c>
      <c r="AF14" s="30">
        <v>0</v>
      </c>
      <c r="AG14" s="30">
        <v>1.3645096686895139E-5</v>
      </c>
      <c r="AH14" s="30">
        <v>0</v>
      </c>
      <c r="AI14" s="30">
        <f t="shared" si="8"/>
        <v>6.899247330230085E-2</v>
      </c>
      <c r="AJ14" s="34">
        <f t="shared" si="1"/>
        <v>248.06332944484191</v>
      </c>
      <c r="AM14" s="23"/>
      <c r="AO14" s="20" t="str">
        <f t="shared" si="2"/>
        <v>MALUKU_PAPUA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23965.8</v>
      </c>
      <c r="AV14" s="30">
        <f t="shared" si="9"/>
        <v>74944.138836923274</v>
      </c>
      <c r="AW14" s="30">
        <f t="shared" si="9"/>
        <v>19160.428754945606</v>
      </c>
      <c r="AX14" s="30">
        <f t="shared" si="9"/>
        <v>207477.82554029566</v>
      </c>
      <c r="AY14" s="30">
        <f t="shared" si="9"/>
        <v>60356.353549764826</v>
      </c>
      <c r="AZ14" s="30">
        <f t="shared" si="9"/>
        <v>32654</v>
      </c>
      <c r="BA14" s="30">
        <f t="shared" si="9"/>
        <v>17987.471844744206</v>
      </c>
      <c r="BB14" s="30">
        <v>999</v>
      </c>
      <c r="BC14" s="30">
        <v>999</v>
      </c>
      <c r="BD14" s="30">
        <f t="shared" si="3"/>
        <v>436546.01852667361</v>
      </c>
      <c r="BF14" s="23"/>
      <c r="BG14" s="19"/>
      <c r="BH14" s="20" t="str">
        <f t="shared" si="10"/>
        <v>MALUKU_PAPUA</v>
      </c>
      <c r="BI14" s="20">
        <f t="shared" si="10"/>
        <v>2029</v>
      </c>
      <c r="BJ14" s="25">
        <f t="shared" si="4"/>
        <v>0.10753678706332064</v>
      </c>
      <c r="BK14" s="43">
        <f t="shared" si="5"/>
        <v>2.9642191162776731E-4</v>
      </c>
      <c r="BL14" s="34">
        <f t="shared" si="11"/>
        <v>4631.5293532454307</v>
      </c>
      <c r="BP14" s="23"/>
    </row>
    <row r="15" spans="1:68" x14ac:dyDescent="0.25">
      <c r="A15" s="19"/>
      <c r="B15" s="20" t="str">
        <f t="shared" si="12"/>
        <v>MALUKU_PAPUA</v>
      </c>
      <c r="C15" s="20">
        <f t="shared" si="13"/>
        <v>2030</v>
      </c>
      <c r="D15" s="30">
        <f t="shared" si="14"/>
        <v>834.62479182789889</v>
      </c>
      <c r="E15" s="30">
        <f t="shared" si="6"/>
        <v>3.9999930000000079</v>
      </c>
      <c r="F15" s="30">
        <f t="shared" si="6"/>
        <v>1457.9653161591984</v>
      </c>
      <c r="G15" s="30">
        <f t="shared" si="6"/>
        <v>893.06</v>
      </c>
      <c r="H15" s="30">
        <f t="shared" si="6"/>
        <v>-1.5410366049906088E-7</v>
      </c>
      <c r="I15" s="30">
        <f t="shared" si="6"/>
        <v>176.65116307670868</v>
      </c>
      <c r="J15" s="30">
        <f t="shared" si="6"/>
        <v>271.96296240360613</v>
      </c>
      <c r="K15" s="30">
        <f t="shared" si="6"/>
        <v>438.77200937294646</v>
      </c>
      <c r="L15" s="30">
        <f t="shared" si="6"/>
        <v>290.6464507351713</v>
      </c>
      <c r="M15" s="30">
        <f t="shared" si="6"/>
        <v>0</v>
      </c>
      <c r="N15" s="30">
        <f t="shared" si="6"/>
        <v>0.58931093757640129</v>
      </c>
      <c r="O15" s="30">
        <f t="shared" si="6"/>
        <v>0</v>
      </c>
      <c r="P15" s="30">
        <f>BL15/((VLOOKUP(P$3,tech_data!$B$2:$G$15,6,FALSE)/100)*24*365)</f>
        <v>1.2473617143368299</v>
      </c>
      <c r="Q15" s="30">
        <f t="shared" si="7"/>
        <v>4368.2719973590019</v>
      </c>
      <c r="R15" s="30"/>
      <c r="S15" s="36"/>
      <c r="T15" s="19"/>
      <c r="U15" s="20" t="str">
        <f t="shared" si="0"/>
        <v>MALUKU_PAPUA</v>
      </c>
      <c r="V15" s="20">
        <f t="shared" si="0"/>
        <v>2030</v>
      </c>
      <c r="W15" s="30">
        <v>83.296350523364893</v>
      </c>
      <c r="X15" s="30">
        <v>0</v>
      </c>
      <c r="Y15" s="30">
        <v>116.31748176676177</v>
      </c>
      <c r="Z15" s="30">
        <v>0</v>
      </c>
      <c r="AA15" s="30">
        <v>-1.5410366049906088E-7</v>
      </c>
      <c r="AB15" s="30">
        <v>0</v>
      </c>
      <c r="AC15" s="30">
        <v>47.391717349207916</v>
      </c>
      <c r="AD15" s="30">
        <v>12.187549668576429</v>
      </c>
      <c r="AE15" s="30">
        <v>4.9999999999999998E-7</v>
      </c>
      <c r="AF15" s="30">
        <v>0</v>
      </c>
      <c r="AG15" s="30">
        <v>6.1155681789115811E-2</v>
      </c>
      <c r="AH15" s="30">
        <v>0</v>
      </c>
      <c r="AI15" s="30">
        <f t="shared" si="8"/>
        <v>7.2443055471931306E-2</v>
      </c>
      <c r="AJ15" s="34">
        <f t="shared" si="1"/>
        <v>259.32669839106836</v>
      </c>
      <c r="AM15" s="23"/>
      <c r="AO15" s="20" t="str">
        <f t="shared" si="2"/>
        <v>MALUKU_PAPUA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23965.800000154104</v>
      </c>
      <c r="AV15" s="30">
        <f t="shared" si="9"/>
        <v>74944.138836923274</v>
      </c>
      <c r="AW15" s="30">
        <f t="shared" si="9"/>
        <v>19113.037037596398</v>
      </c>
      <c r="AX15" s="30">
        <f t="shared" si="9"/>
        <v>207465.63799062709</v>
      </c>
      <c r="AY15" s="30">
        <f t="shared" si="9"/>
        <v>60356.35354926483</v>
      </c>
      <c r="AZ15" s="30">
        <f t="shared" si="9"/>
        <v>32654</v>
      </c>
      <c r="BA15" s="30">
        <f t="shared" si="9"/>
        <v>17987.410689062417</v>
      </c>
      <c r="BB15" s="30">
        <v>999</v>
      </c>
      <c r="BC15" s="30">
        <v>999</v>
      </c>
      <c r="BD15" s="30">
        <f t="shared" si="3"/>
        <v>436486.37810362817</v>
      </c>
      <c r="BF15" s="23"/>
      <c r="BG15" s="19"/>
      <c r="BH15" s="20" t="str">
        <f t="shared" si="10"/>
        <v>MALUKU_PAPUA</v>
      </c>
      <c r="BI15" s="20">
        <f t="shared" si="10"/>
        <v>2030</v>
      </c>
      <c r="BJ15" s="25">
        <f t="shared" si="4"/>
        <v>0.10225000432888207</v>
      </c>
      <c r="BK15" s="43">
        <f t="shared" si="5"/>
        <v>2.952551733691326E-4</v>
      </c>
      <c r="BL15" s="34">
        <f t="shared" si="11"/>
        <v>4917.0998779157835</v>
      </c>
      <c r="BP15" s="23"/>
    </row>
    <row r="16" spans="1:68" x14ac:dyDescent="0.25">
      <c r="A16" s="19"/>
      <c r="B16" s="20" t="str">
        <f t="shared" si="12"/>
        <v>MALUKU_PAPUA</v>
      </c>
      <c r="C16" s="20">
        <f t="shared" si="13"/>
        <v>2031</v>
      </c>
      <c r="D16" s="30">
        <f t="shared" si="14"/>
        <v>922.85722637705703</v>
      </c>
      <c r="E16" s="30">
        <f t="shared" si="6"/>
        <v>3.9999930000000079</v>
      </c>
      <c r="F16" s="30">
        <f t="shared" si="6"/>
        <v>1584.8129532122348</v>
      </c>
      <c r="G16" s="30">
        <f t="shared" si="6"/>
        <v>893.06</v>
      </c>
      <c r="H16" s="30">
        <f t="shared" si="6"/>
        <v>0</v>
      </c>
      <c r="I16" s="30">
        <f t="shared" si="6"/>
        <v>201.71242925443565</v>
      </c>
      <c r="J16" s="30">
        <f t="shared" si="6"/>
        <v>297.17325832228016</v>
      </c>
      <c r="K16" s="30">
        <f t="shared" si="6"/>
        <v>438.77200937294646</v>
      </c>
      <c r="L16" s="30">
        <f t="shared" si="6"/>
        <v>313.09156812863239</v>
      </c>
      <c r="M16" s="30">
        <f t="shared" si="6"/>
        <v>0</v>
      </c>
      <c r="N16" s="30">
        <f t="shared" si="6"/>
        <v>0.58931093757640129</v>
      </c>
      <c r="O16" s="30">
        <f t="shared" si="6"/>
        <v>0</v>
      </c>
      <c r="P16" s="30">
        <f>BL16/((VLOOKUP(P$3,tech_data!$B$2:$G$15,6,FALSE)/100)*24*365)</f>
        <v>1.3279010455245386</v>
      </c>
      <c r="Q16" s="30">
        <f t="shared" si="7"/>
        <v>4656.0687486051629</v>
      </c>
      <c r="R16" s="30"/>
      <c r="S16" s="36"/>
      <c r="T16" s="19"/>
      <c r="U16" s="20" t="str">
        <f t="shared" si="0"/>
        <v>MALUKU_PAPUA</v>
      </c>
      <c r="V16" s="20">
        <f t="shared" si="0"/>
        <v>2031</v>
      </c>
      <c r="W16" s="30">
        <v>88.232434549158086</v>
      </c>
      <c r="X16" s="30">
        <v>0</v>
      </c>
      <c r="Y16" s="30">
        <v>126.84763705303646</v>
      </c>
      <c r="Z16" s="30">
        <v>0</v>
      </c>
      <c r="AA16" s="30">
        <v>1.541036604990608E-7</v>
      </c>
      <c r="AB16" s="30">
        <v>25.061266177726957</v>
      </c>
      <c r="AC16" s="30">
        <v>25.210295918674007</v>
      </c>
      <c r="AD16" s="30">
        <v>0</v>
      </c>
      <c r="AE16" s="30">
        <v>22.445117393461075</v>
      </c>
      <c r="AF16" s="30">
        <v>0</v>
      </c>
      <c r="AG16" s="30">
        <v>0</v>
      </c>
      <c r="AH16" s="30">
        <v>0</v>
      </c>
      <c r="AI16" s="30">
        <f t="shared" si="8"/>
        <v>8.0539331187708729E-2</v>
      </c>
      <c r="AJ16" s="34">
        <f t="shared" si="1"/>
        <v>287.87729057734799</v>
      </c>
      <c r="AM16" s="23"/>
      <c r="AO16" s="20" t="str">
        <f t="shared" si="2"/>
        <v>MALUKU_PAPUA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23965.8</v>
      </c>
      <c r="AV16" s="30">
        <f t="shared" si="9"/>
        <v>74919.077570745547</v>
      </c>
      <c r="AW16" s="30">
        <f t="shared" si="9"/>
        <v>19087.826741677723</v>
      </c>
      <c r="AX16" s="30">
        <f t="shared" si="9"/>
        <v>207465.63799062709</v>
      </c>
      <c r="AY16" s="30">
        <f t="shared" si="9"/>
        <v>60333.908431871372</v>
      </c>
      <c r="AZ16" s="30">
        <f t="shared" si="9"/>
        <v>32654</v>
      </c>
      <c r="BA16" s="30">
        <f t="shared" si="9"/>
        <v>17987.410689062417</v>
      </c>
      <c r="BB16" s="30">
        <v>999</v>
      </c>
      <c r="BC16" s="30">
        <v>999</v>
      </c>
      <c r="BD16" s="30">
        <f t="shared" si="3"/>
        <v>436413.66142398416</v>
      </c>
      <c r="BF16" s="23"/>
      <c r="BG16" s="19"/>
      <c r="BH16" s="20" t="str">
        <f t="shared" si="10"/>
        <v>MALUKU_PAPUA</v>
      </c>
      <c r="BI16" s="20">
        <f t="shared" si="10"/>
        <v>2031</v>
      </c>
      <c r="BJ16" s="25">
        <f t="shared" si="4"/>
        <v>9.9755751376533183E-2</v>
      </c>
      <c r="BK16" s="43">
        <f t="shared" si="5"/>
        <v>2.9470471754516593E-4</v>
      </c>
      <c r="BL16" s="34">
        <f t="shared" si="11"/>
        <v>5234.5859214577313</v>
      </c>
      <c r="BP16" s="23"/>
    </row>
    <row r="17" spans="1:84" x14ac:dyDescent="0.25">
      <c r="A17" s="19"/>
      <c r="B17" s="20" t="str">
        <f t="shared" si="12"/>
        <v>MALUKU_PAPUA</v>
      </c>
      <c r="C17" s="20">
        <f t="shared" si="13"/>
        <v>2032</v>
      </c>
      <c r="D17" s="30">
        <f t="shared" si="14"/>
        <v>1016.2926491242723</v>
      </c>
      <c r="E17" s="30">
        <f t="shared" si="6"/>
        <v>3.9999930000000079</v>
      </c>
      <c r="F17" s="30">
        <f t="shared" si="6"/>
        <v>1723.1671372138881</v>
      </c>
      <c r="G17" s="30">
        <f t="shared" si="6"/>
        <v>893.06</v>
      </c>
      <c r="H17" s="30">
        <f t="shared" si="6"/>
        <v>-3.3644175664116003E-15</v>
      </c>
      <c r="I17" s="30">
        <f t="shared" si="6"/>
        <v>201.71503899709435</v>
      </c>
      <c r="J17" s="30">
        <f t="shared" si="6"/>
        <v>351.93118447829585</v>
      </c>
      <c r="K17" s="30">
        <f t="shared" si="6"/>
        <v>439.6523970545536</v>
      </c>
      <c r="L17" s="30">
        <f t="shared" si="6"/>
        <v>323.61567939089866</v>
      </c>
      <c r="M17" s="30">
        <f t="shared" si="6"/>
        <v>0</v>
      </c>
      <c r="N17" s="30">
        <f t="shared" si="6"/>
        <v>0.63931043757640127</v>
      </c>
      <c r="O17" s="30">
        <f t="shared" si="6"/>
        <v>0</v>
      </c>
      <c r="P17" s="30">
        <f>BL17/((VLOOKUP(P$3,tech_data!$B$2:$G$15,6,FALSE)/100)*24*365)</f>
        <v>1.4124243593980899</v>
      </c>
      <c r="Q17" s="30">
        <f t="shared" si="7"/>
        <v>4954.0733896965785</v>
      </c>
      <c r="R17" s="30"/>
      <c r="S17" s="36"/>
      <c r="T17" s="19"/>
      <c r="U17" s="20" t="str">
        <f t="shared" si="0"/>
        <v>MALUKU_PAPUA</v>
      </c>
      <c r="V17" s="20">
        <f t="shared" si="0"/>
        <v>2032</v>
      </c>
      <c r="W17" s="30">
        <v>93.435422747215313</v>
      </c>
      <c r="X17" s="30">
        <v>0</v>
      </c>
      <c r="Y17" s="30">
        <v>138.35418400165329</v>
      </c>
      <c r="Z17" s="30">
        <v>0</v>
      </c>
      <c r="AA17" s="30">
        <v>-3.3644175664116003E-15</v>
      </c>
      <c r="AB17" s="30">
        <v>2.6097426587193234E-3</v>
      </c>
      <c r="AC17" s="30">
        <v>54.757926156015692</v>
      </c>
      <c r="AD17" s="30">
        <v>0.88038768160715453</v>
      </c>
      <c r="AE17" s="30">
        <v>10.524111262266256</v>
      </c>
      <c r="AF17" s="30">
        <v>0</v>
      </c>
      <c r="AG17" s="30">
        <v>4.9999500000000002E-2</v>
      </c>
      <c r="AH17" s="30">
        <v>0</v>
      </c>
      <c r="AI17" s="30">
        <f t="shared" si="8"/>
        <v>8.4523313873551276E-2</v>
      </c>
      <c r="AJ17" s="34">
        <f t="shared" si="1"/>
        <v>298.08916440528998</v>
      </c>
      <c r="AM17" s="23"/>
      <c r="AO17" s="20" t="str">
        <f t="shared" si="2"/>
        <v>MALUKU_PAPUA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23965.8</v>
      </c>
      <c r="AV17" s="30">
        <f t="shared" si="9"/>
        <v>74919.074961002887</v>
      </c>
      <c r="AW17" s="30">
        <f t="shared" si="9"/>
        <v>19033.068815521707</v>
      </c>
      <c r="AX17" s="30">
        <f t="shared" si="9"/>
        <v>207464.75760294549</v>
      </c>
      <c r="AY17" s="30">
        <f t="shared" si="9"/>
        <v>60323.384320609104</v>
      </c>
      <c r="AZ17" s="30">
        <f t="shared" si="9"/>
        <v>32654</v>
      </c>
      <c r="BA17" s="30">
        <f t="shared" si="9"/>
        <v>17987.360689562418</v>
      </c>
      <c r="BB17" s="30">
        <v>999</v>
      </c>
      <c r="BC17" s="30">
        <v>999</v>
      </c>
      <c r="BD17" s="30">
        <f t="shared" si="3"/>
        <v>436347.44638964155</v>
      </c>
      <c r="BF17" s="23"/>
      <c r="BG17" s="19"/>
      <c r="BH17" s="20" t="str">
        <f t="shared" si="10"/>
        <v>MALUKU_PAPUA</v>
      </c>
      <c r="BI17" s="20">
        <f t="shared" si="10"/>
        <v>2032</v>
      </c>
      <c r="BJ17" s="25">
        <f t="shared" si="4"/>
        <v>9.5272062686108591E-2</v>
      </c>
      <c r="BK17" s="43">
        <f t="shared" si="5"/>
        <v>2.9371521383417568E-4</v>
      </c>
      <c r="BL17" s="34">
        <f t="shared" si="11"/>
        <v>5567.7768247472704</v>
      </c>
      <c r="BP17" s="23"/>
    </row>
    <row r="18" spans="1:84" x14ac:dyDescent="0.25">
      <c r="A18" s="19"/>
      <c r="B18" s="20" t="str">
        <f t="shared" si="12"/>
        <v>MALUKU_PAPUA</v>
      </c>
      <c r="C18" s="20">
        <f t="shared" si="13"/>
        <v>2033</v>
      </c>
      <c r="D18" s="30">
        <f t="shared" si="14"/>
        <v>1115.2098062689713</v>
      </c>
      <c r="E18" s="30">
        <f t="shared" si="6"/>
        <v>3.9999930000000079</v>
      </c>
      <c r="F18" s="30">
        <f t="shared" si="6"/>
        <v>1874.0953186125475</v>
      </c>
      <c r="G18" s="30">
        <f t="shared" si="6"/>
        <v>893.06</v>
      </c>
      <c r="H18" s="30">
        <f t="shared" si="6"/>
        <v>-1.5410366119894319E-7</v>
      </c>
      <c r="I18" s="30">
        <f t="shared" si="6"/>
        <v>208.19129865452604</v>
      </c>
      <c r="J18" s="30">
        <f t="shared" si="6"/>
        <v>408.24357360987358</v>
      </c>
      <c r="K18" s="30">
        <f t="shared" si="6"/>
        <v>439.7024871306312</v>
      </c>
      <c r="L18" s="30">
        <f t="shared" si="6"/>
        <v>332.48646471224373</v>
      </c>
      <c r="M18" s="30">
        <f t="shared" si="6"/>
        <v>0</v>
      </c>
      <c r="N18" s="30">
        <f t="shared" si="6"/>
        <v>0.69465926107239406</v>
      </c>
      <c r="O18" s="30">
        <f t="shared" si="6"/>
        <v>0</v>
      </c>
      <c r="P18" s="30">
        <f>BL18/((VLOOKUP(P$3,tech_data!$B$2:$G$15,6,FALSE)/100)*24*365)</f>
        <v>1.5029925674220839</v>
      </c>
      <c r="Q18" s="30">
        <f t="shared" si="7"/>
        <v>5275.6836010957613</v>
      </c>
      <c r="R18" s="30"/>
      <c r="S18" s="36"/>
      <c r="T18" s="19"/>
      <c r="U18" s="20" t="str">
        <f t="shared" si="0"/>
        <v>MALUKU_PAPUA</v>
      </c>
      <c r="V18" s="20">
        <f t="shared" si="0"/>
        <v>2033</v>
      </c>
      <c r="W18" s="30">
        <v>98.91715714469899</v>
      </c>
      <c r="X18" s="30">
        <v>0</v>
      </c>
      <c r="Y18" s="30">
        <v>150.92818139865958</v>
      </c>
      <c r="Z18" s="30">
        <v>0</v>
      </c>
      <c r="AA18" s="30">
        <v>-1.5410365783452562E-7</v>
      </c>
      <c r="AB18" s="30">
        <v>6.4762596574316715</v>
      </c>
      <c r="AC18" s="30">
        <v>56.312389131577717</v>
      </c>
      <c r="AD18" s="30">
        <v>5.0090076077610693E-2</v>
      </c>
      <c r="AE18" s="30">
        <v>8.8707853213450854</v>
      </c>
      <c r="AF18" s="30">
        <v>0</v>
      </c>
      <c r="AG18" s="30">
        <v>5.5348823495992849E-2</v>
      </c>
      <c r="AH18" s="30">
        <v>0</v>
      </c>
      <c r="AI18" s="30">
        <f t="shared" si="8"/>
        <v>9.0568208023994012E-2</v>
      </c>
      <c r="AJ18" s="34">
        <f t="shared" si="1"/>
        <v>321.70077960720693</v>
      </c>
      <c r="AM18" s="23"/>
      <c r="AO18" s="20" t="str">
        <f t="shared" si="2"/>
        <v>MALUKU_PAPUA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23965.800000154104</v>
      </c>
      <c r="AV18" s="30">
        <f t="shared" si="9"/>
        <v>74912.598701345458</v>
      </c>
      <c r="AW18" s="30">
        <f t="shared" si="9"/>
        <v>18976.756426390129</v>
      </c>
      <c r="AX18" s="30">
        <f t="shared" si="9"/>
        <v>207464.70751286941</v>
      </c>
      <c r="AY18" s="30">
        <f t="shared" si="9"/>
        <v>60314.513535287762</v>
      </c>
      <c r="AZ18" s="30">
        <f t="shared" si="9"/>
        <v>32654</v>
      </c>
      <c r="BA18" s="30">
        <f t="shared" si="9"/>
        <v>17987.305340738923</v>
      </c>
      <c r="BB18" s="30">
        <v>999</v>
      </c>
      <c r="BC18" s="30">
        <v>999</v>
      </c>
      <c r="BD18" s="30">
        <f t="shared" si="3"/>
        <v>436275.68151678576</v>
      </c>
      <c r="BF18" s="23"/>
      <c r="BG18" s="19"/>
      <c r="BH18" s="20" t="str">
        <f t="shared" si="10"/>
        <v>MALUKU_PAPUA</v>
      </c>
      <c r="BI18" s="20">
        <f t="shared" si="10"/>
        <v>2033</v>
      </c>
      <c r="BJ18" s="25">
        <f t="shared" si="4"/>
        <v>9.0575701277689824E-2</v>
      </c>
      <c r="BK18" s="43">
        <f t="shared" si="5"/>
        <v>2.9267877545438673E-4</v>
      </c>
      <c r="BL18" s="34">
        <f t="shared" si="11"/>
        <v>5924.7967007778552</v>
      </c>
      <c r="BP18" s="23"/>
    </row>
    <row r="19" spans="1:84" x14ac:dyDescent="0.25">
      <c r="A19" s="19"/>
      <c r="B19" s="20" t="str">
        <f t="shared" si="12"/>
        <v>MALUKU_PAPUA</v>
      </c>
      <c r="C19" s="20">
        <f t="shared" si="13"/>
        <v>2034</v>
      </c>
      <c r="D19" s="30">
        <f t="shared" si="14"/>
        <v>1219.8994948146751</v>
      </c>
      <c r="E19" s="30">
        <f t="shared" si="6"/>
        <v>3.9999920000000087</v>
      </c>
      <c r="F19" s="30">
        <f t="shared" si="6"/>
        <v>2038.7645908784723</v>
      </c>
      <c r="G19" s="30">
        <f t="shared" si="6"/>
        <v>893.06</v>
      </c>
      <c r="H19" s="30">
        <f t="shared" si="6"/>
        <v>0</v>
      </c>
      <c r="I19" s="30">
        <f t="shared" si="6"/>
        <v>236.99630067276212</v>
      </c>
      <c r="J19" s="30">
        <f t="shared" si="6"/>
        <v>430.46497070008877</v>
      </c>
      <c r="K19" s="30">
        <f t="shared" si="6"/>
        <v>440.09921016666669</v>
      </c>
      <c r="L19" s="30">
        <f t="shared" si="6"/>
        <v>385.64356061311207</v>
      </c>
      <c r="M19" s="30">
        <f t="shared" si="6"/>
        <v>0</v>
      </c>
      <c r="N19" s="30">
        <f t="shared" si="6"/>
        <v>0.74465833443050244</v>
      </c>
      <c r="O19" s="30">
        <f t="shared" si="6"/>
        <v>0</v>
      </c>
      <c r="P19" s="30">
        <f>BL19/((VLOOKUP(P$3,tech_data!$B$2:$G$15,6,FALSE)/100)*24*365)</f>
        <v>1.6081512345005937</v>
      </c>
      <c r="Q19" s="30">
        <f t="shared" si="7"/>
        <v>5649.6727781802074</v>
      </c>
      <c r="R19" s="30"/>
      <c r="S19" s="36"/>
      <c r="T19" s="19"/>
      <c r="U19" s="20" t="str">
        <f t="shared" si="0"/>
        <v>MALUKU_PAPUA</v>
      </c>
      <c r="V19" s="20">
        <f t="shared" si="0"/>
        <v>2034</v>
      </c>
      <c r="W19" s="30">
        <v>104.68968854570372</v>
      </c>
      <c r="X19" s="30">
        <v>-9.9999999925159955E-7</v>
      </c>
      <c r="Y19" s="30">
        <v>164.66927226592475</v>
      </c>
      <c r="Z19" s="30">
        <v>0</v>
      </c>
      <c r="AA19" s="30">
        <v>1.5410366119894311E-7</v>
      </c>
      <c r="AB19" s="30">
        <v>28.805002018236074</v>
      </c>
      <c r="AC19" s="30">
        <v>22.221397090215181</v>
      </c>
      <c r="AD19" s="30">
        <v>0.3967230360355043</v>
      </c>
      <c r="AE19" s="30">
        <v>53.157095900868335</v>
      </c>
      <c r="AF19" s="30">
        <v>0</v>
      </c>
      <c r="AG19" s="30">
        <v>4.9999073358108388E-2</v>
      </c>
      <c r="AH19" s="30">
        <v>0</v>
      </c>
      <c r="AI19" s="30">
        <f t="shared" si="8"/>
        <v>0.10515866707850985</v>
      </c>
      <c r="AJ19" s="34">
        <f t="shared" si="1"/>
        <v>374.09433575152377</v>
      </c>
      <c r="AM19" s="23"/>
      <c r="AO19" s="20" t="str">
        <f t="shared" si="2"/>
        <v>MALUKU_PAPUA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23965.8</v>
      </c>
      <c r="AV19" s="30">
        <f t="shared" si="9"/>
        <v>74883.793699327216</v>
      </c>
      <c r="AW19" s="30">
        <f t="shared" si="9"/>
        <v>18954.535029299914</v>
      </c>
      <c r="AX19" s="30">
        <f t="shared" si="9"/>
        <v>207464.31078983337</v>
      </c>
      <c r="AY19" s="30">
        <f t="shared" si="9"/>
        <v>60261.356439386895</v>
      </c>
      <c r="AZ19" s="30">
        <f t="shared" si="9"/>
        <v>32654</v>
      </c>
      <c r="BA19" s="30">
        <f t="shared" si="9"/>
        <v>17987.255341665565</v>
      </c>
      <c r="BB19" s="30">
        <v>999</v>
      </c>
      <c r="BC19" s="30">
        <v>999</v>
      </c>
      <c r="BD19" s="30">
        <f t="shared" si="3"/>
        <v>436171.05129951303</v>
      </c>
      <c r="BF19" s="23"/>
      <c r="BG19" s="19"/>
      <c r="BH19" s="20" t="str">
        <f t="shared" si="10"/>
        <v>MALUKU_PAPUA</v>
      </c>
      <c r="BI19" s="20">
        <f t="shared" si="10"/>
        <v>2034</v>
      </c>
      <c r="BJ19" s="25">
        <f t="shared" si="4"/>
        <v>9.2366083750664782E-2</v>
      </c>
      <c r="BK19" s="43">
        <f t="shared" si="5"/>
        <v>2.930738943449743E-4</v>
      </c>
      <c r="BL19" s="34">
        <f t="shared" si="11"/>
        <v>6339.3321664013411</v>
      </c>
      <c r="BP19" s="23"/>
    </row>
    <row r="20" spans="1:84" x14ac:dyDescent="0.25">
      <c r="A20" s="19"/>
      <c r="B20" s="20" t="str">
        <f t="shared" si="12"/>
        <v>MALUKU_PAPUA</v>
      </c>
      <c r="C20" s="20">
        <f t="shared" si="13"/>
        <v>2035</v>
      </c>
      <c r="D20" s="30">
        <f t="shared" si="14"/>
        <v>1333.7002890017891</v>
      </c>
      <c r="E20" s="30">
        <f t="shared" si="6"/>
        <v>3.9999910000000112</v>
      </c>
      <c r="F20" s="30">
        <f t="shared" si="6"/>
        <v>2205.5659353492265</v>
      </c>
      <c r="G20" s="30">
        <f t="shared" si="6"/>
        <v>893.06</v>
      </c>
      <c r="H20" s="30">
        <f t="shared" si="6"/>
        <v>-1.5410365961088246E-7</v>
      </c>
      <c r="I20" s="30">
        <f t="shared" si="6"/>
        <v>245.28055882388341</v>
      </c>
      <c r="J20" s="30">
        <f t="shared" si="6"/>
        <v>500.8615055815535</v>
      </c>
      <c r="K20" s="30">
        <f t="shared" si="6"/>
        <v>440.09921016666669</v>
      </c>
      <c r="L20" s="30">
        <f t="shared" si="6"/>
        <v>385.64356061311207</v>
      </c>
      <c r="M20" s="30">
        <f t="shared" si="6"/>
        <v>0</v>
      </c>
      <c r="N20" s="30">
        <f t="shared" si="6"/>
        <v>0.78575673053630857</v>
      </c>
      <c r="O20" s="30">
        <f t="shared" si="6"/>
        <v>0</v>
      </c>
      <c r="P20" s="30">
        <f>BL20/((VLOOKUP(P$3,tech_data!$B$2:$G$15,6,FALSE)/100)*24*365)</f>
        <v>1.7096412577760101</v>
      </c>
      <c r="Q20" s="30">
        <f t="shared" si="7"/>
        <v>6008.9968071126632</v>
      </c>
      <c r="R20" s="30"/>
      <c r="S20" s="36"/>
      <c r="T20" s="19"/>
      <c r="U20" s="20" t="str">
        <f t="shared" si="0"/>
        <v>MALUKU_PAPUA</v>
      </c>
      <c r="V20" s="20">
        <f t="shared" si="0"/>
        <v>2035</v>
      </c>
      <c r="W20" s="30">
        <v>113.80079418711402</v>
      </c>
      <c r="X20" s="30">
        <v>-9.9999999747524271E-7</v>
      </c>
      <c r="Y20" s="30">
        <v>166.80134447075432</v>
      </c>
      <c r="Z20" s="30">
        <v>0</v>
      </c>
      <c r="AA20" s="30">
        <v>-1.5410365961088246E-7</v>
      </c>
      <c r="AB20" s="30">
        <v>8.2842581511212821</v>
      </c>
      <c r="AC20" s="30">
        <v>70.396534881464703</v>
      </c>
      <c r="AD20" s="30">
        <v>0</v>
      </c>
      <c r="AE20" s="30">
        <v>0</v>
      </c>
      <c r="AF20" s="30">
        <v>0</v>
      </c>
      <c r="AG20" s="30">
        <v>4.1098396105806109E-2</v>
      </c>
      <c r="AH20" s="30">
        <v>0</v>
      </c>
      <c r="AI20" s="30">
        <f t="shared" si="8"/>
        <v>0.10149002327541634</v>
      </c>
      <c r="AJ20" s="34">
        <f t="shared" si="1"/>
        <v>359.42551895573189</v>
      </c>
      <c r="AM20" s="23"/>
      <c r="AO20" s="20" t="str">
        <f t="shared" si="2"/>
        <v>MALUKU_PAPUA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23965.800000154104</v>
      </c>
      <c r="AV20" s="30">
        <f t="shared" si="9"/>
        <v>74875.509441176095</v>
      </c>
      <c r="AW20" s="30">
        <f t="shared" si="9"/>
        <v>18884.13849441845</v>
      </c>
      <c r="AX20" s="30">
        <f t="shared" si="9"/>
        <v>207464.31078983337</v>
      </c>
      <c r="AY20" s="30">
        <f t="shared" si="9"/>
        <v>60261.356439386895</v>
      </c>
      <c r="AZ20" s="30">
        <f t="shared" si="9"/>
        <v>32654</v>
      </c>
      <c r="BA20" s="30">
        <f t="shared" si="9"/>
        <v>17987.21424326946</v>
      </c>
      <c r="BB20" s="30">
        <v>999</v>
      </c>
      <c r="BC20" s="30">
        <v>999</v>
      </c>
      <c r="BD20" s="30">
        <f t="shared" si="3"/>
        <v>436092.32940823841</v>
      </c>
      <c r="BF20" s="23"/>
      <c r="BG20" s="19"/>
      <c r="BH20" s="20" t="str">
        <f t="shared" si="10"/>
        <v>MALUKU_PAPUA</v>
      </c>
      <c r="BI20" s="20">
        <f t="shared" si="10"/>
        <v>2035</v>
      </c>
      <c r="BJ20" s="25">
        <f t="shared" si="4"/>
        <v>8.6504816556159922E-2</v>
      </c>
      <c r="BK20" s="43">
        <f t="shared" si="5"/>
        <v>2.9178037330894566E-4</v>
      </c>
      <c r="BL20" s="34">
        <f t="shared" si="11"/>
        <v>6739.4058381530322</v>
      </c>
      <c r="BP20" s="23"/>
    </row>
    <row r="21" spans="1:84" x14ac:dyDescent="0.25">
      <c r="A21" s="19"/>
      <c r="B21" s="20" t="str">
        <f t="shared" si="12"/>
        <v>MALUKU_PAPUA</v>
      </c>
      <c r="C21" s="20">
        <f t="shared" si="13"/>
        <v>2036</v>
      </c>
      <c r="D21" s="30">
        <f t="shared" si="14"/>
        <v>1439.3421230817924</v>
      </c>
      <c r="E21" s="30">
        <f t="shared" si="14"/>
        <v>3.9999910000000112</v>
      </c>
      <c r="F21" s="30">
        <f t="shared" si="14"/>
        <v>2450.5402241481643</v>
      </c>
      <c r="G21" s="30">
        <f t="shared" si="14"/>
        <v>893.06</v>
      </c>
      <c r="H21" s="30">
        <f t="shared" si="14"/>
        <v>-3.3644175664116003E-15</v>
      </c>
      <c r="I21" s="30">
        <f t="shared" si="14"/>
        <v>245.28055915726497</v>
      </c>
      <c r="J21" s="30">
        <f t="shared" si="14"/>
        <v>547.13776353729509</v>
      </c>
      <c r="K21" s="30">
        <f t="shared" si="14"/>
        <v>440.09921248286651</v>
      </c>
      <c r="L21" s="30">
        <f t="shared" si="14"/>
        <v>562.64897362767545</v>
      </c>
      <c r="M21" s="30">
        <f t="shared" si="14"/>
        <v>0</v>
      </c>
      <c r="N21" s="30">
        <f t="shared" si="14"/>
        <v>0.89753291036499816</v>
      </c>
      <c r="O21" s="30">
        <f t="shared" si="14"/>
        <v>0</v>
      </c>
      <c r="P21" s="30">
        <f>BL21/((VLOOKUP(P$3,tech_data!$B$2:$G$15,6,FALSE)/100)*24*365)</f>
        <v>1.879102459583796</v>
      </c>
      <c r="Q21" s="30">
        <f t="shared" si="7"/>
        <v>6583.0063799454229</v>
      </c>
      <c r="R21" s="30"/>
      <c r="S21" s="36"/>
      <c r="T21" s="19"/>
      <c r="U21" s="20" t="str">
        <f t="shared" si="0"/>
        <v>MALUKU_PAPUA</v>
      </c>
      <c r="V21" s="20">
        <f t="shared" si="0"/>
        <v>2036</v>
      </c>
      <c r="W21" s="30">
        <v>105.64183408000322</v>
      </c>
      <c r="X21" s="30">
        <v>0</v>
      </c>
      <c r="Y21" s="30">
        <v>244.97428879893789</v>
      </c>
      <c r="Z21" s="30">
        <v>0</v>
      </c>
      <c r="AA21" s="30">
        <v>1.5410365624646489E-7</v>
      </c>
      <c r="AB21" s="30">
        <v>3.3338155291818605E-7</v>
      </c>
      <c r="AC21" s="30">
        <v>46.27625795574162</v>
      </c>
      <c r="AD21" s="30">
        <v>2.3161997946623461E-6</v>
      </c>
      <c r="AE21" s="30">
        <v>177.0054130145634</v>
      </c>
      <c r="AF21" s="30">
        <v>0</v>
      </c>
      <c r="AG21" s="30">
        <v>0.11177617982868963</v>
      </c>
      <c r="AH21" s="30">
        <v>0</v>
      </c>
      <c r="AI21" s="30">
        <f t="shared" si="8"/>
        <v>0.1694612018077859</v>
      </c>
      <c r="AJ21" s="34">
        <f t="shared" si="1"/>
        <v>574.17903403456751</v>
      </c>
      <c r="AM21" s="23"/>
      <c r="AO21" s="20" t="str">
        <f t="shared" si="2"/>
        <v>MALUKU_PAPUA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23965.8</v>
      </c>
      <c r="AV21" s="30">
        <f t="shared" si="15"/>
        <v>74875.50944084271</v>
      </c>
      <c r="AW21" s="30">
        <f t="shared" si="15"/>
        <v>18837.862236462708</v>
      </c>
      <c r="AX21" s="30">
        <f t="shared" si="15"/>
        <v>207464.31078751717</v>
      </c>
      <c r="AY21" s="30">
        <f t="shared" si="15"/>
        <v>60084.351026372329</v>
      </c>
      <c r="AZ21" s="30">
        <f t="shared" si="15"/>
        <v>32654</v>
      </c>
      <c r="BA21" s="30">
        <f t="shared" si="15"/>
        <v>17987.102467089629</v>
      </c>
      <c r="BB21" s="30">
        <v>999</v>
      </c>
      <c r="BC21" s="30">
        <v>999</v>
      </c>
      <c r="BD21" s="30">
        <f t="shared" si="3"/>
        <v>435868.93595828454</v>
      </c>
      <c r="BF21" s="23"/>
      <c r="BG21" s="19"/>
      <c r="BH21" s="20" t="str">
        <f t="shared" si="10"/>
        <v>MALUKU_PAPUA</v>
      </c>
      <c r="BI21" s="20">
        <f t="shared" si="10"/>
        <v>2036</v>
      </c>
      <c r="BJ21" s="25">
        <f t="shared" si="4"/>
        <v>0.1012799931488559</v>
      </c>
      <c r="BK21" s="43">
        <f t="shared" si="5"/>
        <v>2.9504110193629926E-4</v>
      </c>
      <c r="BL21" s="34">
        <f t="shared" si="11"/>
        <v>7407.4218956793247</v>
      </c>
      <c r="BP21" s="23"/>
    </row>
    <row r="22" spans="1:84" x14ac:dyDescent="0.25">
      <c r="A22" s="19"/>
      <c r="B22" s="20" t="str">
        <f t="shared" si="12"/>
        <v>MALUKU_PAPUA</v>
      </c>
      <c r="C22" s="20">
        <f t="shared" si="13"/>
        <v>2037</v>
      </c>
      <c r="D22" s="30">
        <f t="shared" ref="D22:O23" si="16">D21+W22</f>
        <v>1552.8350165811025</v>
      </c>
      <c r="E22" s="30">
        <f t="shared" si="16"/>
        <v>3.9999910000000112</v>
      </c>
      <c r="F22" s="30">
        <f t="shared" si="16"/>
        <v>2708.6463700857998</v>
      </c>
      <c r="G22" s="30">
        <f t="shared" si="16"/>
        <v>893.06</v>
      </c>
      <c r="H22" s="30">
        <f t="shared" si="16"/>
        <v>0</v>
      </c>
      <c r="I22" s="30">
        <f t="shared" si="16"/>
        <v>245.37838309840106</v>
      </c>
      <c r="J22" s="30">
        <f t="shared" si="16"/>
        <v>548.73776490958892</v>
      </c>
      <c r="K22" s="30">
        <f t="shared" si="16"/>
        <v>493.53685142614842</v>
      </c>
      <c r="L22" s="30">
        <f t="shared" si="16"/>
        <v>823.76235691028273</v>
      </c>
      <c r="M22" s="30">
        <f t="shared" si="16"/>
        <v>0</v>
      </c>
      <c r="N22" s="30">
        <f t="shared" si="16"/>
        <v>0.89753611364876995</v>
      </c>
      <c r="O22" s="30">
        <f t="shared" si="16"/>
        <v>0</v>
      </c>
      <c r="P22" s="30">
        <f>BL22/((VLOOKUP(P$3,tech_data!$B$2:$G$15,6,FALSE)/100)*24*365)</f>
        <v>2.080086192103177</v>
      </c>
      <c r="Q22" s="30">
        <f t="shared" si="7"/>
        <v>7270.8542701249726</v>
      </c>
      <c r="R22" s="30"/>
      <c r="S22" s="36"/>
      <c r="T22" s="19"/>
      <c r="U22" s="20" t="str">
        <f t="shared" si="0"/>
        <v>MALUKU_PAPUA</v>
      </c>
      <c r="V22" s="20">
        <f t="shared" si="0"/>
        <v>2037</v>
      </c>
      <c r="W22" s="30">
        <v>113.49289349931028</v>
      </c>
      <c r="X22" s="30">
        <v>0</v>
      </c>
      <c r="Y22" s="30">
        <v>258.1061459376354</v>
      </c>
      <c r="Z22" s="30">
        <v>0</v>
      </c>
      <c r="AA22" s="30">
        <v>3.3644175664115987E-15</v>
      </c>
      <c r="AB22" s="30">
        <v>9.7823941136077341E-2</v>
      </c>
      <c r="AC22" s="30">
        <v>1.6000013722937825</v>
      </c>
      <c r="AD22" s="30">
        <v>53.437638943281918</v>
      </c>
      <c r="AE22" s="30">
        <v>261.11338328260734</v>
      </c>
      <c r="AF22" s="30">
        <v>0</v>
      </c>
      <c r="AG22" s="30">
        <v>3.2032837718267753E-6</v>
      </c>
      <c r="AH22" s="30">
        <v>0</v>
      </c>
      <c r="AI22" s="30">
        <f t="shared" si="8"/>
        <v>0.20098373251938106</v>
      </c>
      <c r="AJ22" s="34">
        <f t="shared" si="1"/>
        <v>688.04887391206796</v>
      </c>
      <c r="AM22" s="23"/>
      <c r="AO22" s="20" t="str">
        <f t="shared" si="2"/>
        <v>MALUKU_PAPUA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23965.8</v>
      </c>
      <c r="AV22" s="30">
        <f t="shared" si="15"/>
        <v>74875.411616901576</v>
      </c>
      <c r="AW22" s="30">
        <f t="shared" si="15"/>
        <v>18836.262235090413</v>
      </c>
      <c r="AX22" s="30">
        <f t="shared" si="15"/>
        <v>207410.87314857388</v>
      </c>
      <c r="AY22" s="30">
        <f t="shared" si="15"/>
        <v>59823.23764308972</v>
      </c>
      <c r="AZ22" s="30">
        <f t="shared" si="15"/>
        <v>32654</v>
      </c>
      <c r="BA22" s="30">
        <f t="shared" si="15"/>
        <v>17987.102463886346</v>
      </c>
      <c r="BB22" s="30">
        <v>999</v>
      </c>
      <c r="BC22" s="30">
        <v>999</v>
      </c>
      <c r="BD22" s="30">
        <f t="shared" si="3"/>
        <v>435552.68710754195</v>
      </c>
      <c r="BF22" s="23"/>
      <c r="BG22" s="19"/>
      <c r="BH22" s="20" t="str">
        <f t="shared" si="10"/>
        <v>MALUKU_PAPUA</v>
      </c>
      <c r="BI22" s="20">
        <f t="shared" si="10"/>
        <v>2037</v>
      </c>
      <c r="BJ22" s="25">
        <f t="shared" si="4"/>
        <v>0.1262411205953497</v>
      </c>
      <c r="BK22" s="43">
        <f t="shared" si="5"/>
        <v>3.0054976454518064E-4</v>
      </c>
      <c r="BL22" s="34">
        <f t="shared" si="11"/>
        <v>8199.6997692707246</v>
      </c>
      <c r="BP22" s="23"/>
    </row>
    <row r="23" spans="1:84" x14ac:dyDescent="0.25">
      <c r="A23" s="19"/>
      <c r="B23" s="20" t="str">
        <f t="shared" si="12"/>
        <v>MALUKU_PAPUA</v>
      </c>
      <c r="C23" s="20">
        <f t="shared" si="13"/>
        <v>2038</v>
      </c>
      <c r="D23" s="30">
        <f t="shared" si="16"/>
        <v>1672.8120082339101</v>
      </c>
      <c r="E23" s="30">
        <f t="shared" si="16"/>
        <v>3.9999900000000119</v>
      </c>
      <c r="F23" s="30">
        <f t="shared" si="16"/>
        <v>2988.7994170631709</v>
      </c>
      <c r="G23" s="30">
        <f t="shared" si="16"/>
        <v>893.06</v>
      </c>
      <c r="H23" s="30">
        <f t="shared" si="16"/>
        <v>0</v>
      </c>
      <c r="I23" s="30">
        <f t="shared" si="16"/>
        <v>296.24348734588006</v>
      </c>
      <c r="J23" s="30">
        <f t="shared" si="16"/>
        <v>627.94551881224413</v>
      </c>
      <c r="K23" s="30">
        <f t="shared" si="16"/>
        <v>581.29649903622055</v>
      </c>
      <c r="L23" s="30">
        <f t="shared" si="16"/>
        <v>859.00728684031253</v>
      </c>
      <c r="M23" s="30">
        <f t="shared" si="16"/>
        <v>0</v>
      </c>
      <c r="N23" s="30">
        <f t="shared" si="16"/>
        <v>1.1828369874896039</v>
      </c>
      <c r="O23" s="30">
        <f t="shared" si="16"/>
        <v>0</v>
      </c>
      <c r="P23" s="30">
        <f>BL23/((VLOOKUP(P$3,tech_data!$B$2:$G$15,6,FALSE)/100)*24*365)</f>
        <v>2.2558975117049456</v>
      </c>
      <c r="Q23" s="30">
        <f t="shared" si="7"/>
        <v>7924.3470443192273</v>
      </c>
      <c r="R23" s="30"/>
      <c r="S23" s="36"/>
      <c r="T23" s="19"/>
      <c r="U23" s="20" t="str">
        <f t="shared" si="0"/>
        <v>MALUKU_PAPUA</v>
      </c>
      <c r="V23" s="20">
        <f t="shared" si="0"/>
        <v>2038</v>
      </c>
      <c r="W23" s="30">
        <v>119.97699165280746</v>
      </c>
      <c r="X23" s="30">
        <v>-9.9999999925159955E-7</v>
      </c>
      <c r="Y23" s="30">
        <v>280.15304697737093</v>
      </c>
      <c r="Z23" s="30">
        <v>0</v>
      </c>
      <c r="AA23" s="30">
        <v>0</v>
      </c>
      <c r="AB23" s="30">
        <v>50.86510424747901</v>
      </c>
      <c r="AC23" s="30">
        <v>79.207753902655185</v>
      </c>
      <c r="AD23" s="30">
        <v>87.75964761007215</v>
      </c>
      <c r="AE23" s="30">
        <v>35.244929930029834</v>
      </c>
      <c r="AF23" s="30">
        <v>0</v>
      </c>
      <c r="AG23" s="30">
        <v>0.28530087384083391</v>
      </c>
      <c r="AH23" s="30">
        <v>0</v>
      </c>
      <c r="AI23" s="30">
        <f t="shared" si="8"/>
        <v>0.17581131960176855</v>
      </c>
      <c r="AJ23" s="34">
        <f t="shared" si="1"/>
        <v>653.66858551385712</v>
      </c>
      <c r="AM23" s="23"/>
      <c r="AO23" s="20" t="str">
        <f t="shared" si="2"/>
        <v>MALUKU_PAPUA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23965.8</v>
      </c>
      <c r="AV23" s="30">
        <f t="shared" si="15"/>
        <v>74824.546512654095</v>
      </c>
      <c r="AW23" s="30">
        <f t="shared" si="15"/>
        <v>18757.054481187759</v>
      </c>
      <c r="AX23" s="30">
        <f t="shared" si="15"/>
        <v>207323.11350096381</v>
      </c>
      <c r="AY23" s="30">
        <f t="shared" si="15"/>
        <v>59787.992713159692</v>
      </c>
      <c r="AZ23" s="30">
        <f t="shared" si="15"/>
        <v>32654</v>
      </c>
      <c r="BA23" s="30">
        <f t="shared" si="15"/>
        <v>17986.817163012503</v>
      </c>
      <c r="BB23" s="30">
        <v>999</v>
      </c>
      <c r="BC23" s="30">
        <v>999</v>
      </c>
      <c r="BD23" s="30">
        <f t="shared" si="3"/>
        <v>435299.32437097788</v>
      </c>
      <c r="BF23" s="23"/>
      <c r="BG23" s="19"/>
      <c r="BH23" s="20" t="str">
        <f t="shared" si="10"/>
        <v>MALUKU_PAPUA</v>
      </c>
      <c r="BI23" s="20">
        <f t="shared" si="10"/>
        <v>2038</v>
      </c>
      <c r="BJ23" s="25">
        <f>SUM(K47:L47,N47)/Q47</f>
        <v>0.12548152080756297</v>
      </c>
      <c r="BK23" s="43">
        <f t="shared" si="5"/>
        <v>3.0038212872994491E-4</v>
      </c>
      <c r="BL23" s="34">
        <f t="shared" si="11"/>
        <v>8892.7479911408973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MALUKU_PAPUA</v>
      </c>
      <c r="C28" s="20">
        <f>C4</f>
        <v>2019</v>
      </c>
      <c r="D28" s="30">
        <f>(D4*(VLOOKUP(D$27,tech_data!$B$2:$O$15,6, FALSE)/100)*(1-(VLOOKUP(D$27,tech_data!$B$2:$O$15,7, FALSE)/100))*8760)/1000</f>
        <v>1352.91192</v>
      </c>
      <c r="E28" s="30">
        <f>(E4*(VLOOKUP(E$27,tech_data!$B$2:$O$15,6, FALSE)/100)*(1-(VLOOKUP(E$27,tech_data!$B$2:$O$15,7, FALSE)/100))*8760)/1000</f>
        <v>11.957534769230767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4462.8379022769232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132.24670116923076</v>
      </c>
      <c r="J28" s="30">
        <f>(J4*(VLOOKUP(J$27,tech_data!$B$2:$O$15,6, FALSE)/100)*(1-(VLOOKUP(J$27,tech_data!$B$2:$O$15,7, FALSE)/100))*8760)/1000</f>
        <v>0</v>
      </c>
      <c r="K28" s="30">
        <f>(K4*(VLOOKUP(K$27,tech_data!$B$2:$O$15,6, FALSE)/100)*(1-(VLOOKUP(K$27,tech_data!$B$2:$O$15,7, FALSE)/100))*8760)/1000</f>
        <v>11.791836000000002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5971.7458942153853</v>
      </c>
      <c r="R28" s="34">
        <f>proj_rukn!D122</f>
        <v>8971</v>
      </c>
      <c r="S28" s="35"/>
      <c r="T28" s="19"/>
      <c r="U28" s="20" t="str">
        <f t="shared" ref="U28:V47" si="18">B28</f>
        <v>MALUKU_PAPUA</v>
      </c>
      <c r="V28" s="20">
        <f t="shared" si="18"/>
        <v>2019</v>
      </c>
      <c r="W28" s="29">
        <f t="shared" ref="W28:AI47" si="19">D28/$Q28</f>
        <v>0.22655215810681378</v>
      </c>
      <c r="X28" s="29">
        <f t="shared" si="19"/>
        <v>2.002351570386409E-3</v>
      </c>
      <c r="Y28" s="29">
        <f t="shared" si="19"/>
        <v>0</v>
      </c>
      <c r="Z28" s="29">
        <f t="shared" si="19"/>
        <v>0.74732548593534653</v>
      </c>
      <c r="AA28" s="29">
        <f t="shared" si="19"/>
        <v>0</v>
      </c>
      <c r="AB28" s="29">
        <f t="shared" si="19"/>
        <v>2.2145399940297756E-2</v>
      </c>
      <c r="AC28" s="29">
        <f t="shared" si="19"/>
        <v>0</v>
      </c>
      <c r="AD28" s="29">
        <f t="shared" si="19"/>
        <v>1.9746044471554503E-3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MALUKU_PAPUA</v>
      </c>
      <c r="AP28" s="20">
        <f>C28</f>
        <v>2019</v>
      </c>
      <c r="AQ28" s="25">
        <f t="shared" ref="AQ28:AQ47" si="21">D28/Q28</f>
        <v>0.22655215810681378</v>
      </c>
      <c r="AR28" s="25">
        <f t="shared" ref="AR28:AR47" si="22">SUM(E28:F28)/Q28</f>
        <v>2.002351570386409E-3</v>
      </c>
      <c r="AS28" s="25">
        <f t="shared" ref="AS28:AS47" si="23">G28/Q28</f>
        <v>0.74732548593534653</v>
      </c>
      <c r="AT28" s="37">
        <f t="shared" ref="AT28:AT47" si="24">SUM(H28:N28)/Q28</f>
        <v>2.4120004387453205E-2</v>
      </c>
      <c r="AU28" s="24">
        <f>SUM(AQ28:AT28)</f>
        <v>1</v>
      </c>
      <c r="AW28" s="24">
        <f>$BD$29+((AP28-$BC$29)*($BD$30-$BD$29)/($BC$30-$BC$29))</f>
        <v>0.22655215810681378</v>
      </c>
      <c r="AX28" s="24">
        <f t="shared" ref="AX28:AX47" si="25">$BE$29+((AP28-$BC$29)*($BE$30-$BE$29)/($BC$30-$BC$29))</f>
        <v>0.19239999999999999</v>
      </c>
      <c r="AY28" s="24">
        <f>BF29</f>
        <v>0.74732548593534653</v>
      </c>
      <c r="AZ28" s="25">
        <f>$BG$29+((AP28-$BC$29)*($BG$30-$BG$29)/($BC$30-$BC$29))</f>
        <v>0.1166</v>
      </c>
      <c r="BA28" s="24">
        <f>SUM(AW28:AZ28)</f>
        <v>1.2828776440421603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MALUKU_PAPUA</v>
      </c>
      <c r="BL28" s="20">
        <f>C4</f>
        <v>2019</v>
      </c>
      <c r="BM28" s="34">
        <f>proj_rukn!E122</f>
        <v>579</v>
      </c>
      <c r="BN28" s="30">
        <f t="shared" ref="BN28:BN47" si="26">(1+$CD$28)*BM28*$CD$29</f>
        <v>665.84999999999991</v>
      </c>
      <c r="BO28" s="30">
        <f>SUM(D4:I4,M4,O4:P4)</f>
        <v>1205.8499999999999</v>
      </c>
      <c r="BQ28" s="30">
        <f t="shared" ref="BQ28:BQ47" si="27">BN28*$CD$30</f>
        <v>266.33999999999997</v>
      </c>
      <c r="BR28" s="30">
        <f>SUM(D4,F4,H4,M4)</f>
        <v>279</v>
      </c>
      <c r="BS28" s="30"/>
      <c r="BT28" s="30">
        <f t="shared" ref="BT28:BT47" si="28">BN28*$CD$31</f>
        <v>133.16999999999999</v>
      </c>
      <c r="BU28" s="30">
        <f>SUM(E4,G4,P4,I4)</f>
        <v>926.84999999999991</v>
      </c>
      <c r="BW28" s="30">
        <f t="shared" ref="BW28:BW47" si="29">$CD$32*SUM(H4:O4)</f>
        <v>1.8100000000000002E-2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8.1865841126571456E-2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MALUKU_PAPUA</v>
      </c>
      <c r="C29" s="20">
        <f t="shared" si="31"/>
        <v>2020</v>
      </c>
      <c r="D29" s="30">
        <f>(D5*(VLOOKUP(D$27,tech_data!$B$2:$O$15,6, FALSE)/100)*(1-(VLOOKUP(D$27,tech_data!$B$2:$O$15,7, FALSE)/100))*8760)/1000</f>
        <v>1352.91192</v>
      </c>
      <c r="E29" s="30">
        <f>(E5*(VLOOKUP(E$27,tech_data!$B$2:$O$15,6, FALSE)/100)*(1-(VLOOKUP(E$27,tech_data!$B$2:$O$15,7, FALSE)/100))*8760)/1000</f>
        <v>11.957531779847084</v>
      </c>
      <c r="F29" s="30">
        <f>(F5*(VLOOKUP(F$27,tech_data!$B$2:$O$15,6, FALSE)/100)*(1-(VLOOKUP(F$27,tech_data!$B$2:$O$15,7, FALSE)/100))*8760)/1000</f>
        <v>679.88586475070099</v>
      </c>
      <c r="G29" s="30">
        <f>(G5*(VLOOKUP(G$27,tech_data!$B$2:$O$15,6, FALSE)/100)*(1-(VLOOKUP(G$27,tech_data!$B$2:$O$15,7, FALSE)/100))*8760)/1000</f>
        <v>4462.8379022769232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132.24670116923076</v>
      </c>
      <c r="J29" s="30">
        <f>(J5*(VLOOKUP(J$27,tech_data!$B$2:$O$15,6, FALSE)/100)*(1-(VLOOKUP(J$27,tech_data!$B$2:$O$15,7, FALSE)/100))*8760)/1000</f>
        <v>0</v>
      </c>
      <c r="K29" s="30">
        <f>(K5*(VLOOKUP(K$27,tech_data!$B$2:$O$15,6, FALSE)/100)*(1-(VLOOKUP(K$27,tech_data!$B$2:$O$15,7, FALSE)/100))*8760)/1000</f>
        <v>11.791834160400001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0</v>
      </c>
      <c r="N29" s="30">
        <f>(N5*(VLOOKUP(N$27,tech_data!$B$2:$O$15,6, FALSE)/100)*(1-(VLOOKUP(N$27,tech_data!$B$2:$O$15,7, FALSE)/100))*8760)/1000</f>
        <v>-9.9999999999918511E-7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1.6389819238479777</v>
      </c>
      <c r="Q29" s="34">
        <f t="shared" si="17"/>
        <v>6651.6317531371014</v>
      </c>
      <c r="R29" s="34">
        <f>proj_rukn!D123</f>
        <v>11551</v>
      </c>
      <c r="S29" s="35"/>
      <c r="T29" s="19"/>
      <c r="U29" s="20" t="str">
        <f t="shared" si="18"/>
        <v>MALUKU_PAPUA</v>
      </c>
      <c r="V29" s="20">
        <f t="shared" si="18"/>
        <v>2020</v>
      </c>
      <c r="W29" s="29">
        <f t="shared" si="19"/>
        <v>0.20339549304754095</v>
      </c>
      <c r="X29" s="29">
        <f t="shared" si="19"/>
        <v>1.7976839704344078E-3</v>
      </c>
      <c r="Y29" s="29">
        <f t="shared" si="19"/>
        <v>0.10221339514624321</v>
      </c>
      <c r="Z29" s="29">
        <f t="shared" si="19"/>
        <v>0.670938811393478</v>
      </c>
      <c r="AA29" s="29">
        <f t="shared" si="19"/>
        <v>0</v>
      </c>
      <c r="AB29" s="29">
        <f t="shared" si="19"/>
        <v>1.9881843444935057E-2</v>
      </c>
      <c r="AC29" s="29">
        <f t="shared" si="19"/>
        <v>0</v>
      </c>
      <c r="AD29" s="29">
        <f t="shared" si="19"/>
        <v>1.7727731477074978E-3</v>
      </c>
      <c r="AE29" s="29">
        <f t="shared" si="19"/>
        <v>0</v>
      </c>
      <c r="AF29" s="29">
        <f t="shared" si="19"/>
        <v>0</v>
      </c>
      <c r="AG29" s="29">
        <f t="shared" si="19"/>
        <v>-1.5033905019284271E-10</v>
      </c>
      <c r="AH29" s="29">
        <f t="shared" si="19"/>
        <v>0</v>
      </c>
      <c r="AI29" s="29">
        <f t="shared" si="19"/>
        <v>2.4640298571474383E-4</v>
      </c>
      <c r="AJ29" s="29">
        <f t="shared" si="20"/>
        <v>1</v>
      </c>
      <c r="AM29" s="23"/>
      <c r="AO29" s="20" t="str">
        <f>AO28</f>
        <v>MALUKU_PAPUA</v>
      </c>
      <c r="AP29" s="20">
        <f>AP28+1</f>
        <v>2020</v>
      </c>
      <c r="AQ29" s="25">
        <f t="shared" si="21"/>
        <v>0.20339549304754095</v>
      </c>
      <c r="AR29" s="25">
        <f t="shared" si="22"/>
        <v>0.1040110791166776</v>
      </c>
      <c r="AS29" s="25">
        <f t="shared" si="23"/>
        <v>0.670938811393478</v>
      </c>
      <c r="AT29" s="37">
        <f t="shared" si="24"/>
        <v>2.1654616442303501E-2</v>
      </c>
      <c r="AU29" s="24">
        <f t="shared" ref="AU29:AU47" si="32">SUM(AQ29:AT29)</f>
        <v>1</v>
      </c>
      <c r="AW29" s="24">
        <f>$BD$29+((AP29-$BC$29)*($BD$30-$BD$29)/($BC$30-$BC$29))</f>
        <v>0.23879346508901148</v>
      </c>
      <c r="AX29" s="24">
        <f t="shared" si="25"/>
        <v>0.19699999999999998</v>
      </c>
      <c r="AY29" s="24">
        <f>AY28*0.98</f>
        <v>0.73237897621663961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1.3036724413056511</v>
      </c>
      <c r="BC29" s="20">
        <v>2019</v>
      </c>
      <c r="BD29" s="25">
        <f>AQ28</f>
        <v>0.22655215810681378</v>
      </c>
      <c r="BE29" s="25">
        <v>0.19239999999999999</v>
      </c>
      <c r="BF29" s="25">
        <f>AS28</f>
        <v>0.74732548593534653</v>
      </c>
      <c r="BG29" s="25">
        <v>0.1166</v>
      </c>
      <c r="BH29" s="24">
        <f>SUM(BD29:BG29)</f>
        <v>1.2828776440421603</v>
      </c>
      <c r="BJ29" s="19"/>
      <c r="BK29" s="20" t="str">
        <f>BK28</f>
        <v>MALUKU_PAPUA</v>
      </c>
      <c r="BL29" s="20">
        <f>BL28+1</f>
        <v>2020</v>
      </c>
      <c r="BM29" s="34">
        <f>proj_rukn!E123</f>
        <v>624</v>
      </c>
      <c r="BN29" s="30">
        <f t="shared" si="26"/>
        <v>717.59999999999991</v>
      </c>
      <c r="BO29" s="30">
        <f t="shared" ref="BO29:BO47" si="35">SUM(D5:I5,M5,O5:P5)</f>
        <v>1451.9799004178542</v>
      </c>
      <c r="BQ29" s="30">
        <f t="shared" si="27"/>
        <v>287.03999999999996</v>
      </c>
      <c r="BR29" s="30">
        <f t="shared" ref="BR29:BR47" si="36">SUM(D5,F5,H5,M5)</f>
        <v>524.66911158916537</v>
      </c>
      <c r="BS29" s="30"/>
      <c r="BT29" s="30">
        <f t="shared" si="28"/>
        <v>143.51999999999998</v>
      </c>
      <c r="BU29" s="30">
        <f t="shared" ref="BU29:BU47" si="37">SUM(E5,G5,P5,I5)</f>
        <v>927.3107888286886</v>
      </c>
      <c r="BW29" s="30">
        <f t="shared" si="29"/>
        <v>1.8099999334076671E-2</v>
      </c>
      <c r="BX29" s="30">
        <f t="shared" ref="BX29:BX47" si="38">N5</f>
        <v>-3.3184666029494048E-7</v>
      </c>
      <c r="BZ29" s="24">
        <f>BZ28+$CD$34</f>
        <v>5.0800000000000005E-2</v>
      </c>
      <c r="CA29" s="24">
        <f t="shared" si="30"/>
        <v>8.1865829968906137E-2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MALUKU_PAPUA</v>
      </c>
      <c r="C30" s="20">
        <f t="shared" si="31"/>
        <v>2021</v>
      </c>
      <c r="D30" s="30">
        <f>(D6*(VLOOKUP(D$27,tech_data!$B$2:$O$15,6, FALSE)/100)*(1-(VLOOKUP(D$27,tech_data!$B$2:$O$15,7, FALSE)/100))*8760)/1000</f>
        <v>1352.91192</v>
      </c>
      <c r="E30" s="30">
        <f>(E6*(VLOOKUP(E$27,tech_data!$B$2:$O$15,6, FALSE)/100)*(1-(VLOOKUP(E$27,tech_data!$B$2:$O$15,7, FALSE)/100))*8760)/1000</f>
        <v>11.957528790463392</v>
      </c>
      <c r="F30" s="30">
        <f>(F6*(VLOOKUP(F$27,tech_data!$B$2:$O$15,6, FALSE)/100)*(1-(VLOOKUP(F$27,tech_data!$B$2:$O$15,7, FALSE)/100))*8760)/1000</f>
        <v>1405.3240818153029</v>
      </c>
      <c r="G30" s="30">
        <f>(G6*(VLOOKUP(G$27,tech_data!$B$2:$O$15,6, FALSE)/100)*(1-(VLOOKUP(G$27,tech_data!$B$2:$O$15,7, FALSE)/100))*8760)/1000</f>
        <v>4462.8379022769232</v>
      </c>
      <c r="H30" s="30">
        <f>(H6*(VLOOKUP(H$27,tech_data!$B$2:$O$15,6, FALSE)/100)*(1-(VLOOKUP(H$27,tech_data!$B$2:$O$15,7, FALSE)/100))*8760)/1000</f>
        <v>-2.1832167652023721E-14</v>
      </c>
      <c r="I30" s="30">
        <f>(I6*(VLOOKUP(I$27,tech_data!$B$2:$O$15,6, FALSE)/100)*(1-(VLOOKUP(I$27,tech_data!$B$2:$O$15,7, FALSE)/100))*8760)/1000</f>
        <v>132.24894493911538</v>
      </c>
      <c r="J30" s="30">
        <f>(J6*(VLOOKUP(J$27,tech_data!$B$2:$O$15,6, FALSE)/100)*(1-(VLOOKUP(J$27,tech_data!$B$2:$O$15,7, FALSE)/100))*8760)/1000</f>
        <v>446.95332908982277</v>
      </c>
      <c r="K30" s="30">
        <f>(K6*(VLOOKUP(K$27,tech_data!$B$2:$O$15,6, FALSE)/100)*(1-(VLOOKUP(K$27,tech_data!$B$2:$O$15,7, FALSE)/100))*8760)/1000</f>
        <v>626.48923510315547</v>
      </c>
      <c r="L30" s="30">
        <f>(L6*(VLOOKUP(L$27,tech_data!$B$2:$O$15,6, FALSE)/100)*(1-(VLOOKUP(L$27,tech_data!$B$2:$O$15,7, FALSE)/100))*8760)/1000</f>
        <v>114.27578487423514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0.72813189352989238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2.2522977783779417</v>
      </c>
      <c r="Q30" s="34">
        <f t="shared" si="17"/>
        <v>8553.7268587825474</v>
      </c>
      <c r="R30" s="34">
        <f>proj_rukn!D124</f>
        <v>16244</v>
      </c>
      <c r="S30" s="35"/>
      <c r="T30" s="19"/>
      <c r="U30" s="20" t="str">
        <f t="shared" si="18"/>
        <v>MALUKU_PAPUA</v>
      </c>
      <c r="V30" s="20">
        <f t="shared" si="18"/>
        <v>2021</v>
      </c>
      <c r="W30" s="29">
        <f t="shared" si="19"/>
        <v>0.15816636915532278</v>
      </c>
      <c r="X30" s="29">
        <f t="shared" si="19"/>
        <v>1.3979320345243417E-3</v>
      </c>
      <c r="Y30" s="29">
        <f t="shared" si="19"/>
        <v>0.16429377568590292</v>
      </c>
      <c r="Z30" s="29">
        <f t="shared" si="19"/>
        <v>0.52174192325240076</v>
      </c>
      <c r="AA30" s="29">
        <f t="shared" si="19"/>
        <v>-2.5523573539886326E-18</v>
      </c>
      <c r="AB30" s="29">
        <f t="shared" si="19"/>
        <v>1.5460973575901437E-2</v>
      </c>
      <c r="AC30" s="29">
        <f t="shared" si="19"/>
        <v>5.2252466845011891E-2</v>
      </c>
      <c r="AD30" s="29">
        <f t="shared" si="19"/>
        <v>7.3241669443759136E-2</v>
      </c>
      <c r="AE30" s="29">
        <f t="shared" si="19"/>
        <v>1.335976548712242E-2</v>
      </c>
      <c r="AF30" s="29">
        <f t="shared" si="19"/>
        <v>0</v>
      </c>
      <c r="AG30" s="29">
        <f t="shared" si="19"/>
        <v>8.5124520054352941E-5</v>
      </c>
      <c r="AH30" s="29">
        <f t="shared" si="19"/>
        <v>0</v>
      </c>
      <c r="AI30" s="29">
        <f t="shared" si="19"/>
        <v>2.6331186575888761E-4</v>
      </c>
      <c r="AJ30" s="29">
        <f t="shared" si="20"/>
        <v>1</v>
      </c>
      <c r="AM30" s="23"/>
      <c r="AO30" s="20" t="str">
        <f t="shared" ref="AO30:AO47" si="39">AO29</f>
        <v>MALUKU_PAPUA</v>
      </c>
      <c r="AP30" s="20">
        <f t="shared" ref="AP30:AP47" si="40">AP29+1</f>
        <v>2021</v>
      </c>
      <c r="AQ30" s="25">
        <f t="shared" si="21"/>
        <v>0.15816636915532278</v>
      </c>
      <c r="AR30" s="25">
        <f t="shared" si="22"/>
        <v>0.16569170772042727</v>
      </c>
      <c r="AS30" s="25">
        <f t="shared" si="23"/>
        <v>0.52174192325240076</v>
      </c>
      <c r="AT30" s="37">
        <f t="shared" si="24"/>
        <v>0.15439999987184921</v>
      </c>
      <c r="AU30" s="24">
        <f t="shared" si="32"/>
        <v>1</v>
      </c>
      <c r="AW30" s="24">
        <f t="shared" ref="AW30:AW34" si="41">$BD$29+((AP30-$BC$29)*($BD$30-$BD$29)/($BC$30-$BC$29))</f>
        <v>0.25103477207120917</v>
      </c>
      <c r="AX30" s="24">
        <f t="shared" si="25"/>
        <v>0.2016</v>
      </c>
      <c r="AY30" s="24">
        <f t="shared" ref="AY30:AY47" si="42">AY29*0.98</f>
        <v>0.71773139669230679</v>
      </c>
      <c r="AZ30" s="25">
        <f t="shared" si="33"/>
        <v>0.15440000000000001</v>
      </c>
      <c r="BA30" s="24">
        <f t="shared" si="34"/>
        <v>1.3247661687635162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MALUKU_PAPUA</v>
      </c>
      <c r="BL30" s="20">
        <f t="shared" ref="BL30:BL47" si="45">BL29+1</f>
        <v>2021</v>
      </c>
      <c r="BM30" s="34">
        <f>proj_rukn!E124</f>
        <v>677</v>
      </c>
      <c r="BN30" s="30">
        <f t="shared" si="26"/>
        <v>778.55</v>
      </c>
      <c r="BO30" s="30">
        <f t="shared" si="35"/>
        <v>1714.2817767245119</v>
      </c>
      <c r="BQ30" s="30">
        <f t="shared" si="27"/>
        <v>311.42</v>
      </c>
      <c r="BR30" s="30">
        <f t="shared" si="36"/>
        <v>786.79805342918644</v>
      </c>
      <c r="BS30" s="30"/>
      <c r="BT30" s="30">
        <f t="shared" si="28"/>
        <v>155.71</v>
      </c>
      <c r="BU30" s="30">
        <f t="shared" si="37"/>
        <v>927.48372329532538</v>
      </c>
      <c r="BW30" s="30">
        <f t="shared" si="29"/>
        <v>0.24162811902199172</v>
      </c>
      <c r="BX30" s="30">
        <f t="shared" si="38"/>
        <v>0.24162813712232287</v>
      </c>
      <c r="BZ30" s="24">
        <f t="shared" ref="BZ30:BZ47" si="46">BZ29*1.05</f>
        <v>5.3340000000000005E-2</v>
      </c>
      <c r="CA30" s="24">
        <f t="shared" si="30"/>
        <v>0.47436314445951516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MALUKU_PAPUA</v>
      </c>
      <c r="C31" s="20">
        <f t="shared" si="31"/>
        <v>2022</v>
      </c>
      <c r="D31" s="30">
        <f>(D7*(VLOOKUP(D$27,tech_data!$B$2:$O$15,6, FALSE)/100)*(1-(VLOOKUP(D$27,tech_data!$B$2:$O$15,7, FALSE)/100))*8760)/1000</f>
        <v>1446.8110852999639</v>
      </c>
      <c r="E31" s="30">
        <f>(E7*(VLOOKUP(E$27,tech_data!$B$2:$O$15,6, FALSE)/100)*(1-(VLOOKUP(E$27,tech_data!$B$2:$O$15,7, FALSE)/100))*8760)/1000</f>
        <v>11.95752580107971</v>
      </c>
      <c r="F31" s="30">
        <f>(F7*(VLOOKUP(F$27,tech_data!$B$2:$O$15,6, FALSE)/100)*(1-(VLOOKUP(F$27,tech_data!$B$2:$O$15,7, FALSE)/100))*8760)/1000</f>
        <v>1951.8922900079785</v>
      </c>
      <c r="G31" s="30">
        <f>(G7*(VLOOKUP(G$27,tech_data!$B$2:$O$15,6, FALSE)/100)*(1-(VLOOKUP(G$27,tech_data!$B$2:$O$15,7, FALSE)/100))*8760)/1000</f>
        <v>4462.8379022769232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219.10088702831135</v>
      </c>
      <c r="J31" s="30">
        <f>(J7*(VLOOKUP(J$27,tech_data!$B$2:$O$15,6, FALSE)/100)*(1-(VLOOKUP(J$27,tech_data!$B$2:$O$15,7, FALSE)/100))*8760)/1000</f>
        <v>633.19440066564994</v>
      </c>
      <c r="K31" s="30">
        <f>(K7*(VLOOKUP(K$27,tech_data!$B$2:$O$15,6, FALSE)/100)*(1-(VLOOKUP(K$27,tech_data!$B$2:$O$15,7, FALSE)/100))*8760)/1000</f>
        <v>641.41050908794716</v>
      </c>
      <c r="L31" s="30">
        <f>(L7*(VLOOKUP(L$27,tech_data!$B$2:$O$15,6, FALSE)/100)*(1-(VLOOKUP(L$27,tech_data!$B$2:$O$15,7, FALSE)/100))*8760)/1000</f>
        <v>155.96914288189063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0.83769469948186648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2.5023317607012863</v>
      </c>
      <c r="Q31" s="34">
        <f t="shared" si="17"/>
        <v>9524.0114377492264</v>
      </c>
      <c r="R31" s="34">
        <f>proj_rukn!D125</f>
        <v>17453</v>
      </c>
      <c r="S31" s="35"/>
      <c r="T31" s="19"/>
      <c r="U31" s="20" t="str">
        <f t="shared" si="18"/>
        <v>MALUKU_PAPUA</v>
      </c>
      <c r="V31" s="20">
        <f t="shared" si="18"/>
        <v>2022</v>
      </c>
      <c r="W31" s="29">
        <f t="shared" si="19"/>
        <v>0.15191194327690594</v>
      </c>
      <c r="X31" s="29">
        <f t="shared" si="19"/>
        <v>1.2555135910153408E-3</v>
      </c>
      <c r="Y31" s="29">
        <f t="shared" si="19"/>
        <v>0.2049443454332161</v>
      </c>
      <c r="Z31" s="29">
        <f t="shared" si="19"/>
        <v>0.4685880452209546</v>
      </c>
      <c r="AA31" s="29">
        <f t="shared" si="19"/>
        <v>0</v>
      </c>
      <c r="AB31" s="29">
        <f t="shared" si="19"/>
        <v>2.3005105407568751E-2</v>
      </c>
      <c r="AC31" s="29">
        <f t="shared" si="19"/>
        <v>6.6484002544970736E-2</v>
      </c>
      <c r="AD31" s="29">
        <f t="shared" si="19"/>
        <v>6.7346675639811004E-2</v>
      </c>
      <c r="AE31" s="29">
        <f t="shared" si="19"/>
        <v>1.6376412806865574E-2</v>
      </c>
      <c r="AF31" s="29">
        <f t="shared" si="19"/>
        <v>0</v>
      </c>
      <c r="AG31" s="29">
        <f t="shared" si="19"/>
        <v>8.7956078691967191E-5</v>
      </c>
      <c r="AH31" s="29">
        <f t="shared" si="19"/>
        <v>0</v>
      </c>
      <c r="AI31" s="29">
        <f t="shared" si="19"/>
        <v>2.6273926454803301E-4</v>
      </c>
      <c r="AJ31" s="29">
        <f t="shared" si="20"/>
        <v>0.99999999999999989</v>
      </c>
      <c r="AM31" s="23"/>
      <c r="AO31" s="20" t="str">
        <f t="shared" si="39"/>
        <v>MALUKU_PAPUA</v>
      </c>
      <c r="AP31" s="20">
        <f t="shared" si="40"/>
        <v>2022</v>
      </c>
      <c r="AQ31" s="25">
        <f t="shared" si="21"/>
        <v>0.15191194327690594</v>
      </c>
      <c r="AR31" s="25">
        <f t="shared" si="22"/>
        <v>0.20619985902423144</v>
      </c>
      <c r="AS31" s="25">
        <f t="shared" si="23"/>
        <v>0.4685880452209546</v>
      </c>
      <c r="AT31" s="37">
        <f t="shared" si="24"/>
        <v>0.17330015247790803</v>
      </c>
      <c r="AU31" s="24">
        <f t="shared" si="32"/>
        <v>1</v>
      </c>
      <c r="AW31" s="24">
        <f t="shared" si="41"/>
        <v>0.26327607905340689</v>
      </c>
      <c r="AX31" s="24">
        <f t="shared" si="25"/>
        <v>0.20619999999999999</v>
      </c>
      <c r="AY31" s="24">
        <f t="shared" si="42"/>
        <v>0.70337676875846067</v>
      </c>
      <c r="AZ31" s="25">
        <f t="shared" si="33"/>
        <v>0.17330000000000001</v>
      </c>
      <c r="BA31" s="24">
        <f t="shared" si="34"/>
        <v>1.3461528478118676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MALUKU_PAPUA</v>
      </c>
      <c r="BL31" s="20">
        <f t="shared" si="45"/>
        <v>2022</v>
      </c>
      <c r="BM31" s="34">
        <f>proj_rukn!E125</f>
        <v>727</v>
      </c>
      <c r="BN31" s="30">
        <f t="shared" si="26"/>
        <v>836.05</v>
      </c>
      <c r="BO31" s="30">
        <f t="shared" si="35"/>
        <v>1950.7767459887214</v>
      </c>
      <c r="BQ31" s="30">
        <f t="shared" si="27"/>
        <v>334.42</v>
      </c>
      <c r="BR31" s="30">
        <f t="shared" si="36"/>
        <v>1003.6583886902638</v>
      </c>
      <c r="BS31" s="30"/>
      <c r="BT31" s="30">
        <f t="shared" si="28"/>
        <v>167.21</v>
      </c>
      <c r="BU31" s="30">
        <f t="shared" si="37"/>
        <v>947.11835729845768</v>
      </c>
      <c r="BW31" s="30">
        <f t="shared" si="29"/>
        <v>0.27799450386876945</v>
      </c>
      <c r="BX31" s="30">
        <f t="shared" si="38"/>
        <v>0.27798618837005767</v>
      </c>
      <c r="BZ31" s="24">
        <f t="shared" si="46"/>
        <v>5.6007000000000008E-2</v>
      </c>
      <c r="CA31" s="24">
        <f t="shared" si="30"/>
        <v>0.3886129047024135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MALUKU_PAPUA</v>
      </c>
      <c r="C32" s="20">
        <f t="shared" si="31"/>
        <v>2023</v>
      </c>
      <c r="D32" s="30">
        <f>(D8*(VLOOKUP(D$27,tech_data!$B$2:$O$15,6, FALSE)/100)*(1-(VLOOKUP(D$27,tech_data!$B$2:$O$15,7, FALSE)/100))*8760)/1000</f>
        <v>1700.1090107728662</v>
      </c>
      <c r="E32" s="30">
        <f>(E8*(VLOOKUP(E$27,tech_data!$B$2:$O$15,6, FALSE)/100)*(1-(VLOOKUP(E$27,tech_data!$B$2:$O$15,7, FALSE)/100))*8760)/1000</f>
        <v>11.95752580107971</v>
      </c>
      <c r="F32" s="30">
        <f>(F8*(VLOOKUP(F$27,tech_data!$B$2:$O$15,6, FALSE)/100)*(1-(VLOOKUP(F$27,tech_data!$B$2:$O$15,7, FALSE)/100))*8760)/1000</f>
        <v>2164.1716796087644</v>
      </c>
      <c r="G32" s="30">
        <f>(G8*(VLOOKUP(G$27,tech_data!$B$2:$O$15,6, FALSE)/100)*(1-(VLOOKUP(G$27,tech_data!$B$2:$O$15,7, FALSE)/100))*8760)/1000</f>
        <v>4462.8379022769232</v>
      </c>
      <c r="H32" s="30">
        <f>(H8*(VLOOKUP(H$27,tech_data!$B$2:$O$15,6, FALSE)/100)*(1-(VLOOKUP(H$27,tech_data!$B$2:$O$15,7, FALSE)/100))*8760)/1000</f>
        <v>-2.1832171774409277E-14</v>
      </c>
      <c r="I32" s="30">
        <f>(I8*(VLOOKUP(I$27,tech_data!$B$2:$O$15,6, FALSE)/100)*(1-(VLOOKUP(I$27,tech_data!$B$2:$O$15,7, FALSE)/100))*8760)/1000</f>
        <v>221.4910782935371</v>
      </c>
      <c r="J32" s="30">
        <f>(J8*(VLOOKUP(J$27,tech_data!$B$2:$O$15,6, FALSE)/100)*(1-(VLOOKUP(J$27,tech_data!$B$2:$O$15,7, FALSE)/100))*8760)/1000</f>
        <v>633.21492864578624</v>
      </c>
      <c r="K32" s="30">
        <f>(K8*(VLOOKUP(K$27,tech_data!$B$2:$O$15,6, FALSE)/100)*(1-(VLOOKUP(K$27,tech_data!$B$2:$O$15,7, FALSE)/100))*8760)/1000</f>
        <v>653.17276426389981</v>
      </c>
      <c r="L32" s="30">
        <f>(L8*(VLOOKUP(L$27,tech_data!$B$2:$O$15,6, FALSE)/100)*(1-(VLOOKUP(L$27,tech_data!$B$2:$O$15,7, FALSE)/100))*8760)/1000</f>
        <v>475.38508473974741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0.85398797743155919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2.7649213497590015</v>
      </c>
      <c r="Q32" s="34">
        <f t="shared" si="17"/>
        <v>10323.193962380035</v>
      </c>
      <c r="R32" s="34">
        <f>proj_rukn!D126</f>
        <v>18185</v>
      </c>
      <c r="S32" s="35"/>
      <c r="T32" s="19"/>
      <c r="U32" s="20" t="str">
        <f t="shared" si="18"/>
        <v>MALUKU_PAPUA</v>
      </c>
      <c r="V32" s="20">
        <f t="shared" si="18"/>
        <v>2023</v>
      </c>
      <c r="W32" s="29">
        <f t="shared" si="19"/>
        <v>0.16468827544735024</v>
      </c>
      <c r="X32" s="29">
        <f t="shared" si="19"/>
        <v>1.1583164904830361E-3</v>
      </c>
      <c r="Y32" s="29">
        <f t="shared" si="19"/>
        <v>0.20964167557981345</v>
      </c>
      <c r="Z32" s="29">
        <f t="shared" si="19"/>
        <v>0.43231173593564892</v>
      </c>
      <c r="AA32" s="29">
        <f t="shared" si="19"/>
        <v>-2.1148659856601029E-18</v>
      </c>
      <c r="AB32" s="29">
        <f t="shared" si="19"/>
        <v>2.1455673418585255E-2</v>
      </c>
      <c r="AC32" s="29">
        <f t="shared" si="19"/>
        <v>6.1339051746325722E-2</v>
      </c>
      <c r="AD32" s="29">
        <f t="shared" si="19"/>
        <v>6.3272352204579649E-2</v>
      </c>
      <c r="AE32" s="29">
        <f t="shared" si="19"/>
        <v>4.6050194007024772E-2</v>
      </c>
      <c r="AF32" s="29">
        <f t="shared" si="19"/>
        <v>0</v>
      </c>
      <c r="AG32" s="29">
        <f t="shared" si="19"/>
        <v>8.2725170188962564E-5</v>
      </c>
      <c r="AH32" s="29">
        <f t="shared" si="19"/>
        <v>0</v>
      </c>
      <c r="AI32" s="29">
        <f t="shared" si="19"/>
        <v>2.6783584226306085E-4</v>
      </c>
      <c r="AJ32" s="29">
        <f t="shared" si="20"/>
        <v>1</v>
      </c>
      <c r="AM32" s="23"/>
      <c r="AO32" s="20" t="str">
        <f t="shared" si="39"/>
        <v>MALUKU_PAPUA</v>
      </c>
      <c r="AP32" s="20">
        <f t="shared" si="40"/>
        <v>2023</v>
      </c>
      <c r="AQ32" s="25">
        <f t="shared" si="21"/>
        <v>0.16468827544735024</v>
      </c>
      <c r="AR32" s="25">
        <f t="shared" si="22"/>
        <v>0.21079999207029648</v>
      </c>
      <c r="AS32" s="25">
        <f t="shared" si="23"/>
        <v>0.43231173593564892</v>
      </c>
      <c r="AT32" s="37">
        <f t="shared" si="24"/>
        <v>0.19219999654670439</v>
      </c>
      <c r="AU32" s="24">
        <f t="shared" si="32"/>
        <v>1</v>
      </c>
      <c r="AW32" s="24">
        <f t="shared" si="41"/>
        <v>0.27551738603560461</v>
      </c>
      <c r="AX32" s="24">
        <f t="shared" si="25"/>
        <v>0.21079999999999999</v>
      </c>
      <c r="AY32" s="24">
        <f t="shared" si="42"/>
        <v>0.68930923338329142</v>
      </c>
      <c r="AZ32" s="25">
        <f t="shared" si="33"/>
        <v>0.19220000000000001</v>
      </c>
      <c r="BA32" s="24">
        <f t="shared" si="34"/>
        <v>1.3678266194188959</v>
      </c>
      <c r="BJ32" s="19"/>
      <c r="BK32" s="20" t="str">
        <f t="shared" si="44"/>
        <v>MALUKU_PAPUA</v>
      </c>
      <c r="BL32" s="20">
        <f t="shared" si="45"/>
        <v>2023</v>
      </c>
      <c r="BM32" s="34">
        <f>proj_rukn!E126</f>
        <v>774</v>
      </c>
      <c r="BN32" s="30">
        <f t="shared" si="26"/>
        <v>890.09999999999991</v>
      </c>
      <c r="BO32" s="30">
        <f t="shared" si="35"/>
        <v>2080.3293251212331</v>
      </c>
      <c r="BQ32" s="30">
        <f t="shared" si="27"/>
        <v>356.03999999999996</v>
      </c>
      <c r="BR32" s="30">
        <f t="shared" si="36"/>
        <v>1132.5987259141436</v>
      </c>
      <c r="BS32" s="30"/>
      <c r="BT32" s="30">
        <f t="shared" si="28"/>
        <v>178.01999999999998</v>
      </c>
      <c r="BU32" s="30">
        <f t="shared" si="37"/>
        <v>947.73059920708943</v>
      </c>
      <c r="BW32" s="30">
        <f t="shared" si="29"/>
        <v>0.33339305879876047</v>
      </c>
      <c r="BX32" s="30">
        <f t="shared" si="38"/>
        <v>0.28339305824292482</v>
      </c>
      <c r="BZ32" s="24">
        <f t="shared" si="46"/>
        <v>5.8807350000000008E-2</v>
      </c>
      <c r="CA32" s="24">
        <f t="shared" si="30"/>
        <v>0.3292005897055495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MALUKU_PAPUA</v>
      </c>
      <c r="C33" s="20">
        <f t="shared" si="31"/>
        <v>2024</v>
      </c>
      <c r="D33" s="30">
        <f>(D9*(VLOOKUP(D$27,tech_data!$B$2:$O$15,6, FALSE)/100)*(1-(VLOOKUP(D$27,tech_data!$B$2:$O$15,7, FALSE)/100))*8760)/1000</f>
        <v>1965.5144984204978</v>
      </c>
      <c r="E33" s="30">
        <f>(E9*(VLOOKUP(E$27,tech_data!$B$2:$O$15,6, FALSE)/100)*(1-(VLOOKUP(E$27,tech_data!$B$2:$O$15,7, FALSE)/100))*8760)/1000</f>
        <v>11.957522811696016</v>
      </c>
      <c r="F33" s="30">
        <f>(F9*(VLOOKUP(F$27,tech_data!$B$2:$O$15,6, FALSE)/100)*(1-(VLOOKUP(F$27,tech_data!$B$2:$O$15,7, FALSE)/100))*8760)/1000</f>
        <v>2402.4555627483333</v>
      </c>
      <c r="G33" s="30">
        <f>(G9*(VLOOKUP(G$27,tech_data!$B$2:$O$15,6, FALSE)/100)*(1-(VLOOKUP(G$27,tech_data!$B$2:$O$15,7, FALSE)/100))*8760)/1000</f>
        <v>4462.8379022769232</v>
      </c>
      <c r="H33" s="30">
        <f>(H9*(VLOOKUP(H$27,tech_data!$B$2:$O$15,6, FALSE)/100)*(1-(VLOOKUP(H$27,tech_data!$B$2:$O$15,7, FALSE)/100))*8760)/1000</f>
        <v>-9.9999999494995479E-7</v>
      </c>
      <c r="I33" s="30">
        <f>(I9*(VLOOKUP(I$27,tech_data!$B$2:$O$15,6, FALSE)/100)*(1-(VLOOKUP(I$27,tech_data!$B$2:$O$15,7, FALSE)/100))*8760)/1000</f>
        <v>280.44314625060116</v>
      </c>
      <c r="J33" s="30">
        <f>(J9*(VLOOKUP(J$27,tech_data!$B$2:$O$15,6, FALSE)/100)*(1-(VLOOKUP(J$27,tech_data!$B$2:$O$15,7, FALSE)/100))*8760)/1000</f>
        <v>931.64535865247694</v>
      </c>
      <c r="K33" s="30">
        <f>(K9*(VLOOKUP(K$27,tech_data!$B$2:$O$15,6, FALSE)/100)*(1-(VLOOKUP(K$27,tech_data!$B$2:$O$15,7, FALSE)/100))*8760)/1000</f>
        <v>653.17276426389981</v>
      </c>
      <c r="L33" s="30">
        <f>(L9*(VLOOKUP(L$27,tech_data!$B$2:$O$15,6, FALSE)/100)*(1-(VLOOKUP(L$27,tech_data!$B$2:$O$15,7, FALSE)/100))*8760)/1000</f>
        <v>500.10053041079567</v>
      </c>
      <c r="M33" s="30">
        <f>(M9*(VLOOKUP(M$27,tech_data!$B$2:$O$15,6, FALSE)/100)*(1-(VLOOKUP(M$27,tech_data!$B$2:$O$15,7, FALSE)/100))*8760)/1000</f>
        <v>0</v>
      </c>
      <c r="N33" s="30">
        <f>(N9*(VLOOKUP(N$27,tech_data!$B$2:$O$15,6, FALSE)/100)*(1-(VLOOKUP(N$27,tech_data!$B$2:$O$15,7, FALSE)/100))*8760)/1000</f>
        <v>0.85398797743155919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2.9877908800361563</v>
      </c>
      <c r="Q33" s="34">
        <f t="shared" si="17"/>
        <v>11208.981272812653</v>
      </c>
      <c r="R33" s="34">
        <f>proj_rukn!D127</f>
        <v>19719</v>
      </c>
      <c r="S33" s="35"/>
      <c r="T33" s="19"/>
      <c r="U33" s="20" t="str">
        <f t="shared" si="18"/>
        <v>MALUKU_PAPUA</v>
      </c>
      <c r="V33" s="20">
        <f t="shared" si="18"/>
        <v>2024</v>
      </c>
      <c r="W33" s="29">
        <f t="shared" si="19"/>
        <v>0.17535175147342308</v>
      </c>
      <c r="X33" s="29">
        <f t="shared" si="19"/>
        <v>1.0667805147198299E-3</v>
      </c>
      <c r="Y33" s="29">
        <f t="shared" si="19"/>
        <v>0.21433308739443444</v>
      </c>
      <c r="Z33" s="29">
        <f t="shared" si="19"/>
        <v>0.39814839490378329</v>
      </c>
      <c r="AA33" s="29">
        <f t="shared" si="19"/>
        <v>-8.921417304670243E-11</v>
      </c>
      <c r="AB33" s="29">
        <f t="shared" si="19"/>
        <v>2.5019503505712432E-2</v>
      </c>
      <c r="AC33" s="29">
        <f t="shared" si="19"/>
        <v>8.3115970664718625E-2</v>
      </c>
      <c r="AD33" s="29">
        <f t="shared" si="19"/>
        <v>5.8272268314710114E-2</v>
      </c>
      <c r="AE33" s="29">
        <f t="shared" si="19"/>
        <v>4.4616055486129493E-2</v>
      </c>
      <c r="AF33" s="29">
        <f t="shared" si="19"/>
        <v>0</v>
      </c>
      <c r="AG33" s="29">
        <f t="shared" si="19"/>
        <v>7.6187831583134514E-5</v>
      </c>
      <c r="AH33" s="29">
        <f t="shared" si="19"/>
        <v>0</v>
      </c>
      <c r="AI33" s="29">
        <f t="shared" si="19"/>
        <v>2.6655329394501117E-4</v>
      </c>
      <c r="AJ33" s="29">
        <f t="shared" si="20"/>
        <v>1.0000000000000002</v>
      </c>
      <c r="AM33" s="23"/>
      <c r="AO33" s="20" t="str">
        <f t="shared" si="39"/>
        <v>MALUKU_PAPUA</v>
      </c>
      <c r="AP33" s="20">
        <f t="shared" si="40"/>
        <v>2024</v>
      </c>
      <c r="AQ33" s="25">
        <f t="shared" si="21"/>
        <v>0.17535175147342308</v>
      </c>
      <c r="AR33" s="25">
        <f t="shared" si="22"/>
        <v>0.21539986790915427</v>
      </c>
      <c r="AS33" s="25">
        <f t="shared" si="23"/>
        <v>0.39814839490378329</v>
      </c>
      <c r="AT33" s="37">
        <f t="shared" si="24"/>
        <v>0.21109998571363964</v>
      </c>
      <c r="AU33" s="24">
        <f t="shared" si="32"/>
        <v>1.0000000000000004</v>
      </c>
      <c r="AW33" s="24">
        <f t="shared" si="41"/>
        <v>0.28775869301780227</v>
      </c>
      <c r="AX33" s="24">
        <f t="shared" si="25"/>
        <v>0.21540000000000001</v>
      </c>
      <c r="AY33" s="24">
        <f t="shared" si="42"/>
        <v>0.67552304871562563</v>
      </c>
      <c r="AZ33" s="25">
        <f t="shared" si="33"/>
        <v>0.21110000000000001</v>
      </c>
      <c r="BA33" s="24">
        <f t="shared" si="34"/>
        <v>1.3897817417334279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MALUKU_PAPUA</v>
      </c>
      <c r="BL33" s="20">
        <f t="shared" si="45"/>
        <v>2024</v>
      </c>
      <c r="BM33" s="34">
        <f>proj_rukn!E127</f>
        <v>822</v>
      </c>
      <c r="BN33" s="30">
        <f t="shared" si="26"/>
        <v>945.3</v>
      </c>
      <c r="BO33" s="30">
        <f t="shared" si="35"/>
        <v>2234.5051858083725</v>
      </c>
      <c r="BQ33" s="30">
        <f t="shared" si="27"/>
        <v>378.12</v>
      </c>
      <c r="BR33" s="30">
        <f t="shared" si="36"/>
        <v>1273.4323381706636</v>
      </c>
      <c r="BS33" s="30"/>
      <c r="BT33" s="30">
        <f t="shared" si="28"/>
        <v>189.06</v>
      </c>
      <c r="BU33" s="30">
        <f t="shared" si="37"/>
        <v>961.07284763770895</v>
      </c>
      <c r="BW33" s="30">
        <f t="shared" si="29"/>
        <v>0.36926013885821168</v>
      </c>
      <c r="BX33" s="30">
        <f t="shared" si="38"/>
        <v>0.28339305824292482</v>
      </c>
      <c r="BZ33" s="24">
        <f t="shared" si="46"/>
        <v>6.1747717500000014E-2</v>
      </c>
      <c r="CA33" s="24">
        <f t="shared" si="30"/>
        <v>0.27604108128058963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MALUKU_PAPUA</v>
      </c>
      <c r="C34" s="20">
        <f t="shared" si="31"/>
        <v>2025</v>
      </c>
      <c r="D34" s="30">
        <f>(D10*(VLOOKUP(D$27,tech_data!$B$2:$O$15,6, FALSE)/100)*(1-(VLOOKUP(D$27,tech_data!$B$2:$O$15,7, FALSE)/100))*8760)/1000</f>
        <v>2243.0508368023193</v>
      </c>
      <c r="E34" s="30">
        <f>(E10*(VLOOKUP(E$27,tech_data!$B$2:$O$15,6, FALSE)/100)*(1-(VLOOKUP(E$27,tech_data!$B$2:$O$15,7, FALSE)/100))*8760)/1000</f>
        <v>11.95751982231233</v>
      </c>
      <c r="F34" s="30">
        <f>(F10*(VLOOKUP(F$27,tech_data!$B$2:$O$15,6, FALSE)/100)*(1-(VLOOKUP(F$27,tech_data!$B$2:$O$15,7, FALSE)/100))*8760)/1000</f>
        <v>2670.395013757427</v>
      </c>
      <c r="G34" s="30">
        <f>(G10*(VLOOKUP(G$27,tech_data!$B$2:$O$15,6, FALSE)/100)*(1-(VLOOKUP(G$27,tech_data!$B$2:$O$15,7, FALSE)/100))*8760)/1000</f>
        <v>4462.8379022769232</v>
      </c>
      <c r="H34" s="30">
        <f>(H10*(VLOOKUP(H$27,tech_data!$B$2:$O$15,6, FALSE)/100)*(1-(VLOOKUP(H$27,tech_data!$B$2:$O$15,7, FALSE)/100))*8760)/1000</f>
        <v>-9.9999999494995479E-7</v>
      </c>
      <c r="I34" s="30">
        <f>(I10*(VLOOKUP(I$27,tech_data!$B$2:$O$15,6, FALSE)/100)*(1-(VLOOKUP(I$27,tech_data!$B$2:$O$15,7, FALSE)/100))*8760)/1000</f>
        <v>543.03501866956913</v>
      </c>
      <c r="J34" s="30">
        <f>(J10*(VLOOKUP(J$27,tech_data!$B$2:$O$15,6, FALSE)/100)*(1-(VLOOKUP(J$27,tech_data!$B$2:$O$15,7, FALSE)/100))*8760)/1000</f>
        <v>969.6791587096609</v>
      </c>
      <c r="K34" s="30">
        <f>(K10*(VLOOKUP(K$27,tech_data!$B$2:$O$15,6, FALSE)/100)*(1-(VLOOKUP(K$27,tech_data!$B$2:$O$15,7, FALSE)/100))*8760)/1000</f>
        <v>696.94285221268274</v>
      </c>
      <c r="L34" s="30">
        <f>(L10*(VLOOKUP(L$27,tech_data!$B$2:$O$15,6, FALSE)/100)*(1-(VLOOKUP(L$27,tech_data!$B$2:$O$15,7, FALSE)/100))*8760)/1000</f>
        <v>593.77084722817551</v>
      </c>
      <c r="M34" s="30">
        <f>(M10*(VLOOKUP(M$27,tech_data!$B$2:$O$15,6, FALSE)/100)*(1-(VLOOKUP(M$27,tech_data!$B$2:$O$15,7, FALSE)/100))*8760)/1000</f>
        <v>0</v>
      </c>
      <c r="N34" s="30">
        <f>(N10*(VLOOKUP(N$27,tech_data!$B$2:$O$15,6, FALSE)/100)*(1-(VLOOKUP(N$27,tech_data!$B$2:$O$15,7, FALSE)/100))*8760)/1000</f>
        <v>0.85403305108910432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3.2571598537184228</v>
      </c>
      <c r="Q34" s="34">
        <f t="shared" si="17"/>
        <v>12192.523181530159</v>
      </c>
      <c r="R34" s="34">
        <f>proj_rukn!D128</f>
        <v>21647</v>
      </c>
      <c r="S34" s="35"/>
      <c r="T34" s="19"/>
      <c r="U34" s="20" t="str">
        <f t="shared" si="18"/>
        <v>MALUKU_PAPUA</v>
      </c>
      <c r="V34" s="20">
        <f t="shared" si="18"/>
        <v>2025</v>
      </c>
      <c r="W34" s="29">
        <f t="shared" si="19"/>
        <v>0.18396937232813337</v>
      </c>
      <c r="X34" s="29">
        <f t="shared" si="19"/>
        <v>9.8072561719022818E-4</v>
      </c>
      <c r="Y34" s="29">
        <f t="shared" si="19"/>
        <v>0.2190190638966899</v>
      </c>
      <c r="Z34" s="29">
        <f t="shared" si="19"/>
        <v>0.36603070880664407</v>
      </c>
      <c r="AA34" s="29">
        <f t="shared" si="19"/>
        <v>-8.2017477437713997E-11</v>
      </c>
      <c r="AB34" s="29">
        <f t="shared" si="19"/>
        <v>4.4538362616540733E-2</v>
      </c>
      <c r="AC34" s="29">
        <f t="shared" si="19"/>
        <v>7.9530638922924432E-2</v>
      </c>
      <c r="AD34" s="29">
        <f t="shared" si="19"/>
        <v>5.7161494945397885E-2</v>
      </c>
      <c r="AE34" s="29">
        <f t="shared" si="19"/>
        <v>4.8699587311644331E-2</v>
      </c>
      <c r="AF34" s="29">
        <f t="shared" si="19"/>
        <v>0</v>
      </c>
      <c r="AG34" s="29">
        <f t="shared" si="19"/>
        <v>7.00456368524963E-5</v>
      </c>
      <c r="AH34" s="29">
        <f t="shared" si="19"/>
        <v>0</v>
      </c>
      <c r="AI34" s="29">
        <f t="shared" si="19"/>
        <v>2.6714403616246801E-4</v>
      </c>
      <c r="AJ34" s="29">
        <f t="shared" si="20"/>
        <v>1</v>
      </c>
      <c r="AM34" s="23"/>
      <c r="AO34" s="20" t="str">
        <f t="shared" si="39"/>
        <v>MALUKU_PAPUA</v>
      </c>
      <c r="AP34" s="20">
        <f t="shared" si="40"/>
        <v>2025</v>
      </c>
      <c r="AQ34" s="25">
        <f t="shared" si="21"/>
        <v>0.18396937232813337</v>
      </c>
      <c r="AR34" s="25">
        <f t="shared" si="22"/>
        <v>0.21999978951388016</v>
      </c>
      <c r="AS34" s="25">
        <f t="shared" si="23"/>
        <v>0.36603070880664407</v>
      </c>
      <c r="AT34" s="37">
        <f t="shared" si="24"/>
        <v>0.23000012935134242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0.66201258774131311</v>
      </c>
      <c r="AZ34" s="25">
        <f t="shared" si="33"/>
        <v>0.23</v>
      </c>
      <c r="BA34" s="24">
        <f t="shared" si="34"/>
        <v>1.4120125877413132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MALUKU_PAPUA</v>
      </c>
      <c r="BL34" s="20">
        <f t="shared" si="45"/>
        <v>2025</v>
      </c>
      <c r="BM34" s="34">
        <f>proj_rukn!E128</f>
        <v>871</v>
      </c>
      <c r="BN34" s="30">
        <f t="shared" si="26"/>
        <v>1001.65</v>
      </c>
      <c r="BO34" s="30">
        <f t="shared" si="35"/>
        <v>2447.7835409364347</v>
      </c>
      <c r="BQ34" s="30">
        <f t="shared" si="27"/>
        <v>400.66</v>
      </c>
      <c r="BR34" s="30">
        <f t="shared" si="36"/>
        <v>1427.483303029217</v>
      </c>
      <c r="BS34" s="30"/>
      <c r="BT34" s="30">
        <f t="shared" si="28"/>
        <v>200.33</v>
      </c>
      <c r="BU34" s="30">
        <f t="shared" si="37"/>
        <v>1020.3002379072175</v>
      </c>
      <c r="BW34" s="30">
        <f t="shared" si="29"/>
        <v>0.42917355984643307</v>
      </c>
      <c r="BX34" s="30">
        <f t="shared" si="38"/>
        <v>0.28340801578564845</v>
      </c>
      <c r="BZ34" s="24">
        <f t="shared" si="46"/>
        <v>6.4835103375000022E-2</v>
      </c>
      <c r="CA34" s="24">
        <f t="shared" si="30"/>
        <v>0.24852809912154189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MALUKU_PAPUA</v>
      </c>
      <c r="C35" s="20">
        <f t="shared" si="31"/>
        <v>2026</v>
      </c>
      <c r="D35" s="30">
        <f>(D11*(VLOOKUP(D$27,tech_data!$B$2:$O$15,6, FALSE)/100)*(1-(VLOOKUP(D$27,tech_data!$B$2:$O$15,7, FALSE)/100))*8760)/1000</f>
        <v>2563.0610137735753</v>
      </c>
      <c r="E35" s="30">
        <f>(E11*(VLOOKUP(E$27,tech_data!$B$2:$O$15,6, FALSE)/100)*(1-(VLOOKUP(E$27,tech_data!$B$2:$O$15,7, FALSE)/100))*8760)/1000</f>
        <v>11.95751982231233</v>
      </c>
      <c r="F35" s="30">
        <f>(F11*(VLOOKUP(F$27,tech_data!$B$2:$O$15,6, FALSE)/100)*(1-(VLOOKUP(F$27,tech_data!$B$2:$O$15,7, FALSE)/100))*8760)/1000</f>
        <v>2898.4388218028198</v>
      </c>
      <c r="G35" s="30">
        <f>(G11*(VLOOKUP(G$27,tech_data!$B$2:$O$15,6, FALSE)/100)*(1-(VLOOKUP(G$27,tech_data!$B$2:$O$15,7, FALSE)/100))*8760)/1000</f>
        <v>4462.8379022769232</v>
      </c>
      <c r="H35" s="30">
        <f>(H11*(VLOOKUP(H$27,tech_data!$B$2:$O$15,6, FALSE)/100)*(1-(VLOOKUP(H$27,tech_data!$B$2:$O$15,7, FALSE)/100))*8760)/1000</f>
        <v>0</v>
      </c>
      <c r="I35" s="30">
        <f>(I11*(VLOOKUP(I$27,tech_data!$B$2:$O$15,6, FALSE)/100)*(1-(VLOOKUP(I$27,tech_data!$B$2:$O$15,7, FALSE)/100))*8760)/1000</f>
        <v>608.84564012110798</v>
      </c>
      <c r="J35" s="30">
        <f>(J11*(VLOOKUP(J$27,tech_data!$B$2:$O$15,6, FALSE)/100)*(1-(VLOOKUP(J$27,tech_data!$B$2:$O$15,7, FALSE)/100))*8760)/1000</f>
        <v>1081.675619049885</v>
      </c>
      <c r="K35" s="30">
        <f>(K11*(VLOOKUP(K$27,tech_data!$B$2:$O$15,6, FALSE)/100)*(1-(VLOOKUP(K$27,tech_data!$B$2:$O$15,7, FALSE)/100))*8760)/1000</f>
        <v>706.24983862901661</v>
      </c>
      <c r="L35" s="30">
        <f>(L11*(VLOOKUP(L$27,tech_data!$B$2:$O$15,6, FALSE)/100)*(1-(VLOOKUP(L$27,tech_data!$B$2:$O$15,7, FALSE)/100))*8760)/1000</f>
        <v>624.04990815647659</v>
      </c>
      <c r="M35" s="30">
        <f>(M11*(VLOOKUP(M$27,tech_data!$B$2:$O$15,6, FALSE)/100)*(1-(VLOOKUP(M$27,tech_data!$B$2:$O$15,7, FALSE)/100))*8760)/1000</f>
        <v>0</v>
      </c>
      <c r="N35" s="30">
        <f>(N11*(VLOOKUP(N$27,tech_data!$B$2:$O$15,6, FALSE)/100)*(1-(VLOOKUP(N$27,tech_data!$B$2:$O$15,7, FALSE)/100))*8760)/1000</f>
        <v>1.0152669484241608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3.4534526427537644</v>
      </c>
      <c r="Q35" s="34">
        <f t="shared" si="17"/>
        <v>12958.131530580542</v>
      </c>
      <c r="R35" s="34">
        <f>proj_rukn!D129</f>
        <v>23380</v>
      </c>
      <c r="S35" s="35"/>
      <c r="T35" s="19"/>
      <c r="U35" s="20" t="str">
        <f t="shared" si="18"/>
        <v>MALUKU_PAPUA</v>
      </c>
      <c r="V35" s="20">
        <f t="shared" si="18"/>
        <v>2026</v>
      </c>
      <c r="W35" s="29">
        <f t="shared" si="19"/>
        <v>0.19779557011941726</v>
      </c>
      <c r="X35" s="29">
        <f t="shared" si="19"/>
        <v>9.2278117366637166E-4</v>
      </c>
      <c r="Y35" s="29">
        <f t="shared" si="19"/>
        <v>0.22367721881527822</v>
      </c>
      <c r="Z35" s="29">
        <f t="shared" si="19"/>
        <v>0.34440442989368097</v>
      </c>
      <c r="AA35" s="29">
        <f t="shared" si="19"/>
        <v>0</v>
      </c>
      <c r="AB35" s="29">
        <f t="shared" si="19"/>
        <v>4.6985604265882219E-2</v>
      </c>
      <c r="AC35" s="29">
        <f t="shared" si="19"/>
        <v>8.3474659637246665E-2</v>
      </c>
      <c r="AD35" s="29">
        <f t="shared" si="19"/>
        <v>5.4502444041589049E-2</v>
      </c>
      <c r="AE35" s="29">
        <f t="shared" si="19"/>
        <v>4.8158942258283925E-2</v>
      </c>
      <c r="AF35" s="29">
        <f t="shared" si="19"/>
        <v>0</v>
      </c>
      <c r="AG35" s="29">
        <f t="shared" si="19"/>
        <v>7.8349794955251195E-5</v>
      </c>
      <c r="AH35" s="29">
        <f t="shared" si="19"/>
        <v>0</v>
      </c>
      <c r="AI35" s="29">
        <f t="shared" si="19"/>
        <v>2.6650853439817224E-4</v>
      </c>
      <c r="AJ35" s="29">
        <f t="shared" si="20"/>
        <v>0.99999999999999989</v>
      </c>
      <c r="AM35" s="23"/>
      <c r="AO35" s="20" t="str">
        <f t="shared" si="39"/>
        <v>MALUKU_PAPUA</v>
      </c>
      <c r="AP35" s="20">
        <f t="shared" si="40"/>
        <v>2026</v>
      </c>
      <c r="AQ35" s="25">
        <f t="shared" si="21"/>
        <v>0.19779557011941726</v>
      </c>
      <c r="AR35" s="25">
        <f t="shared" si="22"/>
        <v>0.22459999998894459</v>
      </c>
      <c r="AS35" s="25">
        <f t="shared" si="23"/>
        <v>0.34440442989368097</v>
      </c>
      <c r="AT35" s="37">
        <f t="shared" si="24"/>
        <v>0.23319999999795712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0.64877233598648687</v>
      </c>
      <c r="AZ35" s="25">
        <f t="shared" ref="AZ35:AZ47" si="47">$BG$30+((AP35-$BC$30)*($BG$31-$BG$30)/($BC$31-$BC$30))</f>
        <v>0.23320000000000002</v>
      </c>
      <c r="BA35" s="24">
        <f t="shared" si="34"/>
        <v>1.404572335986487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MALUKU_PAPUA</v>
      </c>
      <c r="BL35" s="20">
        <f t="shared" si="45"/>
        <v>2026</v>
      </c>
      <c r="BM35" s="34">
        <f>proj_rukn!E129</f>
        <v>927</v>
      </c>
      <c r="BN35" s="30">
        <f t="shared" si="26"/>
        <v>1066.05</v>
      </c>
      <c r="BO35" s="30">
        <f t="shared" si="35"/>
        <v>2611.057438517676</v>
      </c>
      <c r="BQ35" s="30">
        <f t="shared" si="27"/>
        <v>426.42</v>
      </c>
      <c r="BR35" s="30">
        <f t="shared" si="36"/>
        <v>1575.8774597033225</v>
      </c>
      <c r="BS35" s="30"/>
      <c r="BT35" s="30">
        <f t="shared" si="28"/>
        <v>213.21</v>
      </c>
      <c r="BU35" s="30">
        <f t="shared" si="37"/>
        <v>1035.179978814353</v>
      </c>
      <c r="BW35" s="30">
        <f t="shared" si="29"/>
        <v>0.45352538150846122</v>
      </c>
      <c r="BX35" s="30">
        <f t="shared" si="38"/>
        <v>0.33691294614266781</v>
      </c>
      <c r="BZ35" s="24">
        <f t="shared" si="46"/>
        <v>6.8076858543750021E-2</v>
      </c>
      <c r="CA35" s="24">
        <f t="shared" si="30"/>
        <v>0.23371545472584263</v>
      </c>
      <c r="CF35" s="23"/>
    </row>
    <row r="36" spans="1:84" x14ac:dyDescent="0.25">
      <c r="A36" s="19"/>
      <c r="B36" s="20" t="str">
        <f t="shared" si="31"/>
        <v>MALUKU_PAPUA</v>
      </c>
      <c r="C36" s="20">
        <f t="shared" si="31"/>
        <v>2027</v>
      </c>
      <c r="D36" s="30">
        <f>(D12*(VLOOKUP(D$27,tech_data!$B$2:$O$15,6, FALSE)/100)*(1-(VLOOKUP(D$27,tech_data!$B$2:$O$15,7, FALSE)/100))*8760)/1000</f>
        <v>2902.3796518261056</v>
      </c>
      <c r="E36" s="30">
        <f>(E12*(VLOOKUP(E$27,tech_data!$B$2:$O$15,6, FALSE)/100)*(1-(VLOOKUP(E$27,tech_data!$B$2:$O$15,7, FALSE)/100))*8760)/1000</f>
        <v>11.957516832928636</v>
      </c>
      <c r="F36" s="30">
        <f>(F12*(VLOOKUP(F$27,tech_data!$B$2:$O$15,6, FALSE)/100)*(1-(VLOOKUP(F$27,tech_data!$B$2:$O$15,7, FALSE)/100))*8760)/1000</f>
        <v>3146.9269572882527</v>
      </c>
      <c r="G36" s="30">
        <f>(G12*(VLOOKUP(G$27,tech_data!$B$2:$O$15,6, FALSE)/100)*(1-(VLOOKUP(G$27,tech_data!$B$2:$O$15,7, FALSE)/100))*8760)/1000</f>
        <v>4462.8379022769232</v>
      </c>
      <c r="H36" s="30">
        <f>(H12*(VLOOKUP(H$27,tech_data!$B$2:$O$15,6, FALSE)/100)*(1-(VLOOKUP(H$27,tech_data!$B$2:$O$15,7, FALSE)/100))*8760)/1000</f>
        <v>-2.1832245118518983E-14</v>
      </c>
      <c r="I36" s="30">
        <f>(I12*(VLOOKUP(I$27,tech_data!$B$2:$O$15,6, FALSE)/100)*(1-(VLOOKUP(I$27,tech_data!$B$2:$O$15,7, FALSE)/100))*8760)/1000</f>
        <v>704.58065797839697</v>
      </c>
      <c r="J36" s="30">
        <f>(J12*(VLOOKUP(J$27,tech_data!$B$2:$O$15,6, FALSE)/100)*(1-(VLOOKUP(J$27,tech_data!$B$2:$O$15,7, FALSE)/100))*8760)/1000</f>
        <v>1181.8667332884609</v>
      </c>
      <c r="K36" s="30">
        <f>(K12*(VLOOKUP(K$27,tech_data!$B$2:$O$15,6, FALSE)/100)*(1-(VLOOKUP(K$27,tech_data!$B$2:$O$15,7, FALSE)/100))*8760)/1000</f>
        <v>706.28143678275489</v>
      </c>
      <c r="L36" s="30">
        <f>(L12*(VLOOKUP(L$27,tech_data!$B$2:$O$15,6, FALSE)/100)*(1-(VLOOKUP(L$27,tech_data!$B$2:$O$15,7, FALSE)/100))*8760)/1000</f>
        <v>663.97064663273841</v>
      </c>
      <c r="M36" s="30">
        <f>(M12*(VLOOKUP(M$27,tech_data!$B$2:$O$15,6, FALSE)/100)*(1-(VLOOKUP(M$27,tech_data!$B$2:$O$15,7, FALSE)/100))*8760)/1000</f>
        <v>0</v>
      </c>
      <c r="N36" s="30">
        <f>(N12*(VLOOKUP(N$27,tech_data!$B$2:$O$15,6, FALSE)/100)*(1-(VLOOKUP(N$27,tech_data!$B$2:$O$15,7, FALSE)/100))*8760)/1000</f>
        <v>1.4169727666093934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3.6642549131370434</v>
      </c>
      <c r="Q36" s="34">
        <f t="shared" si="17"/>
        <v>13782.218475673169</v>
      </c>
      <c r="R36" s="34">
        <f>proj_rukn!D130</f>
        <v>25698</v>
      </c>
      <c r="S36" s="35"/>
      <c r="T36" s="19"/>
      <c r="U36" s="20" t="str">
        <f t="shared" si="18"/>
        <v>MALUKU_PAPUA</v>
      </c>
      <c r="V36" s="20">
        <f t="shared" si="18"/>
        <v>2027</v>
      </c>
      <c r="W36" s="29">
        <f t="shared" si="19"/>
        <v>0.21058871305436505</v>
      </c>
      <c r="X36" s="29">
        <f t="shared" si="19"/>
        <v>8.6760464971838229E-4</v>
      </c>
      <c r="Y36" s="29">
        <f t="shared" si="19"/>
        <v>0.22833239531377739</v>
      </c>
      <c r="Z36" s="29">
        <f t="shared" si="19"/>
        <v>0.32381128699666351</v>
      </c>
      <c r="AA36" s="29">
        <f t="shared" si="19"/>
        <v>-1.5840878706903986E-18</v>
      </c>
      <c r="AB36" s="29">
        <f t="shared" si="19"/>
        <v>5.1122441515641617E-2</v>
      </c>
      <c r="AC36" s="29">
        <f t="shared" si="19"/>
        <v>8.5753011053667436E-2</v>
      </c>
      <c r="AD36" s="29">
        <f t="shared" si="19"/>
        <v>5.124584536440225E-2</v>
      </c>
      <c r="AE36" s="29">
        <f t="shared" si="19"/>
        <v>4.8175890391282443E-2</v>
      </c>
      <c r="AF36" s="29">
        <f t="shared" si="19"/>
        <v>0</v>
      </c>
      <c r="AG36" s="29">
        <f t="shared" si="19"/>
        <v>1.0281166048198084E-4</v>
      </c>
      <c r="AH36" s="29">
        <f t="shared" si="19"/>
        <v>0</v>
      </c>
      <c r="AI36" s="29">
        <f t="shared" si="19"/>
        <v>2.6586829396187388E-4</v>
      </c>
      <c r="AJ36" s="29">
        <f t="shared" si="20"/>
        <v>1</v>
      </c>
      <c r="AM36" s="23"/>
      <c r="AO36" s="20" t="str">
        <f t="shared" si="39"/>
        <v>MALUKU_PAPUA</v>
      </c>
      <c r="AP36" s="20">
        <f t="shared" si="40"/>
        <v>2027</v>
      </c>
      <c r="AQ36" s="25">
        <f t="shared" si="21"/>
        <v>0.21058871305436505</v>
      </c>
      <c r="AR36" s="25">
        <f t="shared" si="22"/>
        <v>0.2291999999634958</v>
      </c>
      <c r="AS36" s="25">
        <f t="shared" si="23"/>
        <v>0.32381128699666351</v>
      </c>
      <c r="AT36" s="37">
        <f t="shared" si="24"/>
        <v>0.23639999998547573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0.63579688926675715</v>
      </c>
      <c r="AZ36" s="25">
        <f t="shared" si="47"/>
        <v>0.2364</v>
      </c>
      <c r="BA36" s="24">
        <f t="shared" si="34"/>
        <v>1.397396889266757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MALUKU_PAPUA</v>
      </c>
      <c r="BL36" s="20">
        <f t="shared" si="45"/>
        <v>2027</v>
      </c>
      <c r="BM36" s="34">
        <f>proj_rukn!E130</f>
        <v>986</v>
      </c>
      <c r="BN36" s="30">
        <f t="shared" si="26"/>
        <v>1133.8999999999999</v>
      </c>
      <c r="BO36" s="30">
        <f t="shared" si="35"/>
        <v>2792.4453625841979</v>
      </c>
      <c r="BQ36" s="30">
        <f t="shared" si="27"/>
        <v>453.55999999999995</v>
      </c>
      <c r="BR36" s="30">
        <f t="shared" si="36"/>
        <v>1735.6407706163245</v>
      </c>
      <c r="BS36" s="30"/>
      <c r="BT36" s="30">
        <f t="shared" si="28"/>
        <v>226.77999999999997</v>
      </c>
      <c r="BU36" s="30">
        <f t="shared" si="37"/>
        <v>1056.8045919678739</v>
      </c>
      <c r="BW36" s="30">
        <f t="shared" si="29"/>
        <v>0.47933669788191091</v>
      </c>
      <c r="BX36" s="30">
        <f t="shared" si="38"/>
        <v>0.47021768032859246</v>
      </c>
      <c r="BZ36" s="24">
        <f t="shared" si="46"/>
        <v>7.1480701470937519E-2</v>
      </c>
      <c r="CA36" s="24">
        <f t="shared" si="30"/>
        <v>0.21677599563261743</v>
      </c>
      <c r="CF36" s="23"/>
    </row>
    <row r="37" spans="1:84" x14ac:dyDescent="0.25">
      <c r="A37" s="19"/>
      <c r="B37" s="20" t="str">
        <f t="shared" si="31"/>
        <v>MALUKU_PAPUA</v>
      </c>
      <c r="C37" s="20">
        <f t="shared" si="31"/>
        <v>2028</v>
      </c>
      <c r="D37" s="30">
        <f>(D13*(VLOOKUP(D$27,tech_data!$B$2:$O$15,6, FALSE)/100)*(1-(VLOOKUP(D$27,tech_data!$B$2:$O$15,7, FALSE)/100))*8760)/1000</f>
        <v>3262.0833812446995</v>
      </c>
      <c r="E37" s="30">
        <f>(E13*(VLOOKUP(E$27,tech_data!$B$2:$O$15,6, FALSE)/100)*(1-(VLOOKUP(E$27,tech_data!$B$2:$O$15,7, FALSE)/100))*8760)/1000</f>
        <v>11.957513843544945</v>
      </c>
      <c r="F37" s="30">
        <f>(F13*(VLOOKUP(F$27,tech_data!$B$2:$O$15,6, FALSE)/100)*(1-(VLOOKUP(F$27,tech_data!$B$2:$O$15,7, FALSE)/100))*8760)/1000</f>
        <v>3417.7549645232848</v>
      </c>
      <c r="G37" s="30">
        <f>(G13*(VLOOKUP(G$27,tech_data!$B$2:$O$15,6, FALSE)/100)*(1-(VLOOKUP(G$27,tech_data!$B$2:$O$15,7, FALSE)/100))*8760)/1000</f>
        <v>4462.8379022769232</v>
      </c>
      <c r="H37" s="30">
        <f>(H13*(VLOOKUP(H$27,tech_data!$B$2:$O$15,6, FALSE)/100)*(1-(VLOOKUP(H$27,tech_data!$B$2:$O$15,7, FALSE)/100))*8760)/1000</f>
        <v>-2.1832245118518983E-14</v>
      </c>
      <c r="I37" s="30">
        <f>(I13*(VLOOKUP(I$27,tech_data!$B$2:$O$15,6, FALSE)/100)*(1-(VLOOKUP(I$27,tech_data!$B$2:$O$15,7, FALSE)/100))*8760)/1000</f>
        <v>704.5806712032969</v>
      </c>
      <c r="J37" s="30">
        <f>(J13*(VLOOKUP(J$27,tech_data!$B$2:$O$15,6, FALSE)/100)*(1-(VLOOKUP(J$27,tech_data!$B$2:$O$15,7, FALSE)/100))*8760)/1000</f>
        <v>1181.8667480004947</v>
      </c>
      <c r="K37" s="30">
        <f>(K13*(VLOOKUP(K$27,tech_data!$B$2:$O$15,6, FALSE)/100)*(1-(VLOOKUP(K$27,tech_data!$B$2:$O$15,7, FALSE)/100))*8760)/1000</f>
        <v>771.06109706322002</v>
      </c>
      <c r="L37" s="30">
        <f>(L13*(VLOOKUP(L$27,tech_data!$B$2:$O$15,6, FALSE)/100)*(1-(VLOOKUP(L$27,tech_data!$B$2:$O$15,7, FALSE)/100))*8760)/1000</f>
        <v>855.69513645593338</v>
      </c>
      <c r="M37" s="30">
        <f>(M13*(VLOOKUP(M$27,tech_data!$B$2:$O$15,6, FALSE)/100)*(1-(VLOOKUP(M$27,tech_data!$B$2:$O$15,7, FALSE)/100))*8760)/1000</f>
        <v>0</v>
      </c>
      <c r="N37" s="30">
        <f>(N13*(VLOOKUP(N$27,tech_data!$B$2:$O$15,6, FALSE)/100)*(1-(VLOOKUP(N$27,tech_data!$B$2:$O$15,7, FALSE)/100))*8760)/1000</f>
        <v>1.5915230553194772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3.9336654465778014</v>
      </c>
      <c r="Q37" s="34">
        <f t="shared" si="17"/>
        <v>14669.42893766672</v>
      </c>
      <c r="R37" s="34">
        <f>proj_rukn!D131</f>
        <v>26027</v>
      </c>
      <c r="S37" s="35"/>
      <c r="T37" s="19"/>
      <c r="U37" s="20" t="str">
        <f t="shared" si="18"/>
        <v>MALUKU_PAPUA</v>
      </c>
      <c r="V37" s="20">
        <f t="shared" si="18"/>
        <v>2028</v>
      </c>
      <c r="W37" s="29">
        <f t="shared" si="19"/>
        <v>0.22237289502583443</v>
      </c>
      <c r="X37" s="29">
        <f t="shared" si="19"/>
        <v>8.1513151564077679E-4</v>
      </c>
      <c r="Y37" s="29">
        <f t="shared" si="19"/>
        <v>0.23298486798947632</v>
      </c>
      <c r="Z37" s="29">
        <f t="shared" si="19"/>
        <v>0.30422710531135166</v>
      </c>
      <c r="AA37" s="29">
        <f t="shared" si="19"/>
        <v>-1.4882818691367247E-18</v>
      </c>
      <c r="AB37" s="29">
        <f t="shared" si="19"/>
        <v>4.8030545305969188E-2</v>
      </c>
      <c r="AC37" s="29">
        <f t="shared" si="19"/>
        <v>8.056665007359716E-2</v>
      </c>
      <c r="AD37" s="29">
        <f t="shared" si="19"/>
        <v>5.2562448091170409E-2</v>
      </c>
      <c r="AE37" s="29">
        <f t="shared" si="19"/>
        <v>5.8331864184485285E-2</v>
      </c>
      <c r="AF37" s="29">
        <f t="shared" si="19"/>
        <v>0</v>
      </c>
      <c r="AG37" s="29">
        <f t="shared" si="19"/>
        <v>1.0849250247451149E-4</v>
      </c>
      <c r="AH37" s="29">
        <f t="shared" si="19"/>
        <v>0</v>
      </c>
      <c r="AI37" s="29">
        <f t="shared" si="19"/>
        <v>2.6815395904589861E-4</v>
      </c>
      <c r="AJ37" s="29">
        <f t="shared" si="20"/>
        <v>0.99999999999999978</v>
      </c>
      <c r="AM37" s="23"/>
      <c r="AO37" s="20" t="str">
        <f t="shared" si="39"/>
        <v>MALUKU_PAPUA</v>
      </c>
      <c r="AP37" s="20">
        <f t="shared" si="40"/>
        <v>2028</v>
      </c>
      <c r="AQ37" s="25">
        <f t="shared" si="21"/>
        <v>0.22237289502583443</v>
      </c>
      <c r="AR37" s="25">
        <f t="shared" si="22"/>
        <v>0.2337999995051171</v>
      </c>
      <c r="AS37" s="25">
        <f t="shared" si="23"/>
        <v>0.30422710531135166</v>
      </c>
      <c r="AT37" s="37">
        <f t="shared" si="24"/>
        <v>0.23960000015769653</v>
      </c>
      <c r="AU37" s="24">
        <f t="shared" si="32"/>
        <v>0.99999999999999978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0.62308095148142195</v>
      </c>
      <c r="AZ37" s="25">
        <f t="shared" si="47"/>
        <v>0.23960000000000001</v>
      </c>
      <c r="BA37" s="24">
        <f t="shared" si="34"/>
        <v>1.390480951481422</v>
      </c>
      <c r="BJ37" s="19"/>
      <c r="BK37" s="20" t="str">
        <f t="shared" si="44"/>
        <v>MALUKU_PAPUA</v>
      </c>
      <c r="BL37" s="20">
        <f t="shared" si="45"/>
        <v>2028</v>
      </c>
      <c r="BM37" s="34">
        <f>proj_rukn!E131</f>
        <v>1048</v>
      </c>
      <c r="BN37" s="30">
        <f t="shared" si="26"/>
        <v>1205.1999999999998</v>
      </c>
      <c r="BO37" s="30">
        <f t="shared" si="35"/>
        <v>2964.5605313167885</v>
      </c>
      <c r="BQ37" s="30">
        <f t="shared" si="27"/>
        <v>482.07999999999993</v>
      </c>
      <c r="BR37" s="30">
        <f t="shared" si="36"/>
        <v>1907.6801942321599</v>
      </c>
      <c r="BS37" s="30"/>
      <c r="BT37" s="30">
        <f t="shared" si="28"/>
        <v>241.03999999999996</v>
      </c>
      <c r="BU37" s="30">
        <f t="shared" si="37"/>
        <v>1056.8803370846288</v>
      </c>
      <c r="BW37" s="30">
        <f t="shared" si="29"/>
        <v>0.5281416089098534</v>
      </c>
      <c r="BX37" s="30">
        <f t="shared" si="38"/>
        <v>0.52814161069059862</v>
      </c>
      <c r="BZ37" s="24">
        <f t="shared" si="46"/>
        <v>7.5054736544484399E-2</v>
      </c>
      <c r="CA37" s="24">
        <f t="shared" si="30"/>
        <v>0.2193758266134207</v>
      </c>
      <c r="CF37" s="23"/>
    </row>
    <row r="38" spans="1:84" x14ac:dyDescent="0.25">
      <c r="A38" s="19"/>
      <c r="B38" s="20" t="str">
        <f t="shared" si="31"/>
        <v>MALUKU_PAPUA</v>
      </c>
      <c r="C38" s="20">
        <f t="shared" si="31"/>
        <v>2029</v>
      </c>
      <c r="D38" s="30">
        <f>(D14*(VLOOKUP(D$27,tech_data!$B$2:$O$15,6, FALSE)/100)*(1-(VLOOKUP(D$27,tech_data!$B$2:$O$15,7, FALSE)/100))*8760)/1000</f>
        <v>3643.3018067237426</v>
      </c>
      <c r="E38" s="30">
        <f>(E14*(VLOOKUP(E$27,tech_data!$B$2:$O$15,6, FALSE)/100)*(1-(VLOOKUP(E$27,tech_data!$B$2:$O$15,7, FALSE)/100))*8760)/1000</f>
        <v>11.957513843544945</v>
      </c>
      <c r="F38" s="30">
        <f>(F14*(VLOOKUP(F$27,tech_data!$B$2:$O$15,6, FALSE)/100)*(1-(VLOOKUP(F$27,tech_data!$B$2:$O$15,7, FALSE)/100))*8760)/1000</f>
        <v>3712.9918050187457</v>
      </c>
      <c r="G38" s="30">
        <f>(G14*(VLOOKUP(G$27,tech_data!$B$2:$O$15,6, FALSE)/100)*(1-(VLOOKUP(G$27,tech_data!$B$2:$O$15,7, FALSE)/100))*8760)/1000</f>
        <v>4462.8379022769232</v>
      </c>
      <c r="H38" s="30">
        <f>(H14*(VLOOKUP(H$27,tech_data!$B$2:$O$15,6, FALSE)/100)*(1-(VLOOKUP(H$27,tech_data!$B$2:$O$15,7, FALSE)/100))*8760)/1000</f>
        <v>0</v>
      </c>
      <c r="I38" s="30">
        <f>(I14*(VLOOKUP(I$27,tech_data!$B$2:$O$15,6, FALSE)/100)*(1-(VLOOKUP(I$27,tech_data!$B$2:$O$15,7, FALSE)/100))*8760)/1000</f>
        <v>784.20723647541274</v>
      </c>
      <c r="J38" s="30">
        <f>(J14*(VLOOKUP(J$27,tech_data!$B$2:$O$15,6, FALSE)/100)*(1-(VLOOKUP(J$27,tech_data!$B$2:$O$15,7, FALSE)/100))*8760)/1000</f>
        <v>1329.2517102343559</v>
      </c>
      <c r="K38" s="30">
        <f>(K14*(VLOOKUP(K$27,tech_data!$B$2:$O$15,6, FALSE)/100)*(1-(VLOOKUP(K$27,tech_data!$B$2:$O$15,7, FALSE)/100))*8760)/1000</f>
        <v>784.74477207215898</v>
      </c>
      <c r="L38" s="30">
        <f>(L14*(VLOOKUP(L$27,tech_data!$B$2:$O$15,6, FALSE)/100)*(1-(VLOOKUP(L$27,tech_data!$B$2:$O$15,7, FALSE)/100))*8760)/1000</f>
        <v>893.90310051623931</v>
      </c>
      <c r="M38" s="30">
        <f>(M14*(VLOOKUP(M$27,tech_data!$B$2:$O$15,6, FALSE)/100)*(1-(VLOOKUP(M$27,tech_data!$B$2:$O$15,7, FALSE)/100))*8760)/1000</f>
        <v>0</v>
      </c>
      <c r="N38" s="30">
        <f>(N14*(VLOOKUP(N$27,tech_data!$B$2:$O$15,6, FALSE)/100)*(1-(VLOOKUP(N$27,tech_data!$B$2:$O$15,7, FALSE)/100))*8760)/1000</f>
        <v>1.5915641739996373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4.1790645625822229</v>
      </c>
      <c r="Q38" s="34">
        <f t="shared" si="17"/>
        <v>15624.787411335123</v>
      </c>
      <c r="R38" s="34">
        <f>proj_rukn!D132</f>
        <v>26322</v>
      </c>
      <c r="S38" s="35"/>
      <c r="T38" s="19"/>
      <c r="U38" s="20" t="str">
        <f t="shared" si="18"/>
        <v>MALUKU_PAPUA</v>
      </c>
      <c r="V38" s="20">
        <f t="shared" si="18"/>
        <v>2029</v>
      </c>
      <c r="W38" s="29">
        <f t="shared" si="19"/>
        <v>0.23317448812651884</v>
      </c>
      <c r="X38" s="29">
        <f t="shared" si="19"/>
        <v>7.6529129829121863E-4</v>
      </c>
      <c r="Y38" s="29">
        <f t="shared" si="19"/>
        <v>0.23763470870170861</v>
      </c>
      <c r="Z38" s="29">
        <f t="shared" si="19"/>
        <v>0.2856255118734814</v>
      </c>
      <c r="AA38" s="29">
        <f t="shared" si="19"/>
        <v>0</v>
      </c>
      <c r="AB38" s="29">
        <f t="shared" si="19"/>
        <v>5.0189946002497515E-2</v>
      </c>
      <c r="AC38" s="29">
        <f t="shared" si="19"/>
        <v>8.5073266934181768E-2</v>
      </c>
      <c r="AD38" s="29">
        <f t="shared" si="19"/>
        <v>5.0224348748761846E-2</v>
      </c>
      <c r="AE38" s="29">
        <f t="shared" si="19"/>
        <v>5.721057682152849E-2</v>
      </c>
      <c r="AF38" s="29">
        <f t="shared" si="19"/>
        <v>0</v>
      </c>
      <c r="AG38" s="29">
        <f t="shared" si="19"/>
        <v>1.0186149303030036E-4</v>
      </c>
      <c r="AH38" s="29">
        <f t="shared" si="19"/>
        <v>0</v>
      </c>
      <c r="AI38" s="29">
        <f t="shared" si="19"/>
        <v>2.6746377103028542E-4</v>
      </c>
      <c r="AJ38" s="29">
        <f t="shared" si="20"/>
        <v>1</v>
      </c>
      <c r="AM38" s="23"/>
      <c r="AO38" s="20" t="str">
        <f t="shared" si="39"/>
        <v>MALUKU_PAPUA</v>
      </c>
      <c r="AP38" s="20">
        <f t="shared" si="40"/>
        <v>2029</v>
      </c>
      <c r="AQ38" s="25">
        <f t="shared" si="21"/>
        <v>0.23317448812651884</v>
      </c>
      <c r="AR38" s="25">
        <f t="shared" si="22"/>
        <v>0.23839999999999983</v>
      </c>
      <c r="AS38" s="25">
        <f t="shared" si="23"/>
        <v>0.2856255118734814</v>
      </c>
      <c r="AT38" s="37">
        <f t="shared" si="24"/>
        <v>0.2427999999999999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0.61061933245179345</v>
      </c>
      <c r="AZ38" s="25">
        <f t="shared" si="47"/>
        <v>0.24280000000000002</v>
      </c>
      <c r="BA38" s="24">
        <f t="shared" si="34"/>
        <v>1.3838193324517936</v>
      </c>
      <c r="BJ38" s="19"/>
      <c r="BK38" s="20" t="str">
        <f t="shared" si="44"/>
        <v>MALUKU_PAPUA</v>
      </c>
      <c r="BL38" s="20">
        <f t="shared" si="45"/>
        <v>2029</v>
      </c>
      <c r="BM38" s="34">
        <f>proj_rukn!E132</f>
        <v>1119.4511508358466</v>
      </c>
      <c r="BN38" s="30">
        <f t="shared" si="26"/>
        <v>1287.3688234612237</v>
      </c>
      <c r="BO38" s="30">
        <f t="shared" si="35"/>
        <v>3167.8623504325442</v>
      </c>
      <c r="BQ38" s="30">
        <f t="shared" si="27"/>
        <v>514.94752938448948</v>
      </c>
      <c r="BR38" s="30">
        <f t="shared" si="36"/>
        <v>2092.9762756969703</v>
      </c>
      <c r="BS38" s="30"/>
      <c r="BT38" s="30">
        <f t="shared" si="28"/>
        <v>257.47376469224474</v>
      </c>
      <c r="BU38" s="30">
        <f t="shared" si="37"/>
        <v>1074.8860747355736</v>
      </c>
      <c r="BW38" s="30">
        <f t="shared" si="29"/>
        <v>0.55949073666321769</v>
      </c>
      <c r="BX38" s="30">
        <f t="shared" si="38"/>
        <v>0.5281552557872855</v>
      </c>
      <c r="BZ38" s="24">
        <f t="shared" si="46"/>
        <v>7.8807473371708625E-2</v>
      </c>
      <c r="CA38" s="24">
        <f t="shared" si="30"/>
        <v>0.20685481362752003</v>
      </c>
      <c r="CF38" s="23"/>
    </row>
    <row r="39" spans="1:84" x14ac:dyDescent="0.25">
      <c r="A39" s="19"/>
      <c r="B39" s="20" t="str">
        <f t="shared" si="31"/>
        <v>MALUKU_PAPUA</v>
      </c>
      <c r="C39" s="20">
        <f t="shared" si="31"/>
        <v>2030</v>
      </c>
      <c r="D39" s="30">
        <f>(D15*(VLOOKUP(D$27,tech_data!$B$2:$O$15,6, FALSE)/100)*(1-(VLOOKUP(D$27,tech_data!$B$2:$O$15,7, FALSE)/100))*8760)/1000</f>
        <v>4047.2180272096161</v>
      </c>
      <c r="E39" s="30">
        <f>(E15*(VLOOKUP(E$27,tech_data!$B$2:$O$15,6, FALSE)/100)*(1-(VLOOKUP(E$27,tech_data!$B$2:$O$15,7, FALSE)/100))*8760)/1000</f>
        <v>11.957513843544945</v>
      </c>
      <c r="F39" s="30">
        <f>(F15*(VLOOKUP(F$27,tech_data!$B$2:$O$15,6, FALSE)/100)*(1-(VLOOKUP(F$27,tech_data!$B$2:$O$15,7, FALSE)/100))*8760)/1000</f>
        <v>4034.8988252585118</v>
      </c>
      <c r="G39" s="30">
        <f>(G15*(VLOOKUP(G$27,tech_data!$B$2:$O$15,6, FALSE)/100)*(1-(VLOOKUP(G$27,tech_data!$B$2:$O$15,7, FALSE)/100))*8760)/1000</f>
        <v>4462.8379022769232</v>
      </c>
      <c r="H39" s="30">
        <f>(H15*(VLOOKUP(H$27,tech_data!$B$2:$O$15,6, FALSE)/100)*(1-(VLOOKUP(H$27,tech_data!$B$2:$O$15,7, FALSE)/100))*8760)/1000</f>
        <v>-9.9999999040832126E-7</v>
      </c>
      <c r="I39" s="30">
        <f>(I15*(VLOOKUP(I$27,tech_data!$B$2:$O$15,6, FALSE)/100)*(1-(VLOOKUP(I$27,tech_data!$B$2:$O$15,7, FALSE)/100))*8760)/1000</f>
        <v>784.20723647541274</v>
      </c>
      <c r="J39" s="30">
        <f>(J15*(VLOOKUP(J$27,tech_data!$B$2:$O$15,6, FALSE)/100)*(1-(VLOOKUP(J$27,tech_data!$B$2:$O$15,7, FALSE)/100))*8760)/1000</f>
        <v>1609.7663474583617</v>
      </c>
      <c r="K39" s="30">
        <f>(K15*(VLOOKUP(K$27,tech_data!$B$2:$O$15,6, FALSE)/100)*(1-(VLOOKUP(K$27,tech_data!$B$2:$O$15,7, FALSE)/100))*8760)/1000</f>
        <v>807.16498844247224</v>
      </c>
      <c r="L39" s="30">
        <f>(L15*(VLOOKUP(L$27,tech_data!$B$2:$O$15,6, FALSE)/100)*(1-(VLOOKUP(L$27,tech_data!$B$2:$O$15,7, FALSE)/100))*8760)/1000</f>
        <v>893.90310205402363</v>
      </c>
      <c r="M39" s="30">
        <f>(M15*(VLOOKUP(M$27,tech_data!$B$2:$O$15,6, FALSE)/100)*(1-(VLOOKUP(M$27,tech_data!$B$2:$O$15,7, FALSE)/100))*8760)/1000</f>
        <v>0</v>
      </c>
      <c r="N39" s="30">
        <f>(N15*(VLOOKUP(N$27,tech_data!$B$2:$O$15,6, FALSE)/100)*(1-(VLOOKUP(N$27,tech_data!$B$2:$O$15,7, FALSE)/100))*8760)/1000</f>
        <v>1.7758531517302305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4.436737043688626</v>
      </c>
      <c r="Q39" s="34">
        <f t="shared" si="17"/>
        <v>16653.729795170599</v>
      </c>
      <c r="R39" s="34">
        <f>proj_rukn!D133</f>
        <v>26862</v>
      </c>
      <c r="S39" s="35"/>
      <c r="T39" s="19"/>
      <c r="U39" s="20" t="str">
        <f t="shared" si="18"/>
        <v>MALUKU_PAPUA</v>
      </c>
      <c r="V39" s="20">
        <f t="shared" si="18"/>
        <v>2030</v>
      </c>
      <c r="W39" s="29">
        <f t="shared" si="19"/>
        <v>0.24302171807682779</v>
      </c>
      <c r="X39" s="29">
        <f t="shared" si="19"/>
        <v>7.1800815736859701E-4</v>
      </c>
      <c r="Y39" s="29">
        <f t="shared" si="19"/>
        <v>0.24228199177511509</v>
      </c>
      <c r="Z39" s="29">
        <f t="shared" si="19"/>
        <v>0.26797828217262765</v>
      </c>
      <c r="AA39" s="29">
        <f t="shared" si="19"/>
        <v>-6.0046608339851312E-11</v>
      </c>
      <c r="AB39" s="29">
        <f t="shared" si="19"/>
        <v>4.7088985237578693E-2</v>
      </c>
      <c r="AC39" s="29">
        <f t="shared" si="19"/>
        <v>9.6661010311646617E-2</v>
      </c>
      <c r="AD39" s="29">
        <f t="shared" si="19"/>
        <v>4.8467520391530634E-2</v>
      </c>
      <c r="AE39" s="29">
        <f t="shared" si="19"/>
        <v>5.3675849977657612E-2</v>
      </c>
      <c r="AF39" s="29">
        <f t="shared" si="19"/>
        <v>0</v>
      </c>
      <c r="AG39" s="29">
        <f t="shared" si="19"/>
        <v>1.0663395969383439E-4</v>
      </c>
      <c r="AH39" s="29">
        <f t="shared" si="19"/>
        <v>0</v>
      </c>
      <c r="AI39" s="29">
        <f t="shared" si="19"/>
        <v>2.6641101412460961E-4</v>
      </c>
      <c r="AJ39" s="29">
        <f t="shared" si="20"/>
        <v>0.99999999999999989</v>
      </c>
      <c r="AM39" s="23"/>
      <c r="AO39" s="20" t="str">
        <f t="shared" si="39"/>
        <v>MALUKU_PAPUA</v>
      </c>
      <c r="AP39" s="20">
        <f t="shared" si="40"/>
        <v>2030</v>
      </c>
      <c r="AQ39" s="25">
        <f t="shared" si="21"/>
        <v>0.24302171807682779</v>
      </c>
      <c r="AR39" s="25">
        <f t="shared" si="22"/>
        <v>0.24299999993248367</v>
      </c>
      <c r="AS39" s="25">
        <f t="shared" si="23"/>
        <v>0.26797828217262765</v>
      </c>
      <c r="AT39" s="37">
        <f t="shared" si="24"/>
        <v>0.24599999981806078</v>
      </c>
      <c r="AU39" s="24">
        <f t="shared" si="32"/>
        <v>0.99999999999999989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0.59840694580275755</v>
      </c>
      <c r="AZ39" s="25">
        <f t="shared" si="47"/>
        <v>0.246</v>
      </c>
      <c r="BA39" s="24">
        <f t="shared" si="34"/>
        <v>1.3774069458027576</v>
      </c>
      <c r="BJ39" s="19"/>
      <c r="BK39" s="20" t="str">
        <f t="shared" si="44"/>
        <v>MALUKU_PAPUA</v>
      </c>
      <c r="BL39" s="20">
        <f t="shared" si="45"/>
        <v>2030</v>
      </c>
      <c r="BM39" s="34">
        <f>proj_rukn!E133</f>
        <v>1195.7737396065852</v>
      </c>
      <c r="BN39" s="30">
        <f t="shared" si="26"/>
        <v>1375.1398005475728</v>
      </c>
      <c r="BO39" s="30">
        <f t="shared" si="35"/>
        <v>3367.5486256240388</v>
      </c>
      <c r="BQ39" s="30">
        <f t="shared" si="27"/>
        <v>550.05592021902919</v>
      </c>
      <c r="BR39" s="30">
        <f t="shared" si="36"/>
        <v>2292.5901078329935</v>
      </c>
      <c r="BS39" s="30"/>
      <c r="BT39" s="30">
        <f t="shared" si="28"/>
        <v>275.02796010951459</v>
      </c>
      <c r="BU39" s="30">
        <f t="shared" si="37"/>
        <v>1074.9585177910456</v>
      </c>
      <c r="BW39" s="30">
        <f t="shared" si="29"/>
        <v>0.58931094818595264</v>
      </c>
      <c r="BX39" s="30">
        <f t="shared" si="38"/>
        <v>0.58931093757640129</v>
      </c>
      <c r="BZ39" s="24">
        <f t="shared" si="46"/>
        <v>8.2747847040294059E-2</v>
      </c>
      <c r="CA39" s="24">
        <f t="shared" si="30"/>
        <v>0.19702244076169406</v>
      </c>
      <c r="CF39" s="23"/>
    </row>
    <row r="40" spans="1:84" x14ac:dyDescent="0.25">
      <c r="A40" s="19"/>
      <c r="B40" s="20" t="str">
        <f t="shared" si="31"/>
        <v>MALUKU_PAPUA</v>
      </c>
      <c r="C40" s="20">
        <f t="shared" si="31"/>
        <v>2031</v>
      </c>
      <c r="D40" s="30">
        <f>(D16*(VLOOKUP(D$27,tech_data!$B$2:$O$15,6, FALSE)/100)*(1-(VLOOKUP(D$27,tech_data!$B$2:$O$15,7, FALSE)/100))*8760)/1000</f>
        <v>4475.0700430955512</v>
      </c>
      <c r="E40" s="30">
        <f>(E16*(VLOOKUP(E$27,tech_data!$B$2:$O$15,6, FALSE)/100)*(1-(VLOOKUP(E$27,tech_data!$B$2:$O$15,7, FALSE)/100))*8760)/1000</f>
        <v>11.957513843544945</v>
      </c>
      <c r="F40" s="30">
        <f>(F16*(VLOOKUP(F$27,tech_data!$B$2:$O$15,6, FALSE)/100)*(1-(VLOOKUP(F$27,tech_data!$B$2:$O$15,7, FALSE)/100))*8760)/1000</f>
        <v>4385.9479044508917</v>
      </c>
      <c r="G40" s="30">
        <f>(G16*(VLOOKUP(G$27,tech_data!$B$2:$O$15,6, FALSE)/100)*(1-(VLOOKUP(G$27,tech_data!$B$2:$O$15,7, FALSE)/100))*8760)/1000</f>
        <v>4462.8379022769232</v>
      </c>
      <c r="H40" s="30">
        <f>(H16*(VLOOKUP(H$27,tech_data!$B$2:$O$15,6, FALSE)/100)*(1-(VLOOKUP(H$27,tech_data!$B$2:$O$15,7, FALSE)/100))*8760)/1000</f>
        <v>0</v>
      </c>
      <c r="I40" s="30">
        <f>(I16*(VLOOKUP(I$27,tech_data!$B$2:$O$15,6, FALSE)/100)*(1-(VLOOKUP(I$27,tech_data!$B$2:$O$15,7, FALSE)/100))*8760)/1000</f>
        <v>895.46167686240199</v>
      </c>
      <c r="J40" s="30">
        <f>(J16*(VLOOKUP(J$27,tech_data!$B$2:$O$15,6, FALSE)/100)*(1-(VLOOKUP(J$27,tech_data!$B$2:$O$15,7, FALSE)/100))*8760)/1000</f>
        <v>1758.9877179739603</v>
      </c>
      <c r="K40" s="30">
        <f>(K16*(VLOOKUP(K$27,tech_data!$B$2:$O$15,6, FALSE)/100)*(1-(VLOOKUP(K$27,tech_data!$B$2:$O$15,7, FALSE)/100))*8760)/1000</f>
        <v>807.16498844247224</v>
      </c>
      <c r="L40" s="30">
        <f>(L16*(VLOOKUP(L$27,tech_data!$B$2:$O$15,6, FALSE)/100)*(1-(VLOOKUP(L$27,tech_data!$B$2:$O$15,7, FALSE)/100))*8760)/1000</f>
        <v>962.93460067797594</v>
      </c>
      <c r="M40" s="30">
        <f>(M16*(VLOOKUP(M$27,tech_data!$B$2:$O$15,6, FALSE)/100)*(1-(VLOOKUP(M$27,tech_data!$B$2:$O$15,7, FALSE)/100))*8760)/1000</f>
        <v>0</v>
      </c>
      <c r="N40" s="30">
        <f>(N16*(VLOOKUP(N$27,tech_data!$B$2:$O$15,6, FALSE)/100)*(1-(VLOOKUP(N$27,tech_data!$B$2:$O$15,7, FALSE)/100))*8760)/1000</f>
        <v>1.7758531517302305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4.7232071429768601</v>
      </c>
      <c r="Q40" s="34">
        <f t="shared" si="17"/>
        <v>17762.138200775451</v>
      </c>
      <c r="R40" s="34">
        <f>proj_rukn!D134</f>
        <v>27264</v>
      </c>
      <c r="S40" s="35"/>
      <c r="T40" s="19"/>
      <c r="U40" s="20" t="str">
        <f t="shared" si="18"/>
        <v>MALUKU_PAPUA</v>
      </c>
      <c r="V40" s="20">
        <f t="shared" si="18"/>
        <v>2031</v>
      </c>
      <c r="W40" s="29">
        <f t="shared" si="19"/>
        <v>0.25194433195549515</v>
      </c>
      <c r="X40" s="29">
        <f t="shared" si="19"/>
        <v>6.732023874818691E-4</v>
      </c>
      <c r="Y40" s="29">
        <f t="shared" si="19"/>
        <v>0.24692679760026931</v>
      </c>
      <c r="Z40" s="29">
        <f t="shared" si="19"/>
        <v>0.25125566819889322</v>
      </c>
      <c r="AA40" s="29">
        <f t="shared" si="19"/>
        <v>0</v>
      </c>
      <c r="AB40" s="29">
        <f t="shared" si="19"/>
        <v>5.0414069901973196E-2</v>
      </c>
      <c r="AC40" s="29">
        <f t="shared" si="19"/>
        <v>9.9030178579354103E-2</v>
      </c>
      <c r="AD40" s="29">
        <f t="shared" si="19"/>
        <v>4.5443008004927773E-2</v>
      </c>
      <c r="AE40" s="29">
        <f t="shared" si="19"/>
        <v>5.4212763677063194E-2</v>
      </c>
      <c r="AF40" s="29">
        <f t="shared" si="19"/>
        <v>0</v>
      </c>
      <c r="AG40" s="29">
        <f t="shared" si="19"/>
        <v>9.9979694542220218E-5</v>
      </c>
      <c r="AH40" s="29">
        <f t="shared" si="19"/>
        <v>0</v>
      </c>
      <c r="AI40" s="29">
        <f t="shared" si="19"/>
        <v>2.6591433360036892E-4</v>
      </c>
      <c r="AJ40" s="29">
        <f t="shared" si="20"/>
        <v>1</v>
      </c>
      <c r="AM40" s="23"/>
      <c r="AO40" s="20" t="str">
        <f t="shared" si="39"/>
        <v>MALUKU_PAPUA</v>
      </c>
      <c r="AP40" s="20">
        <f t="shared" si="40"/>
        <v>2031</v>
      </c>
      <c r="AQ40" s="25">
        <f t="shared" si="21"/>
        <v>0.25194433195549515</v>
      </c>
      <c r="AR40" s="25">
        <f t="shared" si="22"/>
        <v>0.24759999998775117</v>
      </c>
      <c r="AS40" s="25">
        <f t="shared" si="23"/>
        <v>0.25125566819889322</v>
      </c>
      <c r="AT40" s="37">
        <f t="shared" si="24"/>
        <v>0.24919999985786051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0.58643880688670236</v>
      </c>
      <c r="AZ40" s="25">
        <f t="shared" si="47"/>
        <v>0.2492</v>
      </c>
      <c r="BA40" s="24">
        <f t="shared" si="34"/>
        <v>1.3712388068867023</v>
      </c>
      <c r="BJ40" s="19"/>
      <c r="BK40" s="20" t="str">
        <f t="shared" si="44"/>
        <v>MALUKU_PAPUA</v>
      </c>
      <c r="BL40" s="20">
        <f t="shared" si="45"/>
        <v>2031</v>
      </c>
      <c r="BM40" s="34">
        <f>proj_rukn!E134</f>
        <v>1277.2998940285074</v>
      </c>
      <c r="BN40" s="30">
        <f t="shared" si="26"/>
        <v>1468.8948781327833</v>
      </c>
      <c r="BO40" s="30">
        <f t="shared" si="35"/>
        <v>3607.7705028892519</v>
      </c>
      <c r="BQ40" s="30">
        <f t="shared" si="27"/>
        <v>587.5579512531134</v>
      </c>
      <c r="BR40" s="30">
        <f t="shared" si="36"/>
        <v>2507.6701795892918</v>
      </c>
      <c r="BS40" s="30"/>
      <c r="BT40" s="30">
        <f t="shared" si="28"/>
        <v>293.7789756265567</v>
      </c>
      <c r="BU40" s="30">
        <f t="shared" si="37"/>
        <v>1100.1003232999601</v>
      </c>
      <c r="BW40" s="30">
        <f t="shared" si="29"/>
        <v>0.62566928800793553</v>
      </c>
      <c r="BX40" s="30">
        <f t="shared" si="38"/>
        <v>0.58931093757640129</v>
      </c>
      <c r="BZ40" s="24">
        <f t="shared" si="46"/>
        <v>8.6885239392308772E-2</v>
      </c>
      <c r="CA40" s="24">
        <f t="shared" si="30"/>
        <v>0.18235556994722193</v>
      </c>
      <c r="CF40" s="23"/>
    </row>
    <row r="41" spans="1:84" x14ac:dyDescent="0.25">
      <c r="A41" s="19"/>
      <c r="B41" s="20" t="str">
        <f t="shared" si="31"/>
        <v>MALUKU_PAPUA</v>
      </c>
      <c r="C41" s="20">
        <f t="shared" si="31"/>
        <v>2032</v>
      </c>
      <c r="D41" s="30">
        <f>(D17*(VLOOKUP(D$27,tech_data!$B$2:$O$15,6, FALSE)/100)*(1-(VLOOKUP(D$27,tech_data!$B$2:$O$15,7, FALSE)/100))*8760)/1000</f>
        <v>4928.1521118588007</v>
      </c>
      <c r="E41" s="30">
        <f>(E17*(VLOOKUP(E$27,tech_data!$B$2:$O$15,6, FALSE)/100)*(1-(VLOOKUP(E$27,tech_data!$B$2:$O$15,7, FALSE)/100))*8760)/1000</f>
        <v>11.957513843544945</v>
      </c>
      <c r="F41" s="30">
        <f>(F17*(VLOOKUP(F$27,tech_data!$B$2:$O$15,6, FALSE)/100)*(1-(VLOOKUP(F$27,tech_data!$B$2:$O$15,7, FALSE)/100))*8760)/1000</f>
        <v>4768.8411930021502</v>
      </c>
      <c r="G41" s="30">
        <f>(G17*(VLOOKUP(G$27,tech_data!$B$2:$O$15,6, FALSE)/100)*(1-(VLOOKUP(G$27,tech_data!$B$2:$O$15,7, FALSE)/100))*8760)/1000</f>
        <v>4462.8379022769232</v>
      </c>
      <c r="H41" s="30">
        <f>(H17*(VLOOKUP(H$27,tech_data!$B$2:$O$15,6, FALSE)/100)*(1-(VLOOKUP(H$27,tech_data!$B$2:$O$15,7, FALSE)/100))*8760)/1000</f>
        <v>-2.1832171430877143E-14</v>
      </c>
      <c r="I41" s="30">
        <f>(I17*(VLOOKUP(I$27,tech_data!$B$2:$O$15,6, FALSE)/100)*(1-(VLOOKUP(I$27,tech_data!$B$2:$O$15,7, FALSE)/100))*8760)/1000</f>
        <v>895.4732622889718</v>
      </c>
      <c r="J41" s="30">
        <f>(J17*(VLOOKUP(J$27,tech_data!$B$2:$O$15,6, FALSE)/100)*(1-(VLOOKUP(J$27,tech_data!$B$2:$O$15,7, FALSE)/100))*8760)/1000</f>
        <v>2083.1034210958765</v>
      </c>
      <c r="K41" s="30">
        <f>(K17*(VLOOKUP(K$27,tech_data!$B$2:$O$15,6, FALSE)/100)*(1-(VLOOKUP(K$27,tech_data!$B$2:$O$15,7, FALSE)/100))*8760)/1000</f>
        <v>808.78454962155672</v>
      </c>
      <c r="L41" s="30">
        <f>(L17*(VLOOKUP(L$27,tech_data!$B$2:$O$15,6, FALSE)/100)*(1-(VLOOKUP(L$27,tech_data!$B$2:$O$15,7, FALSE)/100))*8760)/1000</f>
        <v>995.30222698101772</v>
      </c>
      <c r="M41" s="30">
        <f>(M17*(VLOOKUP(M$27,tech_data!$B$2:$O$15,6, FALSE)/100)*(1-(VLOOKUP(M$27,tech_data!$B$2:$O$15,7, FALSE)/100))*8760)/1000</f>
        <v>0</v>
      </c>
      <c r="N41" s="30">
        <f>(N17*(VLOOKUP(N$27,tech_data!$B$2:$O$15,6, FALSE)/100)*(1-(VLOOKUP(N$27,tech_data!$B$2:$O$15,7, FALSE)/100))*8760)/1000</f>
        <v>1.9265236450102301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5.0238478580219601</v>
      </c>
      <c r="Q41" s="34">
        <f t="shared" si="17"/>
        <v>18956.37870461385</v>
      </c>
      <c r="R41" s="34">
        <f>proj_rukn!D135</f>
        <v>27712</v>
      </c>
      <c r="S41" s="35"/>
      <c r="T41" s="19"/>
      <c r="U41" s="20" t="str">
        <f t="shared" si="18"/>
        <v>MALUKU_PAPUA</v>
      </c>
      <c r="V41" s="20">
        <f t="shared" si="18"/>
        <v>2032</v>
      </c>
      <c r="W41" s="29">
        <f t="shared" si="19"/>
        <v>0.25997328860386837</v>
      </c>
      <c r="X41" s="29">
        <f t="shared" si="19"/>
        <v>6.3079104030742798E-4</v>
      </c>
      <c r="Y41" s="29">
        <f t="shared" si="19"/>
        <v>0.25156920883003081</v>
      </c>
      <c r="Z41" s="29">
        <f t="shared" si="19"/>
        <v>0.23542671160028575</v>
      </c>
      <c r="AA41" s="29">
        <f t="shared" si="19"/>
        <v>-1.15170580684608E-18</v>
      </c>
      <c r="AB41" s="29">
        <f t="shared" si="19"/>
        <v>4.7238624857764623E-2</v>
      </c>
      <c r="AC41" s="29">
        <f t="shared" si="19"/>
        <v>0.10988931238163456</v>
      </c>
      <c r="AD41" s="29">
        <f t="shared" si="19"/>
        <v>4.2665561931652288E-2</v>
      </c>
      <c r="AE41" s="29">
        <f t="shared" si="19"/>
        <v>5.2504871446716145E-2</v>
      </c>
      <c r="AF41" s="29">
        <f t="shared" si="19"/>
        <v>0</v>
      </c>
      <c r="AG41" s="29">
        <f t="shared" si="19"/>
        <v>1.0162930774016072E-4</v>
      </c>
      <c r="AH41" s="29">
        <f t="shared" si="19"/>
        <v>0</v>
      </c>
      <c r="AI41" s="29">
        <f t="shared" si="19"/>
        <v>2.6502149679037543E-4</v>
      </c>
      <c r="AJ41" s="29">
        <f t="shared" si="20"/>
        <v>1.0000000000000002</v>
      </c>
      <c r="AM41" s="23"/>
      <c r="AO41" s="20" t="str">
        <f t="shared" si="39"/>
        <v>MALUKU_PAPUA</v>
      </c>
      <c r="AP41" s="20">
        <f t="shared" si="40"/>
        <v>2032</v>
      </c>
      <c r="AQ41" s="25">
        <f t="shared" si="21"/>
        <v>0.25997328860386837</v>
      </c>
      <c r="AR41" s="25">
        <f t="shared" si="22"/>
        <v>0.2521999998703382</v>
      </c>
      <c r="AS41" s="25">
        <f t="shared" si="23"/>
        <v>0.23542671160028575</v>
      </c>
      <c r="AT41" s="37">
        <f t="shared" si="24"/>
        <v>0.25239999992550782</v>
      </c>
      <c r="AU41" s="24">
        <f t="shared" si="32"/>
        <v>1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0.57471003074896831</v>
      </c>
      <c r="AZ41" s="25">
        <f t="shared" si="47"/>
        <v>0.25240000000000001</v>
      </c>
      <c r="BA41" s="24">
        <f t="shared" si="34"/>
        <v>1.3653100307489683</v>
      </c>
      <c r="BJ41" s="19"/>
      <c r="BK41" s="20" t="str">
        <f t="shared" si="44"/>
        <v>MALUKU_PAPUA</v>
      </c>
      <c r="BL41" s="20">
        <f t="shared" si="45"/>
        <v>2032</v>
      </c>
      <c r="BM41" s="34">
        <f>proj_rukn!E135</f>
        <v>1364.3843858136618</v>
      </c>
      <c r="BN41" s="30">
        <f t="shared" si="26"/>
        <v>1569.042043685711</v>
      </c>
      <c r="BO41" s="30">
        <f t="shared" si="35"/>
        <v>3839.647242694653</v>
      </c>
      <c r="BQ41" s="30">
        <f t="shared" si="27"/>
        <v>627.6168174742844</v>
      </c>
      <c r="BR41" s="30">
        <f t="shared" si="36"/>
        <v>2739.4597863381605</v>
      </c>
      <c r="BS41" s="30"/>
      <c r="BT41" s="30">
        <f t="shared" si="28"/>
        <v>313.8084087371422</v>
      </c>
      <c r="BU41" s="30">
        <f t="shared" si="37"/>
        <v>1100.1874563564925</v>
      </c>
      <c r="BW41" s="30">
        <f t="shared" si="29"/>
        <v>0.65877680517920945</v>
      </c>
      <c r="BX41" s="30">
        <f t="shared" si="38"/>
        <v>0.63931043757640127</v>
      </c>
      <c r="BZ41" s="24">
        <f t="shared" si="46"/>
        <v>9.1229501361924217E-2</v>
      </c>
      <c r="CA41" s="24">
        <f t="shared" si="30"/>
        <v>0.16903946887577023</v>
      </c>
      <c r="CF41" s="23"/>
    </row>
    <row r="42" spans="1:84" x14ac:dyDescent="0.25">
      <c r="A42" s="19"/>
      <c r="B42" s="20" t="str">
        <f t="shared" si="31"/>
        <v>MALUKU_PAPUA</v>
      </c>
      <c r="C42" s="20">
        <f t="shared" si="31"/>
        <v>2033</v>
      </c>
      <c r="D42" s="30">
        <f>(D18*(VLOOKUP(D$27,tech_data!$B$2:$O$15,6, FALSE)/100)*(1-(VLOOKUP(D$27,tech_data!$B$2:$O$15,7, FALSE)/100))*8760)/1000</f>
        <v>5407.8159147031611</v>
      </c>
      <c r="E42" s="30">
        <f>(E18*(VLOOKUP(E$27,tech_data!$B$2:$O$15,6, FALSE)/100)*(1-(VLOOKUP(E$27,tech_data!$B$2:$O$15,7, FALSE)/100))*8760)/1000</f>
        <v>11.957513843544945</v>
      </c>
      <c r="F42" s="30">
        <f>(F18*(VLOOKUP(F$27,tech_data!$B$2:$O$15,6, FALSE)/100)*(1-(VLOOKUP(F$27,tech_data!$B$2:$O$15,7, FALSE)/100))*8760)/1000</f>
        <v>5186.5328452481208</v>
      </c>
      <c r="G42" s="30">
        <f>(G18*(VLOOKUP(G$27,tech_data!$B$2:$O$15,6, FALSE)/100)*(1-(VLOOKUP(G$27,tech_data!$B$2:$O$15,7, FALSE)/100))*8760)/1000</f>
        <v>4462.8379022769232</v>
      </c>
      <c r="H42" s="30">
        <f>(H18*(VLOOKUP(H$27,tech_data!$B$2:$O$15,6, FALSE)/100)*(1-(VLOOKUP(H$27,tech_data!$B$2:$O$15,7, FALSE)/100))*8760)/1000</f>
        <v>-9.9999999494995437E-7</v>
      </c>
      <c r="I42" s="30">
        <f>(I18*(VLOOKUP(I$27,tech_data!$B$2:$O$15,6, FALSE)/100)*(1-(VLOOKUP(I$27,tech_data!$B$2:$O$15,7, FALSE)/100))*8760)/1000</f>
        <v>924.22331182273183</v>
      </c>
      <c r="J42" s="30">
        <f>(J18*(VLOOKUP(J$27,tech_data!$B$2:$O$15,6, FALSE)/100)*(1-(VLOOKUP(J$27,tech_data!$B$2:$O$15,7, FALSE)/100))*8760)/1000</f>
        <v>2416.4200910123677</v>
      </c>
      <c r="K42" s="30">
        <f>(K18*(VLOOKUP(K$27,tech_data!$B$2:$O$15,6, FALSE)/100)*(1-(VLOOKUP(K$27,tech_data!$B$2:$O$15,7, FALSE)/100))*8760)/1000</f>
        <v>808.8766953255091</v>
      </c>
      <c r="L42" s="30">
        <f>(L18*(VLOOKUP(L$27,tech_data!$B$2:$O$15,6, FALSE)/100)*(1-(VLOOKUP(L$27,tech_data!$B$2:$O$15,7, FALSE)/100))*8760)/1000</f>
        <v>1022.5849359091612</v>
      </c>
      <c r="M42" s="30">
        <f>(M18*(VLOOKUP(M$27,tech_data!$B$2:$O$15,6, FALSE)/100)*(1-(VLOOKUP(M$27,tech_data!$B$2:$O$15,7, FALSE)/100))*8760)/1000</f>
        <v>0</v>
      </c>
      <c r="N42" s="30">
        <f>(N18*(VLOOKUP(N$27,tech_data!$B$2:$O$15,6, FALSE)/100)*(1-(VLOOKUP(N$27,tech_data!$B$2:$O$15,7, FALSE)/100))*8760)/1000</f>
        <v>2.093314003685995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5.345989638471095</v>
      </c>
      <c r="Q42" s="34">
        <f t="shared" si="17"/>
        <v>20243.342523145209</v>
      </c>
      <c r="R42" s="34">
        <f>proj_rukn!D136</f>
        <v>28120</v>
      </c>
      <c r="S42" s="35"/>
      <c r="T42" s="19"/>
      <c r="U42" s="20" t="str">
        <f t="shared" si="18"/>
        <v>MALUKU_PAPUA</v>
      </c>
      <c r="V42" s="20">
        <f t="shared" si="18"/>
        <v>2033</v>
      </c>
      <c r="W42" s="29">
        <f t="shared" si="19"/>
        <v>0.26714046400786529</v>
      </c>
      <c r="X42" s="29">
        <f t="shared" si="19"/>
        <v>5.9068870814557085E-4</v>
      </c>
      <c r="Y42" s="29">
        <f t="shared" si="19"/>
        <v>0.25620931124976531</v>
      </c>
      <c r="Z42" s="29">
        <f t="shared" si="19"/>
        <v>0.22045953612523925</v>
      </c>
      <c r="AA42" s="29">
        <f t="shared" si="19"/>
        <v>-4.9398956412786335E-11</v>
      </c>
      <c r="AB42" s="29">
        <f t="shared" si="19"/>
        <v>4.5655667326975367E-2</v>
      </c>
      <c r="AC42" s="29">
        <f t="shared" si="19"/>
        <v>0.11936863135371818</v>
      </c>
      <c r="AD42" s="29">
        <f t="shared" si="19"/>
        <v>3.9957664817491509E-2</v>
      </c>
      <c r="AE42" s="29">
        <f t="shared" si="19"/>
        <v>5.0514628932449748E-2</v>
      </c>
      <c r="AF42" s="29">
        <f t="shared" si="19"/>
        <v>0</v>
      </c>
      <c r="AG42" s="29">
        <f t="shared" si="19"/>
        <v>1.0340752774857246E-4</v>
      </c>
      <c r="AH42" s="29">
        <f t="shared" si="19"/>
        <v>0</v>
      </c>
      <c r="AI42" s="29">
        <f t="shared" si="19"/>
        <v>2.640863104676889E-4</v>
      </c>
      <c r="AJ42" s="29">
        <f t="shared" si="20"/>
        <v>0.99999999999999989</v>
      </c>
      <c r="AM42" s="23"/>
      <c r="AO42" s="20" t="str">
        <f t="shared" si="39"/>
        <v>MALUKU_PAPUA</v>
      </c>
      <c r="AP42" s="20">
        <f t="shared" si="40"/>
        <v>2033</v>
      </c>
      <c r="AQ42" s="25">
        <f t="shared" si="21"/>
        <v>0.26714046400786529</v>
      </c>
      <c r="AR42" s="25">
        <f t="shared" si="22"/>
        <v>0.25679999995791092</v>
      </c>
      <c r="AS42" s="25">
        <f t="shared" si="23"/>
        <v>0.22045953612523925</v>
      </c>
      <c r="AT42" s="37">
        <f t="shared" si="24"/>
        <v>0.25559999990898447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0.5632158301339889</v>
      </c>
      <c r="AZ42" s="25">
        <f t="shared" si="47"/>
        <v>0.25559999999999999</v>
      </c>
      <c r="BA42" s="24">
        <f t="shared" si="34"/>
        <v>1.3596158301339889</v>
      </c>
      <c r="BJ42" s="19"/>
      <c r="BK42" s="20" t="str">
        <f t="shared" si="44"/>
        <v>MALUKU_PAPUA</v>
      </c>
      <c r="BL42" s="20">
        <f t="shared" si="45"/>
        <v>2033</v>
      </c>
      <c r="BM42" s="34">
        <f>proj_rukn!E136</f>
        <v>1457.4061745053086</v>
      </c>
      <c r="BN42" s="30">
        <f t="shared" si="26"/>
        <v>1676.0171006811047</v>
      </c>
      <c r="BO42" s="30">
        <f t="shared" si="35"/>
        <v>4096.0594089493625</v>
      </c>
      <c r="BQ42" s="30">
        <f t="shared" si="27"/>
        <v>670.40684027244197</v>
      </c>
      <c r="BR42" s="30">
        <f t="shared" si="36"/>
        <v>2989.3051247274152</v>
      </c>
      <c r="BS42" s="30"/>
      <c r="BT42" s="30">
        <f t="shared" si="28"/>
        <v>335.20342013622098</v>
      </c>
      <c r="BU42" s="30">
        <f t="shared" si="37"/>
        <v>1106.7542842219482</v>
      </c>
      <c r="BW42" s="30">
        <f t="shared" si="29"/>
        <v>0.69465924160712178</v>
      </c>
      <c r="BX42" s="30">
        <f t="shared" si="38"/>
        <v>0.69465926107239406</v>
      </c>
      <c r="BZ42" s="24">
        <f t="shared" si="46"/>
        <v>9.5790976430020436E-2</v>
      </c>
      <c r="CA42" s="24">
        <f t="shared" si="30"/>
        <v>0.15632889214287898</v>
      </c>
      <c r="CF42" s="23"/>
    </row>
    <row r="43" spans="1:84" x14ac:dyDescent="0.25">
      <c r="A43" s="19"/>
      <c r="B43" s="20" t="str">
        <f t="shared" si="31"/>
        <v>MALUKU_PAPUA</v>
      </c>
      <c r="C43" s="20">
        <f t="shared" si="31"/>
        <v>2034</v>
      </c>
      <c r="D43" s="30">
        <f>(D19*(VLOOKUP(D$27,tech_data!$B$2:$O$15,6, FALSE)/100)*(1-(VLOOKUP(D$27,tech_data!$B$2:$O$15,7, FALSE)/100))*8760)/1000</f>
        <v>5915.4715689489321</v>
      </c>
      <c r="E43" s="30">
        <f>(E19*(VLOOKUP(E$27,tech_data!$B$2:$O$15,6, FALSE)/100)*(1-(VLOOKUP(E$27,tech_data!$B$2:$O$15,7, FALSE)/100))*8760)/1000</f>
        <v>11.957510854161255</v>
      </c>
      <c r="F43" s="30">
        <f>(F19*(VLOOKUP(F$27,tech_data!$B$2:$O$15,6, FALSE)/100)*(1-(VLOOKUP(F$27,tech_data!$B$2:$O$15,7, FALSE)/100))*8760)/1000</f>
        <v>5642.2527762079908</v>
      </c>
      <c r="G43" s="30">
        <f>(G19*(VLOOKUP(G$27,tech_data!$B$2:$O$15,6, FALSE)/100)*(1-(VLOOKUP(G$27,tech_data!$B$2:$O$15,7, FALSE)/100))*8760)/1000</f>
        <v>4462.8379022769232</v>
      </c>
      <c r="H43" s="30">
        <f>(H19*(VLOOKUP(H$27,tech_data!$B$2:$O$15,6, FALSE)/100)*(1-(VLOOKUP(H$27,tech_data!$B$2:$O$15,7, FALSE)/100))*8760)/1000</f>
        <v>0</v>
      </c>
      <c r="I43" s="30">
        <f>(I19*(VLOOKUP(I$27,tech_data!$B$2:$O$15,6, FALSE)/100)*(1-(VLOOKUP(I$27,tech_data!$B$2:$O$15,7, FALSE)/100))*8760)/1000</f>
        <v>1052.0973129668996</v>
      </c>
      <c r="J43" s="30">
        <f>(J19*(VLOOKUP(J$27,tech_data!$B$2:$O$15,6, FALSE)/100)*(1-(VLOOKUP(J$27,tech_data!$B$2:$O$15,7, FALSE)/100))*8760)/1000</f>
        <v>2547.9499762334713</v>
      </c>
      <c r="K43" s="30">
        <f>(K19*(VLOOKUP(K$27,tech_data!$B$2:$O$15,6, FALSE)/100)*(1-(VLOOKUP(K$27,tech_data!$B$2:$O$15,7, FALSE)/100))*8760)/1000</f>
        <v>809.6065070226</v>
      </c>
      <c r="L43" s="30">
        <f>(L19*(VLOOKUP(L$27,tech_data!$B$2:$O$15,6, FALSE)/100)*(1-(VLOOKUP(L$27,tech_data!$B$2:$O$15,7, FALSE)/100))*8760)/1000</f>
        <v>1186.0732317468621</v>
      </c>
      <c r="M43" s="30">
        <f>(M19*(VLOOKUP(M$27,tech_data!$B$2:$O$15,6, FALSE)/100)*(1-(VLOOKUP(M$27,tech_data!$B$2:$O$15,7, FALSE)/100))*8760)/1000</f>
        <v>0</v>
      </c>
      <c r="N43" s="30">
        <f>(N19*(VLOOKUP(N$27,tech_data!$B$2:$O$15,6, FALSE)/100)*(1-(VLOOKUP(N$27,tech_data!$B$2:$O$15,7, FALSE)/100))*8760)/1000</f>
        <v>2.243983211306253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5.7200281778375164</v>
      </c>
      <c r="Q43" s="34">
        <f t="shared" si="17"/>
        <v>21630.490769469143</v>
      </c>
      <c r="R43" s="34">
        <f>proj_rukn!D137</f>
        <v>28697</v>
      </c>
      <c r="S43" s="35"/>
      <c r="T43" s="19"/>
      <c r="U43" s="20" t="str">
        <f t="shared" si="18"/>
        <v>MALUKU_PAPUA</v>
      </c>
      <c r="V43" s="20">
        <f t="shared" si="18"/>
        <v>2034</v>
      </c>
      <c r="W43" s="29">
        <f t="shared" si="19"/>
        <v>0.27347837975541739</v>
      </c>
      <c r="X43" s="29">
        <f t="shared" si="19"/>
        <v>5.5280811617270189E-4</v>
      </c>
      <c r="Y43" s="29">
        <f t="shared" si="19"/>
        <v>0.26084719188026373</v>
      </c>
      <c r="Z43" s="29">
        <f t="shared" si="19"/>
        <v>0.20632162024618042</v>
      </c>
      <c r="AA43" s="29">
        <f t="shared" si="19"/>
        <v>0</v>
      </c>
      <c r="AB43" s="29">
        <f t="shared" si="19"/>
        <v>4.863954887477203E-2</v>
      </c>
      <c r="AC43" s="29">
        <f t="shared" si="19"/>
        <v>0.11779436737652917</v>
      </c>
      <c r="AD43" s="29">
        <f t="shared" si="19"/>
        <v>3.7428947667028332E-2</v>
      </c>
      <c r="AE43" s="29">
        <f t="shared" si="19"/>
        <v>5.4833394414747751E-2</v>
      </c>
      <c r="AF43" s="29">
        <f t="shared" si="19"/>
        <v>0</v>
      </c>
      <c r="AG43" s="29">
        <f t="shared" si="19"/>
        <v>1.0374166888869554E-4</v>
      </c>
      <c r="AH43" s="29">
        <f t="shared" si="19"/>
        <v>0</v>
      </c>
      <c r="AI43" s="29">
        <f t="shared" si="19"/>
        <v>2.6444282928204211E-4</v>
      </c>
      <c r="AJ43" s="29">
        <f t="shared" si="20"/>
        <v>1.0000000000000002</v>
      </c>
      <c r="AM43" s="23"/>
      <c r="AO43" s="20" t="str">
        <f t="shared" si="39"/>
        <v>MALUKU_PAPUA</v>
      </c>
      <c r="AP43" s="20">
        <f t="shared" si="40"/>
        <v>2034</v>
      </c>
      <c r="AQ43" s="25">
        <f t="shared" si="21"/>
        <v>0.27347837975541739</v>
      </c>
      <c r="AR43" s="25">
        <f t="shared" si="22"/>
        <v>0.26139999999643643</v>
      </c>
      <c r="AS43" s="25">
        <f t="shared" si="23"/>
        <v>0.20632162024618042</v>
      </c>
      <c r="AT43" s="37">
        <f t="shared" si="24"/>
        <v>0.25880000000196596</v>
      </c>
      <c r="AU43" s="24">
        <f t="shared" si="32"/>
        <v>1.0000000000000002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0.55195151353130911</v>
      </c>
      <c r="AZ43" s="25">
        <f t="shared" si="47"/>
        <v>0.25880000000000003</v>
      </c>
      <c r="BA43" s="24">
        <f t="shared" si="34"/>
        <v>1.3541515135313089</v>
      </c>
      <c r="BJ43" s="19"/>
      <c r="BK43" s="20" t="str">
        <f t="shared" si="44"/>
        <v>MALUKU_PAPUA</v>
      </c>
      <c r="BL43" s="20">
        <f t="shared" si="45"/>
        <v>2034</v>
      </c>
      <c r="BM43" s="34">
        <f>proj_rukn!E137</f>
        <v>1556.7700565698819</v>
      </c>
      <c r="BN43" s="30">
        <f t="shared" si="26"/>
        <v>1790.285565055364</v>
      </c>
      <c r="BO43" s="30">
        <f t="shared" si="35"/>
        <v>4394.3285296004096</v>
      </c>
      <c r="BQ43" s="30">
        <f t="shared" si="27"/>
        <v>716.11422602214566</v>
      </c>
      <c r="BR43" s="30">
        <f t="shared" si="36"/>
        <v>3258.6640856931472</v>
      </c>
      <c r="BS43" s="30"/>
      <c r="BT43" s="30">
        <f t="shared" si="28"/>
        <v>358.05711301107283</v>
      </c>
      <c r="BU43" s="30">
        <f t="shared" si="37"/>
        <v>1135.6644439072627</v>
      </c>
      <c r="BW43" s="30">
        <f t="shared" si="29"/>
        <v>0.74697435024353021</v>
      </c>
      <c r="BX43" s="30">
        <f t="shared" si="38"/>
        <v>0.74465833443050244</v>
      </c>
      <c r="BZ43" s="24">
        <f t="shared" si="46"/>
        <v>0.10058052525152146</v>
      </c>
      <c r="CA43" s="24">
        <f t="shared" si="30"/>
        <v>0.14462499098432771</v>
      </c>
      <c r="CF43" s="23"/>
    </row>
    <row r="44" spans="1:84" x14ac:dyDescent="0.25">
      <c r="A44" s="19"/>
      <c r="B44" s="20" t="str">
        <f t="shared" si="31"/>
        <v>MALUKU_PAPUA</v>
      </c>
      <c r="C44" s="20">
        <f t="shared" si="31"/>
        <v>2035</v>
      </c>
      <c r="D44" s="30">
        <f>(D20*(VLOOKUP(D$27,tech_data!$B$2:$O$15,6, FALSE)/100)*(1-(VLOOKUP(D$27,tech_data!$B$2:$O$15,7, FALSE)/100))*8760)/1000</f>
        <v>6467.3083107453958</v>
      </c>
      <c r="E44" s="30">
        <f>(E20*(VLOOKUP(E$27,tech_data!$B$2:$O$15,6, FALSE)/100)*(1-(VLOOKUP(E$27,tech_data!$B$2:$O$15,7, FALSE)/100))*8760)/1000</f>
        <v>11.95750786477757</v>
      </c>
      <c r="F44" s="30">
        <f>(F20*(VLOOKUP(F$27,tech_data!$B$2:$O$15,6, FALSE)/100)*(1-(VLOOKUP(F$27,tech_data!$B$2:$O$15,7, FALSE)/100))*8760)/1000</f>
        <v>6103.8731874737259</v>
      </c>
      <c r="G44" s="30">
        <f>(G20*(VLOOKUP(G$27,tech_data!$B$2:$O$15,6, FALSE)/100)*(1-(VLOOKUP(G$27,tech_data!$B$2:$O$15,7, FALSE)/100))*8760)/1000</f>
        <v>4462.8379022769232</v>
      </c>
      <c r="H44" s="30">
        <f>(H20*(VLOOKUP(H$27,tech_data!$B$2:$O$15,6, FALSE)/100)*(1-(VLOOKUP(H$27,tech_data!$B$2:$O$15,7, FALSE)/100))*8760)/1000</f>
        <v>-9.999999846448086E-7</v>
      </c>
      <c r="I44" s="30">
        <f>(I20*(VLOOKUP(I$27,tech_data!$B$2:$O$15,6, FALSE)/100)*(1-(VLOOKUP(I$27,tech_data!$B$2:$O$15,7, FALSE)/100))*8760)/1000</f>
        <v>1088.8736074321596</v>
      </c>
      <c r="J44" s="30">
        <f>(J20*(VLOOKUP(J$27,tech_data!$B$2:$O$15,6, FALSE)/100)*(1-(VLOOKUP(J$27,tech_data!$B$2:$O$15,7, FALSE)/100))*8760)/1000</f>
        <v>2964.6316148960377</v>
      </c>
      <c r="K44" s="30">
        <f>(K20*(VLOOKUP(K$27,tech_data!$B$2:$O$15,6, FALSE)/100)*(1-(VLOOKUP(K$27,tech_data!$B$2:$O$15,7, FALSE)/100))*8760)/1000</f>
        <v>809.6065070226</v>
      </c>
      <c r="L44" s="30">
        <f>(L20*(VLOOKUP(L$27,tech_data!$B$2:$O$15,6, FALSE)/100)*(1-(VLOOKUP(L$27,tech_data!$B$2:$O$15,7, FALSE)/100))*8760)/1000</f>
        <v>1186.0732317468621</v>
      </c>
      <c r="M44" s="30">
        <f>(M20*(VLOOKUP(M$27,tech_data!$B$2:$O$15,6, FALSE)/100)*(1-(VLOOKUP(M$27,tech_data!$B$2:$O$15,7, FALSE)/100))*8760)/1000</f>
        <v>0</v>
      </c>
      <c r="N44" s="30">
        <f>(N20*(VLOOKUP(N$27,tech_data!$B$2:$O$15,6, FALSE)/100)*(1-(VLOOKUP(N$27,tech_data!$B$2:$O$15,7, FALSE)/100))*8760)/1000</f>
        <v>2.3678307620673333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6.0810177293488508</v>
      </c>
      <c r="Q44" s="34">
        <f t="shared" si="17"/>
        <v>23097.529699220551</v>
      </c>
      <c r="R44" s="34">
        <f>proj_rukn!D138</f>
        <v>29236</v>
      </c>
      <c r="S44" s="35"/>
      <c r="T44" s="19"/>
      <c r="U44" s="20" t="str">
        <f t="shared" si="18"/>
        <v>MALUKU_PAPUA</v>
      </c>
      <c r="V44" s="20">
        <f t="shared" si="18"/>
        <v>2035</v>
      </c>
      <c r="W44" s="29">
        <f t="shared" si="19"/>
        <v>0.2799999997819525</v>
      </c>
      <c r="X44" s="29">
        <f t="shared" si="19"/>
        <v>5.1769639526347646E-4</v>
      </c>
      <c r="Y44" s="29">
        <f t="shared" si="19"/>
        <v>0.26426519489137001</v>
      </c>
      <c r="Z44" s="29">
        <f t="shared" si="19"/>
        <v>0.19321710851301668</v>
      </c>
      <c r="AA44" s="29">
        <f t="shared" si="19"/>
        <v>-4.329467253281872E-11</v>
      </c>
      <c r="AB44" s="29">
        <f t="shared" si="19"/>
        <v>4.7142426987285338E-2</v>
      </c>
      <c r="AC44" s="29">
        <f t="shared" si="19"/>
        <v>0.12835275691824663</v>
      </c>
      <c r="AD44" s="29">
        <f t="shared" si="19"/>
        <v>3.5051649140207447E-2</v>
      </c>
      <c r="AE44" s="29">
        <f t="shared" si="19"/>
        <v>5.1350652956921504E-2</v>
      </c>
      <c r="AF44" s="29">
        <f t="shared" si="19"/>
        <v>0</v>
      </c>
      <c r="AG44" s="29">
        <f t="shared" si="19"/>
        <v>1.0251445903096893E-4</v>
      </c>
      <c r="AH44" s="29">
        <f t="shared" si="19"/>
        <v>0</v>
      </c>
      <c r="AI44" s="29">
        <f t="shared" si="19"/>
        <v>2.6327567530107172E-4</v>
      </c>
      <c r="AJ44" s="29">
        <f t="shared" si="20"/>
        <v>0.99999999999999989</v>
      </c>
      <c r="AM44" s="23"/>
      <c r="AO44" s="20" t="str">
        <f t="shared" si="39"/>
        <v>MALUKU_PAPUA</v>
      </c>
      <c r="AP44" s="20">
        <f t="shared" si="40"/>
        <v>2035</v>
      </c>
      <c r="AQ44" s="25">
        <f t="shared" si="21"/>
        <v>0.2799999997819525</v>
      </c>
      <c r="AR44" s="25">
        <f t="shared" si="22"/>
        <v>0.26478289128663351</v>
      </c>
      <c r="AS44" s="25">
        <f t="shared" si="23"/>
        <v>0.19321710851301668</v>
      </c>
      <c r="AT44" s="37">
        <f t="shared" si="24"/>
        <v>0.26200000041839722</v>
      </c>
      <c r="AU44" s="24">
        <f t="shared" si="32"/>
        <v>0.99999999999999989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0.54091248326068297</v>
      </c>
      <c r="AZ44" s="25">
        <f t="shared" si="47"/>
        <v>0.26200000000000001</v>
      </c>
      <c r="BA44" s="24">
        <f t="shared" si="34"/>
        <v>1.3489124832606829</v>
      </c>
      <c r="BJ44" s="19"/>
      <c r="BK44" s="20" t="str">
        <f t="shared" si="44"/>
        <v>MALUKU_PAPUA</v>
      </c>
      <c r="BL44" s="20">
        <f t="shared" si="45"/>
        <v>2035</v>
      </c>
      <c r="BM44" s="34">
        <f>proj_rukn!E138</f>
        <v>1662.9084269216987</v>
      </c>
      <c r="BN44" s="30">
        <f t="shared" si="26"/>
        <v>1912.3446909599534</v>
      </c>
      <c r="BO44" s="30">
        <f t="shared" si="35"/>
        <v>4683.3164152785703</v>
      </c>
      <c r="BQ44" s="30">
        <f t="shared" si="27"/>
        <v>764.93787638398135</v>
      </c>
      <c r="BR44" s="30">
        <f t="shared" si="36"/>
        <v>3539.2662241969119</v>
      </c>
      <c r="BS44" s="30"/>
      <c r="BT44" s="30">
        <f t="shared" si="28"/>
        <v>382.46893819199067</v>
      </c>
      <c r="BU44" s="30">
        <f t="shared" si="37"/>
        <v>1144.0501910816592</v>
      </c>
      <c r="BW44" s="30">
        <f t="shared" si="29"/>
        <v>0.7863352958808244</v>
      </c>
      <c r="BX44" s="30">
        <f t="shared" si="38"/>
        <v>0.78575673053630857</v>
      </c>
      <c r="BZ44" s="24">
        <f t="shared" si="46"/>
        <v>0.10560955151409754</v>
      </c>
      <c r="CA44" s="24">
        <f t="shared" si="30"/>
        <v>0.13378492016882521</v>
      </c>
      <c r="CF44" s="23"/>
    </row>
    <row r="45" spans="1:84" x14ac:dyDescent="0.25">
      <c r="A45" s="19"/>
      <c r="B45" s="20" t="str">
        <f t="shared" ref="B45:C47" si="50">B21</f>
        <v>MALUKU_PAPUA</v>
      </c>
      <c r="C45" s="20">
        <f t="shared" si="50"/>
        <v>2036</v>
      </c>
      <c r="D45" s="30">
        <f>(D21*(VLOOKUP(D$27,tech_data!$B$2:$O$15,6, FALSE)/100)*(1-(VLOOKUP(D$27,tech_data!$B$2:$O$15,7, FALSE)/100))*8760)/1000</f>
        <v>6979.5810583349967</v>
      </c>
      <c r="E45" s="30">
        <f>(E21*(VLOOKUP(E$27,tech_data!$B$2:$O$15,6, FALSE)/100)*(1-(VLOOKUP(E$27,tech_data!$B$2:$O$15,7, FALSE)/100))*8760)/1000</f>
        <v>11.95750786477757</v>
      </c>
      <c r="F45" s="30">
        <f>(F21*(VLOOKUP(F$27,tech_data!$B$2:$O$15,6, FALSE)/100)*(1-(VLOOKUP(F$27,tech_data!$B$2:$O$15,7, FALSE)/100))*8760)/1000</f>
        <v>6781.8361397730941</v>
      </c>
      <c r="G45" s="30">
        <f>(G21*(VLOOKUP(G$27,tech_data!$B$2:$O$15,6, FALSE)/100)*(1-(VLOOKUP(G$27,tech_data!$B$2:$O$15,7, FALSE)/100))*8760)/1000</f>
        <v>4462.8379022769232</v>
      </c>
      <c r="H45" s="30">
        <f>(H21*(VLOOKUP(H$27,tech_data!$B$2:$O$15,6, FALSE)/100)*(1-(VLOOKUP(H$27,tech_data!$B$2:$O$15,7, FALSE)/100))*8760)/1000</f>
        <v>-2.1832171430877143E-14</v>
      </c>
      <c r="I45" s="30">
        <f>(I21*(VLOOKUP(I$27,tech_data!$B$2:$O$15,6, FALSE)/100)*(1-(VLOOKUP(I$27,tech_data!$B$2:$O$15,7, FALSE)/100))*8760)/1000</f>
        <v>1088.8736089121401</v>
      </c>
      <c r="J45" s="30">
        <f>(J21*(VLOOKUP(J$27,tech_data!$B$2:$O$15,6, FALSE)/100)*(1-(VLOOKUP(J$27,tech_data!$B$2:$O$15,7, FALSE)/100))*8760)/1000</f>
        <v>3238.5437758942785</v>
      </c>
      <c r="K45" s="30">
        <f>(K21*(VLOOKUP(K$27,tech_data!$B$2:$O$15,6, FALSE)/100)*(1-(VLOOKUP(K$27,tech_data!$B$2:$O$15,7, FALSE)/100))*8760)/1000</f>
        <v>809.60651128348127</v>
      </c>
      <c r="L45" s="30">
        <f>(L21*(VLOOKUP(L$27,tech_data!$B$2:$O$15,6, FALSE)/100)*(1-(VLOOKUP(L$27,tech_data!$B$2:$O$15,7, FALSE)/100))*8760)/1000</f>
        <v>1730.4655247676446</v>
      </c>
      <c r="M45" s="30">
        <f>(M21*(VLOOKUP(M$27,tech_data!$B$2:$O$15,6, FALSE)/100)*(1-(VLOOKUP(M$27,tech_data!$B$2:$O$15,7, FALSE)/100))*8760)/1000</f>
        <v>0</v>
      </c>
      <c r="N45" s="30">
        <f>(N21*(VLOOKUP(N$27,tech_data!$B$2:$O$15,6, FALSE)/100)*(1-(VLOOKUP(N$27,tech_data!$B$2:$O$15,7, FALSE)/100))*8760)/1000</f>
        <v>2.7046615734102999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6.6837737566398827</v>
      </c>
      <c r="Q45" s="34">
        <f t="shared" si="17"/>
        <v>25106.406690680749</v>
      </c>
      <c r="R45" s="34">
        <f>proj_rukn!D139</f>
        <v>29865</v>
      </c>
      <c r="S45" s="35"/>
      <c r="T45" s="19"/>
      <c r="U45" s="20" t="str">
        <f t="shared" si="18"/>
        <v>MALUKU_PAPUA</v>
      </c>
      <c r="V45" s="20">
        <f t="shared" si="18"/>
        <v>2036</v>
      </c>
      <c r="W45" s="29">
        <f t="shared" si="19"/>
        <v>0.27799999993331376</v>
      </c>
      <c r="X45" s="29">
        <f t="shared" si="19"/>
        <v>4.762731685222035E-4</v>
      </c>
      <c r="Y45" s="29">
        <f t="shared" si="19"/>
        <v>0.27012372671754914</v>
      </c>
      <c r="Z45" s="29">
        <f t="shared" si="19"/>
        <v>0.17775693500310757</v>
      </c>
      <c r="AA45" s="29">
        <f t="shared" si="19"/>
        <v>-8.6958566790766715E-19</v>
      </c>
      <c r="AB45" s="29">
        <f t="shared" si="19"/>
        <v>4.3370348545987633E-2</v>
      </c>
      <c r="AC45" s="29">
        <f t="shared" si="19"/>
        <v>0.12899272348266366</v>
      </c>
      <c r="AD45" s="29">
        <f t="shared" si="19"/>
        <v>3.2247008552761122E-2</v>
      </c>
      <c r="AE45" s="29">
        <f t="shared" si="19"/>
        <v>6.8925256652118849E-2</v>
      </c>
      <c r="AF45" s="29">
        <f t="shared" si="19"/>
        <v>0</v>
      </c>
      <c r="AG45" s="29">
        <f t="shared" si="19"/>
        <v>1.0772794397591925E-4</v>
      </c>
      <c r="AH45" s="29">
        <f t="shared" si="19"/>
        <v>0</v>
      </c>
      <c r="AI45" s="29">
        <f t="shared" si="19"/>
        <v>2.6621785582406078E-4</v>
      </c>
      <c r="AJ45" s="29">
        <f t="shared" si="20"/>
        <v>0.99999999999999989</v>
      </c>
      <c r="AM45" s="23"/>
      <c r="AO45" s="20" t="str">
        <f t="shared" si="39"/>
        <v>MALUKU_PAPUA</v>
      </c>
      <c r="AP45" s="20">
        <f t="shared" si="40"/>
        <v>2036</v>
      </c>
      <c r="AQ45" s="25">
        <f t="shared" si="21"/>
        <v>0.27799999993331376</v>
      </c>
      <c r="AR45" s="25">
        <f t="shared" si="22"/>
        <v>0.27059999988607136</v>
      </c>
      <c r="AS45" s="25">
        <f t="shared" si="23"/>
        <v>0.17775693500310757</v>
      </c>
      <c r="AT45" s="37">
        <f t="shared" si="24"/>
        <v>0.27364306517750719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0.53009423359546926</v>
      </c>
      <c r="AZ45" s="25">
        <f t="shared" si="47"/>
        <v>0.26519999999999999</v>
      </c>
      <c r="BA45" s="24">
        <f t="shared" si="34"/>
        <v>1.3438942335954693</v>
      </c>
      <c r="BJ45" s="19"/>
      <c r="BK45" s="20" t="str">
        <f t="shared" si="44"/>
        <v>MALUKU_PAPUA</v>
      </c>
      <c r="BL45" s="20">
        <f t="shared" si="45"/>
        <v>2036</v>
      </c>
      <c r="BM45" s="34">
        <f>proj_rukn!E139</f>
        <v>1776.2831605459187</v>
      </c>
      <c r="BN45" s="30">
        <f t="shared" si="26"/>
        <v>2042.7256346278064</v>
      </c>
      <c r="BO45" s="30">
        <f t="shared" si="35"/>
        <v>5034.1019998468055</v>
      </c>
      <c r="BQ45" s="30">
        <f t="shared" si="27"/>
        <v>817.09025385112261</v>
      </c>
      <c r="BR45" s="30">
        <f t="shared" si="36"/>
        <v>3889.8823472299564</v>
      </c>
      <c r="BS45" s="30"/>
      <c r="BT45" s="30">
        <f t="shared" si="28"/>
        <v>408.54512692556131</v>
      </c>
      <c r="BU45" s="30">
        <f t="shared" si="37"/>
        <v>1144.2196526168486</v>
      </c>
      <c r="BW45" s="30">
        <f t="shared" si="29"/>
        <v>0.89803202085773348</v>
      </c>
      <c r="BX45" s="30">
        <f t="shared" si="38"/>
        <v>0.89753291036499816</v>
      </c>
      <c r="BZ45" s="24">
        <f t="shared" si="46"/>
        <v>0.11089002908980242</v>
      </c>
      <c r="CA45" s="24">
        <f t="shared" si="30"/>
        <v>0.11784332459455199</v>
      </c>
      <c r="CF45" s="23"/>
    </row>
    <row r="46" spans="1:84" x14ac:dyDescent="0.25">
      <c r="A46" s="19"/>
      <c r="B46" s="20" t="str">
        <f t="shared" si="50"/>
        <v>MALUKU_PAPUA</v>
      </c>
      <c r="C46" s="20">
        <f t="shared" si="50"/>
        <v>2037</v>
      </c>
      <c r="D46" s="30">
        <f>(D22*(VLOOKUP(D$27,tech_data!$B$2:$O$15,6, FALSE)/100)*(1-(VLOOKUP(D$27,tech_data!$B$2:$O$15,7, FALSE)/100))*8760)/1000</f>
        <v>7529.9247445375313</v>
      </c>
      <c r="E46" s="30">
        <f>(E22*(VLOOKUP(E$27,tech_data!$B$2:$O$15,6, FALSE)/100)*(1-(VLOOKUP(E$27,tech_data!$B$2:$O$15,7, FALSE)/100))*8760)/1000</f>
        <v>11.95750786477757</v>
      </c>
      <c r="F46" s="30">
        <f>(F22*(VLOOKUP(F$27,tech_data!$B$2:$O$15,6, FALSE)/100)*(1-(VLOOKUP(F$27,tech_data!$B$2:$O$15,7, FALSE)/100))*8760)/1000</f>
        <v>7496.1413248780955</v>
      </c>
      <c r="G46" s="30">
        <f>(G22*(VLOOKUP(G$27,tech_data!$B$2:$O$15,6, FALSE)/100)*(1-(VLOOKUP(G$27,tech_data!$B$2:$O$15,7, FALSE)/100))*8760)/1000</f>
        <v>4462.8379022769232</v>
      </c>
      <c r="H46" s="30">
        <f>(H22*(VLOOKUP(H$27,tech_data!$B$2:$O$15,6, FALSE)/100)*(1-(VLOOKUP(H$27,tech_data!$B$2:$O$15,7, FALSE)/100))*8760)/1000</f>
        <v>0</v>
      </c>
      <c r="I46" s="30">
        <f>(I22*(VLOOKUP(I$27,tech_data!$B$2:$O$15,6, FALSE)/100)*(1-(VLOOKUP(I$27,tech_data!$B$2:$O$15,7, FALSE)/100))*8760)/1000</f>
        <v>1089.3078785835271</v>
      </c>
      <c r="J46" s="30">
        <f>(J22*(VLOOKUP(J$27,tech_data!$B$2:$O$15,6, FALSE)/100)*(1-(VLOOKUP(J$27,tech_data!$B$2:$O$15,7, FALSE)/100))*8760)/1000</f>
        <v>3248.0142874015896</v>
      </c>
      <c r="K46" s="30">
        <f>(K22*(VLOOKUP(K$27,tech_data!$B$2:$O$15,6, FALSE)/100)*(1-(VLOOKUP(K$27,tech_data!$B$2:$O$15,7, FALSE)/100))*8760)/1000</f>
        <v>907.91039188354262</v>
      </c>
      <c r="L46" s="30">
        <f>(L22*(VLOOKUP(L$27,tech_data!$B$2:$O$15,6, FALSE)/100)*(1-(VLOOKUP(L$27,tech_data!$B$2:$O$15,7, FALSE)/100))*8760)/1000</f>
        <v>2533.537651448526</v>
      </c>
      <c r="M46" s="30">
        <f>(M22*(VLOOKUP(M$27,tech_data!$B$2:$O$15,6, FALSE)/100)*(1-(VLOOKUP(M$27,tech_data!$B$2:$O$15,7, FALSE)/100))*8760)/1000</f>
        <v>0</v>
      </c>
      <c r="N46" s="30">
        <f>(N22*(VLOOKUP(N$27,tech_data!$B$2:$O$15,6, FALSE)/100)*(1-(VLOOKUP(N$27,tech_data!$B$2:$O$15,7, FALSE)/100))*8760)/1000</f>
        <v>2.7046712263137489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7.3986521764265838</v>
      </c>
      <c r="Q46" s="34">
        <f t="shared" si="17"/>
        <v>27282.336360100828</v>
      </c>
      <c r="R46" s="34">
        <f>proj_rukn!D140</f>
        <v>30507</v>
      </c>
      <c r="S46" s="35"/>
      <c r="T46" s="19"/>
      <c r="U46" s="20" t="str">
        <f t="shared" si="18"/>
        <v>MALUKU_PAPUA</v>
      </c>
      <c r="V46" s="20">
        <f t="shared" si="18"/>
        <v>2037</v>
      </c>
      <c r="W46" s="29">
        <f t="shared" si="19"/>
        <v>0.2759999966699957</v>
      </c>
      <c r="X46" s="29">
        <f t="shared" si="19"/>
        <v>4.3828753179162765E-4</v>
      </c>
      <c r="Y46" s="29">
        <f t="shared" si="19"/>
        <v>0.27476170757284774</v>
      </c>
      <c r="Z46" s="29">
        <f t="shared" si="19"/>
        <v>0.16357975517095449</v>
      </c>
      <c r="AA46" s="29">
        <f t="shared" si="19"/>
        <v>0</v>
      </c>
      <c r="AB46" s="29">
        <f t="shared" si="19"/>
        <v>3.9927221195637415E-2</v>
      </c>
      <c r="AC46" s="29">
        <f t="shared" si="19"/>
        <v>0.11905191126342325</v>
      </c>
      <c r="AD46" s="29">
        <f t="shared" si="19"/>
        <v>3.3278322644365609E-2</v>
      </c>
      <c r="AE46" s="29">
        <f t="shared" si="19"/>
        <v>9.2863661601713457E-2</v>
      </c>
      <c r="AF46" s="29">
        <f t="shared" si="19"/>
        <v>0</v>
      </c>
      <c r="AG46" s="29">
        <f t="shared" si="19"/>
        <v>9.9136349270629448E-5</v>
      </c>
      <c r="AH46" s="29">
        <f t="shared" si="19"/>
        <v>0</v>
      </c>
      <c r="AI46" s="29">
        <f t="shared" si="19"/>
        <v>2.7118836447038221E-4</v>
      </c>
      <c r="AJ46" s="29">
        <f t="shared" si="20"/>
        <v>0.99999999999999989</v>
      </c>
      <c r="AM46" s="23"/>
      <c r="AO46" s="20" t="str">
        <f t="shared" si="39"/>
        <v>MALUKU_PAPUA</v>
      </c>
      <c r="AP46" s="20">
        <f t="shared" si="40"/>
        <v>2037</v>
      </c>
      <c r="AQ46" s="25">
        <f t="shared" si="21"/>
        <v>0.2759999966699957</v>
      </c>
      <c r="AR46" s="25">
        <f t="shared" si="22"/>
        <v>0.27519999510463938</v>
      </c>
      <c r="AS46" s="25">
        <f t="shared" si="23"/>
        <v>0.16357975517095449</v>
      </c>
      <c r="AT46" s="37">
        <f t="shared" si="24"/>
        <v>0.28522025305441034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0.51949234892355989</v>
      </c>
      <c r="AZ46" s="25">
        <f t="shared" si="47"/>
        <v>0.26840000000000003</v>
      </c>
      <c r="BA46" s="24">
        <f t="shared" si="34"/>
        <v>1.33909234892356</v>
      </c>
      <c r="BJ46" s="19"/>
      <c r="BK46" s="20" t="str">
        <f t="shared" si="44"/>
        <v>MALUKU_PAPUA</v>
      </c>
      <c r="BL46" s="20">
        <f t="shared" si="45"/>
        <v>2037</v>
      </c>
      <c r="BM46" s="34">
        <f>proj_rukn!E140</f>
        <v>1897.3876224078849</v>
      </c>
      <c r="BN46" s="30">
        <f t="shared" si="26"/>
        <v>2181.9957657690675</v>
      </c>
      <c r="BO46" s="30">
        <f t="shared" si="35"/>
        <v>5405.9998469574075</v>
      </c>
      <c r="BQ46" s="30">
        <f t="shared" si="27"/>
        <v>872.79830630762706</v>
      </c>
      <c r="BR46" s="30">
        <f t="shared" si="36"/>
        <v>4261.4813866669028</v>
      </c>
      <c r="BS46" s="30"/>
      <c r="BT46" s="30">
        <f t="shared" si="28"/>
        <v>436.39915315381353</v>
      </c>
      <c r="BU46" s="30">
        <f t="shared" si="37"/>
        <v>1144.5184602905042</v>
      </c>
      <c r="BW46" s="30">
        <f t="shared" si="29"/>
        <v>1.0561564462290349</v>
      </c>
      <c r="BX46" s="30">
        <f t="shared" si="38"/>
        <v>0.89753611364876995</v>
      </c>
      <c r="BZ46" s="24">
        <f t="shared" si="46"/>
        <v>0.11643453054429254</v>
      </c>
      <c r="CA46" s="24">
        <f t="shared" si="30"/>
        <v>0.11667587518063534</v>
      </c>
      <c r="CF46" s="23"/>
    </row>
    <row r="47" spans="1:84" x14ac:dyDescent="0.25">
      <c r="A47" s="19"/>
      <c r="B47" s="20" t="str">
        <f t="shared" si="50"/>
        <v>MALUKU_PAPUA</v>
      </c>
      <c r="C47" s="20">
        <f t="shared" si="50"/>
        <v>2038</v>
      </c>
      <c r="D47" s="30">
        <f>(D23*(VLOOKUP(D$27,tech_data!$B$2:$O$15,6, FALSE)/100)*(1-(VLOOKUP(D$27,tech_data!$B$2:$O$15,7, FALSE)/100))*8760)/1000</f>
        <v>8111.7107736874368</v>
      </c>
      <c r="E47" s="30">
        <f>(E23*(VLOOKUP(E$27,tech_data!$B$2:$O$15,6, FALSE)/100)*(1-(VLOOKUP(E$27,tech_data!$B$2:$O$15,7, FALSE)/100))*8760)/1000</f>
        <v>11.957504875393882</v>
      </c>
      <c r="F47" s="30">
        <f>(F23*(VLOOKUP(F$27,tech_data!$B$2:$O$15,6, FALSE)/100)*(1-(VLOOKUP(F$27,tech_data!$B$2:$O$15,7, FALSE)/100))*8760)/1000</f>
        <v>8271.4610033457811</v>
      </c>
      <c r="G47" s="30">
        <f>(G23*(VLOOKUP(G$27,tech_data!$B$2:$O$15,6, FALSE)/100)*(1-(VLOOKUP(G$27,tech_data!$B$2:$O$15,7, FALSE)/100))*8760)/1000</f>
        <v>4462.8379022769232</v>
      </c>
      <c r="H47" s="30">
        <f>(H23*(VLOOKUP(H$27,tech_data!$B$2:$O$15,6, FALSE)/100)*(1-(VLOOKUP(H$27,tech_data!$B$2:$O$15,7, FALSE)/100))*8760)/1000</f>
        <v>0</v>
      </c>
      <c r="I47" s="30">
        <f>(I23*(VLOOKUP(I$27,tech_data!$B$2:$O$15,6, FALSE)/100)*(1-(VLOOKUP(I$27,tech_data!$B$2:$O$15,7, FALSE)/100))*8760)/1000</f>
        <v>1315.1132576153541</v>
      </c>
      <c r="J47" s="30">
        <f>(J23*(VLOOKUP(J$27,tech_data!$B$2:$O$15,6, FALSE)/100)*(1-(VLOOKUP(J$27,tech_data!$B$2:$O$15,7, FALSE)/100))*8760)/1000</f>
        <v>3716.850100790889</v>
      </c>
      <c r="K47" s="30">
        <f>(K23*(VLOOKUP(K$27,tech_data!$B$2:$O$15,6, FALSE)/100)*(1-(VLOOKUP(K$27,tech_data!$B$2:$O$15,7, FALSE)/100))*8760)/1000</f>
        <v>1069.3530396270312</v>
      </c>
      <c r="L47" s="30">
        <f>(L23*(VLOOKUP(L$27,tech_data!$B$2:$O$15,6, FALSE)/100)*(1-(VLOOKUP(L$27,tech_data!$B$2:$O$15,7, FALSE)/100))*8760)/1000</f>
        <v>2641.9358517927549</v>
      </c>
      <c r="M47" s="30">
        <f>(M23*(VLOOKUP(M$27,tech_data!$B$2:$O$15,6, FALSE)/100)*(1-(VLOOKUP(M$27,tech_data!$B$2:$O$15,7, FALSE)/100))*8760)/1000</f>
        <v>0</v>
      </c>
      <c r="N47" s="30">
        <f>(N23*(VLOOKUP(N$27,tech_data!$B$2:$O$15,6, FALSE)/100)*(1-(VLOOKUP(N$27,tech_data!$B$2:$O$15,7, FALSE)/100))*8760)/1000</f>
        <v>3.5644082915806719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8.0239949181602075</v>
      </c>
      <c r="Q47" s="34">
        <f t="shared" si="17"/>
        <v>29604.783842303146</v>
      </c>
      <c r="R47" s="34">
        <f>proj_rukn!D141</f>
        <v>31317</v>
      </c>
      <c r="S47" s="35"/>
      <c r="T47" s="19"/>
      <c r="U47" s="20" t="str">
        <f t="shared" si="18"/>
        <v>MALUKU_PAPUA</v>
      </c>
      <c r="V47" s="20">
        <f t="shared" si="18"/>
        <v>2038</v>
      </c>
      <c r="W47" s="29">
        <f t="shared" si="19"/>
        <v>0.27400000003027802</v>
      </c>
      <c r="X47" s="29">
        <f t="shared" si="19"/>
        <v>4.0390448175836542E-4</v>
      </c>
      <c r="Y47" s="29">
        <f t="shared" si="19"/>
        <v>0.27939609515156966</v>
      </c>
      <c r="Z47" s="29">
        <f t="shared" si="19"/>
        <v>0.15074718755081207</v>
      </c>
      <c r="AA47" s="29">
        <f t="shared" si="19"/>
        <v>0</v>
      </c>
      <c r="AB47" s="29">
        <f t="shared" si="19"/>
        <v>4.442232257531805E-2</v>
      </c>
      <c r="AC47" s="29">
        <f t="shared" si="19"/>
        <v>0.1255489694027008</v>
      </c>
      <c r="AD47" s="29">
        <f t="shared" si="19"/>
        <v>3.6120954144546101E-2</v>
      </c>
      <c r="AE47" s="29">
        <f t="shared" ref="AE47:AI47" si="51">L47/$Q47</f>
        <v>8.9240166922536862E-2</v>
      </c>
      <c r="AF47" s="29">
        <f t="shared" si="51"/>
        <v>0</v>
      </c>
      <c r="AG47" s="29">
        <f t="shared" si="51"/>
        <v>1.2039974048002958E-4</v>
      </c>
      <c r="AH47" s="29">
        <f t="shared" si="51"/>
        <v>0</v>
      </c>
      <c r="AI47" s="29">
        <f t="shared" si="51"/>
        <v>2.7103710538478869E-4</v>
      </c>
      <c r="AJ47" s="29">
        <f t="shared" si="20"/>
        <v>1</v>
      </c>
      <c r="AM47" s="23"/>
      <c r="AO47" s="20" t="str">
        <f t="shared" si="39"/>
        <v>MALUKU_PAPUA</v>
      </c>
      <c r="AP47" s="20">
        <f t="shared" si="40"/>
        <v>2038</v>
      </c>
      <c r="AQ47" s="25">
        <f t="shared" si="21"/>
        <v>0.27400000003027802</v>
      </c>
      <c r="AR47" s="25">
        <f t="shared" si="22"/>
        <v>0.27979999963332802</v>
      </c>
      <c r="AS47" s="25">
        <f t="shared" si="23"/>
        <v>0.15074718755081207</v>
      </c>
      <c r="AT47" s="37">
        <f t="shared" si="24"/>
        <v>0.29545281278558183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0.50910250194508866</v>
      </c>
      <c r="AZ47" s="25">
        <f t="shared" si="47"/>
        <v>0.27160000000000001</v>
      </c>
      <c r="BA47" s="24">
        <f t="shared" si="34"/>
        <v>1.3345025019450889</v>
      </c>
      <c r="BJ47" s="19"/>
      <c r="BK47" s="20" t="str">
        <f t="shared" si="44"/>
        <v>MALUKU_PAPUA</v>
      </c>
      <c r="BL47" s="20">
        <f t="shared" si="45"/>
        <v>2038</v>
      </c>
      <c r="BM47" s="34">
        <f>proj_rukn!E141</f>
        <v>2026.7488143952266</v>
      </c>
      <c r="BN47" s="30">
        <f t="shared" si="26"/>
        <v>2330.7611365545104</v>
      </c>
      <c r="BO47" s="30">
        <f t="shared" si="35"/>
        <v>5857.1708001546667</v>
      </c>
      <c r="BQ47" s="30">
        <f t="shared" si="27"/>
        <v>932.30445462180421</v>
      </c>
      <c r="BR47" s="30">
        <f t="shared" si="36"/>
        <v>4661.611425297081</v>
      </c>
      <c r="BS47" s="30"/>
      <c r="BT47" s="30">
        <f t="shared" si="28"/>
        <v>466.15222731090211</v>
      </c>
      <c r="BU47" s="30">
        <f t="shared" si="37"/>
        <v>1195.559374857585</v>
      </c>
      <c r="BW47" s="30">
        <f t="shared" si="29"/>
        <v>1.1828378145110734</v>
      </c>
      <c r="BX47" s="30">
        <f t="shared" si="38"/>
        <v>1.1828369874896039</v>
      </c>
      <c r="BZ47" s="24">
        <f t="shared" si="46"/>
        <v>0.12225625707150717</v>
      </c>
      <c r="CA47" s="24">
        <f t="shared" si="30"/>
        <v>0.12225625406639827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MALUKU_PAPUA</v>
      </c>
      <c r="C52" s="20">
        <f t="shared" si="52"/>
        <v>2019</v>
      </c>
      <c r="D52" s="30">
        <f>(maluku_papua!D28*3.6/(VLOOKUP(D$51,tech_data!$B$2:$J$15,4,FALSE)/100))/1000</f>
        <v>12.596076496551724</v>
      </c>
      <c r="E52" s="30">
        <f>(maluku_papua!E28*3.6/(VLOOKUP(E$51,tech_data!$B$2:$J$15,4,FALSE)/100))/1000</f>
        <v>0.12069287430625449</v>
      </c>
      <c r="F52" s="30">
        <f>(maluku_papua!F28*3.6/(VLOOKUP(F$51,tech_data!$B$2:$J$15,4,FALSE)/100))/1000</f>
        <v>0</v>
      </c>
      <c r="G52" s="30">
        <f>(maluku_papua!G28*3.6/(VLOOKUP(G$51,tech_data!$B$2:$J$15,4,FALSE)/100))/1000</f>
        <v>34.926557496080264</v>
      </c>
      <c r="H52" s="30">
        <f>(maluku_papua!H28*3.6/(VLOOKUP(H$51,tech_data!$B$2:$J$15,4,FALSE)/100))/1000</f>
        <v>0</v>
      </c>
      <c r="I52" s="30">
        <f>(maluku_papua!I28*3.6/(VLOOKUP(I$51,tech_data!$B$2:$J$15,4,FALSE)/100))/1000</f>
        <v>0.50114539390445345</v>
      </c>
      <c r="J52" s="30">
        <f>(maluku_papua!J28*3.6/(VLOOKUP(J$51,tech_data!$B$2:$J$15,4,FALSE)/100))/1000</f>
        <v>0</v>
      </c>
      <c r="K52" s="30">
        <f>K28*3.6/1000</f>
        <v>4.2450609600000008E-2</v>
      </c>
      <c r="L52" s="30">
        <f>L28*3.6/1000</f>
        <v>0</v>
      </c>
      <c r="M52" s="30">
        <f>(maluku_papua!M28*3.6/(VLOOKUP(M$51,tech_data!$B$2:$J$15,4,FALSE)/100))/1000</f>
        <v>0</v>
      </c>
      <c r="N52" s="30">
        <f>N28*3.6/1000</f>
        <v>0</v>
      </c>
      <c r="O52" s="30">
        <f>(maluku_papua!O28*3.6/(VLOOKUP(O$51,tech_data!$B$2:$J$15,4,FALSE)/100))/1000</f>
        <v>0</v>
      </c>
      <c r="P52" s="30">
        <v>0</v>
      </c>
      <c r="Q52" s="30">
        <f t="shared" ref="Q52:Q71" si="53">SUM(D52:O52)</f>
        <v>48.186922870442693</v>
      </c>
      <c r="R52" s="30"/>
      <c r="T52" s="19"/>
      <c r="U52" s="20" t="str">
        <f t="shared" ref="U52:V71" si="54">B52</f>
        <v>MALUKU_PAPUA</v>
      </c>
      <c r="V52" s="20">
        <f t="shared" si="54"/>
        <v>2019</v>
      </c>
      <c r="W52" s="30">
        <f>D52*VLOOKUP(W$51,tech_data!$B$2:$K$15,10,FALSE)*1000</f>
        <v>1256080.7482361379</v>
      </c>
      <c r="X52" s="30">
        <f>E52*VLOOKUP(X$51,tech_data!$B$2:$K$15,10,FALSE)*1000</f>
        <v>7495.0274944184039</v>
      </c>
      <c r="Y52" s="30">
        <f>F52*VLOOKUP(Y$51,tech_data!$B$2:$K$15,10,FALSE)*1000</f>
        <v>0</v>
      </c>
      <c r="Z52" s="30">
        <f>G52*VLOOKUP(Z$51,tech_data!$B$2:$K$15,10,FALSE)*1000</f>
        <v>2625429.3269803533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3889005.1027109097</v>
      </c>
      <c r="AK52" s="25"/>
      <c r="AM52" s="23"/>
      <c r="AO52" s="20" t="str">
        <f t="shared" ref="AO52:AP71" si="56">U52</f>
        <v>MALUKU_PAPUA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12.908564845335718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9.0004252483709538E-2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7.0779698234787505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1.126558773959482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6.9227999999999998E-2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21.272325695257656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MALUKU_PAPUA</v>
      </c>
      <c r="C53" s="20">
        <f t="shared" si="52"/>
        <v>2020</v>
      </c>
      <c r="D53" s="30">
        <f>(maluku_papua!D29*3.6/(VLOOKUP(D$51,tech_data!$B$2:$J$15,4,FALSE)/100))/1000</f>
        <v>12.596076496551724</v>
      </c>
      <c r="E53" s="30">
        <f>(maluku_papua!E29*3.6/(VLOOKUP(E$51,tech_data!$B$2:$J$15,4,FALSE)/100))/1000</f>
        <v>0.12069284413303601</v>
      </c>
      <c r="F53" s="30">
        <f>(maluku_papua!F29*3.6/(VLOOKUP(F$51,tech_data!$B$2:$J$15,4,FALSE)/100))/1000</f>
        <v>4.1958670510328977</v>
      </c>
      <c r="G53" s="30">
        <f>(maluku_papua!G29*3.6/(VLOOKUP(G$51,tech_data!$B$2:$J$15,4,FALSE)/100))/1000</f>
        <v>34.926557496080264</v>
      </c>
      <c r="H53" s="30">
        <f>(maluku_papua!H29*3.6/(VLOOKUP(H$51,tech_data!$B$2:$J$15,4,FALSE)/100))/1000</f>
        <v>0</v>
      </c>
      <c r="I53" s="30">
        <f>(maluku_papua!I29*3.6/(VLOOKUP(I$51,tech_data!$B$2:$J$15,4,FALSE)/100))/1000</f>
        <v>0.50114539390445345</v>
      </c>
      <c r="J53" s="30">
        <f>(maluku_papua!J29*3.6/(VLOOKUP(J$51,tech_data!$B$2:$J$15,4,FALSE)/100))/1000</f>
        <v>0</v>
      </c>
      <c r="K53" s="30">
        <f t="shared" ref="K53:L71" si="57">K29*3.6/1000</f>
        <v>4.2450602977440008E-2</v>
      </c>
      <c r="L53" s="30">
        <f t="shared" si="57"/>
        <v>0</v>
      </c>
      <c r="M53" s="30">
        <f>(maluku_papua!M29*3.6/(VLOOKUP(M$51,tech_data!$B$2:$J$15,4,FALSE)/100))/1000</f>
        <v>0</v>
      </c>
      <c r="N53" s="30">
        <f t="shared" ref="N53:N71" si="58">N29*3.6/1000</f>
        <v>-3.5999999999970664E-9</v>
      </c>
      <c r="O53" s="30">
        <f>(maluku_papua!O29*3.6/(VLOOKUP(O$51,tech_data!$B$2:$J$15,4,FALSE)/100))/1000</f>
        <v>0</v>
      </c>
      <c r="P53" s="30">
        <v>0</v>
      </c>
      <c r="Q53" s="30">
        <f t="shared" si="53"/>
        <v>52.382789881079809</v>
      </c>
      <c r="R53" s="30"/>
      <c r="T53" s="19"/>
      <c r="U53" s="20" t="str">
        <f t="shared" si="54"/>
        <v>MALUKU_PAPUA</v>
      </c>
      <c r="V53" s="20">
        <f t="shared" si="54"/>
        <v>2020</v>
      </c>
      <c r="W53" s="30">
        <f>D53*VLOOKUP(W$51,tech_data!$B$2:$K$15,10,FALSE)*1000</f>
        <v>1256080.7482361379</v>
      </c>
      <c r="X53" s="30">
        <f>E53*VLOOKUP(X$51,tech_data!$B$2:$K$15,10,FALSE)*1000</f>
        <v>7495.0256206615368</v>
      </c>
      <c r="Y53" s="30">
        <f>F53*VLOOKUP(Y$51,tech_data!$B$2:$K$15,10,FALSE)*1000</f>
        <v>260563.34386914296</v>
      </c>
      <c r="Z53" s="30">
        <f>G53*VLOOKUP(Z$51,tech_data!$B$2:$K$15,10,FALSE)*1000</f>
        <v>2625429.3269803533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0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4149568.4447062956</v>
      </c>
      <c r="AK53" s="25">
        <f>(AJ53-AJ52)/AJ52</f>
        <v>6.7000000029250412E-2</v>
      </c>
      <c r="AL53" s="24">
        <v>6.7000000000000004E-2</v>
      </c>
      <c r="AM53" s="26"/>
      <c r="AN53" s="24"/>
      <c r="AO53" s="20" t="str">
        <f t="shared" si="56"/>
        <v>MALUKU_PAPUA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12.908564845335718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9.0003503315981642E-2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166.10516934328356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7.0779698234787505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1.126558773959482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6.9226870200000096E-2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-1.6482270707082533E-6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0.39996557130179122</v>
      </c>
      <c r="BD53" s="30">
        <f>SUM(AQ53:BC53)</f>
        <v>187.7774570826482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MALUKU_PAPUA</v>
      </c>
      <c r="C54" s="20">
        <f t="shared" si="52"/>
        <v>2021</v>
      </c>
      <c r="D54" s="30">
        <f>(maluku_papua!D30*3.6/(VLOOKUP(D$51,tech_data!$B$2:$J$15,4,FALSE)/100))/1000</f>
        <v>12.596076496551724</v>
      </c>
      <c r="E54" s="30">
        <f>(maluku_papua!E30*3.6/(VLOOKUP(E$51,tech_data!$B$2:$J$15,4,FALSE)/100))/1000</f>
        <v>0.12069281395981744</v>
      </c>
      <c r="F54" s="30">
        <f>(maluku_papua!F30*3.6/(VLOOKUP(F$51,tech_data!$B$2:$J$15,4,FALSE)/100))/1000</f>
        <v>8.6728571906315821</v>
      </c>
      <c r="G54" s="30">
        <f>(maluku_papua!G30*3.6/(VLOOKUP(G$51,tech_data!$B$2:$J$15,4,FALSE)/100))/1000</f>
        <v>34.926557496080264</v>
      </c>
      <c r="H54" s="30">
        <f>(maluku_papua!H30*3.6/(VLOOKUP(H$51,tech_data!$B$2:$J$15,4,FALSE)/100))/1000</f>
        <v>-5.8219113738729918E-16</v>
      </c>
      <c r="I54" s="30">
        <f>(maluku_papua!I30*3.6/(VLOOKUP(I$51,tech_data!$B$2:$J$15,4,FALSE)/100))/1000</f>
        <v>0.50115389661138454</v>
      </c>
      <c r="J54" s="30">
        <f>(maluku_papua!J30*3.6/(VLOOKUP(J$51,tech_data!$B$2:$J$15,4,FALSE)/100))/1000</f>
        <v>2.0112899809042024</v>
      </c>
      <c r="K54" s="30">
        <f t="shared" si="57"/>
        <v>2.2553612463713599</v>
      </c>
      <c r="L54" s="30">
        <f t="shared" si="57"/>
        <v>0.41139282554724649</v>
      </c>
      <c r="M54" s="30">
        <f>(maluku_papua!M30*3.6/(VLOOKUP(M$51,tech_data!$B$2:$J$15,4,FALSE)/100))/1000</f>
        <v>0</v>
      </c>
      <c r="N54" s="30">
        <f t="shared" si="58"/>
        <v>2.6212748167076128E-3</v>
      </c>
      <c r="O54" s="30">
        <f>(maluku_papua!O30*3.6/(VLOOKUP(O$51,tech_data!$B$2:$J$15,4,FALSE)/100))/1000</f>
        <v>0</v>
      </c>
      <c r="P54" s="30">
        <v>0</v>
      </c>
      <c r="Q54" s="30">
        <f t="shared" si="53"/>
        <v>61.498003221474292</v>
      </c>
      <c r="R54" s="30"/>
      <c r="T54" s="19"/>
      <c r="U54" s="20" t="str">
        <f t="shared" si="54"/>
        <v>MALUKU_PAPUA</v>
      </c>
      <c r="V54" s="20">
        <f t="shared" si="54"/>
        <v>2021</v>
      </c>
      <c r="W54" s="30">
        <f>D54*VLOOKUP(W$51,tech_data!$B$2:$K$15,10,FALSE)*1000</f>
        <v>1256080.7482361379</v>
      </c>
      <c r="X54" s="30">
        <f>E54*VLOOKUP(X$51,tech_data!$B$2:$K$15,10,FALSE)*1000</f>
        <v>7495.0237469046633</v>
      </c>
      <c r="Y54" s="30">
        <f>F54*VLOOKUP(Y$51,tech_data!$B$2:$K$15,10,FALSE)*1000</f>
        <v>538584.43153822119</v>
      </c>
      <c r="Z54" s="30">
        <f>G54*VLOOKUP(Z$51,tech_data!$B$2:$K$15,10,FALSE)*1000</f>
        <v>2625429.3269803533</v>
      </c>
      <c r="AA54" s="30">
        <f>H30*VLOOKUP(AA$51,tech_data!$B$2:$K$15,10,FALSE)/1000</f>
        <v>-1.3732433453122919E-15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4427589.5305016171</v>
      </c>
      <c r="AK54" s="25">
        <f t="shared" ref="AK54:AK71" si="59">(AJ54-AJ53)/AJ53</f>
        <v>6.6999999999999921E-2</v>
      </c>
      <c r="AL54" s="24">
        <f>AL53</f>
        <v>6.7000000000000004E-2</v>
      </c>
      <c r="AM54" s="26"/>
      <c r="AN54" s="24"/>
      <c r="AO54" s="20" t="str">
        <f t="shared" si="56"/>
        <v>MALUKU_PAPUA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12.908564845335718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9.0003480814917255E-2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182.83556530843083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7.0779698234787505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-1.3135581238947847E-14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1.127627504545307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197.36258983901229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377.5888646412576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49.717186533412104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1.2001283018885314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0.15335558744584848</v>
      </c>
      <c r="BD54" s="30">
        <f t="shared" ref="BD54:BD71" si="60">SUM(AQ54:BC54)</f>
        <v>830.06185586562185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MALUKU_PAPUA</v>
      </c>
      <c r="C55" s="20">
        <f t="shared" si="52"/>
        <v>2022</v>
      </c>
      <c r="D55" s="30">
        <f>(maluku_papua!D31*3.6/(VLOOKUP(D$51,tech_data!$B$2:$J$15,4,FALSE)/100))/1000</f>
        <v>13.470310104516907</v>
      </c>
      <c r="E55" s="30">
        <f>(maluku_papua!E31*3.6/(VLOOKUP(E$51,tech_data!$B$2:$J$15,4,FALSE)/100))/1000</f>
        <v>0.12069278378659895</v>
      </c>
      <c r="F55" s="30">
        <f>(maluku_papua!F31*3.6/(VLOOKUP(F$51,tech_data!$B$2:$J$15,4,FALSE)/100))/1000</f>
        <v>12.045963846906382</v>
      </c>
      <c r="G55" s="30">
        <f>(maluku_papua!G31*3.6/(VLOOKUP(G$51,tech_data!$B$2:$J$15,4,FALSE)/100))/1000</f>
        <v>34.926557496080264</v>
      </c>
      <c r="H55" s="30">
        <f>(maluku_papua!H31*3.6/(VLOOKUP(H$51,tech_data!$B$2:$J$15,4,FALSE)/100))/1000</f>
        <v>0</v>
      </c>
      <c r="I55" s="30">
        <f>(maluku_papua!I31*3.6/(VLOOKUP(I$51,tech_data!$B$2:$J$15,4,FALSE)/100))/1000</f>
        <v>0.83027704558096938</v>
      </c>
      <c r="J55" s="30">
        <f>(maluku_papua!J31*3.6/(VLOOKUP(J$51,tech_data!$B$2:$J$15,4,FALSE)/100))/1000</f>
        <v>2.8493748029954244</v>
      </c>
      <c r="K55" s="30">
        <f t="shared" si="57"/>
        <v>2.3090778327166097</v>
      </c>
      <c r="L55" s="30">
        <f t="shared" si="57"/>
        <v>0.5614889143748063</v>
      </c>
      <c r="M55" s="30">
        <f>(maluku_papua!M31*3.6/(VLOOKUP(M$51,tech_data!$B$2:$J$15,4,FALSE)/100))/1000</f>
        <v>0</v>
      </c>
      <c r="N55" s="30">
        <f t="shared" si="58"/>
        <v>3.0157009181347194E-3</v>
      </c>
      <c r="O55" s="30">
        <f>(maluku_papua!O31*3.6/(VLOOKUP(O$51,tech_data!$B$2:$J$15,4,FALSE)/100))/1000</f>
        <v>0</v>
      </c>
      <c r="P55" s="30">
        <v>0</v>
      </c>
      <c r="Q55" s="30">
        <f t="shared" si="53"/>
        <v>67.116758527876101</v>
      </c>
      <c r="R55" s="30"/>
      <c r="T55" s="19"/>
      <c r="U55" s="20" t="str">
        <f t="shared" si="54"/>
        <v>MALUKU_PAPUA</v>
      </c>
      <c r="V55" s="20">
        <f t="shared" si="54"/>
        <v>2022</v>
      </c>
      <c r="W55" s="30">
        <f>D55*VLOOKUP(W$51,tech_data!$B$2:$K$15,10,FALSE)*1000</f>
        <v>1343259.3236224258</v>
      </c>
      <c r="X55" s="30">
        <f>E55*VLOOKUP(X$51,tech_data!$B$2:$K$15,10,FALSE)*1000</f>
        <v>7495.0218731477953</v>
      </c>
      <c r="Y55" s="30">
        <f>F55*VLOOKUP(Y$51,tech_data!$B$2:$K$15,10,FALSE)*1000</f>
        <v>748054.35489288624</v>
      </c>
      <c r="Z55" s="30">
        <f>G55*VLOOKUP(Z$51,tech_data!$B$2:$K$15,10,FALSE)*1000</f>
        <v>2625429.3269803533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4724238.0273688128</v>
      </c>
      <c r="AK55" s="25">
        <f t="shared" si="59"/>
        <v>6.6999999621371265E-2</v>
      </c>
      <c r="AL55" s="24">
        <f>AL54</f>
        <v>6.7000000000000004E-2</v>
      </c>
      <c r="AM55" s="26"/>
      <c r="AN55" s="24"/>
      <c r="AO55" s="20" t="str">
        <f t="shared" si="56"/>
        <v>MALUKU_PAPUA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42.441779438208528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9.0003458313855478E-2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145.11188071325765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7.0779698234787505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1.2969827473614704E-14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42.495047794684794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86.042285268371842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12.84199776425945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20.049062669430345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0.21284175125139185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6.6082285758327988E-2</v>
      </c>
      <c r="BD55" s="30">
        <f t="shared" si="60"/>
        <v>356.428950967015</v>
      </c>
      <c r="BE55" s="20">
        <v>2022</v>
      </c>
      <c r="BF55" s="23"/>
      <c r="BG55" s="19"/>
      <c r="BH55" s="30"/>
      <c r="BI55" s="30">
        <f>MIN($BD$53)</f>
        <v>187.7774570826482</v>
      </c>
      <c r="BJ55" s="30">
        <f>MIN($BD$54)</f>
        <v>830.06185586562185</v>
      </c>
      <c r="BK55" s="30">
        <f t="shared" ref="BK55" si="61">MIN($BD$55)</f>
        <v>356.428950967015</v>
      </c>
      <c r="BL55" s="30">
        <f>MIN($BD$56)</f>
        <v>329.6813615430238</v>
      </c>
      <c r="BM55" s="30">
        <f>MIN($BD$57)</f>
        <v>372.67453912926447</v>
      </c>
      <c r="BN55" s="30">
        <f>MIN($BD$58)</f>
        <v>430.59014949293584</v>
      </c>
      <c r="BO55" s="30">
        <f>MIN($BD$59)</f>
        <v>333.8750631500742</v>
      </c>
      <c r="BP55" s="30">
        <f>MIN($BD$60)</f>
        <v>359.89523969006837</v>
      </c>
      <c r="BQ55" s="30">
        <f>MIN($BD$61)</f>
        <v>395.01137978270185</v>
      </c>
      <c r="BR55" s="30">
        <f>MIN($BD$62)</f>
        <v>421.54215592639656</v>
      </c>
      <c r="BS55" s="30">
        <f>MIN($BD$63)</f>
        <v>453.82744873101478</v>
      </c>
      <c r="BT55" s="30">
        <f>MIN($BD$64)</f>
        <v>488.49174648603537</v>
      </c>
      <c r="BU55" s="30">
        <f>MIN($BD$65)</f>
        <v>524.09123139009182</v>
      </c>
      <c r="BV55" s="30">
        <f>MIN($BD$66)</f>
        <v>566.37964703695536</v>
      </c>
      <c r="BW55" s="30">
        <f>MIN($BD$67)</f>
        <v>613.78399410493375</v>
      </c>
      <c r="BX55" s="30">
        <f>MIN($BD$68)</f>
        <v>653.5734864655617</v>
      </c>
      <c r="BY55" s="30">
        <f>MIN($BD$69)</f>
        <v>863.61376616853113</v>
      </c>
      <c r="BZ55" s="30">
        <f>MIN($BD$70)</f>
        <v>962.20978255848058</v>
      </c>
      <c r="CA55" s="30">
        <f>MIN($BD$71)</f>
        <v>1060.3609553415813</v>
      </c>
      <c r="CD55" s="23"/>
    </row>
    <row r="56" spans="1:82" x14ac:dyDescent="0.25">
      <c r="A56" s="19"/>
      <c r="B56" s="20" t="str">
        <f t="shared" si="52"/>
        <v>MALUKU_PAPUA</v>
      </c>
      <c r="C56" s="20">
        <f t="shared" si="52"/>
        <v>2023</v>
      </c>
      <c r="D56" s="30">
        <f>(maluku_papua!D32*3.6/(VLOOKUP(D$51,tech_data!$B$2:$J$15,4,FALSE)/100))/1000</f>
        <v>15.828601134781856</v>
      </c>
      <c r="E56" s="30">
        <f>(maluku_papua!E32*3.6/(VLOOKUP(E$51,tech_data!$B$2:$J$15,4,FALSE)/100))/1000</f>
        <v>0.12069278378659895</v>
      </c>
      <c r="F56" s="30">
        <f>(maluku_papua!F32*3.6/(VLOOKUP(F$51,tech_data!$B$2:$J$15,4,FALSE)/100))/1000</f>
        <v>13.356030937014088</v>
      </c>
      <c r="G56" s="30">
        <f>(maluku_papua!G32*3.6/(VLOOKUP(G$51,tech_data!$B$2:$J$15,4,FALSE)/100))/1000</f>
        <v>34.926557496080264</v>
      </c>
      <c r="H56" s="30">
        <f>(maluku_papua!H32*3.6/(VLOOKUP(H$51,tech_data!$B$2:$J$15,4,FALSE)/100))/1000</f>
        <v>-5.8219124731758072E-16</v>
      </c>
      <c r="I56" s="30">
        <f>(maluku_papua!I32*3.6/(VLOOKUP(I$51,tech_data!$B$2:$J$15,4,FALSE)/100))/1000</f>
        <v>0.83933461248077224</v>
      </c>
      <c r="J56" s="30">
        <f>(maluku_papua!J32*3.6/(VLOOKUP(J$51,tech_data!$B$2:$J$15,4,FALSE)/100))/1000</f>
        <v>2.8494671789060377</v>
      </c>
      <c r="K56" s="30">
        <f t="shared" si="57"/>
        <v>2.3514219513500394</v>
      </c>
      <c r="L56" s="30">
        <f t="shared" si="57"/>
        <v>1.7113863050630906</v>
      </c>
      <c r="M56" s="30">
        <f>(maluku_papua!M32*3.6/(VLOOKUP(M$51,tech_data!$B$2:$J$15,4,FALSE)/100))/1000</f>
        <v>0</v>
      </c>
      <c r="N56" s="30">
        <f t="shared" si="58"/>
        <v>3.0743567187536129E-3</v>
      </c>
      <c r="O56" s="30">
        <f>(maluku_papua!O32*3.6/(VLOOKUP(O$51,tech_data!$B$2:$J$15,4,FALSE)/100))/1000</f>
        <v>0</v>
      </c>
      <c r="P56" s="30">
        <v>0</v>
      </c>
      <c r="Q56" s="30">
        <f t="shared" si="53"/>
        <v>71.986566756181489</v>
      </c>
      <c r="R56" s="30"/>
      <c r="T56" s="19"/>
      <c r="U56" s="20" t="str">
        <f t="shared" si="54"/>
        <v>MALUKU_PAPUA</v>
      </c>
      <c r="V56" s="20">
        <f t="shared" si="54"/>
        <v>2023</v>
      </c>
      <c r="W56" s="30">
        <f>D56*VLOOKUP(W$51,tech_data!$B$2:$K$15,10,FALSE)*1000</f>
        <v>1578428.1051604466</v>
      </c>
      <c r="X56" s="30">
        <f>E56*VLOOKUP(X$51,tech_data!$B$2:$K$15,10,FALSE)*1000</f>
        <v>7495.0218731477953</v>
      </c>
      <c r="Y56" s="30">
        <f>F56*VLOOKUP(Y$51,tech_data!$B$2:$K$15,10,FALSE)*1000</f>
        <v>829409.52118857484</v>
      </c>
      <c r="Z56" s="30">
        <f>G56*VLOOKUP(Z$51,tech_data!$B$2:$K$15,10,FALSE)*1000</f>
        <v>2625429.3269803533</v>
      </c>
      <c r="AA56" s="30">
        <f>H32*VLOOKUP(AA$51,tech_data!$B$2:$K$15,10,FALSE)/1000</f>
        <v>-1.3732436046103435E-15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5040761.9752025222</v>
      </c>
      <c r="AK56" s="25">
        <f t="shared" si="59"/>
        <v>6.6999999999999782E-2</v>
      </c>
      <c r="AL56" s="24">
        <f t="shared" ref="AL56:AL70" si="62">AL55</f>
        <v>6.7000000000000004E-2</v>
      </c>
      <c r="AM56" s="26"/>
      <c r="AN56" s="24"/>
      <c r="AO56" s="20" t="str">
        <f t="shared" si="56"/>
        <v>MALUKU_PAPUA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93.471882810431111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9.0004184980520305E-2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67.943661996379376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7.0779698234787505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-1.3135583719229753E-14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3.0049087614639758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5.3970610916669335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10.989470208709058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141.57272784226743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6.3966192007953129E-2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6.9708631638731713E-2</v>
      </c>
      <c r="BD56" s="30">
        <f t="shared" si="60"/>
        <v>329.6813615430238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MALUKU_PAPUA</v>
      </c>
      <c r="C57" s="20">
        <f t="shared" si="52"/>
        <v>2024</v>
      </c>
      <c r="D57" s="30">
        <f>(maluku_papua!D33*3.6/(VLOOKUP(D$51,tech_data!$B$2:$J$15,4,FALSE)/100))/1000</f>
        <v>18.299617743914979</v>
      </c>
      <c r="E57" s="30">
        <f>(maluku_papua!E33*3.6/(VLOOKUP(E$51,tech_data!$B$2:$J$15,4,FALSE)/100))/1000</f>
        <v>0.12069275361338036</v>
      </c>
      <c r="F57" s="30">
        <f>(maluku_papua!F33*3.6/(VLOOKUP(F$51,tech_data!$B$2:$J$15,4,FALSE)/100))/1000</f>
        <v>14.826582901532571</v>
      </c>
      <c r="G57" s="30">
        <f>(maluku_papua!G33*3.6/(VLOOKUP(G$51,tech_data!$B$2:$J$15,4,FALSE)/100))/1000</f>
        <v>34.926557496080264</v>
      </c>
      <c r="H57" s="30">
        <f>(maluku_papua!H33*3.6/(VLOOKUP(H$51,tech_data!$B$2:$J$15,4,FALSE)/100))/1000</f>
        <v>-2.6666666531998792E-8</v>
      </c>
      <c r="I57" s="30">
        <f>(maluku_papua!I33*3.6/(VLOOKUP(I$51,tech_data!$B$2:$J$15,4,FALSE)/100))/1000</f>
        <v>1.062731922633857</v>
      </c>
      <c r="J57" s="30">
        <f>(maluku_papua!J33*3.6/(VLOOKUP(J$51,tech_data!$B$2:$J$15,4,FALSE)/100))/1000</f>
        <v>4.1924041139361465</v>
      </c>
      <c r="K57" s="30">
        <f t="shared" si="57"/>
        <v>2.3514219513500394</v>
      </c>
      <c r="L57" s="30">
        <f t="shared" si="57"/>
        <v>1.8003619094788643</v>
      </c>
      <c r="M57" s="30">
        <f>(maluku_papua!M33*3.6/(VLOOKUP(M$51,tech_data!$B$2:$J$15,4,FALSE)/100))/1000</f>
        <v>0</v>
      </c>
      <c r="N57" s="30">
        <f t="shared" si="58"/>
        <v>3.0743567187536129E-3</v>
      </c>
      <c r="O57" s="30">
        <f>(maluku_papua!O33*3.6/(VLOOKUP(O$51,tech_data!$B$2:$J$15,4,FALSE)/100))/1000</f>
        <v>0</v>
      </c>
      <c r="P57" s="30">
        <v>0</v>
      </c>
      <c r="Q57" s="30">
        <f t="shared" si="53"/>
        <v>77.583445122592195</v>
      </c>
      <c r="R57" s="30"/>
      <c r="T57" s="19"/>
      <c r="U57" s="20" t="str">
        <f t="shared" si="54"/>
        <v>MALUKU_PAPUA</v>
      </c>
      <c r="V57" s="20">
        <f t="shared" si="54"/>
        <v>2024</v>
      </c>
      <c r="W57" s="30">
        <f>D57*VLOOKUP(W$51,tech_data!$B$2:$K$15,10,FALSE)*1000</f>
        <v>1824837.8814232016</v>
      </c>
      <c r="X57" s="30">
        <f>E57*VLOOKUP(X$51,tech_data!$B$2:$K$15,10,FALSE)*1000</f>
        <v>7495.01999939092</v>
      </c>
      <c r="Y57" s="30">
        <f>F57*VLOOKUP(Y$51,tech_data!$B$2:$K$15,10,FALSE)*1000</f>
        <v>920730.79818517272</v>
      </c>
      <c r="Z57" s="30">
        <f>G57*VLOOKUP(Z$51,tech_data!$B$2:$K$15,10,FALSE)*1000</f>
        <v>2625429.3269803533</v>
      </c>
      <c r="AA57" s="30">
        <f>H33*VLOOKUP(AA$51,tech_data!$B$2:$K$15,10,FALSE)/1000</f>
        <v>-6.289999968235215E-8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0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5378493.0265880553</v>
      </c>
      <c r="AK57" s="25">
        <f t="shared" si="59"/>
        <v>6.6999999810934158E-2</v>
      </c>
      <c r="AL57" s="24">
        <f t="shared" si="62"/>
        <v>6.7000000000000004E-2</v>
      </c>
      <c r="AM57" s="26"/>
      <c r="AN57" s="24"/>
      <c r="AO57" s="20" t="str">
        <f t="shared" si="56"/>
        <v>MALUKU_PAPUA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99.696756027988755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9.0003435812791091E-2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76.04580413378325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7.0779698234787505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-6.0166178177160853E-7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29.9662712858389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137.16703647164465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3.8346737628017604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18.697585569123202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3.7832987622428482E-2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6.0606232831780099E-2</v>
      </c>
      <c r="BD57" s="30">
        <f t="shared" si="60"/>
        <v>372.67453912926447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MALUKU_PAPUA</v>
      </c>
      <c r="C58" s="20">
        <f t="shared" si="52"/>
        <v>2025</v>
      </c>
      <c r="D58" s="30">
        <f>(maluku_papua!D34*3.6/(VLOOKUP(D$51,tech_data!$B$2:$J$15,4,FALSE)/100))/1000</f>
        <v>20.883576756435385</v>
      </c>
      <c r="E58" s="30">
        <f>(maluku_papua!E34*3.6/(VLOOKUP(E$51,tech_data!$B$2:$J$15,4,FALSE)/100))/1000</f>
        <v>0.12069272344016184</v>
      </c>
      <c r="F58" s="30">
        <f>(maluku_papua!F34*3.6/(VLOOKUP(F$51,tech_data!$B$2:$J$15,4,FALSE)/100))/1000</f>
        <v>16.480152084902979</v>
      </c>
      <c r="G58" s="30">
        <f>(maluku_papua!G34*3.6/(VLOOKUP(G$51,tech_data!$B$2:$J$15,4,FALSE)/100))/1000</f>
        <v>34.926557496080264</v>
      </c>
      <c r="H58" s="30">
        <f>(maluku_papua!H34*3.6/(VLOOKUP(H$51,tech_data!$B$2:$J$15,4,FALSE)/100))/1000</f>
        <v>-2.6666666531998792E-8</v>
      </c>
      <c r="I58" s="30">
        <f>(maluku_papua!I34*3.6/(VLOOKUP(I$51,tech_data!$B$2:$J$15,4,FALSE)/100))/1000</f>
        <v>2.0578169128531045</v>
      </c>
      <c r="J58" s="30">
        <f>(maluku_papua!J34*3.6/(VLOOKUP(J$51,tech_data!$B$2:$J$15,4,FALSE)/100))/1000</f>
        <v>4.3635562141934745</v>
      </c>
      <c r="K58" s="30">
        <f t="shared" si="57"/>
        <v>2.5089942679656581</v>
      </c>
      <c r="L58" s="30">
        <f t="shared" si="57"/>
        <v>2.1375750500214319</v>
      </c>
      <c r="M58" s="30">
        <f>(maluku_papua!M34*3.6/(VLOOKUP(M$51,tech_data!$B$2:$J$15,4,FALSE)/100))/1000</f>
        <v>0</v>
      </c>
      <c r="N58" s="30">
        <f t="shared" si="58"/>
        <v>3.0745189839207756E-3</v>
      </c>
      <c r="O58" s="30">
        <f>(maluku_papua!O34*3.6/(VLOOKUP(O$51,tech_data!$B$2:$J$15,4,FALSE)/100))/1000</f>
        <v>0</v>
      </c>
      <c r="P58" s="30">
        <v>0</v>
      </c>
      <c r="Q58" s="30">
        <f t="shared" si="53"/>
        <v>83.481995998209712</v>
      </c>
      <c r="R58" s="30"/>
      <c r="T58" s="19"/>
      <c r="U58" s="20" t="str">
        <f t="shared" si="54"/>
        <v>MALUKU_PAPUA</v>
      </c>
      <c r="V58" s="20">
        <f t="shared" si="54"/>
        <v>2025</v>
      </c>
      <c r="W58" s="30">
        <f>D58*VLOOKUP(W$51,tech_data!$B$2:$K$15,10,FALSE)*1000</f>
        <v>2082510.2741517366</v>
      </c>
      <c r="X58" s="30">
        <f>E58*VLOOKUP(X$51,tech_data!$B$2:$K$15,10,FALSE)*1000</f>
        <v>7495.0181256340511</v>
      </c>
      <c r="Y58" s="30">
        <f>F58*VLOOKUP(Y$51,tech_data!$B$2:$K$15,10,FALSE)*1000</f>
        <v>1023417.4444724751</v>
      </c>
      <c r="Z58" s="30">
        <f>G58*VLOOKUP(Z$51,tech_data!$B$2:$K$15,10,FALSE)*1000</f>
        <v>2625429.3269803533</v>
      </c>
      <c r="AA58" s="30">
        <f>H34*VLOOKUP(AA$51,tech_data!$B$2:$K$15,10,FALSE)/1000</f>
        <v>-6.289999968235215E-8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0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5738852.0637301356</v>
      </c>
      <c r="AK58" s="25">
        <f t="shared" si="59"/>
        <v>6.7000000810762517E-2</v>
      </c>
      <c r="AL58" s="24">
        <f t="shared" si="62"/>
        <v>6.7000000000000004E-2</v>
      </c>
      <c r="AM58" s="26"/>
      <c r="AN58" s="24"/>
      <c r="AO58" s="20" t="str">
        <f t="shared" si="56"/>
        <v>MALUKU_PAPUA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106.04447609417957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9.0003413311727967E-2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85.254194573929851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7.0779698234787505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-7.5921808195123444E-9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127.4641866447646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24.722289121720966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30.716303119474382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49.110364534549085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3.7907279244970164E-2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7.2454895874114328E-2</v>
      </c>
      <c r="BD58" s="30">
        <f t="shared" si="60"/>
        <v>430.59014949293584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0</v>
      </c>
      <c r="BO58" s="20" t="b">
        <f>$AK$59&lt;=$AL$59</f>
        <v>1</v>
      </c>
      <c r="BP58" s="20" t="b">
        <f>$AK$60&lt;=$AL$60</f>
        <v>0</v>
      </c>
      <c r="BQ58" s="20" t="b">
        <f>$AK$61&lt;=$AL$61</f>
        <v>0</v>
      </c>
      <c r="BR58" s="20" t="b">
        <f>$AK$62&lt;=$AL$62</f>
        <v>1</v>
      </c>
      <c r="BS58" s="20" t="b">
        <f>$AK$63&lt;=$AL$63</f>
        <v>0</v>
      </c>
      <c r="BT58" s="20" t="b">
        <f>$AK$64&lt;=$AL$64</f>
        <v>1</v>
      </c>
      <c r="BU58" s="20" t="b">
        <f>$AK$65&lt;=$AL$65</f>
        <v>0</v>
      </c>
      <c r="BV58" s="20" t="b">
        <f>$AK$66&lt;=$AL$66</f>
        <v>0</v>
      </c>
      <c r="BW58" s="20" t="b">
        <f>$AK$67&lt;=$AL$67</f>
        <v>1</v>
      </c>
      <c r="BX58" s="20" t="b">
        <f>$AK$68&lt;=$AL$68</f>
        <v>0</v>
      </c>
      <c r="BY58" s="20" t="b">
        <f>$AK$69&lt;=$AL$69</f>
        <v>0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MALUKU_PAPUA</v>
      </c>
      <c r="C59" s="20">
        <f t="shared" si="52"/>
        <v>2026</v>
      </c>
      <c r="D59" s="30">
        <f>(maluku_papua!D35*3.6/(VLOOKUP(D$51,tech_data!$B$2:$J$15,4,FALSE)/100))/1000</f>
        <v>23.862981852374666</v>
      </c>
      <c r="E59" s="30">
        <f>(maluku_papua!E35*3.6/(VLOOKUP(E$51,tech_data!$B$2:$J$15,4,FALSE)/100))/1000</f>
        <v>0.12069272344016184</v>
      </c>
      <c r="F59" s="30">
        <f>(maluku_papua!F35*3.6/(VLOOKUP(F$51,tech_data!$B$2:$J$15,4,FALSE)/100))/1000</f>
        <v>17.887508157411688</v>
      </c>
      <c r="G59" s="30">
        <f>(maluku_papua!G35*3.6/(VLOOKUP(G$51,tech_data!$B$2:$J$15,4,FALSE)/100))/1000</f>
        <v>34.926557496080264</v>
      </c>
      <c r="H59" s="30">
        <f>(maluku_papua!H35*3.6/(VLOOKUP(H$51,tech_data!$B$2:$J$15,4,FALSE)/100))/1000</f>
        <v>0</v>
      </c>
      <c r="I59" s="30">
        <f>(maluku_papua!I35*3.6/(VLOOKUP(I$51,tech_data!$B$2:$J$15,4,FALSE)/100))/1000</f>
        <v>2.3072045309852514</v>
      </c>
      <c r="J59" s="30">
        <f>(maluku_papua!J35*3.6/(VLOOKUP(J$51,tech_data!$B$2:$J$15,4,FALSE)/100))/1000</f>
        <v>4.8675402857244823</v>
      </c>
      <c r="K59" s="30">
        <f t="shared" si="57"/>
        <v>2.5424994190644599</v>
      </c>
      <c r="L59" s="30">
        <f t="shared" si="57"/>
        <v>2.2465796693633155</v>
      </c>
      <c r="M59" s="30">
        <f>(maluku_papua!M35*3.6/(VLOOKUP(M$51,tech_data!$B$2:$J$15,4,FALSE)/100))/1000</f>
        <v>0</v>
      </c>
      <c r="N59" s="30">
        <f t="shared" si="58"/>
        <v>3.6549610143269788E-3</v>
      </c>
      <c r="O59" s="30">
        <f>(maluku_papua!O35*3.6/(VLOOKUP(O$51,tech_data!$B$2:$J$15,4,FALSE)/100))/1000</f>
        <v>0</v>
      </c>
      <c r="P59" s="30">
        <v>0</v>
      </c>
      <c r="Q59" s="30">
        <f t="shared" si="53"/>
        <v>88.765219095458619</v>
      </c>
      <c r="R59" s="30"/>
      <c r="T59" s="19"/>
      <c r="U59" s="20" t="str">
        <f t="shared" si="54"/>
        <v>MALUKU_PAPUA</v>
      </c>
      <c r="V59" s="20">
        <f t="shared" si="54"/>
        <v>2026</v>
      </c>
      <c r="W59" s="30">
        <f>D59*VLOOKUP(W$51,tech_data!$B$2:$K$15,10,FALSE)*1000</f>
        <v>2379616.5503188018</v>
      </c>
      <c r="X59" s="30">
        <f>E59*VLOOKUP(X$51,tech_data!$B$2:$K$15,10,FALSE)*1000</f>
        <v>7495.0181256340511</v>
      </c>
      <c r="Y59" s="30">
        <f>F59*VLOOKUP(Y$51,tech_data!$B$2:$K$15,10,FALSE)*1000</f>
        <v>1110814.2565752657</v>
      </c>
      <c r="Z59" s="30">
        <f>G59*VLOOKUP(Z$51,tech_data!$B$2:$K$15,10,FALSE)*1000</f>
        <v>2625429.3269803533</v>
      </c>
      <c r="AA59" s="30">
        <f>H35*VLOOKUP(AA$51,tech_data!$B$2:$K$15,10,FALSE)/1000</f>
        <v>0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0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6123355.1520000547</v>
      </c>
      <c r="AK59" s="25">
        <f t="shared" si="59"/>
        <v>6.7000000000000018E-2</v>
      </c>
      <c r="AL59" s="24">
        <f t="shared" si="62"/>
        <v>6.7000000000000004E-2</v>
      </c>
      <c r="AM59" s="26"/>
      <c r="AN59" s="24"/>
      <c r="AO59" s="20" t="str">
        <f t="shared" si="56"/>
        <v>MALUKU_PAPUA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122.05143289665011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9.0004139978394085E-2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77.714620340118927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7.0779698234787505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5.9406961392192596E-7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35.97217972336162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57.70585240735241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9.8075755909278772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23.096614823783916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0.3035850587587911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5.5227751593794373E-2</v>
      </c>
      <c r="BD59" s="30">
        <f t="shared" si="60"/>
        <v>333.8750631500742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0</v>
      </c>
      <c r="BM59" s="20" t="b">
        <f>$AQ$33&gt;=$AW$33</f>
        <v>0</v>
      </c>
      <c r="BN59" s="20" t="b">
        <f>$AQ$34&gt;=$AW$34</f>
        <v>0</v>
      </c>
      <c r="BO59" s="20" t="b">
        <f>$AQ$35&gt;=$AW$35</f>
        <v>0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MALUKU_PAPUA</v>
      </c>
      <c r="C60" s="20">
        <f t="shared" si="52"/>
        <v>2027</v>
      </c>
      <c r="D60" s="30">
        <f>(maluku_papua!D36*3.6/(VLOOKUP(D$51,tech_data!$B$2:$J$15,4,FALSE)/100))/1000</f>
        <v>27.022155379070643</v>
      </c>
      <c r="E60" s="30">
        <f>(maluku_papua!E36*3.6/(VLOOKUP(E$51,tech_data!$B$2:$J$15,4,FALSE)/100))/1000</f>
        <v>0.12069269326694325</v>
      </c>
      <c r="F60" s="30">
        <f>(maluku_papua!F36*3.6/(VLOOKUP(F$51,tech_data!$B$2:$J$15,4,FALSE)/100))/1000</f>
        <v>19.421034936407501</v>
      </c>
      <c r="G60" s="30">
        <f>(maluku_papua!G36*3.6/(VLOOKUP(G$51,tech_data!$B$2:$J$15,4,FALSE)/100))/1000</f>
        <v>34.926557496080264</v>
      </c>
      <c r="H60" s="30">
        <f>(maluku_papua!H36*3.6/(VLOOKUP(H$51,tech_data!$B$2:$J$15,4,FALSE)/100))/1000</f>
        <v>-5.8219320316050625E-16</v>
      </c>
      <c r="I60" s="30">
        <f>(maluku_papua!I36*3.6/(VLOOKUP(I$51,tech_data!$B$2:$J$15,4,FALSE)/100))/1000</f>
        <v>2.6699898618128728</v>
      </c>
      <c r="J60" s="30">
        <f>(maluku_papua!J36*3.6/(VLOOKUP(J$51,tech_data!$B$2:$J$15,4,FALSE)/100))/1000</f>
        <v>5.318400299798073</v>
      </c>
      <c r="K60" s="30">
        <f t="shared" si="57"/>
        <v>2.5426131724179175</v>
      </c>
      <c r="L60" s="30">
        <f t="shared" si="57"/>
        <v>2.3902943278778586</v>
      </c>
      <c r="M60" s="30">
        <f>(maluku_papua!M36*3.6/(VLOOKUP(M$51,tech_data!$B$2:$J$15,4,FALSE)/100))/1000</f>
        <v>0</v>
      </c>
      <c r="N60" s="30">
        <f t="shared" si="58"/>
        <v>5.1011019597938167E-3</v>
      </c>
      <c r="O60" s="30">
        <f>(maluku_papua!O36*3.6/(VLOOKUP(O$51,tech_data!$B$2:$J$15,4,FALSE)/100))/1000</f>
        <v>0</v>
      </c>
      <c r="P60" s="30">
        <v>0</v>
      </c>
      <c r="Q60" s="30">
        <f t="shared" si="53"/>
        <v>94.416839268691859</v>
      </c>
      <c r="R60" s="30"/>
      <c r="T60" s="19"/>
      <c r="U60" s="20" t="str">
        <f t="shared" si="54"/>
        <v>MALUKU_PAPUA</v>
      </c>
      <c r="V60" s="20">
        <f t="shared" si="54"/>
        <v>2027</v>
      </c>
      <c r="W60" s="30">
        <f>D60*VLOOKUP(W$51,tech_data!$B$2:$K$15,10,FALSE)*1000</f>
        <v>2694649.3344009244</v>
      </c>
      <c r="X60" s="30">
        <f>E60*VLOOKUP(X$51,tech_data!$B$2:$K$15,10,FALSE)*1000</f>
        <v>7495.0162518771758</v>
      </c>
      <c r="Y60" s="30">
        <f>F60*VLOOKUP(Y$51,tech_data!$B$2:$K$15,10,FALSE)*1000</f>
        <v>1206046.2695509058</v>
      </c>
      <c r="Z60" s="30">
        <f>G60*VLOOKUP(Z$51,tech_data!$B$2:$K$15,10,FALSE)*1000</f>
        <v>2625429.3269803533</v>
      </c>
      <c r="AA60" s="30">
        <f>H36*VLOOKUP(AA$51,tech_data!$B$2:$K$15,10,FALSE)/1000</f>
        <v>-1.3732482179548439E-15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0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6533619.9471840607</v>
      </c>
      <c r="AK60" s="25">
        <f t="shared" si="59"/>
        <v>6.7000000000000379E-2</v>
      </c>
      <c r="AL60" s="24">
        <f t="shared" si="62"/>
        <v>6.7000000000000004E-2</v>
      </c>
      <c r="AM60" s="26"/>
      <c r="AN60" s="24"/>
      <c r="AO60" s="20" t="str">
        <f t="shared" si="56"/>
        <v>MALUKU_PAPUA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131.17765950959651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9.0003390810664372E-2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84.588217580418231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7.0779698234787505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-1.3135627847578654E-14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50.786091706247383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53.445932118178092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4.1656870250526827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27.79738820177651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0.70708029936097894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5.9210035148426973E-2</v>
      </c>
      <c r="BD60" s="30">
        <f t="shared" si="60"/>
        <v>359.89523969006837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0</v>
      </c>
      <c r="BQ60" s="20" t="b">
        <f>$AR$37&gt;=$AX$37</f>
        <v>0</v>
      </c>
      <c r="BR60" s="20" t="b">
        <f>$AR$38&gt;=$AX$38</f>
        <v>1</v>
      </c>
      <c r="BS60" s="20" t="b">
        <f>$AR$39&gt;=$AX$39</f>
        <v>0</v>
      </c>
      <c r="BT60" s="20" t="b">
        <f>$AR$40&gt;=$AX$40</f>
        <v>0</v>
      </c>
      <c r="BU60" s="20" t="b">
        <f>$AR$41&gt;=$AX$41</f>
        <v>0</v>
      </c>
      <c r="BV60" s="20" t="b">
        <f>$AR$42&gt;=$AX$42</f>
        <v>0</v>
      </c>
      <c r="BW60" s="20" t="b">
        <f>$AR$43&gt;=$AX$43</f>
        <v>0</v>
      </c>
      <c r="BX60" s="20" t="b">
        <f>$AR$44&gt;=$AX$44</f>
        <v>0</v>
      </c>
      <c r="BY60" s="20" t="b">
        <f>$AR$45&gt;=$AX$45</f>
        <v>0</v>
      </c>
      <c r="BZ60" s="20" t="b">
        <f>$AR$46&gt;=$AX$46</f>
        <v>0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52"/>
        <v>MALUKU_PAPUA</v>
      </c>
      <c r="C61" s="20">
        <f t="shared" si="52"/>
        <v>2028</v>
      </c>
      <c r="D61" s="30">
        <f>(maluku_papua!D37*3.6/(VLOOKUP(D$51,tech_data!$B$2:$J$15,4,FALSE)/100))/1000</f>
        <v>30.371121135726515</v>
      </c>
      <c r="E61" s="30">
        <f>(maluku_papua!E37*3.6/(VLOOKUP(E$51,tech_data!$B$2:$J$15,4,FALSE)/100))/1000</f>
        <v>0.12069266309372469</v>
      </c>
      <c r="F61" s="30">
        <f>(maluku_papua!F37*3.6/(VLOOKUP(F$51,tech_data!$B$2:$J$15,4,FALSE)/100))/1000</f>
        <v>21.092430638200845</v>
      </c>
      <c r="G61" s="30">
        <f>(maluku_papua!G37*3.6/(VLOOKUP(G$51,tech_data!$B$2:$J$15,4,FALSE)/100))/1000</f>
        <v>34.926557496080264</v>
      </c>
      <c r="H61" s="30">
        <f>(maluku_papua!H37*3.6/(VLOOKUP(H$51,tech_data!$B$2:$J$15,4,FALSE)/100))/1000</f>
        <v>-5.8219320316050625E-16</v>
      </c>
      <c r="I61" s="30">
        <f>(maluku_papua!I37*3.6/(VLOOKUP(I$51,tech_data!$B$2:$J$15,4,FALSE)/100))/1000</f>
        <v>2.6699899119282833</v>
      </c>
      <c r="J61" s="30">
        <f>(maluku_papua!J37*3.6/(VLOOKUP(J$51,tech_data!$B$2:$J$15,4,FALSE)/100))/1000</f>
        <v>5.3184003660022263</v>
      </c>
      <c r="K61" s="30">
        <f t="shared" si="57"/>
        <v>2.7758199494275924</v>
      </c>
      <c r="L61" s="30">
        <f t="shared" si="57"/>
        <v>3.0805024912413601</v>
      </c>
      <c r="M61" s="30">
        <f>(maluku_papua!M37*3.6/(VLOOKUP(M$51,tech_data!$B$2:$J$15,4,FALSE)/100))/1000</f>
        <v>0</v>
      </c>
      <c r="N61" s="30">
        <f t="shared" si="58"/>
        <v>5.7294829991501178E-3</v>
      </c>
      <c r="O61" s="30">
        <f>(maluku_papua!O37*3.6/(VLOOKUP(O$51,tech_data!$B$2:$J$15,4,FALSE)/100))/1000</f>
        <v>0</v>
      </c>
      <c r="P61" s="30">
        <v>0</v>
      </c>
      <c r="Q61" s="30">
        <f t="shared" si="53"/>
        <v>100.36124413469994</v>
      </c>
      <c r="R61" s="30"/>
      <c r="T61" s="19"/>
      <c r="U61" s="20" t="str">
        <f t="shared" si="54"/>
        <v>MALUKU_PAPUA</v>
      </c>
      <c r="V61" s="20">
        <f t="shared" si="54"/>
        <v>2028</v>
      </c>
      <c r="W61" s="30">
        <f>D61*VLOOKUP(W$51,tech_data!$B$2:$K$15,10,FALSE)*1000</f>
        <v>3028608.1996546481</v>
      </c>
      <c r="X61" s="30">
        <f>E61*VLOOKUP(X$51,tech_data!$B$2:$K$15,10,FALSE)*1000</f>
        <v>7495.0143781203033</v>
      </c>
      <c r="Y61" s="30">
        <f>F61*VLOOKUP(Y$51,tech_data!$B$2:$K$15,10,FALSE)*1000</f>
        <v>1309839.9426322726</v>
      </c>
      <c r="Z61" s="30">
        <f>G61*VLOOKUP(Z$51,tech_data!$B$2:$K$15,10,FALSE)*1000</f>
        <v>2625429.3269803533</v>
      </c>
      <c r="AA61" s="30">
        <f>H37*VLOOKUP(AA$51,tech_data!$B$2:$K$15,10,FALSE)/1000</f>
        <v>-1.3732482179548439E-15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0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6971372.4836453944</v>
      </c>
      <c r="AK61" s="25">
        <f t="shared" si="59"/>
        <v>6.7000000000000254E-2</v>
      </c>
      <c r="AL61" s="24">
        <f t="shared" si="62"/>
        <v>6.7000000000000004E-2</v>
      </c>
      <c r="AM61" s="26"/>
      <c r="AN61" s="24"/>
      <c r="AO61" s="20" t="str">
        <f t="shared" si="56"/>
        <v>MALUKU_PAPUA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140.82673663862411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9.0003368309601747E-2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92.093355436043197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7.0779698234787505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-1.6575435347277883E-16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6.0020578829749738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10.05678179344933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43.931234889173304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94.508780847558143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0.35047259518114554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7.3986507909266017E-2</v>
      </c>
      <c r="BD61" s="30">
        <f t="shared" si="60"/>
        <v>395.01137978270185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MALUKU_PAPUA</v>
      </c>
      <c r="C62" s="20">
        <f t="shared" si="52"/>
        <v>2029</v>
      </c>
      <c r="D62" s="30">
        <f>(maluku_papua!D38*3.6/(VLOOKUP(D$51,tech_data!$B$2:$J$15,4,FALSE)/100))/1000</f>
        <v>33.92039613156588</v>
      </c>
      <c r="E62" s="30">
        <f>(maluku_papua!E38*3.6/(VLOOKUP(E$51,tech_data!$B$2:$J$15,4,FALSE)/100))/1000</f>
        <v>0.12069266309372469</v>
      </c>
      <c r="F62" s="30">
        <f>(maluku_papua!F38*3.6/(VLOOKUP(F$51,tech_data!$B$2:$J$15,4,FALSE)/100))/1000</f>
        <v>22.914463710972829</v>
      </c>
      <c r="G62" s="30">
        <f>(maluku_papua!G38*3.6/(VLOOKUP(G$51,tech_data!$B$2:$J$15,4,FALSE)/100))/1000</f>
        <v>34.926557496080264</v>
      </c>
      <c r="H62" s="30">
        <f>(maluku_papua!H38*3.6/(VLOOKUP(H$51,tech_data!$B$2:$J$15,4,FALSE)/100))/1000</f>
        <v>0</v>
      </c>
      <c r="I62" s="30">
        <f>(maluku_papua!I38*3.6/(VLOOKUP(I$51,tech_data!$B$2:$J$15,4,FALSE)/100))/1000</f>
        <v>2.971732685591038</v>
      </c>
      <c r="J62" s="30">
        <f>(maluku_papua!J38*3.6/(VLOOKUP(J$51,tech_data!$B$2:$J$15,4,FALSE)/100))/1000</f>
        <v>5.9816326960546009</v>
      </c>
      <c r="K62" s="30">
        <f t="shared" si="57"/>
        <v>2.8250811794597728</v>
      </c>
      <c r="L62" s="30">
        <f t="shared" si="57"/>
        <v>3.2180511618584613</v>
      </c>
      <c r="M62" s="30">
        <f>(maluku_papua!M38*3.6/(VLOOKUP(M$51,tech_data!$B$2:$J$15,4,FALSE)/100))/1000</f>
        <v>0</v>
      </c>
      <c r="N62" s="30">
        <f t="shared" si="58"/>
        <v>5.7296310263986946E-3</v>
      </c>
      <c r="O62" s="30">
        <f>(maluku_papua!O38*3.6/(VLOOKUP(O$51,tech_data!$B$2:$J$15,4,FALSE)/100))/1000</f>
        <v>0</v>
      </c>
      <c r="P62" s="30">
        <v>0</v>
      </c>
      <c r="Q62" s="30">
        <f t="shared" si="53"/>
        <v>106.88433735570297</v>
      </c>
      <c r="R62" s="30"/>
      <c r="T62" s="19"/>
      <c r="U62" s="20" t="str">
        <f t="shared" si="54"/>
        <v>MALUKU_PAPUA</v>
      </c>
      <c r="V62" s="20">
        <f t="shared" si="54"/>
        <v>2029</v>
      </c>
      <c r="W62" s="30">
        <f>D62*VLOOKUP(W$51,tech_data!$B$2:$K$15,10,FALSE)*1000</f>
        <v>3382541.9022397497</v>
      </c>
      <c r="X62" s="30">
        <f>E62*VLOOKUP(X$51,tech_data!$B$2:$K$15,10,FALSE)*1000</f>
        <v>7495.0143781203033</v>
      </c>
      <c r="Y62" s="30">
        <f>F62*VLOOKUP(Y$51,tech_data!$B$2:$K$15,10,FALSE)*1000</f>
        <v>1422988.1964514127</v>
      </c>
      <c r="Z62" s="30">
        <f>G62*VLOOKUP(Z$51,tech_data!$B$2:$K$15,10,FALSE)*1000</f>
        <v>2625429.3269803533</v>
      </c>
      <c r="AA62" s="30">
        <f>H38*VLOOKUP(AA$51,tech_data!$B$2:$K$15,10,FALSE)/1000</f>
        <v>0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0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7438454.4400496362</v>
      </c>
      <c r="AK62" s="25">
        <f t="shared" si="59"/>
        <v>6.7000000000000046E-2</v>
      </c>
      <c r="AL62" s="24">
        <f t="shared" si="62"/>
        <v>6.7000000000000004E-2</v>
      </c>
      <c r="AM62" s="26"/>
      <c r="AN62" s="24"/>
      <c r="AO62" s="20" t="str">
        <f t="shared" si="56"/>
        <v>MALUKU_PAPUA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151.02559829625153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9.0004094976267865E-2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100.28801878697661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7.0779698234787505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1.2969873494105869E-14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43.929000593802414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75.138017593579605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12.930678339520682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30.923560816813279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7.0574704686534054E-2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6.8732876310897917E-2</v>
      </c>
      <c r="BD62" s="30">
        <f t="shared" si="60"/>
        <v>421.54215592639656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1</v>
      </c>
      <c r="BO62" s="20" t="b">
        <f>$AT$35&gt;=$AZ$35</f>
        <v>0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MALUKU_PAPUA</v>
      </c>
      <c r="C63" s="20">
        <f t="shared" si="52"/>
        <v>2030</v>
      </c>
      <c r="D63" s="30">
        <f>(maluku_papua!D39*3.6/(VLOOKUP(D$51,tech_data!$B$2:$J$15,4,FALSE)/100))/1000</f>
        <v>37.680995425744705</v>
      </c>
      <c r="E63" s="30">
        <f>(maluku_papua!E39*3.6/(VLOOKUP(E$51,tech_data!$B$2:$J$15,4,FALSE)/100))/1000</f>
        <v>0.12069266309372469</v>
      </c>
      <c r="F63" s="30">
        <f>(maluku_papua!F39*3.6/(VLOOKUP(F$51,tech_data!$B$2:$J$15,4,FALSE)/100))/1000</f>
        <v>24.901089893023958</v>
      </c>
      <c r="G63" s="30">
        <f>(maluku_papua!G39*3.6/(VLOOKUP(G$51,tech_data!$B$2:$J$15,4,FALSE)/100))/1000</f>
        <v>34.926557496080264</v>
      </c>
      <c r="H63" s="30">
        <f>(maluku_papua!H39*3.6/(VLOOKUP(H$51,tech_data!$B$2:$J$15,4,FALSE)/100))/1000</f>
        <v>-2.6666666410888568E-8</v>
      </c>
      <c r="I63" s="30">
        <f>(maluku_papua!I39*3.6/(VLOOKUP(I$51,tech_data!$B$2:$J$15,4,FALSE)/100))/1000</f>
        <v>2.971732685591038</v>
      </c>
      <c r="J63" s="30">
        <f>(maluku_papua!J39*3.6/(VLOOKUP(J$51,tech_data!$B$2:$J$15,4,FALSE)/100))/1000</f>
        <v>7.2439485635626273</v>
      </c>
      <c r="K63" s="30">
        <f t="shared" si="57"/>
        <v>2.9057939583929002</v>
      </c>
      <c r="L63" s="30">
        <f t="shared" si="57"/>
        <v>3.2180511673944854</v>
      </c>
      <c r="M63" s="30">
        <f>(maluku_papua!M39*3.6/(VLOOKUP(M$51,tech_data!$B$2:$J$15,4,FALSE)/100))/1000</f>
        <v>0</v>
      </c>
      <c r="N63" s="30">
        <f t="shared" si="58"/>
        <v>6.3930713462288296E-3</v>
      </c>
      <c r="O63" s="30">
        <f>(maluku_papua!O39*3.6/(VLOOKUP(O$51,tech_data!$B$2:$J$15,4,FALSE)/100))/1000</f>
        <v>0</v>
      </c>
      <c r="P63" s="30">
        <v>0</v>
      </c>
      <c r="Q63" s="30">
        <f t="shared" si="53"/>
        <v>113.97525489756326</v>
      </c>
      <c r="R63" s="30"/>
      <c r="T63" s="19"/>
      <c r="U63" s="20" t="str">
        <f t="shared" si="54"/>
        <v>MALUKU_PAPUA</v>
      </c>
      <c r="V63" s="20">
        <f t="shared" si="54"/>
        <v>2030</v>
      </c>
      <c r="W63" s="30">
        <f>D63*VLOOKUP(W$51,tech_data!$B$2:$K$15,10,FALSE)*1000</f>
        <v>3757548.8638552618</v>
      </c>
      <c r="X63" s="30">
        <f>E63*VLOOKUP(X$51,tech_data!$B$2:$K$15,10,FALSE)*1000</f>
        <v>7495.0143781203033</v>
      </c>
      <c r="Y63" s="30">
        <f>F63*VLOOKUP(Y$51,tech_data!$B$2:$K$15,10,FALSE)*1000</f>
        <v>1546357.6823567878</v>
      </c>
      <c r="Z63" s="30">
        <f>G63*VLOOKUP(Z$51,tech_data!$B$2:$K$15,10,FALSE)*1000</f>
        <v>2625429.3269803533</v>
      </c>
      <c r="AA63" s="30">
        <f>H39*VLOOKUP(AA$51,tech_data!$B$2:$K$15,10,FALSE)/1000</f>
        <v>-6.2899999396683407E-8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0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7936830.8875704603</v>
      </c>
      <c r="AK63" s="25">
        <f t="shared" si="59"/>
        <v>6.7000000005041166E-2</v>
      </c>
      <c r="AL63" s="24">
        <f t="shared" si="62"/>
        <v>6.7000000000000004E-2</v>
      </c>
      <c r="AM63" s="26"/>
      <c r="AN63" s="24"/>
      <c r="AO63" s="20" t="str">
        <f t="shared" si="56"/>
        <v>MALUKU_PAPUA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161.80184744186681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9.0004094976267865E-2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109.23625531808857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7.0779698234787505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-6.016617920089111E-7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6.6803597748980668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135.17864013114672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18.376605780364844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14.939228211121138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0.37425883531484222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7.227992142055556E-2</v>
      </c>
      <c r="BD63" s="30">
        <f t="shared" si="60"/>
        <v>453.82744873101478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MALUKU_PAPUA</v>
      </c>
      <c r="C64" s="20">
        <f t="shared" si="52"/>
        <v>2031</v>
      </c>
      <c r="D64" s="30">
        <f>(maluku_papua!D40*3.6/(VLOOKUP(D$51,tech_data!$B$2:$J$15,4,FALSE)/100))/1000</f>
        <v>41.664445228820654</v>
      </c>
      <c r="E64" s="30">
        <f>(maluku_papua!E40*3.6/(VLOOKUP(E$51,tech_data!$B$2:$J$15,4,FALSE)/100))/1000</f>
        <v>0.12069266309372469</v>
      </c>
      <c r="F64" s="30">
        <f>(maluku_papua!F40*3.6/(VLOOKUP(F$51,tech_data!$B$2:$J$15,4,FALSE)/100))/1000</f>
        <v>27.0675642103255</v>
      </c>
      <c r="G64" s="30">
        <f>(maluku_papua!G40*3.6/(VLOOKUP(G$51,tech_data!$B$2:$J$15,4,FALSE)/100))/1000</f>
        <v>34.926557496080264</v>
      </c>
      <c r="H64" s="30">
        <f>(maluku_papua!H40*3.6/(VLOOKUP(H$51,tech_data!$B$2:$J$15,4,FALSE)/100))/1000</f>
        <v>0</v>
      </c>
      <c r="I64" s="30">
        <f>(maluku_papua!I40*3.6/(VLOOKUP(I$51,tech_data!$B$2:$J$15,4,FALSE)/100))/1000</f>
        <v>3.3933284596891027</v>
      </c>
      <c r="J64" s="30">
        <f>(maluku_papua!J40*3.6/(VLOOKUP(J$51,tech_data!$B$2:$J$15,4,FALSE)/100))/1000</f>
        <v>7.9154447308828209</v>
      </c>
      <c r="K64" s="30">
        <f t="shared" si="57"/>
        <v>2.9057939583929002</v>
      </c>
      <c r="L64" s="30">
        <f t="shared" si="57"/>
        <v>3.4665645624407135</v>
      </c>
      <c r="M64" s="30">
        <f>(maluku_papua!M40*3.6/(VLOOKUP(M$51,tech_data!$B$2:$J$15,4,FALSE)/100))/1000</f>
        <v>0</v>
      </c>
      <c r="N64" s="30">
        <f t="shared" si="58"/>
        <v>6.3930713462288296E-3</v>
      </c>
      <c r="O64" s="30">
        <f>(maluku_papua!O40*3.6/(VLOOKUP(O$51,tech_data!$B$2:$J$15,4,FALSE)/100))/1000</f>
        <v>0</v>
      </c>
      <c r="P64" s="30">
        <v>0</v>
      </c>
      <c r="Q64" s="30">
        <f t="shared" si="53"/>
        <v>121.4667843810719</v>
      </c>
      <c r="R64" s="30"/>
      <c r="T64" s="19"/>
      <c r="U64" s="20" t="str">
        <f t="shared" si="54"/>
        <v>MALUKU_PAPUA</v>
      </c>
      <c r="V64" s="20">
        <f t="shared" si="54"/>
        <v>2031</v>
      </c>
      <c r="W64" s="30">
        <f>D64*VLOOKUP(W$51,tech_data!$B$2:$K$15,10,FALSE)*1000</f>
        <v>4154778.4782179953</v>
      </c>
      <c r="X64" s="30">
        <f>E64*VLOOKUP(X$51,tech_data!$B$2:$K$15,10,FALSE)*1000</f>
        <v>7495.0143781203033</v>
      </c>
      <c r="Y64" s="30">
        <f>F64*VLOOKUP(Y$51,tech_data!$B$2:$K$15,10,FALSE)*1000</f>
        <v>1680895.7374612137</v>
      </c>
      <c r="Z64" s="30">
        <f>G64*VLOOKUP(Z$51,tech_data!$B$2:$K$15,10,FALSE)*1000</f>
        <v>2625429.3269803533</v>
      </c>
      <c r="AA64" s="30">
        <f>H40*VLOOKUP(AA$51,tech_data!$B$2:$K$15,10,FALSE)/1000</f>
        <v>0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0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8468598.5570376813</v>
      </c>
      <c r="AK64" s="25">
        <f t="shared" si="59"/>
        <v>6.7000000000000018E-2</v>
      </c>
      <c r="AL64" s="24">
        <f t="shared" si="62"/>
        <v>6.7000000000000004E-2</v>
      </c>
      <c r="AM64" s="26"/>
      <c r="AN64" s="24"/>
      <c r="AO64" s="20" t="str">
        <f t="shared" si="56"/>
        <v>MALUKU_PAPUA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173.18404003226891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9.0004094976267865E-2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119.00813144629633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7.0779698234787505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5.9406961122387932E-7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59.671989650404434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79.590022088728531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4.7387377012278211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44.972290981398295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7.8673040000782526E-2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7.9887033185625816E-2</v>
      </c>
      <c r="BD64" s="30">
        <f t="shared" si="60"/>
        <v>488.49174648603537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MALUKU_PAPUA</v>
      </c>
      <c r="C65" s="20">
        <f t="shared" si="52"/>
        <v>2032</v>
      </c>
      <c r="D65" s="30">
        <f>(maluku_papua!D41*3.6/(VLOOKUP(D$51,tech_data!$B$2:$J$15,4,FALSE)/100))/1000</f>
        <v>45.882795524202628</v>
      </c>
      <c r="E65" s="30">
        <f>(maluku_papua!E41*3.6/(VLOOKUP(E$51,tech_data!$B$2:$J$15,4,FALSE)/100))/1000</f>
        <v>0.12069266309372469</v>
      </c>
      <c r="F65" s="30">
        <f>(maluku_papua!F41*3.6/(VLOOKUP(F$51,tech_data!$B$2:$J$15,4,FALSE)/100))/1000</f>
        <v>29.430562791098986</v>
      </c>
      <c r="G65" s="30">
        <f>(maluku_papua!G41*3.6/(VLOOKUP(G$51,tech_data!$B$2:$J$15,4,FALSE)/100))/1000</f>
        <v>34.926557496080264</v>
      </c>
      <c r="H65" s="30">
        <f>(maluku_papua!H41*3.6/(VLOOKUP(H$51,tech_data!$B$2:$J$15,4,FALSE)/100))/1000</f>
        <v>-5.8219123815672382E-16</v>
      </c>
      <c r="I65" s="30">
        <f>(maluku_papua!I41*3.6/(VLOOKUP(I$51,tech_data!$B$2:$J$15,4,FALSE)/100))/1000</f>
        <v>3.393372362358209</v>
      </c>
      <c r="J65" s="30">
        <f>(maluku_papua!J41*3.6/(VLOOKUP(J$51,tech_data!$B$2:$J$15,4,FALSE)/100))/1000</f>
        <v>9.3739653949314441</v>
      </c>
      <c r="K65" s="30">
        <f t="shared" si="57"/>
        <v>2.9116243786376046</v>
      </c>
      <c r="L65" s="30">
        <f t="shared" si="57"/>
        <v>3.5830880171316641</v>
      </c>
      <c r="M65" s="30">
        <f>(maluku_papua!M41*3.6/(VLOOKUP(M$51,tech_data!$B$2:$J$15,4,FALSE)/100))/1000</f>
        <v>0</v>
      </c>
      <c r="N65" s="30">
        <f t="shared" si="58"/>
        <v>6.9354851220368285E-3</v>
      </c>
      <c r="O65" s="30">
        <f>(maluku_papua!O41*3.6/(VLOOKUP(O$51,tech_data!$B$2:$J$15,4,FALSE)/100))/1000</f>
        <v>0</v>
      </c>
      <c r="P65" s="30">
        <v>0</v>
      </c>
      <c r="Q65" s="30">
        <f t="shared" si="53"/>
        <v>129.62959411265655</v>
      </c>
      <c r="R65" s="30"/>
      <c r="T65" s="19"/>
      <c r="U65" s="20" t="str">
        <f t="shared" si="54"/>
        <v>MALUKU_PAPUA</v>
      </c>
      <c r="V65" s="20">
        <f t="shared" si="54"/>
        <v>2032</v>
      </c>
      <c r="W65" s="30">
        <f>D65*VLOOKUP(W$51,tech_data!$B$2:$K$15,10,FALSE)*1000</f>
        <v>4575432.3696734868</v>
      </c>
      <c r="X65" s="30">
        <f>E65*VLOOKUP(X$51,tech_data!$B$2:$K$15,10,FALSE)*1000</f>
        <v>7495.0143781203033</v>
      </c>
      <c r="Y65" s="30">
        <f>F65*VLOOKUP(Y$51,tech_data!$B$2:$K$15,10,FALSE)*1000</f>
        <v>1827637.949327247</v>
      </c>
      <c r="Z65" s="30">
        <f>G65*VLOOKUP(Z$51,tech_data!$B$2:$K$15,10,FALSE)*1000</f>
        <v>2625429.3269803533</v>
      </c>
      <c r="AA65" s="30">
        <f>H41*VLOOKUP(AA$51,tech_data!$B$2:$K$15,10,FALSE)/1000</f>
        <v>-1.3732435830021722E-15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0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9035994.6603592075</v>
      </c>
      <c r="AK65" s="25">
        <f t="shared" si="59"/>
        <v>6.7000000000000184E-2</v>
      </c>
      <c r="AL65" s="24">
        <f t="shared" si="62"/>
        <v>6.7000000000000004E-2</v>
      </c>
      <c r="AM65" s="26"/>
      <c r="AN65" s="24"/>
      <c r="AO65" s="20" t="str">
        <f t="shared" si="56"/>
        <v>MALUKU_PAPUA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185.20168223221219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9.0004094976267865E-2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129.68027046834831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7.0779698234787505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-1.3135583512539594E-14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7.6336118120382839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158.08842250640055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5.733399703907585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30.174869078141445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0.32701222578204686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8.3989444806438815E-2</v>
      </c>
      <c r="BD65" s="30">
        <f t="shared" si="60"/>
        <v>524.09123139009182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MALUKU_PAPUA</v>
      </c>
      <c r="C66" s="20">
        <f t="shared" si="52"/>
        <v>2033</v>
      </c>
      <c r="D66" s="30">
        <f>(maluku_papua!D42*3.6/(VLOOKUP(D$51,tech_data!$B$2:$J$15,4,FALSE)/100))/1000</f>
        <v>50.348630929994947</v>
      </c>
      <c r="E66" s="30">
        <f>(maluku_papua!E42*3.6/(VLOOKUP(E$51,tech_data!$B$2:$J$15,4,FALSE)/100))/1000</f>
        <v>0.12069266309372469</v>
      </c>
      <c r="F66" s="30">
        <f>(maluku_papua!F42*3.6/(VLOOKUP(F$51,tech_data!$B$2:$J$15,4,FALSE)/100))/1000</f>
        <v>32.008316987816968</v>
      </c>
      <c r="G66" s="30">
        <f>(maluku_papua!G42*3.6/(VLOOKUP(G$51,tech_data!$B$2:$J$15,4,FALSE)/100))/1000</f>
        <v>34.926557496080264</v>
      </c>
      <c r="H66" s="30">
        <f>(maluku_papua!H42*3.6/(VLOOKUP(H$51,tech_data!$B$2:$J$15,4,FALSE)/100))/1000</f>
        <v>-2.6666666531998782E-8</v>
      </c>
      <c r="I66" s="30">
        <f>(maluku_papua!I42*3.6/(VLOOKUP(I$51,tech_data!$B$2:$J$15,4,FALSE)/100))/1000</f>
        <v>3.5023199184861418</v>
      </c>
      <c r="J66" s="30">
        <f>(maluku_papua!J42*3.6/(VLOOKUP(J$51,tech_data!$B$2:$J$15,4,FALSE)/100))/1000</f>
        <v>10.873890409555653</v>
      </c>
      <c r="K66" s="30">
        <f t="shared" si="57"/>
        <v>2.9119561031718328</v>
      </c>
      <c r="L66" s="30">
        <f t="shared" si="57"/>
        <v>3.6813057692729805</v>
      </c>
      <c r="M66" s="30">
        <f>(maluku_papua!M42*3.6/(VLOOKUP(M$51,tech_data!$B$2:$J$15,4,FALSE)/100))/1000</f>
        <v>0</v>
      </c>
      <c r="N66" s="30">
        <f t="shared" si="58"/>
        <v>7.5359304132695815E-3</v>
      </c>
      <c r="O66" s="30">
        <f>(maluku_papua!O42*3.6/(VLOOKUP(O$51,tech_data!$B$2:$J$15,4,FALSE)/100))/1000</f>
        <v>0</v>
      </c>
      <c r="P66" s="30">
        <v>0</v>
      </c>
      <c r="Q66" s="30">
        <f t="shared" si="53"/>
        <v>138.38120618121908</v>
      </c>
      <c r="R66" s="30"/>
      <c r="T66" s="19"/>
      <c r="U66" s="20" t="str">
        <f t="shared" si="54"/>
        <v>MALUKU_PAPUA</v>
      </c>
      <c r="V66" s="20">
        <f t="shared" si="54"/>
        <v>2033</v>
      </c>
      <c r="W66" s="30">
        <f>D66*VLOOKUP(W$51,tech_data!$B$2:$K$15,10,FALSE)*1000</f>
        <v>5020765.4763390962</v>
      </c>
      <c r="X66" s="30">
        <f>E66*VLOOKUP(X$51,tech_data!$B$2:$K$15,10,FALSE)*1000</f>
        <v>7495.0143781203033</v>
      </c>
      <c r="Y66" s="30">
        <f>F66*VLOOKUP(Y$51,tech_data!$B$2:$K$15,10,FALSE)*1000</f>
        <v>1987716.4849434339</v>
      </c>
      <c r="Z66" s="30">
        <f>G66*VLOOKUP(Z$51,tech_data!$B$2:$K$15,10,FALSE)*1000</f>
        <v>2625429.3269803533</v>
      </c>
      <c r="AA66" s="30">
        <f>H42*VLOOKUP(AA$51,tech_data!$B$2:$K$15,10,FALSE)/1000</f>
        <v>-6.2899999682352124E-8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0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9641406.302640941</v>
      </c>
      <c r="AK66" s="25">
        <f t="shared" si="59"/>
        <v>6.7000000004168503E-2</v>
      </c>
      <c r="AL66" s="24">
        <f t="shared" si="62"/>
        <v>6.7000000000000004E-2</v>
      </c>
      <c r="AM66" s="26"/>
      <c r="AN66" s="24"/>
      <c r="AO66" s="20" t="str">
        <f t="shared" si="56"/>
        <v>MALUKU_PAPUA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197.88518390627794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9.0004094976267865E-2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141.33650240324167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7.0779698234787505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-6.0166178177160853E-7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21.322135413986654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164.90929731464928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4.8048376561416628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28.503548066340002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0.36025636008480533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8.9912599440011509E-2</v>
      </c>
      <c r="BD66" s="30">
        <f t="shared" si="60"/>
        <v>566.37964703695536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MALUKU_PAPUA</v>
      </c>
      <c r="C67" s="20">
        <f t="shared" si="52"/>
        <v>2034</v>
      </c>
      <c r="D67" s="30">
        <f>(maluku_papua!D43*3.6/(VLOOKUP(D$51,tech_data!$B$2:$J$15,4,FALSE)/100))/1000</f>
        <v>55.07508012469696</v>
      </c>
      <c r="E67" s="30">
        <f>(maluku_papua!E43*3.6/(VLOOKUP(E$51,tech_data!$B$2:$J$15,4,FALSE)/100))/1000</f>
        <v>0.12069263292050614</v>
      </c>
      <c r="F67" s="30">
        <f>(maluku_papua!F43*3.6/(VLOOKUP(F$51,tech_data!$B$2:$J$15,4,FALSE)/100))/1000</f>
        <v>34.820759990312176</v>
      </c>
      <c r="G67" s="30">
        <f>(maluku_papua!G43*3.6/(VLOOKUP(G$51,tech_data!$B$2:$J$15,4,FALSE)/100))/1000</f>
        <v>34.926557496080264</v>
      </c>
      <c r="H67" s="30">
        <f>(maluku_papua!H43*3.6/(VLOOKUP(H$51,tech_data!$B$2:$J$15,4,FALSE)/100))/1000</f>
        <v>0</v>
      </c>
      <c r="I67" s="30">
        <f>(maluku_papua!I43*3.6/(VLOOKUP(I$51,tech_data!$B$2:$J$15,4,FALSE)/100))/1000</f>
        <v>3.9868950807166725</v>
      </c>
      <c r="J67" s="30">
        <f>(maluku_papua!J43*3.6/(VLOOKUP(J$51,tech_data!$B$2:$J$15,4,FALSE)/100))/1000</f>
        <v>11.46577489305062</v>
      </c>
      <c r="K67" s="30">
        <f t="shared" si="57"/>
        <v>2.9145834252813603</v>
      </c>
      <c r="L67" s="30">
        <f t="shared" si="57"/>
        <v>4.2698636342887042</v>
      </c>
      <c r="M67" s="30">
        <f>(maluku_papua!M43*3.6/(VLOOKUP(M$51,tech_data!$B$2:$J$15,4,FALSE)/100))/1000</f>
        <v>0</v>
      </c>
      <c r="N67" s="30">
        <f t="shared" si="58"/>
        <v>8.0783395607025126E-3</v>
      </c>
      <c r="O67" s="30">
        <f>(maluku_papua!O43*3.6/(VLOOKUP(O$51,tech_data!$B$2:$J$15,4,FALSE)/100))/1000</f>
        <v>0</v>
      </c>
      <c r="P67" s="30">
        <v>0</v>
      </c>
      <c r="Q67" s="30">
        <f t="shared" si="53"/>
        <v>147.58828561690797</v>
      </c>
      <c r="R67" s="30"/>
      <c r="T67" s="19"/>
      <c r="U67" s="20" t="str">
        <f t="shared" si="54"/>
        <v>MALUKU_PAPUA</v>
      </c>
      <c r="V67" s="20">
        <f t="shared" si="54"/>
        <v>2034</v>
      </c>
      <c r="W67" s="30">
        <f>D67*VLOOKUP(W$51,tech_data!$B$2:$K$15,10,FALSE)*1000</f>
        <v>5492086.9900347805</v>
      </c>
      <c r="X67" s="30">
        <f>E67*VLOOKUP(X$51,tech_data!$B$2:$K$15,10,FALSE)*1000</f>
        <v>7495.0125043634307</v>
      </c>
      <c r="Y67" s="30">
        <f>F67*VLOOKUP(Y$51,tech_data!$B$2:$K$15,10,FALSE)*1000</f>
        <v>2162369.1953983861</v>
      </c>
      <c r="Z67" s="30">
        <f>G67*VLOOKUP(Z$51,tech_data!$B$2:$K$15,10,FALSE)*1000</f>
        <v>2625429.3269803533</v>
      </c>
      <c r="AA67" s="30">
        <f>H43*VLOOKUP(AA$51,tech_data!$B$2:$K$15,10,FALSE)/1000</f>
        <v>0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0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10287380.524917882</v>
      </c>
      <c r="AK67" s="25">
        <f t="shared" si="59"/>
        <v>6.6999999999999782E-2</v>
      </c>
      <c r="AL67" s="24">
        <f t="shared" si="62"/>
        <v>6.7000000000000004E-2</v>
      </c>
      <c r="AM67" s="26"/>
      <c r="AN67" s="24"/>
      <c r="AO67" s="20" t="str">
        <f t="shared" si="56"/>
        <v>MALUKU_PAPUA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211.26582123458894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9.0003345808538651E-2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154.06853753641332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7.0779698234787505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5.9406961392192575E-7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68.780799807814503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78.641939030865416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5.1970045471237292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88.217542407964558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0.34107411324291392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0.10330166356352323</v>
      </c>
      <c r="BD67" s="30">
        <f t="shared" si="60"/>
        <v>613.78399410493375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0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0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63">B20</f>
        <v>MALUKU_PAPUA</v>
      </c>
      <c r="C68" s="20">
        <f t="shared" si="63"/>
        <v>2035</v>
      </c>
      <c r="D68" s="30">
        <f>(maluku_papua!D44*3.6/(VLOOKUP(D$51,tech_data!$B$2:$J$15,4,FALSE)/100))/1000</f>
        <v>60.21287047935369</v>
      </c>
      <c r="E68" s="30">
        <f>(maluku_papua!E44*3.6/(VLOOKUP(E$51,tech_data!$B$2:$J$15,4,FALSE)/100))/1000</f>
        <v>0.12069260274728764</v>
      </c>
      <c r="F68" s="30">
        <f>(maluku_papua!F44*3.6/(VLOOKUP(F$51,tech_data!$B$2:$J$15,4,FALSE)/100))/1000</f>
        <v>37.669617385552137</v>
      </c>
      <c r="G68" s="30">
        <f>(maluku_papua!G44*3.6/(VLOOKUP(G$51,tech_data!$B$2:$J$15,4,FALSE)/100))/1000</f>
        <v>34.926557496080264</v>
      </c>
      <c r="H68" s="30">
        <f>(maluku_papua!H44*3.6/(VLOOKUP(H$51,tech_data!$B$2:$J$15,4,FALSE)/100))/1000</f>
        <v>-2.6666666257194893E-8</v>
      </c>
      <c r="I68" s="30">
        <f>(maluku_papua!I44*3.6/(VLOOKUP(I$51,tech_data!$B$2:$J$15,4,FALSE)/100))/1000</f>
        <v>4.1262578807955528</v>
      </c>
      <c r="J68" s="30">
        <f>(maluku_papua!J44*3.6/(VLOOKUP(J$51,tech_data!$B$2:$J$15,4,FALSE)/100))/1000</f>
        <v>13.340842267032169</v>
      </c>
      <c r="K68" s="30">
        <f t="shared" si="57"/>
        <v>2.9145834252813603</v>
      </c>
      <c r="L68" s="30">
        <f t="shared" si="57"/>
        <v>4.2698636342887042</v>
      </c>
      <c r="M68" s="30">
        <f>(maluku_papua!M44*3.6/(VLOOKUP(M$51,tech_data!$B$2:$J$15,4,FALSE)/100))/1000</f>
        <v>0</v>
      </c>
      <c r="N68" s="30">
        <f t="shared" si="58"/>
        <v>8.5241907434424006E-3</v>
      </c>
      <c r="O68" s="30">
        <f>(maluku_papua!O44*3.6/(VLOOKUP(O$51,tech_data!$B$2:$J$15,4,FALSE)/100))/1000</f>
        <v>0</v>
      </c>
      <c r="P68" s="30">
        <v>0</v>
      </c>
      <c r="Q68" s="30">
        <f t="shared" si="53"/>
        <v>157.58980933520792</v>
      </c>
      <c r="R68" s="30"/>
      <c r="T68" s="19"/>
      <c r="U68" s="20" t="str">
        <f t="shared" si="54"/>
        <v>MALUKU_PAPUA</v>
      </c>
      <c r="V68" s="20">
        <f t="shared" si="54"/>
        <v>2035</v>
      </c>
      <c r="W68" s="30">
        <f>D68*VLOOKUP(W$51,tech_data!$B$2:$K$15,10,FALSE)*1000</f>
        <v>6004427.44420115</v>
      </c>
      <c r="X68" s="30">
        <f>E68*VLOOKUP(X$51,tech_data!$B$2:$K$15,10,FALSE)*1000</f>
        <v>7495.0106306065627</v>
      </c>
      <c r="Y68" s="30">
        <f>F68*VLOOKUP(Y$51,tech_data!$B$2:$K$15,10,FALSE)*1000</f>
        <v>2339283.2396427877</v>
      </c>
      <c r="Z68" s="30">
        <f>G68*VLOOKUP(Z$51,tech_data!$B$2:$K$15,10,FALSE)*1000</f>
        <v>2625429.3269803533</v>
      </c>
      <c r="AA68" s="30">
        <f>H44*VLOOKUP(AA$51,tech_data!$B$2:$K$15,10,FALSE)/1000</f>
        <v>-6.2899999034158454E-8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0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10976635.021454833</v>
      </c>
      <c r="AK68" s="25">
        <f t="shared" si="59"/>
        <v>6.7000000132925328E-2</v>
      </c>
      <c r="AL68" s="24">
        <f t="shared" si="62"/>
        <v>6.7000000000000004E-2</v>
      </c>
      <c r="AM68" s="26"/>
      <c r="AN68" s="24"/>
      <c r="AO68" s="20" t="str">
        <f t="shared" si="56"/>
        <v>MALUKU_PAPUA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230.00538478267993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9.000332330747686E-2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159.26462587242705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7.0779698234787505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-6.0166178854122576E-7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26.479338149039361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205.67651526974689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4.7530714698000001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19.82207901551396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0.30354081115088349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0.10095855007906614</v>
      </c>
      <c r="BD68" s="30">
        <f t="shared" si="60"/>
        <v>653.5734864655617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63"/>
        <v>MALUKU_PAPUA</v>
      </c>
      <c r="C69" s="20">
        <f t="shared" si="63"/>
        <v>2036</v>
      </c>
      <c r="D69" s="30">
        <f>(maluku_papua!D45*3.6/(VLOOKUP(D$51,tech_data!$B$2:$J$15,4,FALSE)/100))/1000</f>
        <v>64.982306405187899</v>
      </c>
      <c r="E69" s="30">
        <f>(maluku_papua!E45*3.6/(VLOOKUP(E$51,tech_data!$B$2:$J$15,4,FALSE)/100))/1000</f>
        <v>0.12069260274728764</v>
      </c>
      <c r="F69" s="30">
        <f>(maluku_papua!F45*3.6/(VLOOKUP(F$51,tech_data!$B$2:$J$15,4,FALSE)/100))/1000</f>
        <v>41.853617319742526</v>
      </c>
      <c r="G69" s="30">
        <f>(maluku_papua!G45*3.6/(VLOOKUP(G$51,tech_data!$B$2:$J$15,4,FALSE)/100))/1000</f>
        <v>34.926557496080264</v>
      </c>
      <c r="H69" s="30">
        <f>(maluku_papua!H45*3.6/(VLOOKUP(H$51,tech_data!$B$2:$J$15,4,FALSE)/100))/1000</f>
        <v>-5.8219123815672382E-16</v>
      </c>
      <c r="I69" s="30">
        <f>(maluku_papua!I45*3.6/(VLOOKUP(I$51,tech_data!$B$2:$J$15,4,FALSE)/100))/1000</f>
        <v>4.1262578864038995</v>
      </c>
      <c r="J69" s="30">
        <f>(maluku_papua!J45*3.6/(VLOOKUP(J$51,tech_data!$B$2:$J$15,4,FALSE)/100))/1000</f>
        <v>14.573446991524253</v>
      </c>
      <c r="K69" s="30">
        <f t="shared" si="57"/>
        <v>2.9145834406205329</v>
      </c>
      <c r="L69" s="30">
        <f t="shared" si="57"/>
        <v>6.2296758891635209</v>
      </c>
      <c r="M69" s="30">
        <f>(maluku_papua!M45*3.6/(VLOOKUP(M$51,tech_data!$B$2:$J$15,4,FALSE)/100))/1000</f>
        <v>0</v>
      </c>
      <c r="N69" s="30">
        <f t="shared" si="58"/>
        <v>9.7367816642770794E-3</v>
      </c>
      <c r="O69" s="30">
        <f>(maluku_papua!O45*3.6/(VLOOKUP(O$51,tech_data!$B$2:$J$15,4,FALSE)/100))/1000</f>
        <v>0</v>
      </c>
      <c r="P69" s="30">
        <v>0</v>
      </c>
      <c r="Q69" s="30">
        <f t="shared" si="53"/>
        <v>169.73687481313448</v>
      </c>
      <c r="R69" s="30"/>
      <c r="T69" s="19"/>
      <c r="U69" s="20" t="str">
        <f t="shared" si="54"/>
        <v>MALUKU_PAPUA</v>
      </c>
      <c r="V69" s="20">
        <f t="shared" si="54"/>
        <v>2036</v>
      </c>
      <c r="W69" s="30">
        <f>D69*VLOOKUP(W$51,tech_data!$B$2:$K$15,10,FALSE)*1000</f>
        <v>6480035.5947253378</v>
      </c>
      <c r="X69" s="30">
        <f>E69*VLOOKUP(X$51,tech_data!$B$2:$K$15,10,FALSE)*1000</f>
        <v>7495.0106306065627</v>
      </c>
      <c r="Y69" s="30">
        <f>F69*VLOOKUP(Y$51,tech_data!$B$2:$K$15,10,FALSE)*1000</f>
        <v>2599109.6355560105</v>
      </c>
      <c r="Z69" s="30">
        <f>G69*VLOOKUP(Z$51,tech_data!$B$2:$K$15,10,FALSE)*1000</f>
        <v>2625429.3269803533</v>
      </c>
      <c r="AA69" s="30">
        <f>H45*VLOOKUP(AA$51,tech_data!$B$2:$K$15,10,FALSE)/1000</f>
        <v>-1.3732435830021722E-15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0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11712069.567892309</v>
      </c>
      <c r="AK69" s="25">
        <f t="shared" si="59"/>
        <v>6.7000000000000184E-2</v>
      </c>
      <c r="AL69" s="24">
        <f t="shared" si="62"/>
        <v>6.7000000000000004E-2</v>
      </c>
      <c r="AM69" s="26"/>
      <c r="AN69" s="24"/>
      <c r="AO69" s="20" t="str">
        <f t="shared" si="56"/>
        <v>MALUKU_PAPUA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222.82694727661155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9.00040499741417E-2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215.92312371298198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7.0779698234787505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5.9406959466436837E-7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9.2756960934739059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146.17898686338916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4.7530740866425285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256.66712198986744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0.66007222481070815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0.16076945323136624</v>
      </c>
      <c r="BD69" s="30">
        <f t="shared" si="60"/>
        <v>863.61376616853113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63"/>
        <v>MALUKU_PAPUA</v>
      </c>
      <c r="C70" s="20">
        <f t="shared" si="63"/>
        <v>2037</v>
      </c>
      <c r="D70" s="30">
        <f>(maluku_papua!D46*3.6/(VLOOKUP(D$51,tech_data!$B$2:$J$15,4,FALSE)/100))/1000</f>
        <v>70.106195897418388</v>
      </c>
      <c r="E70" s="30">
        <f>(maluku_papua!E46*3.6/(VLOOKUP(E$51,tech_data!$B$2:$J$15,4,FALSE)/100))/1000</f>
        <v>0.12069260274728764</v>
      </c>
      <c r="F70" s="30">
        <f>(maluku_papua!F46*3.6/(VLOOKUP(F$51,tech_data!$B$2:$J$15,4,FALSE)/100))/1000</f>
        <v>46.261900747819105</v>
      </c>
      <c r="G70" s="30">
        <f>(maluku_papua!G46*3.6/(VLOOKUP(G$51,tech_data!$B$2:$J$15,4,FALSE)/100))/1000</f>
        <v>34.926557496080264</v>
      </c>
      <c r="H70" s="30">
        <f>(maluku_papua!H46*3.6/(VLOOKUP(H$51,tech_data!$B$2:$J$15,4,FALSE)/100))/1000</f>
        <v>0</v>
      </c>
      <c r="I70" s="30">
        <f>(maluku_papua!I46*3.6/(VLOOKUP(I$51,tech_data!$B$2:$J$15,4,FALSE)/100))/1000</f>
        <v>4.1279035398954713</v>
      </c>
      <c r="J70" s="30">
        <f>(maluku_papua!J46*3.6/(VLOOKUP(J$51,tech_data!$B$2:$J$15,4,FALSE)/100))/1000</f>
        <v>14.616064293307154</v>
      </c>
      <c r="K70" s="30">
        <f t="shared" si="57"/>
        <v>3.2684774107807533</v>
      </c>
      <c r="L70" s="30">
        <f t="shared" si="57"/>
        <v>9.1207355452146945</v>
      </c>
      <c r="M70" s="30">
        <f>(maluku_papua!M46*3.6/(VLOOKUP(M$51,tech_data!$B$2:$J$15,4,FALSE)/100))/1000</f>
        <v>0</v>
      </c>
      <c r="N70" s="30">
        <f t="shared" si="58"/>
        <v>9.7368164147294961E-3</v>
      </c>
      <c r="O70" s="30">
        <f>(maluku_papua!O46*3.6/(VLOOKUP(O$51,tech_data!$B$2:$J$15,4,FALSE)/100))/1000</f>
        <v>0</v>
      </c>
      <c r="P70" s="30">
        <v>0</v>
      </c>
      <c r="Q70" s="30">
        <f t="shared" si="53"/>
        <v>182.55826434967784</v>
      </c>
      <c r="R70" s="30"/>
      <c r="T70" s="19"/>
      <c r="U70" s="20" t="str">
        <f t="shared" si="54"/>
        <v>MALUKU_PAPUA</v>
      </c>
      <c r="V70" s="20">
        <f t="shared" si="54"/>
        <v>2037</v>
      </c>
      <c r="W70" s="30">
        <f>D70*VLOOKUP(W$51,tech_data!$B$2:$K$15,10,FALSE)*1000</f>
        <v>6990989.8548905617</v>
      </c>
      <c r="X70" s="30">
        <f>E70*VLOOKUP(X$51,tech_data!$B$2:$K$15,10,FALSE)*1000</f>
        <v>7495.0106306065627</v>
      </c>
      <c r="Y70" s="30">
        <f>F70*VLOOKUP(Y$51,tech_data!$B$2:$K$15,10,FALSE)*1000</f>
        <v>2872864.0364395664</v>
      </c>
      <c r="Z70" s="30">
        <f>G70*VLOOKUP(Z$51,tech_data!$B$2:$K$15,10,FALSE)*1000</f>
        <v>2625429.3269803533</v>
      </c>
      <c r="AA70" s="30">
        <f>H46*VLOOKUP(AA$51,tech_data!$B$2:$K$15,10,FALSE)/1000</f>
        <v>0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0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12496778.228941087</v>
      </c>
      <c r="AK70" s="25">
        <f t="shared" si="59"/>
        <v>6.6999999999999379E-2</v>
      </c>
      <c r="AL70" s="24">
        <f t="shared" si="62"/>
        <v>6.7000000000000004E-2</v>
      </c>
      <c r="AM70" s="26"/>
      <c r="AN70" s="24"/>
      <c r="AO70" s="20" t="str">
        <f t="shared" si="56"/>
        <v>MALUKU_PAPUA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239.68879674693738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9.00040499741417E-2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230.38752262525881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7.0779698234787505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1.2969829718516712E-14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9.4825424951843882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31.739435910583335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65.126915972934867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378.30727163547664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0.1198365991488179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0.18948669950349312</v>
      </c>
      <c r="BD70" s="30">
        <f t="shared" si="60"/>
        <v>962.20978255848058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63"/>
        <v>MALUKU_PAPUA</v>
      </c>
      <c r="C71" s="20">
        <f t="shared" si="63"/>
        <v>2038</v>
      </c>
      <c r="D71" s="30">
        <f>(maluku_papua!D47*3.6/(VLOOKUP(D$51,tech_data!$B$2:$J$15,4,FALSE)/100))/1000</f>
        <v>75.522824444676132</v>
      </c>
      <c r="E71" s="30">
        <f>(maluku_papua!E47*3.6/(VLOOKUP(E$51,tech_data!$B$2:$J$15,4,FALSE)/100))/1000</f>
        <v>0.1206925725740691</v>
      </c>
      <c r="F71" s="30">
        <f>(maluku_papua!F47*3.6/(VLOOKUP(F$51,tech_data!$B$2:$J$15,4,FALSE)/100))/1000</f>
        <v>51.046730763505394</v>
      </c>
      <c r="G71" s="30">
        <f>(maluku_papua!G47*3.6/(VLOOKUP(G$51,tech_data!$B$2:$J$15,4,FALSE)/100))/1000</f>
        <v>34.926557496080264</v>
      </c>
      <c r="H71" s="30">
        <f>(maluku_papua!H47*3.6/(VLOOKUP(H$51,tech_data!$B$2:$J$15,4,FALSE)/100))/1000</f>
        <v>0</v>
      </c>
      <c r="I71" s="30">
        <f>(maluku_papua!I47*3.6/(VLOOKUP(I$51,tech_data!$B$2:$J$15,4,FALSE)/100))/1000</f>
        <v>4.9835870814897634</v>
      </c>
      <c r="J71" s="30">
        <f>(maluku_papua!J47*3.6/(VLOOKUP(J$51,tech_data!$B$2:$J$15,4,FALSE)/100))/1000</f>
        <v>16.725825453558997</v>
      </c>
      <c r="K71" s="30">
        <f t="shared" si="57"/>
        <v>3.8496709426573124</v>
      </c>
      <c r="L71" s="30">
        <f t="shared" si="57"/>
        <v>9.5109690664539173</v>
      </c>
      <c r="M71" s="30">
        <f>(maluku_papua!M47*3.6/(VLOOKUP(M$51,tech_data!$B$2:$J$15,4,FALSE)/100))/1000</f>
        <v>0</v>
      </c>
      <c r="N71" s="30">
        <f t="shared" si="58"/>
        <v>1.2831869849690418E-2</v>
      </c>
      <c r="O71" s="30">
        <f>(maluku_papua!O47*3.6/(VLOOKUP(O$51,tech_data!$B$2:$J$15,4,FALSE)/100))/1000</f>
        <v>0</v>
      </c>
      <c r="P71" s="30">
        <v>0</v>
      </c>
      <c r="Q71" s="30">
        <f t="shared" si="53"/>
        <v>196.69968969084556</v>
      </c>
      <c r="R71" s="30"/>
      <c r="T71" s="19"/>
      <c r="U71" s="20" t="str">
        <f t="shared" si="54"/>
        <v>MALUKU_PAPUA</v>
      </c>
      <c r="V71" s="20">
        <f t="shared" si="54"/>
        <v>2038</v>
      </c>
      <c r="W71" s="30">
        <f>D71*VLOOKUP(W$51,tech_data!$B$2:$K$15,10,FALSE)*1000</f>
        <v>7531136.0536231045</v>
      </c>
      <c r="X71" s="30">
        <f>E71*VLOOKUP(X$51,tech_data!$B$2:$K$15,10,FALSE)*1000</f>
        <v>7495.0087568496911</v>
      </c>
      <c r="Y71" s="30">
        <f>F71*VLOOKUP(Y$51,tech_data!$B$2:$K$15,10,FALSE)*1000</f>
        <v>3170001.9804136851</v>
      </c>
      <c r="Z71" s="30">
        <f>G71*VLOOKUP(Z$51,tech_data!$B$2:$K$15,10,FALSE)*1000</f>
        <v>2625429.3269803533</v>
      </c>
      <c r="AA71" s="30">
        <f>H47*VLOOKUP(AA$51,tech_data!$B$2:$K$15,10,FALSE)/1000</f>
        <v>0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0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13334062.369773991</v>
      </c>
      <c r="AK71" s="25">
        <f t="shared" si="59"/>
        <v>6.6999999959497708E-2</v>
      </c>
      <c r="AL71" s="24">
        <f>AL70</f>
        <v>6.7000000000000004E-2</v>
      </c>
      <c r="AM71" s="26"/>
      <c r="AN71" s="24"/>
      <c r="AO71" s="20" t="str">
        <f t="shared" si="56"/>
        <v>MALUKU_PAPUA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254.82906382870456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9.0003300806412487E-2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251.17909466815675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7.0779698234787505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0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116.83281042475569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234.66340644062626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104.48104786526193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89.501451053563784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1.536863021275952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0.16924491495116051</v>
      </c>
      <c r="BD71" s="30">
        <f t="shared" si="60"/>
        <v>1060.3609553415813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64">B28</f>
        <v>MALUKU_PAPUA</v>
      </c>
      <c r="C76" s="20">
        <f t="shared" si="64"/>
        <v>2019</v>
      </c>
      <c r="D76" s="30">
        <f>D28*3.6/1000</f>
        <v>4.8704829120000008</v>
      </c>
      <c r="E76" s="30">
        <f t="shared" ref="E76:O76" si="65">E28*3.6/1000</f>
        <v>4.304712516923076E-2</v>
      </c>
      <c r="F76" s="30">
        <f t="shared" si="65"/>
        <v>0</v>
      </c>
      <c r="G76" s="30">
        <f t="shared" si="65"/>
        <v>16.066216448196922</v>
      </c>
      <c r="H76" s="30">
        <f t="shared" si="65"/>
        <v>0</v>
      </c>
      <c r="I76" s="30">
        <f t="shared" si="65"/>
        <v>0.47608812420923075</v>
      </c>
      <c r="J76" s="30">
        <f t="shared" si="65"/>
        <v>0</v>
      </c>
      <c r="K76" s="30">
        <f t="shared" si="65"/>
        <v>4.2450609600000008E-2</v>
      </c>
      <c r="L76" s="30">
        <f t="shared" si="65"/>
        <v>0</v>
      </c>
      <c r="M76" s="30">
        <f t="shared" si="65"/>
        <v>0</v>
      </c>
      <c r="N76" s="30">
        <f t="shared" si="65"/>
        <v>0</v>
      </c>
      <c r="O76" s="30">
        <f t="shared" si="65"/>
        <v>0</v>
      </c>
      <c r="P76" s="30">
        <f>(maluku_papua!P52*3.6/(VLOOKUP(P$51,tech_data!$B$2:$J$15,4,FALSE)/100))/1000</f>
        <v>0</v>
      </c>
      <c r="Q76" s="30">
        <f t="shared" ref="Q76:Q95" si="66">SUM(D76:O76)</f>
        <v>21.498285219175383</v>
      </c>
      <c r="R76" s="30"/>
      <c r="S76" s="23"/>
      <c r="T76" s="19"/>
      <c r="U76" s="20" t="str">
        <f t="shared" ref="U76:V91" si="67">U28</f>
        <v>MALUKU_PAPUA</v>
      </c>
      <c r="V76" s="20">
        <f t="shared" si="67"/>
        <v>2019</v>
      </c>
      <c r="W76" s="30">
        <f>D52*(1-(VLOOKUP(W$75,tech_data!$B$2:$O$15,4,FALSE)/100))</f>
        <v>7.7255935845517234</v>
      </c>
      <c r="X76" s="30">
        <f>E52*(1-(VLOOKUP(X$75,tech_data!$B$2:$O$15,4,FALSE)/100))</f>
        <v>7.7645749137023712E-2</v>
      </c>
      <c r="Y76" s="30">
        <f>F52*(1-(VLOOKUP(Y$75,tech_data!$B$2:$O$15,4,FALSE)/100))</f>
        <v>0</v>
      </c>
      <c r="Z76" s="30">
        <f>G52*(1-(VLOOKUP(Z$75,tech_data!$B$2:$O$15,4,FALSE)/100))</f>
        <v>18.860341047883345</v>
      </c>
      <c r="AA76" s="30">
        <f>H52*(1-(VLOOKUP(AA$75,tech_data!$B$2:$O$15,4,FALSE)/100))</f>
        <v>0</v>
      </c>
      <c r="AB76" s="30">
        <f>I52*(1-(VLOOKUP(AB$75,tech_data!$B$2:$O$15,4,FALSE)/100))</f>
        <v>2.5057269695222695E-2</v>
      </c>
      <c r="AC76" s="30">
        <f>J52*(1-(VLOOKUP(AC$75,tech_data!$B$2:$O$15,4,FALSE)/100))</f>
        <v>0</v>
      </c>
      <c r="AD76" s="30">
        <f>K52*(1-(VLOOKUP(AD$75,tech_data!$B$2:$O$15,4,FALSE)/100))</f>
        <v>3.5658512064000003E-2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(maluku_papua!AI52*3.6/(VLOOKUP(AI$51,tech_data!$B$2:$J$15,4,FALSE)/100))/1000</f>
        <v>0</v>
      </c>
      <c r="AJ76" s="30">
        <f t="shared" ref="AJ76:AJ95" si="68">SUM(W76:AH76)</f>
        <v>26.724296163331314</v>
      </c>
      <c r="AK76" s="30"/>
      <c r="AL76" s="23"/>
      <c r="AR76" s="30"/>
      <c r="AS76" s="30"/>
    </row>
    <row r="77" spans="1:82" x14ac:dyDescent="0.25">
      <c r="A77" s="19"/>
      <c r="B77" s="20" t="str">
        <f t="shared" si="64"/>
        <v>MALUKU_PAPUA</v>
      </c>
      <c r="C77" s="20">
        <f t="shared" si="64"/>
        <v>2020</v>
      </c>
      <c r="D77" s="30">
        <f t="shared" ref="D77:O92" si="69">D29*3.6/1000</f>
        <v>4.8704829120000008</v>
      </c>
      <c r="E77" s="30">
        <f t="shared" si="69"/>
        <v>4.3047114407449509E-2</v>
      </c>
      <c r="F77" s="30">
        <f t="shared" si="69"/>
        <v>2.4475891131025236</v>
      </c>
      <c r="G77" s="30">
        <f t="shared" si="69"/>
        <v>16.066216448196922</v>
      </c>
      <c r="H77" s="30">
        <f t="shared" si="69"/>
        <v>0</v>
      </c>
      <c r="I77" s="30">
        <f t="shared" si="69"/>
        <v>0.47608812420923075</v>
      </c>
      <c r="J77" s="30">
        <f t="shared" si="69"/>
        <v>0</v>
      </c>
      <c r="K77" s="30">
        <f t="shared" si="69"/>
        <v>4.2450602977440008E-2</v>
      </c>
      <c r="L77" s="30">
        <f t="shared" si="69"/>
        <v>0</v>
      </c>
      <c r="M77" s="30">
        <f t="shared" si="69"/>
        <v>0</v>
      </c>
      <c r="N77" s="30">
        <f t="shared" si="69"/>
        <v>-3.5999999999970664E-9</v>
      </c>
      <c r="O77" s="30">
        <f t="shared" si="69"/>
        <v>0</v>
      </c>
      <c r="P77" s="30">
        <f>(maluku_papua!P53*3.6/(VLOOKUP(P$51,tech_data!$B$2:$J$15,4,FALSE)/100))/1000</f>
        <v>0</v>
      </c>
      <c r="Q77" s="30">
        <f t="shared" si="66"/>
        <v>23.945874311293565</v>
      </c>
      <c r="R77" s="30"/>
      <c r="S77" s="23"/>
      <c r="T77" s="19"/>
      <c r="U77" s="20" t="str">
        <f t="shared" si="67"/>
        <v>MALUKU_PAPUA</v>
      </c>
      <c r="V77" s="20">
        <f t="shared" si="67"/>
        <v>2020</v>
      </c>
      <c r="W77" s="30">
        <f>D53*(1-(VLOOKUP(W$75,tech_data!$B$2:$O$15,4,FALSE)/100))</f>
        <v>7.7255935845517234</v>
      </c>
      <c r="X77" s="30">
        <f>E53*(1-(VLOOKUP(X$75,tech_data!$B$2:$O$15,4,FALSE)/100))</f>
        <v>7.764572972558649E-2</v>
      </c>
      <c r="Y77" s="30">
        <f>F53*(1-(VLOOKUP(Y$75,tech_data!$B$2:$O$15,4,FALSE)/100))</f>
        <v>1.7482779379303739</v>
      </c>
      <c r="Z77" s="30">
        <f>G53*(1-(VLOOKUP(Z$75,tech_data!$B$2:$O$15,4,FALSE)/100))</f>
        <v>18.860341047883345</v>
      </c>
      <c r="AA77" s="30">
        <f>H53*(1-(VLOOKUP(AA$75,tech_data!$B$2:$O$15,4,FALSE)/100))</f>
        <v>0</v>
      </c>
      <c r="AB77" s="30">
        <f>I53*(1-(VLOOKUP(AB$75,tech_data!$B$2:$O$15,4,FALSE)/100))</f>
        <v>2.5057269695222695E-2</v>
      </c>
      <c r="AC77" s="30">
        <f>J53*(1-(VLOOKUP(AC$75,tech_data!$B$2:$O$15,4,FALSE)/100))</f>
        <v>0</v>
      </c>
      <c r="AD77" s="30">
        <f>K53*(1-(VLOOKUP(AD$75,tech_data!$B$2:$O$15,4,FALSE)/100))</f>
        <v>3.5658506501049604E-2</v>
      </c>
      <c r="AE77" s="30">
        <f>L53*(1-(VLOOKUP(AE$75,tech_data!$B$2:$O$15,4,FALSE)/100))</f>
        <v>0</v>
      </c>
      <c r="AF77" s="30">
        <f>M53*(1-(VLOOKUP(AF$75,tech_data!$B$2:$O$15,4,FALSE)/100))</f>
        <v>0</v>
      </c>
      <c r="AG77" s="30">
        <f>N53*(1-(VLOOKUP(AG$75,tech_data!$B$2:$O$15,4,FALSE)/100))</f>
        <v>-3.1799999999974103E-10</v>
      </c>
      <c r="AH77" s="30">
        <f>O53*(1-(VLOOKUP(AH$75,tech_data!$B$2:$O$15,4,FALSE)/100))</f>
        <v>0</v>
      </c>
      <c r="AI77" s="30">
        <f>(maluku_papua!AI53*3.6/(VLOOKUP(AI$51,tech_data!$B$2:$J$15,4,FALSE)/100))/1000</f>
        <v>0</v>
      </c>
      <c r="AJ77" s="30">
        <f t="shared" si="68"/>
        <v>28.472574075969298</v>
      </c>
      <c r="AK77" s="30"/>
      <c r="AL77" s="23"/>
      <c r="AR77" s="30"/>
      <c r="AS77" s="30"/>
    </row>
    <row r="78" spans="1:82" x14ac:dyDescent="0.25">
      <c r="A78" s="19"/>
      <c r="B78" s="20" t="str">
        <f t="shared" si="64"/>
        <v>MALUKU_PAPUA</v>
      </c>
      <c r="C78" s="20">
        <f t="shared" si="64"/>
        <v>2021</v>
      </c>
      <c r="D78" s="30">
        <f t="shared" si="69"/>
        <v>4.8704829120000008</v>
      </c>
      <c r="E78" s="30">
        <f t="shared" si="69"/>
        <v>4.3047103645668217E-2</v>
      </c>
      <c r="F78" s="30">
        <f t="shared" si="69"/>
        <v>5.059166694535091</v>
      </c>
      <c r="G78" s="30">
        <f t="shared" si="69"/>
        <v>16.066216448196922</v>
      </c>
      <c r="H78" s="30">
        <f t="shared" si="69"/>
        <v>-7.8595803547285404E-17</v>
      </c>
      <c r="I78" s="30">
        <f t="shared" si="69"/>
        <v>0.47609620178081535</v>
      </c>
      <c r="J78" s="30">
        <f t="shared" si="69"/>
        <v>1.6090319847233621</v>
      </c>
      <c r="K78" s="30">
        <f t="shared" si="69"/>
        <v>2.2553612463713599</v>
      </c>
      <c r="L78" s="30">
        <f t="shared" si="69"/>
        <v>0.41139282554724649</v>
      </c>
      <c r="M78" s="30">
        <f t="shared" si="69"/>
        <v>0</v>
      </c>
      <c r="N78" s="30">
        <f t="shared" si="69"/>
        <v>2.6212748167076128E-3</v>
      </c>
      <c r="O78" s="30">
        <f t="shared" si="69"/>
        <v>0</v>
      </c>
      <c r="P78" s="30">
        <f>(maluku_papua!P54*3.6/(VLOOKUP(P$51,tech_data!$B$2:$J$15,4,FALSE)/100))/1000</f>
        <v>0</v>
      </c>
      <c r="Q78" s="30">
        <f t="shared" si="66"/>
        <v>30.793416691617175</v>
      </c>
      <c r="R78" s="30"/>
      <c r="S78" s="23"/>
      <c r="T78" s="19"/>
      <c r="U78" s="20" t="str">
        <f t="shared" si="67"/>
        <v>MALUKU_PAPUA</v>
      </c>
      <c r="V78" s="20">
        <f t="shared" si="67"/>
        <v>2021</v>
      </c>
      <c r="W78" s="30">
        <f>D54*(1-(VLOOKUP(W$75,tech_data!$B$2:$O$15,4,FALSE)/100))</f>
        <v>7.7255935845517234</v>
      </c>
      <c r="X78" s="30">
        <f>E54*(1-(VLOOKUP(X$75,tech_data!$B$2:$O$15,4,FALSE)/100))</f>
        <v>7.7645710314149213E-2</v>
      </c>
      <c r="Y78" s="30">
        <f>F54*(1-(VLOOKUP(Y$75,tech_data!$B$2:$O$15,4,FALSE)/100))</f>
        <v>3.6136904960964924</v>
      </c>
      <c r="Z78" s="30">
        <f>G54*(1-(VLOOKUP(Z$75,tech_data!$B$2:$O$15,4,FALSE)/100))</f>
        <v>18.860341047883345</v>
      </c>
      <c r="AA78" s="30">
        <f>H54*(1-(VLOOKUP(AA$75,tech_data!$B$2:$O$15,4,FALSE)/100))</f>
        <v>-5.0359533384001375E-16</v>
      </c>
      <c r="AB78" s="30">
        <f>I54*(1-(VLOOKUP(AB$75,tech_data!$B$2:$O$15,4,FALSE)/100))</f>
        <v>2.5057694830569251E-2</v>
      </c>
      <c r="AC78" s="30">
        <f>J54*(1-(VLOOKUP(AC$75,tech_data!$B$2:$O$15,4,FALSE)/100))</f>
        <v>0.4022579961808404</v>
      </c>
      <c r="AD78" s="30">
        <f>K54*(1-(VLOOKUP(AD$75,tech_data!$B$2:$O$15,4,FALSE)/100))</f>
        <v>1.8945034469519422</v>
      </c>
      <c r="AE78" s="30">
        <f>L54*(1-(VLOOKUP(AE$75,tech_data!$B$2:$O$15,4,FALSE)/100))</f>
        <v>0.16743687999772933</v>
      </c>
      <c r="AF78" s="30">
        <f>M54*(1-(VLOOKUP(AF$75,tech_data!$B$2:$O$15,4,FALSE)/100))</f>
        <v>0</v>
      </c>
      <c r="AG78" s="30">
        <f>N54*(1-(VLOOKUP(AG$75,tech_data!$B$2:$O$15,4,FALSE)/100))</f>
        <v>2.315459421425059E-4</v>
      </c>
      <c r="AH78" s="30">
        <f>O54*(1-(VLOOKUP(AH$75,tech_data!$B$2:$O$15,4,FALSE)/100))</f>
        <v>0</v>
      </c>
      <c r="AI78" s="30">
        <f>(maluku_papua!AI54*3.6/(VLOOKUP(AI$51,tech_data!$B$2:$J$15,4,FALSE)/100))/1000</f>
        <v>0</v>
      </c>
      <c r="AJ78" s="30">
        <f t="shared" si="68"/>
        <v>32.766758402748934</v>
      </c>
      <c r="AK78" s="30"/>
      <c r="AL78" s="23"/>
      <c r="AR78" s="30"/>
      <c r="AS78" s="30"/>
    </row>
    <row r="79" spans="1:82" x14ac:dyDescent="0.25">
      <c r="A79" s="19"/>
      <c r="B79" s="20" t="str">
        <f t="shared" si="64"/>
        <v>MALUKU_PAPUA</v>
      </c>
      <c r="C79" s="20">
        <f t="shared" si="64"/>
        <v>2022</v>
      </c>
      <c r="D79" s="30">
        <f t="shared" si="69"/>
        <v>5.2085199070798698</v>
      </c>
      <c r="E79" s="30">
        <f t="shared" si="69"/>
        <v>4.3047092883886952E-2</v>
      </c>
      <c r="F79" s="30">
        <f t="shared" si="69"/>
        <v>7.0268122440287222</v>
      </c>
      <c r="G79" s="30">
        <f t="shared" si="69"/>
        <v>16.066216448196922</v>
      </c>
      <c r="H79" s="30">
        <f t="shared" si="69"/>
        <v>0</v>
      </c>
      <c r="I79" s="30">
        <f t="shared" si="69"/>
        <v>0.78876319330192091</v>
      </c>
      <c r="J79" s="30">
        <f t="shared" si="69"/>
        <v>2.2794998423963397</v>
      </c>
      <c r="K79" s="30">
        <f t="shared" si="69"/>
        <v>2.3090778327166097</v>
      </c>
      <c r="L79" s="30">
        <f t="shared" si="69"/>
        <v>0.5614889143748063</v>
      </c>
      <c r="M79" s="30">
        <f t="shared" si="69"/>
        <v>0</v>
      </c>
      <c r="N79" s="30">
        <f t="shared" si="69"/>
        <v>3.0157009181347194E-3</v>
      </c>
      <c r="O79" s="30">
        <f t="shared" si="69"/>
        <v>0</v>
      </c>
      <c r="P79" s="30">
        <f>(maluku_papua!P55*3.6/(VLOOKUP(P$51,tech_data!$B$2:$J$15,4,FALSE)/100))/1000</f>
        <v>0</v>
      </c>
      <c r="Q79" s="30">
        <f t="shared" si="66"/>
        <v>34.28644117589721</v>
      </c>
      <c r="R79" s="30"/>
      <c r="S79" s="23"/>
      <c r="T79" s="19"/>
      <c r="U79" s="20" t="str">
        <f t="shared" si="67"/>
        <v>MALUKU_PAPUA</v>
      </c>
      <c r="V79" s="20">
        <f t="shared" si="67"/>
        <v>2022</v>
      </c>
      <c r="W79" s="30">
        <f>D55*(1-(VLOOKUP(W$75,tech_data!$B$2:$O$15,4,FALSE)/100))</f>
        <v>8.2617901974370351</v>
      </c>
      <c r="X79" s="30">
        <f>E55*(1-(VLOOKUP(X$75,tech_data!$B$2:$O$15,4,FALSE)/100))</f>
        <v>7.7645690902711992E-2</v>
      </c>
      <c r="Y79" s="30">
        <f>F55*(1-(VLOOKUP(Y$75,tech_data!$B$2:$O$15,4,FALSE)/100))</f>
        <v>5.0191516028776588</v>
      </c>
      <c r="Z79" s="30">
        <f>G55*(1-(VLOOKUP(Z$75,tech_data!$B$2:$O$15,4,FALSE)/100))</f>
        <v>18.860341047883345</v>
      </c>
      <c r="AA79" s="30">
        <f>H55*(1-(VLOOKUP(AA$75,tech_data!$B$2:$O$15,4,FALSE)/100))</f>
        <v>0</v>
      </c>
      <c r="AB79" s="30">
        <f>I55*(1-(VLOOKUP(AB$75,tech_data!$B$2:$O$15,4,FALSE)/100))</f>
        <v>4.1513852279048503E-2</v>
      </c>
      <c r="AC79" s="30">
        <f>J55*(1-(VLOOKUP(AC$75,tech_data!$B$2:$O$15,4,FALSE)/100))</f>
        <v>0.56987496059908471</v>
      </c>
      <c r="AD79" s="30">
        <f>K55*(1-(VLOOKUP(AD$75,tech_data!$B$2:$O$15,4,FALSE)/100))</f>
        <v>1.939625379481952</v>
      </c>
      <c r="AE79" s="30">
        <f>L55*(1-(VLOOKUP(AE$75,tech_data!$B$2:$O$15,4,FALSE)/100))</f>
        <v>0.22852598815054617</v>
      </c>
      <c r="AF79" s="30">
        <f>M55*(1-(VLOOKUP(AF$75,tech_data!$B$2:$O$15,4,FALSE)/100))</f>
        <v>0</v>
      </c>
      <c r="AG79" s="30">
        <f>N55*(1-(VLOOKUP(AG$75,tech_data!$B$2:$O$15,4,FALSE)/100))</f>
        <v>2.6638691443523366E-4</v>
      </c>
      <c r="AH79" s="30">
        <f>O55*(1-(VLOOKUP(AH$75,tech_data!$B$2:$O$15,4,FALSE)/100))</f>
        <v>0</v>
      </c>
      <c r="AI79" s="30">
        <f>(maluku_papua!AI55*3.6/(VLOOKUP(AI$51,tech_data!$B$2:$J$15,4,FALSE)/100))/1000</f>
        <v>0</v>
      </c>
      <c r="AJ79" s="30">
        <f t="shared" si="68"/>
        <v>34.998735106525814</v>
      </c>
      <c r="AK79" s="30"/>
      <c r="AL79" s="23"/>
      <c r="AR79" s="30"/>
      <c r="AS79" s="30"/>
    </row>
    <row r="80" spans="1:82" x14ac:dyDescent="0.25">
      <c r="A80" s="19"/>
      <c r="B80" s="20" t="str">
        <f t="shared" si="64"/>
        <v>MALUKU_PAPUA</v>
      </c>
      <c r="C80" s="20">
        <f t="shared" si="64"/>
        <v>2023</v>
      </c>
      <c r="D80" s="30">
        <f t="shared" si="69"/>
        <v>6.1203924387823179</v>
      </c>
      <c r="E80" s="30">
        <f t="shared" si="69"/>
        <v>4.3047092883886952E-2</v>
      </c>
      <c r="F80" s="30">
        <f t="shared" si="69"/>
        <v>7.7910180465915522</v>
      </c>
      <c r="G80" s="30">
        <f t="shared" si="69"/>
        <v>16.066216448196922</v>
      </c>
      <c r="H80" s="30">
        <f t="shared" si="69"/>
        <v>-7.85958183878734E-17</v>
      </c>
      <c r="I80" s="30">
        <f t="shared" si="69"/>
        <v>0.79736788185673357</v>
      </c>
      <c r="J80" s="30">
        <f t="shared" si="69"/>
        <v>2.2795737431248302</v>
      </c>
      <c r="K80" s="30">
        <f t="shared" si="69"/>
        <v>2.3514219513500394</v>
      </c>
      <c r="L80" s="30">
        <f t="shared" si="69"/>
        <v>1.7113863050630906</v>
      </c>
      <c r="M80" s="30">
        <f t="shared" si="69"/>
        <v>0</v>
      </c>
      <c r="N80" s="30">
        <f t="shared" si="69"/>
        <v>3.0743567187536129E-3</v>
      </c>
      <c r="O80" s="30">
        <f t="shared" si="69"/>
        <v>0</v>
      </c>
      <c r="P80" s="30">
        <f>(maluku_papua!P56*3.6/(VLOOKUP(P$51,tech_data!$B$2:$J$15,4,FALSE)/100))/1000</f>
        <v>0</v>
      </c>
      <c r="Q80" s="30">
        <f t="shared" si="66"/>
        <v>37.163498264568133</v>
      </c>
      <c r="R80" s="30"/>
      <c r="S80" s="23"/>
      <c r="T80" s="19"/>
      <c r="U80" s="20" t="str">
        <f t="shared" si="67"/>
        <v>MALUKU_PAPUA</v>
      </c>
      <c r="V80" s="20">
        <f t="shared" si="67"/>
        <v>2023</v>
      </c>
      <c r="W80" s="30">
        <f>D56*(1-(VLOOKUP(W$75,tech_data!$B$2:$O$15,4,FALSE)/100))</f>
        <v>9.708208695999538</v>
      </c>
      <c r="X80" s="30">
        <f>E56*(1-(VLOOKUP(X$75,tech_data!$B$2:$O$15,4,FALSE)/100))</f>
        <v>7.7645690902711992E-2</v>
      </c>
      <c r="Y80" s="30">
        <f>F56*(1-(VLOOKUP(Y$75,tech_data!$B$2:$O$15,4,FALSE)/100))</f>
        <v>5.565012890422536</v>
      </c>
      <c r="Z80" s="30">
        <f>G56*(1-(VLOOKUP(Z$75,tech_data!$B$2:$O$15,4,FALSE)/100))</f>
        <v>18.860341047883345</v>
      </c>
      <c r="AA80" s="30">
        <f>H56*(1-(VLOOKUP(AA$75,tech_data!$B$2:$O$15,4,FALSE)/100))</f>
        <v>-5.0359542892970732E-16</v>
      </c>
      <c r="AB80" s="30">
        <f>I56*(1-(VLOOKUP(AB$75,tech_data!$B$2:$O$15,4,FALSE)/100))</f>
        <v>4.1966730624038648E-2</v>
      </c>
      <c r="AC80" s="30">
        <f>J56*(1-(VLOOKUP(AC$75,tech_data!$B$2:$O$15,4,FALSE)/100))</f>
        <v>0.56989343578120744</v>
      </c>
      <c r="AD80" s="30">
        <f>K56*(1-(VLOOKUP(AD$75,tech_data!$B$2:$O$15,4,FALSE)/100))</f>
        <v>1.975194439134033</v>
      </c>
      <c r="AE80" s="30">
        <f>L56*(1-(VLOOKUP(AE$75,tech_data!$B$2:$O$15,4,FALSE)/100))</f>
        <v>0.69653422616067795</v>
      </c>
      <c r="AF80" s="30">
        <f>M56*(1-(VLOOKUP(AF$75,tech_data!$B$2:$O$15,4,FALSE)/100))</f>
        <v>0</v>
      </c>
      <c r="AG80" s="30">
        <f>N56*(1-(VLOOKUP(AG$75,tech_data!$B$2:$O$15,4,FALSE)/100))</f>
        <v>2.7156817682323593E-4</v>
      </c>
      <c r="AH80" s="30">
        <f>O56*(1-(VLOOKUP(AH$75,tech_data!$B$2:$O$15,4,FALSE)/100))</f>
        <v>0</v>
      </c>
      <c r="AI80" s="30">
        <f>(maluku_papua!AI56*3.6/(VLOOKUP(AI$51,tech_data!$B$2:$J$15,4,FALSE)/100))/1000</f>
        <v>0</v>
      </c>
      <c r="AJ80" s="30">
        <f t="shared" si="68"/>
        <v>37.49506872508492</v>
      </c>
      <c r="AK80" s="30"/>
      <c r="AL80" s="23"/>
      <c r="AR80" s="30"/>
      <c r="AS80" s="30"/>
    </row>
    <row r="81" spans="1:38" x14ac:dyDescent="0.25">
      <c r="A81" s="19"/>
      <c r="B81" s="20" t="str">
        <f t="shared" si="64"/>
        <v>MALUKU_PAPUA</v>
      </c>
      <c r="C81" s="20">
        <f t="shared" si="64"/>
        <v>2024</v>
      </c>
      <c r="D81" s="30">
        <f t="shared" si="69"/>
        <v>7.075852194313792</v>
      </c>
      <c r="E81" s="30">
        <f t="shared" si="69"/>
        <v>4.3047082122105659E-2</v>
      </c>
      <c r="F81" s="30">
        <f t="shared" si="69"/>
        <v>8.6488400258939997</v>
      </c>
      <c r="G81" s="30">
        <f t="shared" si="69"/>
        <v>16.066216448196922</v>
      </c>
      <c r="H81" s="30">
        <f t="shared" si="69"/>
        <v>-3.5999999818198374E-9</v>
      </c>
      <c r="I81" s="30">
        <f t="shared" si="69"/>
        <v>1.0095953265021642</v>
      </c>
      <c r="J81" s="30">
        <f t="shared" si="69"/>
        <v>3.353923291148917</v>
      </c>
      <c r="K81" s="30">
        <f t="shared" si="69"/>
        <v>2.3514219513500394</v>
      </c>
      <c r="L81" s="30">
        <f t="shared" si="69"/>
        <v>1.8003619094788643</v>
      </c>
      <c r="M81" s="30">
        <f t="shared" si="69"/>
        <v>0</v>
      </c>
      <c r="N81" s="30">
        <f t="shared" si="69"/>
        <v>3.0743567187536129E-3</v>
      </c>
      <c r="O81" s="30">
        <f t="shared" si="69"/>
        <v>0</v>
      </c>
      <c r="P81" s="30">
        <f>(maluku_papua!P57*3.6/(VLOOKUP(P$51,tech_data!$B$2:$J$15,4,FALSE)/100))/1000</f>
        <v>0</v>
      </c>
      <c r="Q81" s="30">
        <f t="shared" si="66"/>
        <v>40.352332582125563</v>
      </c>
      <c r="R81" s="30"/>
      <c r="S81" s="23"/>
      <c r="T81" s="19"/>
      <c r="U81" s="20" t="str">
        <f t="shared" si="67"/>
        <v>MALUKU_PAPUA</v>
      </c>
      <c r="V81" s="20">
        <f t="shared" si="67"/>
        <v>2024</v>
      </c>
      <c r="W81" s="30">
        <f>D57*(1-(VLOOKUP(W$75,tech_data!$B$2:$O$15,4,FALSE)/100))</f>
        <v>11.223765549601186</v>
      </c>
      <c r="X81" s="30">
        <f>E57*(1-(VLOOKUP(X$75,tech_data!$B$2:$O$15,4,FALSE)/100))</f>
        <v>7.7645671491274701E-2</v>
      </c>
      <c r="Y81" s="30">
        <f>F57*(1-(VLOOKUP(Y$75,tech_data!$B$2:$O$15,4,FALSE)/100))</f>
        <v>6.1777428756385708</v>
      </c>
      <c r="Z81" s="30">
        <f>G57*(1-(VLOOKUP(Z$75,tech_data!$B$2:$O$15,4,FALSE)/100))</f>
        <v>18.860341047883345</v>
      </c>
      <c r="AA81" s="30">
        <f>H57*(1-(VLOOKUP(AA$75,tech_data!$B$2:$O$15,4,FALSE)/100))</f>
        <v>-2.3066666550178955E-8</v>
      </c>
      <c r="AB81" s="30">
        <f>I57*(1-(VLOOKUP(AB$75,tech_data!$B$2:$O$15,4,FALSE)/100))</f>
        <v>5.3136596131692894E-2</v>
      </c>
      <c r="AC81" s="30">
        <f>J57*(1-(VLOOKUP(AC$75,tech_data!$B$2:$O$15,4,FALSE)/100))</f>
        <v>0.83848082278722913</v>
      </c>
      <c r="AD81" s="30">
        <f>K57*(1-(VLOOKUP(AD$75,tech_data!$B$2:$O$15,4,FALSE)/100))</f>
        <v>1.975194439134033</v>
      </c>
      <c r="AE81" s="30">
        <f>L57*(1-(VLOOKUP(AE$75,tech_data!$B$2:$O$15,4,FALSE)/100))</f>
        <v>0.73274729715789788</v>
      </c>
      <c r="AF81" s="30">
        <f>M57*(1-(VLOOKUP(AF$75,tech_data!$B$2:$O$15,4,FALSE)/100))</f>
        <v>0</v>
      </c>
      <c r="AG81" s="30">
        <f>N57*(1-(VLOOKUP(AG$75,tech_data!$B$2:$O$15,4,FALSE)/100))</f>
        <v>2.7156817682323593E-4</v>
      </c>
      <c r="AH81" s="30">
        <f>O57*(1-(VLOOKUP(AH$75,tech_data!$B$2:$O$15,4,FALSE)/100))</f>
        <v>0</v>
      </c>
      <c r="AI81" s="30">
        <f>(maluku_papua!AI57*3.6/(VLOOKUP(AI$51,tech_data!$B$2:$J$15,4,FALSE)/100))/1000</f>
        <v>0</v>
      </c>
      <c r="AJ81" s="30">
        <f t="shared" si="68"/>
        <v>39.939325844935382</v>
      </c>
      <c r="AK81" s="30"/>
      <c r="AL81" s="23"/>
    </row>
    <row r="82" spans="1:38" x14ac:dyDescent="0.25">
      <c r="A82" s="19"/>
      <c r="B82" s="20" t="str">
        <f t="shared" si="64"/>
        <v>MALUKU_PAPUA</v>
      </c>
      <c r="C82" s="20">
        <f t="shared" si="64"/>
        <v>2025</v>
      </c>
      <c r="D82" s="30">
        <f t="shared" si="69"/>
        <v>8.0749830124883495</v>
      </c>
      <c r="E82" s="30">
        <f t="shared" si="69"/>
        <v>4.3047071360324388E-2</v>
      </c>
      <c r="F82" s="30">
        <f t="shared" si="69"/>
        <v>9.6134220495267382</v>
      </c>
      <c r="G82" s="30">
        <f t="shared" si="69"/>
        <v>16.066216448196922</v>
      </c>
      <c r="H82" s="30">
        <f t="shared" si="69"/>
        <v>-3.5999999818198374E-9</v>
      </c>
      <c r="I82" s="30">
        <f t="shared" si="69"/>
        <v>1.9549260672104489</v>
      </c>
      <c r="J82" s="30">
        <f t="shared" si="69"/>
        <v>3.4908449713547793</v>
      </c>
      <c r="K82" s="30">
        <f t="shared" si="69"/>
        <v>2.5089942679656581</v>
      </c>
      <c r="L82" s="30">
        <f t="shared" si="69"/>
        <v>2.1375750500214319</v>
      </c>
      <c r="M82" s="30">
        <f t="shared" si="69"/>
        <v>0</v>
      </c>
      <c r="N82" s="30">
        <f t="shared" si="69"/>
        <v>3.0745189839207756E-3</v>
      </c>
      <c r="O82" s="30">
        <f t="shared" si="69"/>
        <v>0</v>
      </c>
      <c r="P82" s="30">
        <f>(maluku_papua!P58*3.6/(VLOOKUP(P$51,tech_data!$B$2:$J$15,4,FALSE)/100))/1000</f>
        <v>0</v>
      </c>
      <c r="Q82" s="30">
        <f t="shared" si="66"/>
        <v>43.893083453508588</v>
      </c>
      <c r="R82" s="30"/>
      <c r="S82" s="23"/>
      <c r="T82" s="19"/>
      <c r="U82" s="20" t="str">
        <f t="shared" si="67"/>
        <v>MALUKU_PAPUA</v>
      </c>
      <c r="V82" s="20">
        <f t="shared" si="67"/>
        <v>2025</v>
      </c>
      <c r="W82" s="30">
        <f>D58*(1-(VLOOKUP(W$75,tech_data!$B$2:$O$15,4,FALSE)/100))</f>
        <v>12.808593743947036</v>
      </c>
      <c r="X82" s="30">
        <f>E58*(1-(VLOOKUP(X$75,tech_data!$B$2:$O$15,4,FALSE)/100))</f>
        <v>7.7645652079837452E-2</v>
      </c>
      <c r="Y82" s="30">
        <f>F58*(1-(VLOOKUP(Y$75,tech_data!$B$2:$O$15,4,FALSE)/100))</f>
        <v>6.866730035376241</v>
      </c>
      <c r="Z82" s="30">
        <f>G58*(1-(VLOOKUP(Z$75,tech_data!$B$2:$O$15,4,FALSE)/100))</f>
        <v>18.860341047883345</v>
      </c>
      <c r="AA82" s="30">
        <f>H58*(1-(VLOOKUP(AA$75,tech_data!$B$2:$O$15,4,FALSE)/100))</f>
        <v>-2.3066666550178955E-8</v>
      </c>
      <c r="AB82" s="30">
        <f>I58*(1-(VLOOKUP(AB$75,tech_data!$B$2:$O$15,4,FALSE)/100))</f>
        <v>0.10289084564265531</v>
      </c>
      <c r="AC82" s="30">
        <f>J58*(1-(VLOOKUP(AC$75,tech_data!$B$2:$O$15,4,FALSE)/100))</f>
        <v>0.87271124283869472</v>
      </c>
      <c r="AD82" s="30">
        <f>K58*(1-(VLOOKUP(AD$75,tech_data!$B$2:$O$15,4,FALSE)/100))</f>
        <v>2.1075551850911527</v>
      </c>
      <c r="AE82" s="30">
        <f>L58*(1-(VLOOKUP(AE$75,tech_data!$B$2:$O$15,4,FALSE)/100))</f>
        <v>0.86999304535872279</v>
      </c>
      <c r="AF82" s="30">
        <f>M58*(1-(VLOOKUP(AF$75,tech_data!$B$2:$O$15,4,FALSE)/100))</f>
        <v>0</v>
      </c>
      <c r="AG82" s="30">
        <f>N58*(1-(VLOOKUP(AG$75,tech_data!$B$2:$O$15,4,FALSE)/100))</f>
        <v>2.7158251024633529E-4</v>
      </c>
      <c r="AH82" s="30">
        <f>O58*(1-(VLOOKUP(AH$75,tech_data!$B$2:$O$15,4,FALSE)/100))</f>
        <v>0</v>
      </c>
      <c r="AI82" s="30">
        <f>(maluku_papua!AI58*3.6/(VLOOKUP(AI$51,tech_data!$B$2:$J$15,4,FALSE)/100))/1000</f>
        <v>0</v>
      </c>
      <c r="AJ82" s="30">
        <f t="shared" si="68"/>
        <v>42.566732357661266</v>
      </c>
      <c r="AK82" s="30"/>
      <c r="AL82" s="23"/>
    </row>
    <row r="83" spans="1:38" x14ac:dyDescent="0.25">
      <c r="A83" s="19"/>
      <c r="B83" s="20" t="str">
        <f t="shared" si="64"/>
        <v>MALUKU_PAPUA</v>
      </c>
      <c r="C83" s="20">
        <f t="shared" si="64"/>
        <v>2026</v>
      </c>
      <c r="D83" s="30">
        <f t="shared" si="69"/>
        <v>9.2270196495848698</v>
      </c>
      <c r="E83" s="30">
        <f t="shared" si="69"/>
        <v>4.3047071360324388E-2</v>
      </c>
      <c r="F83" s="30">
        <f t="shared" si="69"/>
        <v>10.434379758490151</v>
      </c>
      <c r="G83" s="30">
        <f t="shared" si="69"/>
        <v>16.066216448196922</v>
      </c>
      <c r="H83" s="30">
        <f t="shared" si="69"/>
        <v>0</v>
      </c>
      <c r="I83" s="30">
        <f t="shared" si="69"/>
        <v>2.1918443044359885</v>
      </c>
      <c r="J83" s="30">
        <f t="shared" si="69"/>
        <v>3.8940322285795861</v>
      </c>
      <c r="K83" s="30">
        <f t="shared" si="69"/>
        <v>2.5424994190644599</v>
      </c>
      <c r="L83" s="30">
        <f t="shared" si="69"/>
        <v>2.2465796693633155</v>
      </c>
      <c r="M83" s="30">
        <f t="shared" si="69"/>
        <v>0</v>
      </c>
      <c r="N83" s="30">
        <f t="shared" si="69"/>
        <v>3.6549610143269788E-3</v>
      </c>
      <c r="O83" s="30">
        <f t="shared" si="69"/>
        <v>0</v>
      </c>
      <c r="P83" s="30">
        <f>(maluku_papua!P59*3.6/(VLOOKUP(P$51,tech_data!$B$2:$J$15,4,FALSE)/100))/1000</f>
        <v>0</v>
      </c>
      <c r="Q83" s="30">
        <f t="shared" si="66"/>
        <v>46.649273510089948</v>
      </c>
      <c r="R83" s="30"/>
      <c r="S83" s="23"/>
      <c r="T83" s="19"/>
      <c r="U83" s="20" t="str">
        <f t="shared" si="67"/>
        <v>MALUKU_PAPUA</v>
      </c>
      <c r="V83" s="20">
        <f t="shared" si="67"/>
        <v>2026</v>
      </c>
      <c r="W83" s="30">
        <f>D59*(1-(VLOOKUP(W$75,tech_data!$B$2:$O$15,4,FALSE)/100))</f>
        <v>14.635962202789795</v>
      </c>
      <c r="X83" s="30">
        <f>E59*(1-(VLOOKUP(X$75,tech_data!$B$2:$O$15,4,FALSE)/100))</f>
        <v>7.7645652079837452E-2</v>
      </c>
      <c r="Y83" s="30">
        <f>F59*(1-(VLOOKUP(Y$75,tech_data!$B$2:$O$15,4,FALSE)/100))</f>
        <v>7.4531283989215362</v>
      </c>
      <c r="Z83" s="30">
        <f>G59*(1-(VLOOKUP(Z$75,tech_data!$B$2:$O$15,4,FALSE)/100))</f>
        <v>18.860341047883345</v>
      </c>
      <c r="AA83" s="30">
        <f>H59*(1-(VLOOKUP(AA$75,tech_data!$B$2:$O$15,4,FALSE)/100))</f>
        <v>0</v>
      </c>
      <c r="AB83" s="30">
        <f>I59*(1-(VLOOKUP(AB$75,tech_data!$B$2:$O$15,4,FALSE)/100))</f>
        <v>0.11536022654926267</v>
      </c>
      <c r="AC83" s="30">
        <f>J59*(1-(VLOOKUP(AC$75,tech_data!$B$2:$O$15,4,FALSE)/100))</f>
        <v>0.97350805714489619</v>
      </c>
      <c r="AD83" s="30">
        <f>K59*(1-(VLOOKUP(AD$75,tech_data!$B$2:$O$15,4,FALSE)/100))</f>
        <v>2.1356995120141464</v>
      </c>
      <c r="AE83" s="30">
        <f>L59*(1-(VLOOKUP(AE$75,tech_data!$B$2:$O$15,4,FALSE)/100))</f>
        <v>0.91435792543086947</v>
      </c>
      <c r="AF83" s="30">
        <f>M59*(1-(VLOOKUP(AF$75,tech_data!$B$2:$O$15,4,FALSE)/100))</f>
        <v>0</v>
      </c>
      <c r="AG83" s="30">
        <f>N59*(1-(VLOOKUP(AG$75,tech_data!$B$2:$O$15,4,FALSE)/100))</f>
        <v>3.228548895988833E-4</v>
      </c>
      <c r="AH83" s="30">
        <f>O59*(1-(VLOOKUP(AH$75,tech_data!$B$2:$O$15,4,FALSE)/100))</f>
        <v>0</v>
      </c>
      <c r="AI83" s="30">
        <f>(maluku_papua!AI59*3.6/(VLOOKUP(AI$51,tech_data!$B$2:$J$15,4,FALSE)/100))/1000</f>
        <v>0</v>
      </c>
      <c r="AJ83" s="30">
        <f t="shared" si="68"/>
        <v>45.166325877703287</v>
      </c>
      <c r="AK83" s="30"/>
      <c r="AL83" s="23"/>
    </row>
    <row r="84" spans="1:38" x14ac:dyDescent="0.25">
      <c r="A84" s="19"/>
      <c r="B84" s="20" t="str">
        <f t="shared" si="64"/>
        <v>MALUKU_PAPUA</v>
      </c>
      <c r="C84" s="20">
        <f t="shared" si="64"/>
        <v>2027</v>
      </c>
      <c r="D84" s="30">
        <f t="shared" si="69"/>
        <v>10.448566746573981</v>
      </c>
      <c r="E84" s="30">
        <f t="shared" si="69"/>
        <v>4.3047060598543088E-2</v>
      </c>
      <c r="F84" s="30">
        <f t="shared" si="69"/>
        <v>11.32893704623771</v>
      </c>
      <c r="G84" s="30">
        <f t="shared" si="69"/>
        <v>16.066216448196922</v>
      </c>
      <c r="H84" s="30">
        <f t="shared" si="69"/>
        <v>-7.8596082426668341E-17</v>
      </c>
      <c r="I84" s="30">
        <f t="shared" si="69"/>
        <v>2.5364903687222289</v>
      </c>
      <c r="J84" s="30">
        <f t="shared" si="69"/>
        <v>4.2547202398384592</v>
      </c>
      <c r="K84" s="30">
        <f t="shared" si="69"/>
        <v>2.5426131724179175</v>
      </c>
      <c r="L84" s="30">
        <f t="shared" si="69"/>
        <v>2.3902943278778586</v>
      </c>
      <c r="M84" s="30">
        <f t="shared" si="69"/>
        <v>0</v>
      </c>
      <c r="N84" s="30">
        <f t="shared" si="69"/>
        <v>5.1011019597938167E-3</v>
      </c>
      <c r="O84" s="30">
        <f t="shared" si="69"/>
        <v>0</v>
      </c>
      <c r="P84" s="30">
        <f>(maluku_papua!P60*3.6/(VLOOKUP(P$51,tech_data!$B$2:$J$15,4,FALSE)/100))/1000</f>
        <v>0</v>
      </c>
      <c r="Q84" s="30">
        <f t="shared" si="66"/>
        <v>49.615986512423412</v>
      </c>
      <c r="R84" s="30"/>
      <c r="S84" s="23"/>
      <c r="T84" s="19"/>
      <c r="U84" s="20" t="str">
        <f t="shared" si="67"/>
        <v>MALUKU_PAPUA</v>
      </c>
      <c r="V84" s="20">
        <f t="shared" si="67"/>
        <v>2027</v>
      </c>
      <c r="W84" s="30">
        <f>D60*(1-(VLOOKUP(W$75,tech_data!$B$2:$O$15,4,FALSE)/100))</f>
        <v>16.573588632496659</v>
      </c>
      <c r="X84" s="30">
        <f>E60*(1-(VLOOKUP(X$75,tech_data!$B$2:$O$15,4,FALSE)/100))</f>
        <v>7.7645632668400161E-2</v>
      </c>
      <c r="Y84" s="30">
        <f>F60*(1-(VLOOKUP(Y$75,tech_data!$B$2:$O$15,4,FALSE)/100))</f>
        <v>8.0920978901697911</v>
      </c>
      <c r="Z84" s="30">
        <f>G60*(1-(VLOOKUP(Z$75,tech_data!$B$2:$O$15,4,FALSE)/100))</f>
        <v>18.860341047883345</v>
      </c>
      <c r="AA84" s="30">
        <f>H60*(1-(VLOOKUP(AA$75,tech_data!$B$2:$O$15,4,FALSE)/100))</f>
        <v>-5.0359712073383792E-16</v>
      </c>
      <c r="AB84" s="30">
        <f>I60*(1-(VLOOKUP(AB$75,tech_data!$B$2:$O$15,4,FALSE)/100))</f>
        <v>0.13349949309064377</v>
      </c>
      <c r="AC84" s="30">
        <f>J60*(1-(VLOOKUP(AC$75,tech_data!$B$2:$O$15,4,FALSE)/100))</f>
        <v>1.0636800599596143</v>
      </c>
      <c r="AD84" s="30">
        <f>K60*(1-(VLOOKUP(AD$75,tech_data!$B$2:$O$15,4,FALSE)/100))</f>
        <v>2.1357950648310506</v>
      </c>
      <c r="AE84" s="30">
        <f>L60*(1-(VLOOKUP(AE$75,tech_data!$B$2:$O$15,4,FALSE)/100))</f>
        <v>0.97284979144628847</v>
      </c>
      <c r="AF84" s="30">
        <f>M60*(1-(VLOOKUP(AF$75,tech_data!$B$2:$O$15,4,FALSE)/100))</f>
        <v>0</v>
      </c>
      <c r="AG84" s="30">
        <f>N60*(1-(VLOOKUP(AG$75,tech_data!$B$2:$O$15,4,FALSE)/100))</f>
        <v>4.5059733978178735E-4</v>
      </c>
      <c r="AH84" s="30">
        <f>O60*(1-(VLOOKUP(AH$75,tech_data!$B$2:$O$15,4,FALSE)/100))</f>
        <v>0</v>
      </c>
      <c r="AI84" s="30">
        <f>(maluku_papua!AI60*3.6/(VLOOKUP(AI$51,tech_data!$B$2:$J$15,4,FALSE)/100))/1000</f>
        <v>0</v>
      </c>
      <c r="AJ84" s="30">
        <f t="shared" si="68"/>
        <v>47.90994820988557</v>
      </c>
      <c r="AK84" s="30"/>
      <c r="AL84" s="23"/>
    </row>
    <row r="85" spans="1:38" x14ac:dyDescent="0.25">
      <c r="A85" s="19"/>
      <c r="B85" s="20" t="str">
        <f t="shared" si="64"/>
        <v>MALUKU_PAPUA</v>
      </c>
      <c r="C85" s="20">
        <f t="shared" si="64"/>
        <v>2028</v>
      </c>
      <c r="D85" s="30">
        <f t="shared" si="69"/>
        <v>11.743500172480919</v>
      </c>
      <c r="E85" s="30">
        <f t="shared" si="69"/>
        <v>4.3047049836761803E-2</v>
      </c>
      <c r="F85" s="30">
        <f t="shared" si="69"/>
        <v>12.303917872283826</v>
      </c>
      <c r="G85" s="30">
        <f t="shared" si="69"/>
        <v>16.066216448196922</v>
      </c>
      <c r="H85" s="30">
        <f t="shared" si="69"/>
        <v>-7.8596082426668341E-17</v>
      </c>
      <c r="I85" s="30">
        <f t="shared" si="69"/>
        <v>2.5364904163318687</v>
      </c>
      <c r="J85" s="30">
        <f t="shared" si="69"/>
        <v>4.2547202928017818</v>
      </c>
      <c r="K85" s="30">
        <f t="shared" si="69"/>
        <v>2.7758199494275924</v>
      </c>
      <c r="L85" s="30">
        <f t="shared" si="69"/>
        <v>3.0805024912413601</v>
      </c>
      <c r="M85" s="30">
        <f t="shared" si="69"/>
        <v>0</v>
      </c>
      <c r="N85" s="30">
        <f t="shared" si="69"/>
        <v>5.7294829991501178E-3</v>
      </c>
      <c r="O85" s="30">
        <f t="shared" si="69"/>
        <v>0</v>
      </c>
      <c r="P85" s="30">
        <f>(maluku_papua!P61*3.6/(VLOOKUP(P$51,tech_data!$B$2:$J$15,4,FALSE)/100))/1000</f>
        <v>0</v>
      </c>
      <c r="Q85" s="30">
        <f t="shared" si="66"/>
        <v>52.80994417560018</v>
      </c>
      <c r="R85" s="30"/>
      <c r="S85" s="23"/>
      <c r="T85" s="19"/>
      <c r="U85" s="20" t="str">
        <f t="shared" si="67"/>
        <v>MALUKU_PAPUA</v>
      </c>
      <c r="V85" s="20">
        <f t="shared" si="67"/>
        <v>2028</v>
      </c>
      <c r="W85" s="30">
        <f>D61*(1-(VLOOKUP(W$75,tech_data!$B$2:$O$15,4,FALSE)/100))</f>
        <v>18.627620963245594</v>
      </c>
      <c r="X85" s="30">
        <f>E61*(1-(VLOOKUP(X$75,tech_data!$B$2:$O$15,4,FALSE)/100))</f>
        <v>7.7645613256962884E-2</v>
      </c>
      <c r="Y85" s="30">
        <f>F61*(1-(VLOOKUP(Y$75,tech_data!$B$2:$O$15,4,FALSE)/100))</f>
        <v>8.7885127659170177</v>
      </c>
      <c r="Z85" s="30">
        <f>G61*(1-(VLOOKUP(Z$75,tech_data!$B$2:$O$15,4,FALSE)/100))</f>
        <v>18.860341047883345</v>
      </c>
      <c r="AA85" s="30">
        <f>H61*(1-(VLOOKUP(AA$75,tech_data!$B$2:$O$15,4,FALSE)/100))</f>
        <v>-5.0359712073383792E-16</v>
      </c>
      <c r="AB85" s="30">
        <f>I61*(1-(VLOOKUP(AB$75,tech_data!$B$2:$O$15,4,FALSE)/100))</f>
        <v>0.13349949559641427</v>
      </c>
      <c r="AC85" s="30">
        <f>J61*(1-(VLOOKUP(AC$75,tech_data!$B$2:$O$15,4,FALSE)/100))</f>
        <v>1.063680073200445</v>
      </c>
      <c r="AD85" s="30">
        <f>K61*(1-(VLOOKUP(AD$75,tech_data!$B$2:$O$15,4,FALSE)/100))</f>
        <v>2.3316887575191774</v>
      </c>
      <c r="AE85" s="30">
        <f>L61*(1-(VLOOKUP(AE$75,tech_data!$B$2:$O$15,4,FALSE)/100))</f>
        <v>1.2537645139352336</v>
      </c>
      <c r="AF85" s="30">
        <f>M61*(1-(VLOOKUP(AF$75,tech_data!$B$2:$O$15,4,FALSE)/100))</f>
        <v>0</v>
      </c>
      <c r="AG85" s="30">
        <f>N61*(1-(VLOOKUP(AG$75,tech_data!$B$2:$O$15,4,FALSE)/100))</f>
        <v>5.0610433159159398E-4</v>
      </c>
      <c r="AH85" s="30">
        <f>O61*(1-(VLOOKUP(AH$75,tech_data!$B$2:$O$15,4,FALSE)/100))</f>
        <v>0</v>
      </c>
      <c r="AI85" s="30">
        <f>(maluku_papua!AI61*3.6/(VLOOKUP(AI$51,tech_data!$B$2:$J$15,4,FALSE)/100))/1000</f>
        <v>0</v>
      </c>
      <c r="AJ85" s="30">
        <f t="shared" si="68"/>
        <v>51.137259334885776</v>
      </c>
      <c r="AK85" s="30"/>
      <c r="AL85" s="23"/>
    </row>
    <row r="86" spans="1:38" x14ac:dyDescent="0.25">
      <c r="A86" s="19"/>
      <c r="B86" s="20" t="str">
        <f t="shared" si="64"/>
        <v>MALUKU_PAPUA</v>
      </c>
      <c r="C86" s="20">
        <f t="shared" si="64"/>
        <v>2029</v>
      </c>
      <c r="D86" s="30">
        <f t="shared" si="69"/>
        <v>13.115886504205474</v>
      </c>
      <c r="E86" s="30">
        <f t="shared" si="69"/>
        <v>4.3047049836761803E-2</v>
      </c>
      <c r="F86" s="30">
        <f t="shared" si="69"/>
        <v>13.366770498067485</v>
      </c>
      <c r="G86" s="30">
        <f t="shared" si="69"/>
        <v>16.066216448196922</v>
      </c>
      <c r="H86" s="30">
        <f t="shared" si="69"/>
        <v>0</v>
      </c>
      <c r="I86" s="30">
        <f t="shared" si="69"/>
        <v>2.8231460513114857</v>
      </c>
      <c r="J86" s="30">
        <f t="shared" si="69"/>
        <v>4.7853061568436814</v>
      </c>
      <c r="K86" s="30">
        <f t="shared" si="69"/>
        <v>2.8250811794597728</v>
      </c>
      <c r="L86" s="30">
        <f t="shared" si="69"/>
        <v>3.2180511618584613</v>
      </c>
      <c r="M86" s="30">
        <f t="shared" si="69"/>
        <v>0</v>
      </c>
      <c r="N86" s="30">
        <f t="shared" si="69"/>
        <v>5.7296310263986946E-3</v>
      </c>
      <c r="O86" s="30">
        <f t="shared" si="69"/>
        <v>0</v>
      </c>
      <c r="P86" s="30">
        <f>(maluku_papua!P62*3.6/(VLOOKUP(P$51,tech_data!$B$2:$J$15,4,FALSE)/100))/1000</f>
        <v>0</v>
      </c>
      <c r="Q86" s="30">
        <f t="shared" si="66"/>
        <v>56.249234680806438</v>
      </c>
      <c r="R86" s="30"/>
      <c r="S86" s="23"/>
      <c r="T86" s="19"/>
      <c r="U86" s="20" t="str">
        <f t="shared" si="67"/>
        <v>MALUKU_PAPUA</v>
      </c>
      <c r="V86" s="20">
        <f t="shared" si="67"/>
        <v>2029</v>
      </c>
      <c r="W86" s="30">
        <f>D62*(1-(VLOOKUP(W$75,tech_data!$B$2:$O$15,4,FALSE)/100))</f>
        <v>20.804509627360407</v>
      </c>
      <c r="X86" s="30">
        <f>E62*(1-(VLOOKUP(X$75,tech_data!$B$2:$O$15,4,FALSE)/100))</f>
        <v>7.7645613256962884E-2</v>
      </c>
      <c r="Y86" s="30">
        <f>F62*(1-(VLOOKUP(Y$75,tech_data!$B$2:$O$15,4,FALSE)/100))</f>
        <v>9.5476932129053438</v>
      </c>
      <c r="Z86" s="30">
        <f>G62*(1-(VLOOKUP(Z$75,tech_data!$B$2:$O$15,4,FALSE)/100))</f>
        <v>18.860341047883345</v>
      </c>
      <c r="AA86" s="30">
        <f>H62*(1-(VLOOKUP(AA$75,tech_data!$B$2:$O$15,4,FALSE)/100))</f>
        <v>0</v>
      </c>
      <c r="AB86" s="30">
        <f>I62*(1-(VLOOKUP(AB$75,tech_data!$B$2:$O$15,4,FALSE)/100))</f>
        <v>0.14858663427955204</v>
      </c>
      <c r="AC86" s="30">
        <f>J62*(1-(VLOOKUP(AC$75,tech_data!$B$2:$O$15,4,FALSE)/100))</f>
        <v>1.1963265392109199</v>
      </c>
      <c r="AD86" s="30">
        <f>K62*(1-(VLOOKUP(AD$75,tech_data!$B$2:$O$15,4,FALSE)/100))</f>
        <v>2.373068190746209</v>
      </c>
      <c r="AE86" s="30">
        <f>L62*(1-(VLOOKUP(AE$75,tech_data!$B$2:$O$15,4,FALSE)/100))</f>
        <v>1.3097468228763938</v>
      </c>
      <c r="AF86" s="30">
        <f>M62*(1-(VLOOKUP(AF$75,tech_data!$B$2:$O$15,4,FALSE)/100))</f>
        <v>0</v>
      </c>
      <c r="AG86" s="30">
        <f>N62*(1-(VLOOKUP(AG$75,tech_data!$B$2:$O$15,4,FALSE)/100))</f>
        <v>5.0611740733188496E-4</v>
      </c>
      <c r="AH86" s="30">
        <f>O62*(1-(VLOOKUP(AH$75,tech_data!$B$2:$O$15,4,FALSE)/100))</f>
        <v>0</v>
      </c>
      <c r="AI86" s="30">
        <f>(maluku_papua!AI62*3.6/(VLOOKUP(AI$51,tech_data!$B$2:$J$15,4,FALSE)/100))/1000</f>
        <v>0</v>
      </c>
      <c r="AJ86" s="30">
        <f t="shared" si="68"/>
        <v>54.318423805926471</v>
      </c>
      <c r="AK86" s="30"/>
      <c r="AL86" s="23"/>
    </row>
    <row r="87" spans="1:38" x14ac:dyDescent="0.25">
      <c r="A87" s="19"/>
      <c r="B87" s="20" t="str">
        <f t="shared" si="64"/>
        <v>MALUKU_PAPUA</v>
      </c>
      <c r="C87" s="20">
        <f t="shared" si="64"/>
        <v>2030</v>
      </c>
      <c r="D87" s="30">
        <f t="shared" si="69"/>
        <v>14.569984897954619</v>
      </c>
      <c r="E87" s="30">
        <f t="shared" si="69"/>
        <v>4.3047049836761803E-2</v>
      </c>
      <c r="F87" s="30">
        <f t="shared" si="69"/>
        <v>14.525635770930643</v>
      </c>
      <c r="G87" s="30">
        <f t="shared" si="69"/>
        <v>16.066216448196922</v>
      </c>
      <c r="H87" s="30">
        <f t="shared" si="69"/>
        <v>-3.5999999654699566E-9</v>
      </c>
      <c r="I87" s="30">
        <f t="shared" si="69"/>
        <v>2.8231460513114857</v>
      </c>
      <c r="J87" s="30">
        <f t="shared" si="69"/>
        <v>5.7951588508501022</v>
      </c>
      <c r="K87" s="30">
        <f t="shared" si="69"/>
        <v>2.9057939583929002</v>
      </c>
      <c r="L87" s="30">
        <f t="shared" si="69"/>
        <v>3.2180511673944854</v>
      </c>
      <c r="M87" s="30">
        <f t="shared" si="69"/>
        <v>0</v>
      </c>
      <c r="N87" s="30">
        <f t="shared" si="69"/>
        <v>6.3930713462288296E-3</v>
      </c>
      <c r="O87" s="30">
        <f t="shared" si="69"/>
        <v>0</v>
      </c>
      <c r="P87" s="30">
        <f>(maluku_papua!P63*3.6/(VLOOKUP(P$51,tech_data!$B$2:$J$15,4,FALSE)/100))/1000</f>
        <v>0</v>
      </c>
      <c r="Q87" s="30">
        <f t="shared" si="66"/>
        <v>59.953427262614142</v>
      </c>
      <c r="R87" s="30"/>
      <c r="S87" s="23"/>
      <c r="T87" s="19"/>
      <c r="U87" s="20" t="str">
        <f t="shared" si="67"/>
        <v>MALUKU_PAPUA</v>
      </c>
      <c r="V87" s="20">
        <f t="shared" si="67"/>
        <v>2030</v>
      </c>
      <c r="W87" s="30">
        <f>D63*(1-(VLOOKUP(W$75,tech_data!$B$2:$O$15,4,FALSE)/100))</f>
        <v>23.111010527790082</v>
      </c>
      <c r="X87" s="30">
        <f>E63*(1-(VLOOKUP(X$75,tech_data!$B$2:$O$15,4,FALSE)/100))</f>
        <v>7.7645613256962884E-2</v>
      </c>
      <c r="Y87" s="30">
        <f>F63*(1-(VLOOKUP(Y$75,tech_data!$B$2:$O$15,4,FALSE)/100))</f>
        <v>10.375454122093315</v>
      </c>
      <c r="Z87" s="30">
        <f>G63*(1-(VLOOKUP(Z$75,tech_data!$B$2:$O$15,4,FALSE)/100))</f>
        <v>18.860341047883345</v>
      </c>
      <c r="AA87" s="30">
        <f>H63*(1-(VLOOKUP(AA$75,tech_data!$B$2:$O$15,4,FALSE)/100))</f>
        <v>-2.3066666445418612E-8</v>
      </c>
      <c r="AB87" s="30">
        <f>I63*(1-(VLOOKUP(AB$75,tech_data!$B$2:$O$15,4,FALSE)/100))</f>
        <v>0.14858663427955204</v>
      </c>
      <c r="AC87" s="30">
        <f>J63*(1-(VLOOKUP(AC$75,tech_data!$B$2:$O$15,4,FALSE)/100))</f>
        <v>1.4487897127125251</v>
      </c>
      <c r="AD87" s="30">
        <f>K63*(1-(VLOOKUP(AD$75,tech_data!$B$2:$O$15,4,FALSE)/100))</f>
        <v>2.4408669250500359</v>
      </c>
      <c r="AE87" s="30">
        <f>L63*(1-(VLOOKUP(AE$75,tech_data!$B$2:$O$15,4,FALSE)/100))</f>
        <v>1.3097468251295556</v>
      </c>
      <c r="AF87" s="30">
        <f>M63*(1-(VLOOKUP(AF$75,tech_data!$B$2:$O$15,4,FALSE)/100))</f>
        <v>0</v>
      </c>
      <c r="AG87" s="30">
        <f>N63*(1-(VLOOKUP(AG$75,tech_data!$B$2:$O$15,4,FALSE)/100))</f>
        <v>5.6472130225021359E-4</v>
      </c>
      <c r="AH87" s="30">
        <f>O63*(1-(VLOOKUP(AH$75,tech_data!$B$2:$O$15,4,FALSE)/100))</f>
        <v>0</v>
      </c>
      <c r="AI87" s="30">
        <f>(maluku_papua!AI63*3.6/(VLOOKUP(AI$51,tech_data!$B$2:$J$15,4,FALSE)/100))/1000</f>
        <v>0</v>
      </c>
      <c r="AJ87" s="30">
        <f t="shared" si="68"/>
        <v>57.773006106430955</v>
      </c>
      <c r="AK87" s="30"/>
      <c r="AL87" s="23"/>
    </row>
    <row r="88" spans="1:38" x14ac:dyDescent="0.25">
      <c r="A88" s="19"/>
      <c r="B88" s="20" t="str">
        <f t="shared" si="64"/>
        <v>MALUKU_PAPUA</v>
      </c>
      <c r="C88" s="20">
        <f t="shared" si="64"/>
        <v>2031</v>
      </c>
      <c r="D88" s="30">
        <f t="shared" si="69"/>
        <v>16.110252155143986</v>
      </c>
      <c r="E88" s="30">
        <f t="shared" si="69"/>
        <v>4.3047049836761803E-2</v>
      </c>
      <c r="F88" s="30">
        <f t="shared" si="69"/>
        <v>15.789412456023211</v>
      </c>
      <c r="G88" s="30">
        <f t="shared" si="69"/>
        <v>16.066216448196922</v>
      </c>
      <c r="H88" s="30">
        <f t="shared" si="69"/>
        <v>0</v>
      </c>
      <c r="I88" s="30">
        <f t="shared" si="69"/>
        <v>3.2236620367046469</v>
      </c>
      <c r="J88" s="30">
        <f t="shared" si="69"/>
        <v>6.3323557847062579</v>
      </c>
      <c r="K88" s="30">
        <f t="shared" si="69"/>
        <v>2.9057939583929002</v>
      </c>
      <c r="L88" s="30">
        <f t="shared" si="69"/>
        <v>3.4665645624407135</v>
      </c>
      <c r="M88" s="30">
        <f t="shared" si="69"/>
        <v>0</v>
      </c>
      <c r="N88" s="30">
        <f t="shared" si="69"/>
        <v>6.3930713462288296E-3</v>
      </c>
      <c r="O88" s="30">
        <f t="shared" si="69"/>
        <v>0</v>
      </c>
      <c r="P88" s="30">
        <f>(maluku_papua!P64*3.6/(VLOOKUP(P$51,tech_data!$B$2:$J$15,4,FALSE)/100))/1000</f>
        <v>0</v>
      </c>
      <c r="Q88" s="30">
        <f t="shared" si="66"/>
        <v>63.943697522791631</v>
      </c>
      <c r="R88" s="30"/>
      <c r="S88" s="23"/>
      <c r="T88" s="19"/>
      <c r="U88" s="20" t="str">
        <f t="shared" si="67"/>
        <v>MALUKU_PAPUA</v>
      </c>
      <c r="V88" s="20">
        <f t="shared" si="67"/>
        <v>2031</v>
      </c>
      <c r="W88" s="30">
        <f>D64*(1-(VLOOKUP(W$75,tech_data!$B$2:$O$15,4,FALSE)/100))</f>
        <v>25.554193073676664</v>
      </c>
      <c r="X88" s="30">
        <f>E64*(1-(VLOOKUP(X$75,tech_data!$B$2:$O$15,4,FALSE)/100))</f>
        <v>7.7645613256962884E-2</v>
      </c>
      <c r="Y88" s="30">
        <f>F64*(1-(VLOOKUP(Y$75,tech_data!$B$2:$O$15,4,FALSE)/100))</f>
        <v>11.278151754302291</v>
      </c>
      <c r="Z88" s="30">
        <f>G64*(1-(VLOOKUP(Z$75,tech_data!$B$2:$O$15,4,FALSE)/100))</f>
        <v>18.860341047883345</v>
      </c>
      <c r="AA88" s="30">
        <f>H64*(1-(VLOOKUP(AA$75,tech_data!$B$2:$O$15,4,FALSE)/100))</f>
        <v>0</v>
      </c>
      <c r="AB88" s="30">
        <f>I64*(1-(VLOOKUP(AB$75,tech_data!$B$2:$O$15,4,FALSE)/100))</f>
        <v>0.16966642298445528</v>
      </c>
      <c r="AC88" s="30">
        <f>J64*(1-(VLOOKUP(AC$75,tech_data!$B$2:$O$15,4,FALSE)/100))</f>
        <v>1.5830889461765638</v>
      </c>
      <c r="AD88" s="30">
        <f>K64*(1-(VLOOKUP(AD$75,tech_data!$B$2:$O$15,4,FALSE)/100))</f>
        <v>2.4408669250500359</v>
      </c>
      <c r="AE88" s="30">
        <f>L64*(1-(VLOOKUP(AE$75,tech_data!$B$2:$O$15,4,FALSE)/100))</f>
        <v>1.4108917769133704</v>
      </c>
      <c r="AF88" s="30">
        <f>M64*(1-(VLOOKUP(AF$75,tech_data!$B$2:$O$15,4,FALSE)/100))</f>
        <v>0</v>
      </c>
      <c r="AG88" s="30">
        <f>N64*(1-(VLOOKUP(AG$75,tech_data!$B$2:$O$15,4,FALSE)/100))</f>
        <v>5.6472130225021359E-4</v>
      </c>
      <c r="AH88" s="30">
        <f>O64*(1-(VLOOKUP(AH$75,tech_data!$B$2:$O$15,4,FALSE)/100))</f>
        <v>0</v>
      </c>
      <c r="AI88" s="30">
        <f>(maluku_papua!AI64*3.6/(VLOOKUP(AI$51,tech_data!$B$2:$J$15,4,FALSE)/100))/1000</f>
        <v>0</v>
      </c>
      <c r="AJ88" s="30">
        <f t="shared" si="68"/>
        <v>61.375410281545946</v>
      </c>
      <c r="AK88" s="30"/>
      <c r="AL88" s="23"/>
    </row>
    <row r="89" spans="1:38" x14ac:dyDescent="0.25">
      <c r="A89" s="19"/>
      <c r="B89" s="20" t="str">
        <f t="shared" si="64"/>
        <v>MALUKU_PAPUA</v>
      </c>
      <c r="C89" s="20">
        <f t="shared" si="64"/>
        <v>2032</v>
      </c>
      <c r="D89" s="30">
        <f t="shared" si="69"/>
        <v>17.741347602691683</v>
      </c>
      <c r="E89" s="30">
        <f t="shared" si="69"/>
        <v>4.3047049836761803E-2</v>
      </c>
      <c r="F89" s="30">
        <f t="shared" si="69"/>
        <v>17.167828294807745</v>
      </c>
      <c r="G89" s="30">
        <f t="shared" si="69"/>
        <v>16.066216448196922</v>
      </c>
      <c r="H89" s="30">
        <f t="shared" si="69"/>
        <v>-7.8595817151157719E-17</v>
      </c>
      <c r="I89" s="30">
        <f t="shared" si="69"/>
        <v>3.2237037442402983</v>
      </c>
      <c r="J89" s="30">
        <f t="shared" si="69"/>
        <v>7.499172315945156</v>
      </c>
      <c r="K89" s="30">
        <f t="shared" si="69"/>
        <v>2.9116243786376046</v>
      </c>
      <c r="L89" s="30">
        <f t="shared" si="69"/>
        <v>3.5830880171316641</v>
      </c>
      <c r="M89" s="30">
        <f t="shared" si="69"/>
        <v>0</v>
      </c>
      <c r="N89" s="30">
        <f t="shared" si="69"/>
        <v>6.9354851220368285E-3</v>
      </c>
      <c r="O89" s="30">
        <f t="shared" si="69"/>
        <v>0</v>
      </c>
      <c r="P89" s="30">
        <f>(maluku_papua!P65*3.6/(VLOOKUP(P$51,tech_data!$B$2:$J$15,4,FALSE)/100))/1000</f>
        <v>0</v>
      </c>
      <c r="Q89" s="30">
        <f t="shared" si="66"/>
        <v>68.242963336609876</v>
      </c>
      <c r="R89" s="30"/>
      <c r="S89" s="23"/>
      <c r="T89" s="19"/>
      <c r="U89" s="20" t="str">
        <f t="shared" si="67"/>
        <v>MALUKU_PAPUA</v>
      </c>
      <c r="V89" s="20">
        <f t="shared" si="67"/>
        <v>2032</v>
      </c>
      <c r="W89" s="30">
        <f>D65*(1-(VLOOKUP(W$75,tech_data!$B$2:$O$15,4,FALSE)/100))</f>
        <v>28.141447921510942</v>
      </c>
      <c r="X89" s="30">
        <f>E65*(1-(VLOOKUP(X$75,tech_data!$B$2:$O$15,4,FALSE)/100))</f>
        <v>7.7645613256962884E-2</v>
      </c>
      <c r="Y89" s="30">
        <f>F65*(1-(VLOOKUP(Y$75,tech_data!$B$2:$O$15,4,FALSE)/100))</f>
        <v>12.262734496291243</v>
      </c>
      <c r="Z89" s="30">
        <f>G65*(1-(VLOOKUP(Z$75,tech_data!$B$2:$O$15,4,FALSE)/100))</f>
        <v>18.860341047883345</v>
      </c>
      <c r="AA89" s="30">
        <f>H65*(1-(VLOOKUP(AA$75,tech_data!$B$2:$O$15,4,FALSE)/100))</f>
        <v>-5.035954210055661E-16</v>
      </c>
      <c r="AB89" s="30">
        <f>I65*(1-(VLOOKUP(AB$75,tech_data!$B$2:$O$15,4,FALSE)/100))</f>
        <v>0.16966861811791059</v>
      </c>
      <c r="AC89" s="30">
        <f>J65*(1-(VLOOKUP(AC$75,tech_data!$B$2:$O$15,4,FALSE)/100))</f>
        <v>1.8747930789862883</v>
      </c>
      <c r="AD89" s="30">
        <f>K65*(1-(VLOOKUP(AD$75,tech_data!$B$2:$O$15,4,FALSE)/100))</f>
        <v>2.4457644780555876</v>
      </c>
      <c r="AE89" s="30">
        <f>L65*(1-(VLOOKUP(AE$75,tech_data!$B$2:$O$15,4,FALSE)/100))</f>
        <v>1.4583168229725874</v>
      </c>
      <c r="AF89" s="30">
        <f>M65*(1-(VLOOKUP(AF$75,tech_data!$B$2:$O$15,4,FALSE)/100))</f>
        <v>0</v>
      </c>
      <c r="AG89" s="30">
        <f>N65*(1-(VLOOKUP(AG$75,tech_data!$B$2:$O$15,4,FALSE)/100))</f>
        <v>6.126345191132535E-4</v>
      </c>
      <c r="AH89" s="30">
        <f>O65*(1-(VLOOKUP(AH$75,tech_data!$B$2:$O$15,4,FALSE)/100))</f>
        <v>0</v>
      </c>
      <c r="AI89" s="30">
        <f>(maluku_papua!AI65*3.6/(VLOOKUP(AI$51,tech_data!$B$2:$J$15,4,FALSE)/100))/1000</f>
        <v>0</v>
      </c>
      <c r="AJ89" s="30">
        <f t="shared" si="68"/>
        <v>65.291324711593973</v>
      </c>
      <c r="AK89" s="30"/>
      <c r="AL89" s="23"/>
    </row>
    <row r="90" spans="1:38" x14ac:dyDescent="0.25">
      <c r="A90" s="19"/>
      <c r="B90" s="20" t="str">
        <f t="shared" si="64"/>
        <v>MALUKU_PAPUA</v>
      </c>
      <c r="C90" s="20">
        <f t="shared" si="64"/>
        <v>2033</v>
      </c>
      <c r="D90" s="30">
        <f t="shared" si="69"/>
        <v>19.468137292931381</v>
      </c>
      <c r="E90" s="30">
        <f t="shared" si="69"/>
        <v>4.3047049836761803E-2</v>
      </c>
      <c r="F90" s="30">
        <f t="shared" si="69"/>
        <v>18.671518242893235</v>
      </c>
      <c r="G90" s="30">
        <f t="shared" si="69"/>
        <v>16.066216448196922</v>
      </c>
      <c r="H90" s="30">
        <f t="shared" si="69"/>
        <v>-3.5999999818198357E-9</v>
      </c>
      <c r="I90" s="30">
        <f t="shared" si="69"/>
        <v>3.3272039225618344</v>
      </c>
      <c r="J90" s="30">
        <f t="shared" si="69"/>
        <v>8.6991123276445226</v>
      </c>
      <c r="K90" s="30">
        <f t="shared" si="69"/>
        <v>2.9119561031718328</v>
      </c>
      <c r="L90" s="30">
        <f t="shared" si="69"/>
        <v>3.6813057692729805</v>
      </c>
      <c r="M90" s="30">
        <f t="shared" si="69"/>
        <v>0</v>
      </c>
      <c r="N90" s="30">
        <f t="shared" si="69"/>
        <v>7.5359304132695815E-3</v>
      </c>
      <c r="O90" s="30">
        <f t="shared" si="69"/>
        <v>0</v>
      </c>
      <c r="P90" s="30">
        <f>(maluku_papua!P66*3.6/(VLOOKUP(P$51,tech_data!$B$2:$J$15,4,FALSE)/100))/1000</f>
        <v>0</v>
      </c>
      <c r="Q90" s="30">
        <f t="shared" si="66"/>
        <v>72.876033083322739</v>
      </c>
      <c r="R90" s="30"/>
      <c r="S90" s="23"/>
      <c r="T90" s="19"/>
      <c r="U90" s="20" t="str">
        <f t="shared" si="67"/>
        <v>MALUKU_PAPUA</v>
      </c>
      <c r="V90" s="20">
        <f t="shared" si="67"/>
        <v>2033</v>
      </c>
      <c r="W90" s="30">
        <f>D66*(1-(VLOOKUP(W$75,tech_data!$B$2:$O$15,4,FALSE)/100))</f>
        <v>30.880493637063566</v>
      </c>
      <c r="X90" s="30">
        <f>E66*(1-(VLOOKUP(X$75,tech_data!$B$2:$O$15,4,FALSE)/100))</f>
        <v>7.7645613256962884E-2</v>
      </c>
      <c r="Y90" s="30">
        <f>F66*(1-(VLOOKUP(Y$75,tech_data!$B$2:$O$15,4,FALSE)/100))</f>
        <v>13.336798744923735</v>
      </c>
      <c r="Z90" s="30">
        <f>G66*(1-(VLOOKUP(Z$75,tech_data!$B$2:$O$15,4,FALSE)/100))</f>
        <v>18.860341047883345</v>
      </c>
      <c r="AA90" s="30">
        <f>H66*(1-(VLOOKUP(AA$75,tech_data!$B$2:$O$15,4,FALSE)/100))</f>
        <v>-2.3066666550178945E-8</v>
      </c>
      <c r="AB90" s="30">
        <f>I66*(1-(VLOOKUP(AB$75,tech_data!$B$2:$O$15,4,FALSE)/100))</f>
        <v>0.17511599592430724</v>
      </c>
      <c r="AC90" s="30">
        <f>J66*(1-(VLOOKUP(AC$75,tech_data!$B$2:$O$15,4,FALSE)/100))</f>
        <v>2.1747780819111302</v>
      </c>
      <c r="AD90" s="30">
        <f>K66*(1-(VLOOKUP(AD$75,tech_data!$B$2:$O$15,4,FALSE)/100))</f>
        <v>2.4460431266643394</v>
      </c>
      <c r="AE90" s="30">
        <f>L66*(1-(VLOOKUP(AE$75,tech_data!$B$2:$O$15,4,FALSE)/100))</f>
        <v>1.4982914480941032</v>
      </c>
      <c r="AF90" s="30">
        <f>M66*(1-(VLOOKUP(AF$75,tech_data!$B$2:$O$15,4,FALSE)/100))</f>
        <v>0</v>
      </c>
      <c r="AG90" s="30">
        <f>N66*(1-(VLOOKUP(AG$75,tech_data!$B$2:$O$15,4,FALSE)/100))</f>
        <v>6.6567385317214663E-4</v>
      </c>
      <c r="AH90" s="30">
        <f>O66*(1-(VLOOKUP(AH$75,tech_data!$B$2:$O$15,4,FALSE)/100))</f>
        <v>0</v>
      </c>
      <c r="AI90" s="30">
        <f>(maluku_papua!AI66*3.6/(VLOOKUP(AI$51,tech_data!$B$2:$J$15,4,FALSE)/100))/1000</f>
        <v>0</v>
      </c>
      <c r="AJ90" s="30">
        <f t="shared" si="68"/>
        <v>69.450173346507995</v>
      </c>
      <c r="AK90" s="30"/>
      <c r="AL90" s="23"/>
    </row>
    <row r="91" spans="1:38" x14ac:dyDescent="0.25">
      <c r="A91" s="19"/>
      <c r="B91" s="20" t="str">
        <f t="shared" si="64"/>
        <v>MALUKU_PAPUA</v>
      </c>
      <c r="C91" s="20">
        <f t="shared" si="64"/>
        <v>2034</v>
      </c>
      <c r="D91" s="30">
        <f t="shared" si="69"/>
        <v>21.295697648216155</v>
      </c>
      <c r="E91" s="30">
        <f t="shared" si="69"/>
        <v>4.3047039074980517E-2</v>
      </c>
      <c r="F91" s="30">
        <f t="shared" si="69"/>
        <v>20.312109994348766</v>
      </c>
      <c r="G91" s="30">
        <f t="shared" si="69"/>
        <v>16.066216448196922</v>
      </c>
      <c r="H91" s="30">
        <f t="shared" si="69"/>
        <v>0</v>
      </c>
      <c r="I91" s="30">
        <f t="shared" si="69"/>
        <v>3.7875503266808388</v>
      </c>
      <c r="J91" s="30">
        <f t="shared" si="69"/>
        <v>9.1726199144404958</v>
      </c>
      <c r="K91" s="30">
        <f t="shared" si="69"/>
        <v>2.9145834252813603</v>
      </c>
      <c r="L91" s="30">
        <f t="shared" si="69"/>
        <v>4.2698636342887042</v>
      </c>
      <c r="M91" s="30">
        <f t="shared" si="69"/>
        <v>0</v>
      </c>
      <c r="N91" s="30">
        <f t="shared" si="69"/>
        <v>8.0783395607025126E-3</v>
      </c>
      <c r="O91" s="30">
        <f t="shared" si="69"/>
        <v>0</v>
      </c>
      <c r="P91" s="30">
        <f>(maluku_papua!P67*3.6/(VLOOKUP(P$51,tech_data!$B$2:$J$15,4,FALSE)/100))/1000</f>
        <v>0</v>
      </c>
      <c r="Q91" s="30">
        <f t="shared" si="66"/>
        <v>77.86976677008893</v>
      </c>
      <c r="R91" s="30"/>
      <c r="S91" s="23"/>
      <c r="T91" s="19"/>
      <c r="U91" s="20" t="str">
        <f t="shared" si="67"/>
        <v>MALUKU_PAPUA</v>
      </c>
      <c r="V91" s="20">
        <f t="shared" si="67"/>
        <v>2034</v>
      </c>
      <c r="W91" s="30">
        <f>D67*(1-(VLOOKUP(W$75,tech_data!$B$2:$O$15,4,FALSE)/100))</f>
        <v>33.779382476480798</v>
      </c>
      <c r="X91" s="30">
        <f>E67*(1-(VLOOKUP(X$75,tech_data!$B$2:$O$15,4,FALSE)/100))</f>
        <v>7.7645593845525607E-2</v>
      </c>
      <c r="Y91" s="30">
        <f>F67*(1-(VLOOKUP(Y$75,tech_data!$B$2:$O$15,4,FALSE)/100))</f>
        <v>14.508649995963406</v>
      </c>
      <c r="Z91" s="30">
        <f>G67*(1-(VLOOKUP(Z$75,tech_data!$B$2:$O$15,4,FALSE)/100))</f>
        <v>18.860341047883345</v>
      </c>
      <c r="AA91" s="30">
        <f>H67*(1-(VLOOKUP(AA$75,tech_data!$B$2:$O$15,4,FALSE)/100))</f>
        <v>0</v>
      </c>
      <c r="AB91" s="30">
        <f>I67*(1-(VLOOKUP(AB$75,tech_data!$B$2:$O$15,4,FALSE)/100))</f>
        <v>0.19934475403583379</v>
      </c>
      <c r="AC91" s="30">
        <f>J67*(1-(VLOOKUP(AC$75,tech_data!$B$2:$O$15,4,FALSE)/100))</f>
        <v>2.2931549786101235</v>
      </c>
      <c r="AD91" s="30">
        <f>K67*(1-(VLOOKUP(AD$75,tech_data!$B$2:$O$15,4,FALSE)/100))</f>
        <v>2.4482500772363425</v>
      </c>
      <c r="AE91" s="30">
        <f>L67*(1-(VLOOKUP(AE$75,tech_data!$B$2:$O$15,4,FALSE)/100))</f>
        <v>1.7378344991555028</v>
      </c>
      <c r="AF91" s="30">
        <f>M67*(1-(VLOOKUP(AF$75,tech_data!$B$2:$O$15,4,FALSE)/100))</f>
        <v>0</v>
      </c>
      <c r="AG91" s="30">
        <f>N67*(1-(VLOOKUP(AG$75,tech_data!$B$2:$O$15,4,FALSE)/100))</f>
        <v>7.1358666119538891E-4</v>
      </c>
      <c r="AH91" s="30">
        <f>O67*(1-(VLOOKUP(AH$75,tech_data!$B$2:$O$15,4,FALSE)/100))</f>
        <v>0</v>
      </c>
      <c r="AI91" s="30">
        <f>(maluku_papua!AI67*3.6/(VLOOKUP(AI$51,tech_data!$B$2:$J$15,4,FALSE)/100))/1000</f>
        <v>0</v>
      </c>
      <c r="AJ91" s="30">
        <f t="shared" si="68"/>
        <v>73.905317009872064</v>
      </c>
      <c r="AK91" s="30"/>
      <c r="AL91" s="23"/>
    </row>
    <row r="92" spans="1:38" x14ac:dyDescent="0.25">
      <c r="A92" s="19"/>
      <c r="B92" s="20" t="str">
        <f t="shared" ref="B92:C95" si="70">B44</f>
        <v>MALUKU_PAPUA</v>
      </c>
      <c r="C92" s="20">
        <f t="shared" si="70"/>
        <v>2035</v>
      </c>
      <c r="D92" s="30">
        <f t="shared" si="69"/>
        <v>23.282309918683428</v>
      </c>
      <c r="E92" s="30">
        <f t="shared" si="69"/>
        <v>4.3047028313199259E-2</v>
      </c>
      <c r="F92" s="30">
        <f t="shared" si="69"/>
        <v>21.973943474905411</v>
      </c>
      <c r="G92" s="30">
        <f t="shared" si="69"/>
        <v>16.066216448196922</v>
      </c>
      <c r="H92" s="30">
        <f t="shared" si="69"/>
        <v>-3.5999999447213109E-9</v>
      </c>
      <c r="I92" s="30">
        <f t="shared" si="69"/>
        <v>3.9199449867557745</v>
      </c>
      <c r="J92" s="30">
        <f t="shared" si="69"/>
        <v>10.672673813625735</v>
      </c>
      <c r="K92" s="30">
        <f t="shared" si="69"/>
        <v>2.9145834252813603</v>
      </c>
      <c r="L92" s="30">
        <f t="shared" si="69"/>
        <v>4.2698636342887042</v>
      </c>
      <c r="M92" s="30">
        <f t="shared" si="69"/>
        <v>0</v>
      </c>
      <c r="N92" s="30">
        <f t="shared" si="69"/>
        <v>8.5241907434424006E-3</v>
      </c>
      <c r="O92" s="30">
        <f t="shared" si="69"/>
        <v>0</v>
      </c>
      <c r="P92" s="30">
        <f>(maluku_papua!P68*3.6/(VLOOKUP(P$51,tech_data!$B$2:$J$15,4,FALSE)/100))/1000</f>
        <v>0</v>
      </c>
      <c r="Q92" s="30">
        <f t="shared" si="66"/>
        <v>83.151106917193985</v>
      </c>
      <c r="R92" s="30"/>
      <c r="S92" s="23"/>
      <c r="T92" s="19"/>
      <c r="U92" s="20" t="str">
        <f t="shared" ref="U92:V95" si="71">U44</f>
        <v>MALUKU_PAPUA</v>
      </c>
      <c r="V92" s="20">
        <f t="shared" si="71"/>
        <v>2035</v>
      </c>
      <c r="W92" s="30">
        <f>D68*(1-(VLOOKUP(W$75,tech_data!$B$2:$O$15,4,FALSE)/100))</f>
        <v>36.930560560670258</v>
      </c>
      <c r="X92" s="30">
        <f>E68*(1-(VLOOKUP(X$75,tech_data!$B$2:$O$15,4,FALSE)/100))</f>
        <v>7.7645574434088385E-2</v>
      </c>
      <c r="Y92" s="30">
        <f>F68*(1-(VLOOKUP(Y$75,tech_data!$B$2:$O$15,4,FALSE)/100))</f>
        <v>15.695673910646722</v>
      </c>
      <c r="Z92" s="30">
        <f>G68*(1-(VLOOKUP(Z$75,tech_data!$B$2:$O$15,4,FALSE)/100))</f>
        <v>18.860341047883345</v>
      </c>
      <c r="AA92" s="30">
        <f>H68*(1-(VLOOKUP(AA$75,tech_data!$B$2:$O$15,4,FALSE)/100))</f>
        <v>-2.3066666312473581E-8</v>
      </c>
      <c r="AB92" s="30">
        <f>I68*(1-(VLOOKUP(AB$75,tech_data!$B$2:$O$15,4,FALSE)/100))</f>
        <v>0.20631289403977782</v>
      </c>
      <c r="AC92" s="30">
        <f>J68*(1-(VLOOKUP(AC$75,tech_data!$B$2:$O$15,4,FALSE)/100))</f>
        <v>2.6681684534064334</v>
      </c>
      <c r="AD92" s="30">
        <f>K68*(1-(VLOOKUP(AD$75,tech_data!$B$2:$O$15,4,FALSE)/100))</f>
        <v>2.4482500772363425</v>
      </c>
      <c r="AE92" s="30">
        <f>L68*(1-(VLOOKUP(AE$75,tech_data!$B$2:$O$15,4,FALSE)/100))</f>
        <v>1.7378344991555028</v>
      </c>
      <c r="AF92" s="30">
        <f>M68*(1-(VLOOKUP(AF$75,tech_data!$B$2:$O$15,4,FALSE)/100))</f>
        <v>0</v>
      </c>
      <c r="AG92" s="30">
        <f>N68*(1-(VLOOKUP(AG$75,tech_data!$B$2:$O$15,4,FALSE)/100))</f>
        <v>7.5297018233741236E-4</v>
      </c>
      <c r="AH92" s="30">
        <f>O68*(1-(VLOOKUP(AH$75,tech_data!$B$2:$O$15,4,FALSE)/100))</f>
        <v>0</v>
      </c>
      <c r="AI92" s="30">
        <f>(maluku_papua!AI68*3.6/(VLOOKUP(AI$51,tech_data!$B$2:$J$15,4,FALSE)/100))/1000</f>
        <v>0</v>
      </c>
      <c r="AJ92" s="30">
        <f t="shared" si="68"/>
        <v>78.625539964588143</v>
      </c>
      <c r="AK92" s="30"/>
      <c r="AL92" s="23"/>
    </row>
    <row r="93" spans="1:38" x14ac:dyDescent="0.25">
      <c r="A93" s="19"/>
      <c r="B93" s="20" t="str">
        <f t="shared" si="70"/>
        <v>MALUKU_PAPUA</v>
      </c>
      <c r="C93" s="20">
        <f t="shared" si="70"/>
        <v>2036</v>
      </c>
      <c r="D93" s="30">
        <f t="shared" ref="D93:O95" si="72">D45*3.6/1000</f>
        <v>25.126491810005987</v>
      </c>
      <c r="E93" s="30">
        <f t="shared" si="72"/>
        <v>4.3047028313199259E-2</v>
      </c>
      <c r="F93" s="30">
        <f t="shared" si="72"/>
        <v>24.41461010318314</v>
      </c>
      <c r="G93" s="30">
        <f t="shared" si="72"/>
        <v>16.066216448196922</v>
      </c>
      <c r="H93" s="30">
        <f t="shared" si="72"/>
        <v>-7.8595817151157719E-17</v>
      </c>
      <c r="I93" s="30">
        <f t="shared" si="72"/>
        <v>3.9199449920837042</v>
      </c>
      <c r="J93" s="30">
        <f t="shared" si="72"/>
        <v>11.658757593219404</v>
      </c>
      <c r="K93" s="30">
        <f t="shared" si="72"/>
        <v>2.9145834406205329</v>
      </c>
      <c r="L93" s="30">
        <f t="shared" si="72"/>
        <v>6.2296758891635209</v>
      </c>
      <c r="M93" s="30">
        <f t="shared" si="72"/>
        <v>0</v>
      </c>
      <c r="N93" s="30">
        <f t="shared" si="72"/>
        <v>9.7367816642770794E-3</v>
      </c>
      <c r="O93" s="30">
        <f t="shared" si="72"/>
        <v>0</v>
      </c>
      <c r="P93" s="30">
        <f>(maluku_papua!P69*3.6/(VLOOKUP(P$51,tech_data!$B$2:$J$15,4,FALSE)/100))/1000</f>
        <v>0</v>
      </c>
      <c r="Q93" s="30">
        <f t="shared" si="66"/>
        <v>90.383064086450673</v>
      </c>
      <c r="R93" s="30"/>
      <c r="S93" s="23"/>
      <c r="T93" s="19"/>
      <c r="U93" s="20" t="str">
        <f t="shared" si="71"/>
        <v>MALUKU_PAPUA</v>
      </c>
      <c r="V93" s="20">
        <f t="shared" si="71"/>
        <v>2036</v>
      </c>
      <c r="W93" s="30">
        <f>D69*(1-(VLOOKUP(W$75,tech_data!$B$2:$O$15,4,FALSE)/100))</f>
        <v>39.855814595181911</v>
      </c>
      <c r="X93" s="30">
        <f>E69*(1-(VLOOKUP(X$75,tech_data!$B$2:$O$15,4,FALSE)/100))</f>
        <v>7.7645574434088385E-2</v>
      </c>
      <c r="Y93" s="30">
        <f>F69*(1-(VLOOKUP(Y$75,tech_data!$B$2:$O$15,4,FALSE)/100))</f>
        <v>17.439007216559386</v>
      </c>
      <c r="Z93" s="30">
        <f>G69*(1-(VLOOKUP(Z$75,tech_data!$B$2:$O$15,4,FALSE)/100))</f>
        <v>18.860341047883345</v>
      </c>
      <c r="AA93" s="30">
        <f>H69*(1-(VLOOKUP(AA$75,tech_data!$B$2:$O$15,4,FALSE)/100))</f>
        <v>-5.035954210055661E-16</v>
      </c>
      <c r="AB93" s="30">
        <f>I69*(1-(VLOOKUP(AB$75,tech_data!$B$2:$O$15,4,FALSE)/100))</f>
        <v>0.20631289432019514</v>
      </c>
      <c r="AC93" s="30">
        <f>J69*(1-(VLOOKUP(AC$75,tech_data!$B$2:$O$15,4,FALSE)/100))</f>
        <v>2.9146893983048501</v>
      </c>
      <c r="AD93" s="30">
        <f>K69*(1-(VLOOKUP(AD$75,tech_data!$B$2:$O$15,4,FALSE)/100))</f>
        <v>2.4482500901212476</v>
      </c>
      <c r="AE93" s="30">
        <f>L69*(1-(VLOOKUP(AE$75,tech_data!$B$2:$O$15,4,FALSE)/100))</f>
        <v>2.5354780868895532</v>
      </c>
      <c r="AF93" s="30">
        <f>M69*(1-(VLOOKUP(AF$75,tech_data!$B$2:$O$15,4,FALSE)/100))</f>
        <v>0</v>
      </c>
      <c r="AG93" s="30">
        <f>N69*(1-(VLOOKUP(AG$75,tech_data!$B$2:$O$15,4,FALSE)/100))</f>
        <v>8.6008238034447572E-4</v>
      </c>
      <c r="AH93" s="30">
        <f>O69*(1-(VLOOKUP(AH$75,tech_data!$B$2:$O$15,4,FALSE)/100))</f>
        <v>0</v>
      </c>
      <c r="AI93" s="30">
        <f>(maluku_papua!AI69*3.6/(VLOOKUP(AI$51,tech_data!$B$2:$J$15,4,FALSE)/100))/1000</f>
        <v>0</v>
      </c>
      <c r="AJ93" s="30">
        <f t="shared" si="68"/>
        <v>84.338398986074921</v>
      </c>
      <c r="AK93" s="30"/>
      <c r="AL93" s="23"/>
    </row>
    <row r="94" spans="1:38" x14ac:dyDescent="0.25">
      <c r="A94" s="19"/>
      <c r="B94" s="20" t="str">
        <f t="shared" si="70"/>
        <v>MALUKU_PAPUA</v>
      </c>
      <c r="C94" s="20">
        <f t="shared" si="70"/>
        <v>2037</v>
      </c>
      <c r="D94" s="30">
        <f t="shared" si="72"/>
        <v>27.107729080335112</v>
      </c>
      <c r="E94" s="30">
        <f t="shared" si="72"/>
        <v>4.3047028313199259E-2</v>
      </c>
      <c r="F94" s="30">
        <f t="shared" si="72"/>
        <v>26.986108769561145</v>
      </c>
      <c r="G94" s="30">
        <f t="shared" si="72"/>
        <v>16.066216448196922</v>
      </c>
      <c r="H94" s="30">
        <f t="shared" si="72"/>
        <v>0</v>
      </c>
      <c r="I94" s="30">
        <f t="shared" si="72"/>
        <v>3.9215083629006977</v>
      </c>
      <c r="J94" s="30">
        <f t="shared" si="72"/>
        <v>11.692851434645723</v>
      </c>
      <c r="K94" s="30">
        <f t="shared" si="72"/>
        <v>3.2684774107807533</v>
      </c>
      <c r="L94" s="30">
        <f t="shared" si="72"/>
        <v>9.1207355452146945</v>
      </c>
      <c r="M94" s="30">
        <f t="shared" si="72"/>
        <v>0</v>
      </c>
      <c r="N94" s="30">
        <f t="shared" si="72"/>
        <v>9.7368164147294961E-3</v>
      </c>
      <c r="O94" s="30">
        <f t="shared" si="72"/>
        <v>0</v>
      </c>
      <c r="P94" s="30">
        <f>(maluku_papua!P70*3.6/(VLOOKUP(P$51,tech_data!$B$2:$J$15,4,FALSE)/100))/1000</f>
        <v>0</v>
      </c>
      <c r="Q94" s="30">
        <f t="shared" si="66"/>
        <v>98.216410896362973</v>
      </c>
      <c r="R94" s="30"/>
      <c r="S94" s="23"/>
      <c r="T94" s="19"/>
      <c r="U94" s="20" t="str">
        <f t="shared" si="71"/>
        <v>MALUKU_PAPUA</v>
      </c>
      <c r="V94" s="20">
        <f t="shared" si="71"/>
        <v>2037</v>
      </c>
      <c r="W94" s="30">
        <f>D70*(1-(VLOOKUP(W$75,tech_data!$B$2:$O$15,4,FALSE)/100))</f>
        <v>42.998466817083276</v>
      </c>
      <c r="X94" s="30">
        <f>E70*(1-(VLOOKUP(X$75,tech_data!$B$2:$O$15,4,FALSE)/100))</f>
        <v>7.7645574434088385E-2</v>
      </c>
      <c r="Y94" s="30">
        <f>F70*(1-(VLOOKUP(Y$75,tech_data!$B$2:$O$15,4,FALSE)/100))</f>
        <v>19.27579197825796</v>
      </c>
      <c r="Z94" s="30">
        <f>G70*(1-(VLOOKUP(Z$75,tech_data!$B$2:$O$15,4,FALSE)/100))</f>
        <v>18.860341047883345</v>
      </c>
      <c r="AA94" s="30">
        <f>H70*(1-(VLOOKUP(AA$75,tech_data!$B$2:$O$15,4,FALSE)/100))</f>
        <v>0</v>
      </c>
      <c r="AB94" s="30">
        <f>I70*(1-(VLOOKUP(AB$75,tech_data!$B$2:$O$15,4,FALSE)/100))</f>
        <v>0.20639517699477375</v>
      </c>
      <c r="AC94" s="30">
        <f>J70*(1-(VLOOKUP(AC$75,tech_data!$B$2:$O$15,4,FALSE)/100))</f>
        <v>2.9232128586614303</v>
      </c>
      <c r="AD94" s="30">
        <f>K70*(1-(VLOOKUP(AD$75,tech_data!$B$2:$O$15,4,FALSE)/100))</f>
        <v>2.7455210250558326</v>
      </c>
      <c r="AE94" s="30">
        <f>L70*(1-(VLOOKUP(AE$75,tech_data!$B$2:$O$15,4,FALSE)/100))</f>
        <v>3.712139366902381</v>
      </c>
      <c r="AF94" s="30">
        <f>M70*(1-(VLOOKUP(AF$75,tech_data!$B$2:$O$15,4,FALSE)/100))</f>
        <v>0</v>
      </c>
      <c r="AG94" s="30">
        <f>N70*(1-(VLOOKUP(AG$75,tech_data!$B$2:$O$15,4,FALSE)/100))</f>
        <v>8.6008544996777259E-4</v>
      </c>
      <c r="AH94" s="30">
        <f>O70*(1-(VLOOKUP(AH$75,tech_data!$B$2:$O$15,4,FALSE)/100))</f>
        <v>0</v>
      </c>
      <c r="AI94" s="30">
        <f>(maluku_papua!AI70*3.6/(VLOOKUP(AI$51,tech_data!$B$2:$J$15,4,FALSE)/100))/1000</f>
        <v>0</v>
      </c>
      <c r="AJ94" s="30">
        <f t="shared" si="68"/>
        <v>90.800373930723055</v>
      </c>
      <c r="AK94" s="30"/>
      <c r="AL94" s="23"/>
    </row>
    <row r="95" spans="1:38" x14ac:dyDescent="0.25">
      <c r="A95" s="19"/>
      <c r="B95" s="20" t="str">
        <f t="shared" si="70"/>
        <v>MALUKU_PAPUA</v>
      </c>
      <c r="C95" s="20">
        <f t="shared" si="70"/>
        <v>2038</v>
      </c>
      <c r="D95" s="30">
        <f t="shared" si="72"/>
        <v>29.202158785274772</v>
      </c>
      <c r="E95" s="30">
        <f t="shared" si="72"/>
        <v>4.3047017551417974E-2</v>
      </c>
      <c r="F95" s="30">
        <f t="shared" si="72"/>
        <v>29.777259612044816</v>
      </c>
      <c r="G95" s="30">
        <f t="shared" si="72"/>
        <v>16.066216448196922</v>
      </c>
      <c r="H95" s="30">
        <f t="shared" si="72"/>
        <v>0</v>
      </c>
      <c r="I95" s="30">
        <f t="shared" si="72"/>
        <v>4.7344077274152747</v>
      </c>
      <c r="J95" s="30">
        <f t="shared" si="72"/>
        <v>13.3806603628472</v>
      </c>
      <c r="K95" s="30">
        <f t="shared" si="72"/>
        <v>3.8496709426573124</v>
      </c>
      <c r="L95" s="30">
        <f t="shared" si="72"/>
        <v>9.5109690664539173</v>
      </c>
      <c r="M95" s="30">
        <f t="shared" si="72"/>
        <v>0</v>
      </c>
      <c r="N95" s="30">
        <f t="shared" si="72"/>
        <v>1.2831869849690418E-2</v>
      </c>
      <c r="O95" s="30">
        <f t="shared" si="72"/>
        <v>0</v>
      </c>
      <c r="P95" s="30">
        <f>(maluku_papua!P71*3.6/(VLOOKUP(P$51,tech_data!$B$2:$J$15,4,FALSE)/100))/1000</f>
        <v>0</v>
      </c>
      <c r="Q95" s="30">
        <f t="shared" si="66"/>
        <v>106.57722183229131</v>
      </c>
      <c r="R95" s="30"/>
      <c r="S95" s="23"/>
      <c r="T95" s="19"/>
      <c r="U95" s="20" t="str">
        <f t="shared" si="71"/>
        <v>MALUKU_PAPUA</v>
      </c>
      <c r="V95" s="20">
        <f t="shared" si="71"/>
        <v>2038</v>
      </c>
      <c r="W95" s="30">
        <f>D71*(1-(VLOOKUP(W$75,tech_data!$B$2:$O$15,4,FALSE)/100))</f>
        <v>46.320665659401357</v>
      </c>
      <c r="X95" s="30">
        <f>E71*(1-(VLOOKUP(X$75,tech_data!$B$2:$O$15,4,FALSE)/100))</f>
        <v>7.7645555022651122E-2</v>
      </c>
      <c r="Y95" s="30">
        <f>F71*(1-(VLOOKUP(Y$75,tech_data!$B$2:$O$15,4,FALSE)/100))</f>
        <v>21.269471151460579</v>
      </c>
      <c r="Z95" s="30">
        <f>G71*(1-(VLOOKUP(Z$75,tech_data!$B$2:$O$15,4,FALSE)/100))</f>
        <v>18.860341047883345</v>
      </c>
      <c r="AA95" s="30">
        <f>H71*(1-(VLOOKUP(AA$75,tech_data!$B$2:$O$15,4,FALSE)/100))</f>
        <v>0</v>
      </c>
      <c r="AB95" s="30">
        <f>I71*(1-(VLOOKUP(AB$75,tech_data!$B$2:$O$15,4,FALSE)/100))</f>
        <v>0.24917935407448838</v>
      </c>
      <c r="AC95" s="30">
        <f>J71*(1-(VLOOKUP(AC$75,tech_data!$B$2:$O$15,4,FALSE)/100))</f>
        <v>3.3451650907117987</v>
      </c>
      <c r="AD95" s="30">
        <f>K71*(1-(VLOOKUP(AD$75,tech_data!$B$2:$O$15,4,FALSE)/100))</f>
        <v>3.2337235918321423</v>
      </c>
      <c r="AE95" s="30">
        <f>L71*(1-(VLOOKUP(AE$75,tech_data!$B$2:$O$15,4,FALSE)/100))</f>
        <v>3.8709644100467444</v>
      </c>
      <c r="AF95" s="30">
        <f>M71*(1-(VLOOKUP(AF$75,tech_data!$B$2:$O$15,4,FALSE)/100))</f>
        <v>0</v>
      </c>
      <c r="AG95" s="30">
        <f>N71*(1-(VLOOKUP(AG$75,tech_data!$B$2:$O$15,4,FALSE)/100))</f>
        <v>1.133481836722654E-3</v>
      </c>
      <c r="AH95" s="30">
        <f>O71*(1-(VLOOKUP(AH$75,tech_data!$B$2:$O$15,4,FALSE)/100))</f>
        <v>0</v>
      </c>
      <c r="AI95" s="30">
        <f>(maluku_papua!AI71*3.6/(VLOOKUP(AI$51,tech_data!$B$2:$J$15,4,FALSE)/100))/1000</f>
        <v>0</v>
      </c>
      <c r="AJ95" s="30">
        <f t="shared" si="68"/>
        <v>97.228289342269818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585C-9B09-4D72-A1D5-2923A004977F}">
  <dimension ref="A1:P141"/>
  <sheetViews>
    <sheetView workbookViewId="0">
      <selection activeCell="C2" sqref="C2:P141"/>
    </sheetView>
  </sheetViews>
  <sheetFormatPr defaultRowHeight="15" x14ac:dyDescent="0.25"/>
  <cols>
    <col min="1" max="1" width="15.85546875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34457.47</v>
      </c>
      <c r="D2">
        <f t="shared" ref="D2:O2" si="0">SUM(D22,D42,D62,D82,D102,D122)</f>
        <v>5638.72</v>
      </c>
      <c r="E2">
        <f t="shared" si="0"/>
        <v>11525.460000000001</v>
      </c>
      <c r="F2">
        <f t="shared" si="0"/>
        <v>6623.4</v>
      </c>
      <c r="G2">
        <f t="shared" si="0"/>
        <v>1986.3999999999999</v>
      </c>
      <c r="H2">
        <f t="shared" si="0"/>
        <v>5689.6399999999994</v>
      </c>
      <c r="I2">
        <f t="shared" si="0"/>
        <v>169.62</v>
      </c>
      <c r="J2">
        <f t="shared" si="0"/>
        <v>17.52</v>
      </c>
      <c r="K2">
        <f t="shared" si="0"/>
        <v>0</v>
      </c>
      <c r="L2">
        <f t="shared" si="0"/>
        <v>142.85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66251.08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36515.1361196199</v>
      </c>
      <c r="D3">
        <f t="shared" si="1"/>
        <v>5644.5913920170779</v>
      </c>
      <c r="E3">
        <f t="shared" si="1"/>
        <v>14144.285901480107</v>
      </c>
      <c r="F3">
        <f t="shared" si="1"/>
        <v>6623.4</v>
      </c>
      <c r="G3">
        <f t="shared" si="1"/>
        <v>1986.3999999999999</v>
      </c>
      <c r="H3">
        <f t="shared" si="1"/>
        <v>7954.2304410033557</v>
      </c>
      <c r="I3">
        <f t="shared" si="1"/>
        <v>421.01993608637042</v>
      </c>
      <c r="J3">
        <f t="shared" si="1"/>
        <v>6646.2155449297397</v>
      </c>
      <c r="K3">
        <f t="shared" si="1"/>
        <v>113.33532220251573</v>
      </c>
      <c r="L3">
        <f t="shared" si="1"/>
        <v>210.60183201339697</v>
      </c>
      <c r="M3">
        <f t="shared" si="1"/>
        <v>7.3393728000442664</v>
      </c>
      <c r="N3">
        <f t="shared" si="1"/>
        <v>0</v>
      </c>
      <c r="O3">
        <f t="shared" si="1"/>
        <v>23.533157882592835</v>
      </c>
      <c r="P3">
        <f t="shared" si="1"/>
        <v>80266.555862152512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38136.676635094722</v>
      </c>
      <c r="D4">
        <f t="shared" si="1"/>
        <v>5644.5913890170787</v>
      </c>
      <c r="E4">
        <f t="shared" si="1"/>
        <v>20535.254880276429</v>
      </c>
      <c r="F4">
        <f t="shared" si="1"/>
        <v>6623.4000006307615</v>
      </c>
      <c r="G4">
        <f t="shared" si="1"/>
        <v>2127.7154904865497</v>
      </c>
      <c r="H4">
        <f t="shared" si="1"/>
        <v>9212.3690464202173</v>
      </c>
      <c r="I4">
        <f t="shared" si="1"/>
        <v>1960.0283002904614</v>
      </c>
      <c r="J4">
        <f t="shared" si="1"/>
        <v>7528.4995458097255</v>
      </c>
      <c r="K4">
        <f t="shared" si="1"/>
        <v>2058.4898994714649</v>
      </c>
      <c r="L4">
        <f t="shared" si="1"/>
        <v>210.60183101339697</v>
      </c>
      <c r="M4">
        <f t="shared" si="1"/>
        <v>9.9666177586507381</v>
      </c>
      <c r="N4">
        <f t="shared" si="1"/>
        <v>0</v>
      </c>
      <c r="O4">
        <f t="shared" si="1"/>
        <v>27.333435095557061</v>
      </c>
      <c r="P4">
        <f t="shared" si="1"/>
        <v>94047.593636269477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38564.721030190347</v>
      </c>
      <c r="D5">
        <f t="shared" si="1"/>
        <v>5644.5913860170776</v>
      </c>
      <c r="E5">
        <f t="shared" si="1"/>
        <v>30105.511205028637</v>
      </c>
      <c r="F5">
        <f t="shared" si="1"/>
        <v>6669.4056029601379</v>
      </c>
      <c r="G5">
        <f t="shared" si="1"/>
        <v>2127.7155009272474</v>
      </c>
      <c r="H5">
        <f t="shared" si="1"/>
        <v>9328.3401000988179</v>
      </c>
      <c r="I5">
        <f t="shared" si="1"/>
        <v>1991.4929102988783</v>
      </c>
      <c r="J5">
        <f t="shared" si="1"/>
        <v>9709.1978356758209</v>
      </c>
      <c r="K5">
        <f t="shared" si="1"/>
        <v>2072.0462083111042</v>
      </c>
      <c r="L5">
        <f t="shared" si="1"/>
        <v>210.60183001339698</v>
      </c>
      <c r="M5">
        <f t="shared" si="1"/>
        <v>10.002976141741195</v>
      </c>
      <c r="N5">
        <f t="shared" si="1"/>
        <v>0</v>
      </c>
      <c r="O5">
        <f t="shared" si="1"/>
        <v>29.880893794457631</v>
      </c>
      <c r="P5">
        <f t="shared" si="1"/>
        <v>106433.62658566319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38897.700510755218</v>
      </c>
      <c r="D6">
        <f t="shared" si="1"/>
        <v>5881.7681385707929</v>
      </c>
      <c r="E6">
        <f t="shared" si="1"/>
        <v>37411.817624337455</v>
      </c>
      <c r="F6">
        <f t="shared" si="1"/>
        <v>6671.9073570772889</v>
      </c>
      <c r="G6">
        <f t="shared" si="1"/>
        <v>2220.2590108892168</v>
      </c>
      <c r="H6">
        <f t="shared" si="1"/>
        <v>9604.5853616204513</v>
      </c>
      <c r="I6">
        <f t="shared" si="1"/>
        <v>2010.1680910341986</v>
      </c>
      <c r="J6">
        <f t="shared" si="1"/>
        <v>10825.691485715795</v>
      </c>
      <c r="K6">
        <f t="shared" si="1"/>
        <v>2450.3535930338658</v>
      </c>
      <c r="L6">
        <f t="shared" si="1"/>
        <v>274.43211760409815</v>
      </c>
      <c r="M6">
        <f t="shared" si="1"/>
        <v>10.008436190407853</v>
      </c>
      <c r="N6">
        <f t="shared" si="1"/>
        <v>0</v>
      </c>
      <c r="O6">
        <f t="shared" si="1"/>
        <v>31.988976029887475</v>
      </c>
      <c r="P6">
        <f t="shared" si="1"/>
        <v>116258.69172682879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39201.449665019565</v>
      </c>
      <c r="D7">
        <f t="shared" si="1"/>
        <v>6377.7268798880959</v>
      </c>
      <c r="E7">
        <f t="shared" si="1"/>
        <v>44241.148849108678</v>
      </c>
      <c r="F7">
        <f t="shared" si="1"/>
        <v>6920.3576353187618</v>
      </c>
      <c r="G7">
        <f t="shared" si="1"/>
        <v>2261.5804523391012</v>
      </c>
      <c r="H7">
        <f t="shared" si="1"/>
        <v>9617.8649516341702</v>
      </c>
      <c r="I7">
        <f t="shared" si="1"/>
        <v>2163.1312595227741</v>
      </c>
      <c r="J7">
        <f t="shared" si="1"/>
        <v>10868.164736128259</v>
      </c>
      <c r="K7">
        <f t="shared" si="1"/>
        <v>4257.6673068505843</v>
      </c>
      <c r="L7">
        <f t="shared" si="1"/>
        <v>385.97402385862313</v>
      </c>
      <c r="M7">
        <f t="shared" si="1"/>
        <v>10.008436190407853</v>
      </c>
      <c r="N7">
        <f t="shared" si="1"/>
        <v>0</v>
      </c>
      <c r="O7">
        <f t="shared" si="1"/>
        <v>34.396744991103141</v>
      </c>
      <c r="P7">
        <f t="shared" si="1"/>
        <v>126305.07419585901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39394.424805255272</v>
      </c>
      <c r="D8">
        <f t="shared" si="1"/>
        <v>6915.7102902995948</v>
      </c>
      <c r="E8">
        <f t="shared" si="1"/>
        <v>47410.22080474774</v>
      </c>
      <c r="F8">
        <f t="shared" si="1"/>
        <v>7749.2744427874859</v>
      </c>
      <c r="G8">
        <f t="shared" si="1"/>
        <v>2286.4197108642124</v>
      </c>
      <c r="H8">
        <f t="shared" si="1"/>
        <v>10150.483462494831</v>
      </c>
      <c r="I8">
        <f t="shared" si="1"/>
        <v>2208.1821356415967</v>
      </c>
      <c r="J8">
        <f t="shared" si="1"/>
        <v>11036.304784478436</v>
      </c>
      <c r="K8">
        <f t="shared" si="1"/>
        <v>7359.844524753983</v>
      </c>
      <c r="L8">
        <f t="shared" si="1"/>
        <v>508.11399980097889</v>
      </c>
      <c r="M8">
        <f t="shared" si="1"/>
        <v>10.008451147950575</v>
      </c>
      <c r="N8">
        <f t="shared" si="1"/>
        <v>0</v>
      </c>
      <c r="O8">
        <f t="shared" si="1"/>
        <v>36.913084027847525</v>
      </c>
      <c r="P8">
        <f t="shared" si="1"/>
        <v>135028.98741227208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40286.0789465661</v>
      </c>
      <c r="D9">
        <f t="shared" si="1"/>
        <v>6993.9838320768758</v>
      </c>
      <c r="E9">
        <f t="shared" si="1"/>
        <v>48247.491826760161</v>
      </c>
      <c r="F9">
        <f t="shared" si="1"/>
        <v>7991.7757851324568</v>
      </c>
      <c r="G9">
        <f t="shared" si="1"/>
        <v>2470.4288096485393</v>
      </c>
      <c r="H9">
        <f t="shared" si="1"/>
        <v>10423.522031129627</v>
      </c>
      <c r="I9">
        <f t="shared" si="1"/>
        <v>3237.790227204945</v>
      </c>
      <c r="J9">
        <f t="shared" si="1"/>
        <v>11492.264043755231</v>
      </c>
      <c r="K9">
        <f t="shared" si="1"/>
        <v>7483.7889335745122</v>
      </c>
      <c r="L9">
        <f t="shared" si="1"/>
        <v>633.04616233822424</v>
      </c>
      <c r="M9">
        <f t="shared" si="1"/>
        <v>10.061956080493935</v>
      </c>
      <c r="N9">
        <f t="shared" si="1"/>
        <v>18.870483007780116</v>
      </c>
      <c r="O9">
        <f t="shared" si="1"/>
        <v>38.238548073144095</v>
      </c>
      <c r="P9">
        <f t="shared" si="1"/>
        <v>139289.10303727491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41408.502645419059</v>
      </c>
      <c r="D10">
        <f t="shared" si="1"/>
        <v>7333.3653964849418</v>
      </c>
      <c r="E10">
        <f t="shared" si="1"/>
        <v>56348.958954450936</v>
      </c>
      <c r="F10">
        <f t="shared" si="1"/>
        <v>8055.4075269771602</v>
      </c>
      <c r="G10">
        <f t="shared" si="1"/>
        <v>2470.428808648539</v>
      </c>
      <c r="H10">
        <f t="shared" si="1"/>
        <v>11345.36120275083</v>
      </c>
      <c r="I10">
        <f t="shared" si="1"/>
        <v>4809.7389685126127</v>
      </c>
      <c r="J10">
        <f t="shared" si="1"/>
        <v>12594.661031237478</v>
      </c>
      <c r="K10">
        <f t="shared" si="1"/>
        <v>9390.2779108077157</v>
      </c>
      <c r="L10">
        <f t="shared" si="1"/>
        <v>684.78009375052102</v>
      </c>
      <c r="M10">
        <f t="shared" si="1"/>
        <v>10.195260497301458</v>
      </c>
      <c r="N10">
        <f t="shared" si="1"/>
        <v>18.870483007780116</v>
      </c>
      <c r="O10">
        <f t="shared" si="1"/>
        <v>42.181611643608029</v>
      </c>
      <c r="P10">
        <f t="shared" si="1"/>
        <v>154470.54828254489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42275.905108746956</v>
      </c>
      <c r="D11">
        <f t="shared" si="1"/>
        <v>7879.3794066279524</v>
      </c>
      <c r="E11">
        <f t="shared" si="1"/>
        <v>60952.198069249476</v>
      </c>
      <c r="F11">
        <f t="shared" si="1"/>
        <v>8496.1071363255633</v>
      </c>
      <c r="G11">
        <f t="shared" si="1"/>
        <v>2470.428808648539</v>
      </c>
      <c r="H11">
        <f t="shared" si="1"/>
        <v>11705.249204543357</v>
      </c>
      <c r="I11">
        <f t="shared" si="1"/>
        <v>5289.5266013258151</v>
      </c>
      <c r="J11">
        <f t="shared" si="1"/>
        <v>13390.709630613444</v>
      </c>
      <c r="K11">
        <f t="shared" si="1"/>
        <v>11064.280072947551</v>
      </c>
      <c r="L11">
        <f t="shared" si="1"/>
        <v>684.78009375052102</v>
      </c>
      <c r="M11">
        <f t="shared" si="1"/>
        <v>16.248836625830869</v>
      </c>
      <c r="N11">
        <f t="shared" si="1"/>
        <v>18.870483007780116</v>
      </c>
      <c r="O11">
        <f t="shared" si="1"/>
        <v>44.756006906325055</v>
      </c>
      <c r="P11">
        <f t="shared" si="1"/>
        <v>164243.68345241281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42370.89345514591</v>
      </c>
      <c r="D12">
        <f t="shared" si="1"/>
        <v>8694.7575961231469</v>
      </c>
      <c r="E12">
        <f t="shared" si="1"/>
        <v>64504.731995643459</v>
      </c>
      <c r="F12">
        <f t="shared" si="1"/>
        <v>8497.6074671407896</v>
      </c>
      <c r="G12">
        <f t="shared" si="1"/>
        <v>2470.4288076485391</v>
      </c>
      <c r="H12">
        <f t="shared" si="1"/>
        <v>11723.282599321195</v>
      </c>
      <c r="I12">
        <f t="shared" si="1"/>
        <v>5324.2348918613006</v>
      </c>
      <c r="J12">
        <f t="shared" si="1"/>
        <v>14158.247072103217</v>
      </c>
      <c r="K12">
        <f t="shared" si="1"/>
        <v>12236.671234743637</v>
      </c>
      <c r="L12">
        <f t="shared" si="1"/>
        <v>827.89362854332933</v>
      </c>
      <c r="M12">
        <f t="shared" si="1"/>
        <v>16.248865071191837</v>
      </c>
      <c r="N12">
        <f t="shared" si="1"/>
        <v>18.870483007780116</v>
      </c>
      <c r="O12">
        <f t="shared" si="1"/>
        <v>46.309599945073927</v>
      </c>
      <c r="P12">
        <f t="shared" si="1"/>
        <v>170843.86809635349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43121.25113702927</v>
      </c>
      <c r="D13">
        <f t="shared" si="1"/>
        <v>10117.210079979608</v>
      </c>
      <c r="E13">
        <f t="shared" si="1"/>
        <v>68969.025326178977</v>
      </c>
      <c r="F13">
        <f t="shared" si="1"/>
        <v>8499.4869827066577</v>
      </c>
      <c r="G13">
        <f t="shared" si="1"/>
        <v>2476.6423242463993</v>
      </c>
      <c r="H13">
        <f t="shared" si="1"/>
        <v>11831.199751797018</v>
      </c>
      <c r="I13">
        <f t="shared" si="1"/>
        <v>5372.4873644339305</v>
      </c>
      <c r="J13">
        <f t="shared" si="1"/>
        <v>15064.171180165091</v>
      </c>
      <c r="K13">
        <f t="shared" si="1"/>
        <v>13598.17227078205</v>
      </c>
      <c r="L13">
        <f t="shared" si="1"/>
        <v>827.89362854332933</v>
      </c>
      <c r="M13">
        <f t="shared" si="1"/>
        <v>16.313456595454902</v>
      </c>
      <c r="N13">
        <f t="shared" si="1"/>
        <v>18.871515689592247</v>
      </c>
      <c r="O13">
        <f t="shared" si="1"/>
        <v>48.499143430973874</v>
      </c>
      <c r="P13">
        <f t="shared" si="1"/>
        <v>179912.72501814735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43812.99954147821</v>
      </c>
      <c r="D14">
        <f t="shared" si="1"/>
        <v>11822.358477274696</v>
      </c>
      <c r="E14">
        <f t="shared" si="1"/>
        <v>75047.816910440684</v>
      </c>
      <c r="F14">
        <f t="shared" si="1"/>
        <v>8529.659171075351</v>
      </c>
      <c r="G14">
        <f t="shared" si="1"/>
        <v>2909.2021727128767</v>
      </c>
      <c r="H14">
        <f t="shared" si="1"/>
        <v>11991.352704379851</v>
      </c>
      <c r="I14">
        <f t="shared" si="1"/>
        <v>5412.0400970985156</v>
      </c>
      <c r="J14">
        <f t="shared" si="1"/>
        <v>19763.843185617705</v>
      </c>
      <c r="K14">
        <f t="shared" si="1"/>
        <v>15217.657940527512</v>
      </c>
      <c r="L14">
        <f t="shared" si="1"/>
        <v>833.94764198005737</v>
      </c>
      <c r="M14">
        <f t="shared" si="1"/>
        <v>18.160509371329326</v>
      </c>
      <c r="N14">
        <f t="shared" si="1"/>
        <v>25.813938556118263</v>
      </c>
      <c r="O14">
        <f t="shared" si="1"/>
        <v>52.226098684295792</v>
      </c>
      <c r="P14">
        <f t="shared" si="1"/>
        <v>195384.85229051294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44628.503238436213</v>
      </c>
      <c r="D15">
        <f t="shared" si="1"/>
        <v>13716.69661007323</v>
      </c>
      <c r="E15">
        <f t="shared" si="1"/>
        <v>81506.36860451274</v>
      </c>
      <c r="F15">
        <f t="shared" si="1"/>
        <v>8792.5576461607961</v>
      </c>
      <c r="G15">
        <f t="shared" si="1"/>
        <v>2937.5968638324603</v>
      </c>
      <c r="H15">
        <f t="shared" si="1"/>
        <v>11991.366400102481</v>
      </c>
      <c r="I15">
        <f t="shared" si="1"/>
        <v>5466.8120259217776</v>
      </c>
      <c r="J15">
        <f t="shared" si="1"/>
        <v>21413.709812198631</v>
      </c>
      <c r="K15">
        <f t="shared" si="1"/>
        <v>17121.859417582829</v>
      </c>
      <c r="L15">
        <f t="shared" si="1"/>
        <v>838.71882330310007</v>
      </c>
      <c r="M15">
        <f t="shared" si="1"/>
        <v>18.22473343424268</v>
      </c>
      <c r="N15">
        <f t="shared" si="1"/>
        <v>25.818169413972502</v>
      </c>
      <c r="O15">
        <f t="shared" si="1"/>
        <v>55.367601435498514</v>
      </c>
      <c r="P15">
        <f t="shared" si="1"/>
        <v>208458.23234497244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45459.689294431526</v>
      </c>
      <c r="D16">
        <f t="shared" si="1"/>
        <v>15671.8001909617</v>
      </c>
      <c r="E16">
        <f t="shared" si="1"/>
        <v>88151.066291911076</v>
      </c>
      <c r="F16">
        <f t="shared" si="1"/>
        <v>8837.4850539620675</v>
      </c>
      <c r="G16">
        <f t="shared" si="1"/>
        <v>4290.135978367347</v>
      </c>
      <c r="H16">
        <f t="shared" si="1"/>
        <v>12019.905640135014</v>
      </c>
      <c r="I16">
        <f t="shared" si="1"/>
        <v>5552.5389550519285</v>
      </c>
      <c r="J16">
        <f t="shared" si="1"/>
        <v>22049.914500059676</v>
      </c>
      <c r="K16">
        <f t="shared" si="1"/>
        <v>19702.401977243306</v>
      </c>
      <c r="L16">
        <f t="shared" si="1"/>
        <v>876.85226293954349</v>
      </c>
      <c r="M16">
        <f t="shared" si="1"/>
        <v>18.999883856247706</v>
      </c>
      <c r="N16">
        <f t="shared" si="1"/>
        <v>36.25044267448704</v>
      </c>
      <c r="O16">
        <f t="shared" si="1"/>
        <v>59.138103616211211</v>
      </c>
      <c r="P16">
        <f t="shared" si="1"/>
        <v>222667.04047159391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48012.785496642689</v>
      </c>
      <c r="D17">
        <f t="shared" si="1"/>
        <v>17456.803093174811</v>
      </c>
      <c r="E17">
        <f t="shared" si="1"/>
        <v>93210.178376675947</v>
      </c>
      <c r="F17">
        <f t="shared" si="1"/>
        <v>8903.9158493266295</v>
      </c>
      <c r="G17">
        <f t="shared" si="1"/>
        <v>4290.1362341410568</v>
      </c>
      <c r="H17">
        <f t="shared" si="1"/>
        <v>12058.523437823646</v>
      </c>
      <c r="I17">
        <f t="shared" si="1"/>
        <v>5936.895869918596</v>
      </c>
      <c r="J17">
        <f t="shared" si="1"/>
        <v>23630.227466807839</v>
      </c>
      <c r="K17">
        <f t="shared" si="1"/>
        <v>21747.393586334918</v>
      </c>
      <c r="L17">
        <f t="shared" si="1"/>
        <v>965.72389270168003</v>
      </c>
      <c r="M17">
        <f t="shared" si="1"/>
        <v>19.049925509500653</v>
      </c>
      <c r="N17">
        <f t="shared" si="1"/>
        <v>36.250531015933191</v>
      </c>
      <c r="O17">
        <f t="shared" si="1"/>
        <v>62.69079428326468</v>
      </c>
      <c r="P17">
        <f t="shared" si="1"/>
        <v>236267.88376007328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50223.955897531705</v>
      </c>
      <c r="D18">
        <f t="shared" si="1"/>
        <v>19888.901045108829</v>
      </c>
      <c r="E18">
        <f t="shared" si="1"/>
        <v>99117.527074799975</v>
      </c>
      <c r="F18">
        <f t="shared" si="1"/>
        <v>9078.6632192202487</v>
      </c>
      <c r="G18">
        <f t="shared" si="1"/>
        <v>4290.1408887879052</v>
      </c>
      <c r="H18">
        <f t="shared" si="1"/>
        <v>12066.810879483408</v>
      </c>
      <c r="I18">
        <f t="shared" si="1"/>
        <v>6007.2966517813547</v>
      </c>
      <c r="J18">
        <f t="shared" si="1"/>
        <v>25372.268691606703</v>
      </c>
      <c r="K18">
        <f t="shared" si="1"/>
        <v>23924.211244747763</v>
      </c>
      <c r="L18">
        <f t="shared" si="1"/>
        <v>1004.1201785110198</v>
      </c>
      <c r="M18">
        <f t="shared" si="1"/>
        <v>19.095337084473822</v>
      </c>
      <c r="N18">
        <f t="shared" si="1"/>
        <v>36.251814129287098</v>
      </c>
      <c r="O18">
        <f t="shared" si="1"/>
        <v>66.403831120672706</v>
      </c>
      <c r="P18">
        <f t="shared" si="1"/>
        <v>251029.24292279265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52703.843263782539</v>
      </c>
      <c r="D19">
        <f t="shared" si="2"/>
        <v>21195.251743724628</v>
      </c>
      <c r="E19">
        <f t="shared" si="2"/>
        <v>103037.33460850174</v>
      </c>
      <c r="F19">
        <f t="shared" si="2"/>
        <v>9257.3923257606511</v>
      </c>
      <c r="G19">
        <f t="shared" si="2"/>
        <v>6219.0141905545433</v>
      </c>
      <c r="H19">
        <f t="shared" si="2"/>
        <v>12487.513954881348</v>
      </c>
      <c r="I19">
        <f t="shared" si="2"/>
        <v>6386.4820164535231</v>
      </c>
      <c r="J19">
        <f t="shared" si="2"/>
        <v>27246.858275233833</v>
      </c>
      <c r="K19">
        <f t="shared" si="2"/>
        <v>26304.029792694349</v>
      </c>
      <c r="L19">
        <f t="shared" si="2"/>
        <v>1144.6425394150865</v>
      </c>
      <c r="M19">
        <f t="shared" si="2"/>
        <v>20.726347846128711</v>
      </c>
      <c r="N19">
        <f t="shared" si="2"/>
        <v>197.39958019237579</v>
      </c>
      <c r="O19">
        <f t="shared" si="2"/>
        <v>70.872852592234082</v>
      </c>
      <c r="P19">
        <f t="shared" si="2"/>
        <v>266200.48863904079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54814.64760696888</v>
      </c>
      <c r="D20">
        <f t="shared" si="2"/>
        <v>23719.046053825601</v>
      </c>
      <c r="E20">
        <f t="shared" si="2"/>
        <v>106045.03371686056</v>
      </c>
      <c r="F20">
        <f t="shared" si="2"/>
        <v>9319.6812058742671</v>
      </c>
      <c r="G20">
        <f t="shared" si="2"/>
        <v>6276.1652865129763</v>
      </c>
      <c r="H20">
        <f t="shared" si="2"/>
        <v>12596.205549072472</v>
      </c>
      <c r="I20">
        <f t="shared" si="2"/>
        <v>6396.5587594368144</v>
      </c>
      <c r="J20">
        <f t="shared" si="2"/>
        <v>29039.356990091961</v>
      </c>
      <c r="K20">
        <f t="shared" si="2"/>
        <v>28207.839084388939</v>
      </c>
      <c r="L20">
        <f t="shared" si="2"/>
        <v>1170.6201199252525</v>
      </c>
      <c r="M20">
        <f t="shared" si="2"/>
        <v>20.727055378646998</v>
      </c>
      <c r="N20">
        <f t="shared" si="2"/>
        <v>197.39979101739831</v>
      </c>
      <c r="O20">
        <f t="shared" si="2"/>
        <v>73.913343497017891</v>
      </c>
      <c r="P20">
        <f t="shared" si="2"/>
        <v>277803.28121935384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57712.909959896024</v>
      </c>
      <c r="D21">
        <f t="shared" si="2"/>
        <v>26490.845949588474</v>
      </c>
      <c r="E21">
        <f t="shared" si="2"/>
        <v>111705.58740329063</v>
      </c>
      <c r="F21">
        <f t="shared" si="2"/>
        <v>9337.5802183351552</v>
      </c>
      <c r="G21">
        <f t="shared" si="2"/>
        <v>6791.6209558437185</v>
      </c>
      <c r="H21">
        <f t="shared" si="2"/>
        <v>12702.975627759808</v>
      </c>
      <c r="I21">
        <f t="shared" si="2"/>
        <v>6809.6523743687876</v>
      </c>
      <c r="J21">
        <f t="shared" si="2"/>
        <v>36965.937456643922</v>
      </c>
      <c r="K21">
        <f t="shared" si="2"/>
        <v>30619.597527735285</v>
      </c>
      <c r="L21">
        <f t="shared" si="2"/>
        <v>1170.620119973855</v>
      </c>
      <c r="M21">
        <f t="shared" si="2"/>
        <v>24.015028999480709</v>
      </c>
      <c r="N21">
        <f t="shared" si="2"/>
        <v>203.62021239600142</v>
      </c>
      <c r="O21">
        <f t="shared" si="2"/>
        <v>79.737790359862501</v>
      </c>
      <c r="P21">
        <f t="shared" si="2"/>
        <v>300534.96283483115</v>
      </c>
    </row>
    <row r="22" spans="1:16" x14ac:dyDescent="0.25">
      <c r="A22" t="str">
        <f>sumatera!B4</f>
        <v>SUMATERA</v>
      </c>
      <c r="B22">
        <f>sumatera!C4</f>
        <v>2019</v>
      </c>
      <c r="C22">
        <f>sumatera!D4</f>
        <v>5328.13</v>
      </c>
      <c r="D22">
        <f>sumatera!E4</f>
        <v>1253.6999999999998</v>
      </c>
      <c r="E22">
        <f>sumatera!F4</f>
        <v>1289.43</v>
      </c>
      <c r="F22">
        <f>sumatera!G4</f>
        <v>2494.56</v>
      </c>
      <c r="G22">
        <f>sumatera!H4</f>
        <v>677</v>
      </c>
      <c r="H22">
        <f>sumatera!I4</f>
        <v>1959.96</v>
      </c>
      <c r="I22">
        <f>sumatera!J4</f>
        <v>70.260000000000005</v>
      </c>
      <c r="J22">
        <f>sumatera!K4</f>
        <v>1.1300000000000001</v>
      </c>
      <c r="K22">
        <f>sumatera!L4</f>
        <v>0</v>
      </c>
      <c r="L22">
        <f>sumatera!M4</f>
        <v>36.599999999999994</v>
      </c>
      <c r="M22">
        <f>sumatera!N4</f>
        <v>0</v>
      </c>
      <c r="N22">
        <f>sumatera!O4</f>
        <v>0</v>
      </c>
      <c r="O22">
        <f>sumatera!P4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>
        <f>sumatera!D5</f>
        <v>5620.9312904661601</v>
      </c>
      <c r="D23">
        <f>sumatera!E5</f>
        <v>1253.6999999999998</v>
      </c>
      <c r="E23">
        <f>sumatera!F5</f>
        <v>2267.4714495312837</v>
      </c>
      <c r="F23">
        <f>sumatera!G5</f>
        <v>2494.56</v>
      </c>
      <c r="G23">
        <f>sumatera!H5</f>
        <v>677</v>
      </c>
      <c r="H23">
        <f>sumatera!I5</f>
        <v>2104.0843791711036</v>
      </c>
      <c r="I23">
        <f>sumatera!J5</f>
        <v>204.17234962042568</v>
      </c>
      <c r="J23">
        <f>sumatera!K5</f>
        <v>446.31824511809629</v>
      </c>
      <c r="K23">
        <f>sumatera!L5</f>
        <v>98.265118814329995</v>
      </c>
      <c r="L23">
        <f>sumatera!M5</f>
        <v>36.599999999999994</v>
      </c>
      <c r="M23">
        <f>sumatera!N5</f>
        <v>1.7841139784521141</v>
      </c>
      <c r="N23">
        <f>sumatera!O5</f>
        <v>0</v>
      </c>
      <c r="O23">
        <f>sumatera!P5</f>
        <v>4.6224023738190301</v>
      </c>
      <c r="P23">
        <f>sumatera!Q5</f>
        <v>15204.886946699851</v>
      </c>
    </row>
    <row r="24" spans="1:16" x14ac:dyDescent="0.25">
      <c r="A24" t="str">
        <f>sumatera!B6</f>
        <v>SUMATERA</v>
      </c>
      <c r="B24">
        <f>sumatera!C6</f>
        <v>2021</v>
      </c>
      <c r="C24">
        <f>sumatera!D6</f>
        <v>5784.8864693317755</v>
      </c>
      <c r="D24">
        <f>sumatera!E6</f>
        <v>1253.6999999999998</v>
      </c>
      <c r="E24">
        <f>sumatera!F6</f>
        <v>3941.2388959066529</v>
      </c>
      <c r="F24">
        <f>sumatera!G6</f>
        <v>2494.5600006307609</v>
      </c>
      <c r="G24">
        <f>sumatera!H6</f>
        <v>677</v>
      </c>
      <c r="H24">
        <f>sumatera!I6</f>
        <v>2104.0843791711036</v>
      </c>
      <c r="I24">
        <f>sumatera!J6</f>
        <v>204.17234962042568</v>
      </c>
      <c r="J24">
        <f>sumatera!K6</f>
        <v>446.31824511809629</v>
      </c>
      <c r="K24">
        <f>sumatera!L6</f>
        <v>240.29038508063019</v>
      </c>
      <c r="L24">
        <f>sumatera!M6</f>
        <v>36.599999999999994</v>
      </c>
      <c r="M24">
        <f>sumatera!N6</f>
        <v>1.7841139784521141</v>
      </c>
      <c r="N24">
        <f>sumatera!O6</f>
        <v>0</v>
      </c>
      <c r="O24">
        <f>sumatera!P6</f>
        <v>5.0525001987992937</v>
      </c>
      <c r="P24">
        <f>sumatera!Q6</f>
        <v>17184.63483883789</v>
      </c>
    </row>
    <row r="25" spans="1:16" x14ac:dyDescent="0.25">
      <c r="A25" t="str">
        <f>sumatera!B7</f>
        <v>SUMATERA</v>
      </c>
      <c r="B25">
        <f>sumatera!C7</f>
        <v>2022</v>
      </c>
      <c r="C25">
        <f>sumatera!D7</f>
        <v>5908.493350906143</v>
      </c>
      <c r="D25">
        <f>sumatera!E7</f>
        <v>1253.6999999999998</v>
      </c>
      <c r="E25">
        <f>sumatera!F7</f>
        <v>5852.9215596573549</v>
      </c>
      <c r="F25">
        <f>sumatera!G7</f>
        <v>2527.7937346479766</v>
      </c>
      <c r="G25">
        <f>sumatera!H7</f>
        <v>677</v>
      </c>
      <c r="H25">
        <f>sumatera!I7</f>
        <v>2104.0843791711036</v>
      </c>
      <c r="I25">
        <f>sumatera!J7</f>
        <v>204.17234962042568</v>
      </c>
      <c r="J25">
        <f>sumatera!K7</f>
        <v>446.31824511809629</v>
      </c>
      <c r="K25">
        <f>sumatera!L7</f>
        <v>240.29038508063019</v>
      </c>
      <c r="L25">
        <f>sumatera!M7</f>
        <v>36.599999999999994</v>
      </c>
      <c r="M25">
        <f>sumatera!N7</f>
        <v>1.7841139784521141</v>
      </c>
      <c r="N25">
        <f>sumatera!O7</f>
        <v>0</v>
      </c>
      <c r="O25">
        <f>sumatera!P7</f>
        <v>5.4714281726709872</v>
      </c>
      <c r="P25">
        <f>sumatera!Q7</f>
        <v>19253.158118180178</v>
      </c>
    </row>
    <row r="26" spans="1:16" x14ac:dyDescent="0.25">
      <c r="A26" t="str">
        <f>sumatera!B8</f>
        <v>SUMATERA</v>
      </c>
      <c r="B26">
        <f>sumatera!C8</f>
        <v>2023</v>
      </c>
      <c r="C26">
        <f>sumatera!D8</f>
        <v>6025.0203136787341</v>
      </c>
      <c r="D26">
        <f>sumatera!E8</f>
        <v>1253.6999999999998</v>
      </c>
      <c r="E26">
        <f>sumatera!F8</f>
        <v>8056.2033411085295</v>
      </c>
      <c r="F26">
        <f>sumatera!G8</f>
        <v>2527.7937346479766</v>
      </c>
      <c r="G26">
        <f>sumatera!H8</f>
        <v>677</v>
      </c>
      <c r="H26">
        <f>sumatera!I8</f>
        <v>2104.0843791711036</v>
      </c>
      <c r="I26">
        <f>sumatera!J8</f>
        <v>204.17234962042568</v>
      </c>
      <c r="J26">
        <f>sumatera!K8</f>
        <v>446.31824511809629</v>
      </c>
      <c r="K26">
        <f>sumatera!L8</f>
        <v>269.67876009565214</v>
      </c>
      <c r="L26">
        <f>sumatera!M8</f>
        <v>36.599999999999994</v>
      </c>
      <c r="M26">
        <f>sumatera!N8</f>
        <v>1.7841139784521141</v>
      </c>
      <c r="N26">
        <f>sumatera!O8</f>
        <v>0</v>
      </c>
      <c r="O26">
        <f>sumatera!P8</f>
        <v>5.9436298178255527</v>
      </c>
      <c r="P26">
        <f>sumatera!Q8</f>
        <v>21602.355237418968</v>
      </c>
    </row>
    <row r="27" spans="1:16" x14ac:dyDescent="0.25">
      <c r="A27" t="str">
        <f>sumatera!B9</f>
        <v>SUMATERA</v>
      </c>
      <c r="B27">
        <f>sumatera!C9</f>
        <v>2024</v>
      </c>
      <c r="C27">
        <f>sumatera!D9</f>
        <v>6226.3625208631292</v>
      </c>
      <c r="D27">
        <f>sumatera!E9</f>
        <v>1253.6999999999998</v>
      </c>
      <c r="E27">
        <f>sumatera!F9</f>
        <v>9395.4148842707691</v>
      </c>
      <c r="F27">
        <f>sumatera!G9</f>
        <v>2774.8604369970699</v>
      </c>
      <c r="G27">
        <f>sumatera!H9</f>
        <v>677</v>
      </c>
      <c r="H27">
        <f>sumatera!I9</f>
        <v>2104.0843791711036</v>
      </c>
      <c r="I27">
        <f>sumatera!J9</f>
        <v>204.17234962042568</v>
      </c>
      <c r="J27">
        <f>sumatera!K9</f>
        <v>446.31824511809629</v>
      </c>
      <c r="K27">
        <f>sumatera!L9</f>
        <v>1264.8545522906543</v>
      </c>
      <c r="L27">
        <f>sumatera!M9</f>
        <v>36.599999999999994</v>
      </c>
      <c r="M27">
        <f>sumatera!N9</f>
        <v>1.7841139784521141</v>
      </c>
      <c r="N27">
        <f>sumatera!O9</f>
        <v>0</v>
      </c>
      <c r="O27">
        <f>sumatera!P9</f>
        <v>6.7360376329180331</v>
      </c>
      <c r="P27">
        <f>sumatera!Q9</f>
        <v>24385.151482309695</v>
      </c>
    </row>
    <row r="28" spans="1:16" x14ac:dyDescent="0.25">
      <c r="A28" t="str">
        <f>sumatera!B10</f>
        <v>SUMATERA</v>
      </c>
      <c r="B28">
        <f>sumatera!C10</f>
        <v>2025</v>
      </c>
      <c r="C28">
        <f>sumatera!D10</f>
        <v>6360.8680333723323</v>
      </c>
      <c r="D28">
        <f>sumatera!E10</f>
        <v>1253.6999999999998</v>
      </c>
      <c r="E28">
        <f>sumatera!F10</f>
        <v>9601.7694117517731</v>
      </c>
      <c r="F28">
        <f>sumatera!G10</f>
        <v>3602.5823687252882</v>
      </c>
      <c r="G28">
        <f>sumatera!H10</f>
        <v>677</v>
      </c>
      <c r="H28">
        <f>sumatera!I10</f>
        <v>2104.0843791711036</v>
      </c>
      <c r="I28">
        <f>sumatera!J10</f>
        <v>204.17234962042568</v>
      </c>
      <c r="J28">
        <f>sumatera!K10</f>
        <v>499.11059294757166</v>
      </c>
      <c r="K28">
        <f>sumatera!L10</f>
        <v>2500.484414330459</v>
      </c>
      <c r="L28">
        <f>sumatera!M10</f>
        <v>36.599999999999994</v>
      </c>
      <c r="M28">
        <f>sumatera!N10</f>
        <v>1.7841139784521141</v>
      </c>
      <c r="N28">
        <f>sumatera!O10</f>
        <v>0</v>
      </c>
      <c r="O28">
        <f>sumatera!P10</f>
        <v>7.5945885747631428</v>
      </c>
      <c r="P28">
        <f>sumatera!Q10</f>
        <v>26842.1556638974</v>
      </c>
    </row>
    <row r="29" spans="1:16" x14ac:dyDescent="0.25">
      <c r="A29" t="str">
        <f>sumatera!B11</f>
        <v>SUMATERA</v>
      </c>
      <c r="B29">
        <f>sumatera!C11</f>
        <v>2026</v>
      </c>
      <c r="C29">
        <f>sumatera!D11</f>
        <v>7132.9561216627189</v>
      </c>
      <c r="D29">
        <f>sumatera!E11</f>
        <v>1253.7006543048251</v>
      </c>
      <c r="E29">
        <f>sumatera!F11</f>
        <v>9601.7702987065622</v>
      </c>
      <c r="F29">
        <f>sumatera!G11</f>
        <v>3602.5835246240663</v>
      </c>
      <c r="G29">
        <f>sumatera!H11</f>
        <v>677.002908176966</v>
      </c>
      <c r="H29">
        <f>sumatera!I11</f>
        <v>2104.0862490703566</v>
      </c>
      <c r="I29">
        <f>sumatera!J11</f>
        <v>994.6581744647533</v>
      </c>
      <c r="J29">
        <f>sumatera!K11</f>
        <v>874.18675885594371</v>
      </c>
      <c r="K29">
        <f>sumatera!L11</f>
        <v>2500.4857098016428</v>
      </c>
      <c r="L29">
        <f>sumatera!M11</f>
        <v>36.599999999999994</v>
      </c>
      <c r="M29">
        <f>sumatera!N11</f>
        <v>1.7841139784521141</v>
      </c>
      <c r="N29">
        <f>sumatera!O11</f>
        <v>8.9911105641167727E-4</v>
      </c>
      <c r="O29">
        <f>sumatera!P11</f>
        <v>8.2636090662539079</v>
      </c>
      <c r="P29">
        <f>sumatera!Q11</f>
        <v>28779.81541275734</v>
      </c>
    </row>
    <row r="30" spans="1:16" x14ac:dyDescent="0.25">
      <c r="A30" t="str">
        <f>sumatera!B12</f>
        <v>SUMATERA</v>
      </c>
      <c r="B30">
        <f>sumatera!C12</f>
        <v>2027</v>
      </c>
      <c r="C30">
        <f>sumatera!D12</f>
        <v>7956.7741568548026</v>
      </c>
      <c r="D30">
        <f>sumatera!E12</f>
        <v>1253.7006533048252</v>
      </c>
      <c r="E30">
        <f>sumatera!F12</f>
        <v>9601.7702987065622</v>
      </c>
      <c r="F30">
        <f>sumatera!G12</f>
        <v>3602.5835236240664</v>
      </c>
      <c r="G30">
        <f>sumatera!H12</f>
        <v>677.002907176966</v>
      </c>
      <c r="H30">
        <f>sumatera!I12</f>
        <v>2815.8668450846226</v>
      </c>
      <c r="I30">
        <f>sumatera!J12</f>
        <v>2549.6800665574006</v>
      </c>
      <c r="J30">
        <f>sumatera!K12</f>
        <v>1966.4411204043111</v>
      </c>
      <c r="K30">
        <f>sumatera!L12</f>
        <v>2517.6549626539777</v>
      </c>
      <c r="L30">
        <f>sumatera!M12</f>
        <v>36.599999999999994</v>
      </c>
      <c r="M30">
        <f>sumatera!N12</f>
        <v>1.7841136466054539</v>
      </c>
      <c r="N30">
        <f>sumatera!O12</f>
        <v>8.9911105641167727E-4</v>
      </c>
      <c r="O30">
        <f>sumatera!P12</f>
        <v>9.6533369336413131</v>
      </c>
      <c r="P30">
        <f>sumatera!Q12</f>
        <v>32979.859547125205</v>
      </c>
    </row>
    <row r="31" spans="1:16" x14ac:dyDescent="0.25">
      <c r="A31" t="str">
        <f>sumatera!B13</f>
        <v>SUMATERA</v>
      </c>
      <c r="B31">
        <f>sumatera!C13</f>
        <v>2028</v>
      </c>
      <c r="C31">
        <f>sumatera!D13</f>
        <v>8595.313414279226</v>
      </c>
      <c r="D31">
        <f>sumatera!E13</f>
        <v>1253.7006523048253</v>
      </c>
      <c r="E31">
        <f>sumatera!F13</f>
        <v>10622.521164416827</v>
      </c>
      <c r="F31">
        <f>sumatera!G13</f>
        <v>3602.5835236240664</v>
      </c>
      <c r="G31">
        <f>sumatera!H13</f>
        <v>677.002907176966</v>
      </c>
      <c r="H31">
        <f>sumatera!I13</f>
        <v>3175.754843898098</v>
      </c>
      <c r="I31">
        <f>sumatera!J13</f>
        <v>3029.4676968850695</v>
      </c>
      <c r="J31">
        <f>sumatera!K13</f>
        <v>2115.6679824807411</v>
      </c>
      <c r="K31">
        <f>sumatera!L13</f>
        <v>2767.0812282867682</v>
      </c>
      <c r="L31">
        <f>sumatera!M13</f>
        <v>36.599999999999994</v>
      </c>
      <c r="M31">
        <f>sumatera!N13</f>
        <v>7.7797658070232183</v>
      </c>
      <c r="N31">
        <f>sumatera!O13</f>
        <v>8.9911105641167727E-4</v>
      </c>
      <c r="O31">
        <f>sumatera!P13</f>
        <v>10.502546930757493</v>
      </c>
      <c r="P31">
        <f>sumatera!Q13</f>
        <v>35883.474078270679</v>
      </c>
    </row>
    <row r="32" spans="1:16" x14ac:dyDescent="0.25">
      <c r="A32" t="str">
        <f>sumatera!B14</f>
        <v>SUMATERA</v>
      </c>
      <c r="B32">
        <f>sumatera!C14</f>
        <v>2029</v>
      </c>
      <c r="C32">
        <f>sumatera!D14</f>
        <v>8595.313414279226</v>
      </c>
      <c r="D32">
        <f>sumatera!E14</f>
        <v>1428.6141298242292</v>
      </c>
      <c r="E32">
        <f>sumatera!F14</f>
        <v>10784.451052543029</v>
      </c>
      <c r="F32">
        <f>sumatera!G14</f>
        <v>3602.5835236240664</v>
      </c>
      <c r="G32">
        <f>sumatera!H14</f>
        <v>677.002907176966</v>
      </c>
      <c r="H32">
        <f>sumatera!I14</f>
        <v>3175.754843898098</v>
      </c>
      <c r="I32">
        <f>sumatera!J14</f>
        <v>3029.4676968850695</v>
      </c>
      <c r="J32">
        <f>sumatera!K14</f>
        <v>2115.6679824807411</v>
      </c>
      <c r="K32">
        <f>sumatera!L14</f>
        <v>2767.0812282867682</v>
      </c>
      <c r="L32">
        <f>sumatera!M14</f>
        <v>36.599999999999994</v>
      </c>
      <c r="M32">
        <f>sumatera!N14</f>
        <v>7.779780560357108</v>
      </c>
      <c r="N32">
        <f>sumatera!O14</f>
        <v>8.9911105641167727E-4</v>
      </c>
      <c r="O32">
        <f>sumatera!P14</f>
        <v>10.569717843091288</v>
      </c>
      <c r="P32">
        <f>sumatera!Q14</f>
        <v>36220.317458669611</v>
      </c>
    </row>
    <row r="33" spans="1:16" x14ac:dyDescent="0.25">
      <c r="A33" t="str">
        <f>sumatera!B15</f>
        <v>SUMATERA</v>
      </c>
      <c r="B33">
        <f>sumatera!C15</f>
        <v>2030</v>
      </c>
      <c r="C33">
        <f>sumatera!D15</f>
        <v>9191.4270958322104</v>
      </c>
      <c r="D33">
        <f>sumatera!E15</f>
        <v>2174.7779090597837</v>
      </c>
      <c r="E33">
        <f>sumatera!F15</f>
        <v>10948.614757980464</v>
      </c>
      <c r="F33">
        <f>sumatera!G15</f>
        <v>3602.5848050521181</v>
      </c>
      <c r="G33">
        <f>sumatera!H15</f>
        <v>677.00662120514642</v>
      </c>
      <c r="H33">
        <f>sumatera!I15</f>
        <v>3175.7573813740046</v>
      </c>
      <c r="I33">
        <f>sumatera!J15</f>
        <v>3029.4710806358034</v>
      </c>
      <c r="J33">
        <f>sumatera!K15</f>
        <v>2115.669033827312</v>
      </c>
      <c r="K33">
        <f>sumatera!L15</f>
        <v>2773.9357581089903</v>
      </c>
      <c r="L33">
        <f>sumatera!M15</f>
        <v>36.599999999999994</v>
      </c>
      <c r="M33">
        <f>sumatera!N15</f>
        <v>7.7832164028310569</v>
      </c>
      <c r="N33">
        <f>sumatera!O15</f>
        <v>1.9317928685418833E-3</v>
      </c>
      <c r="O33">
        <f>sumatera!P15</f>
        <v>10.958052491492518</v>
      </c>
      <c r="P33">
        <f>sumatera!Q15</f>
        <v>37733.629591271529</v>
      </c>
    </row>
    <row r="34" spans="1:16" x14ac:dyDescent="0.25">
      <c r="A34" t="str">
        <f>sumatera!B16</f>
        <v>SUMATERA</v>
      </c>
      <c r="B34">
        <f>sumatera!C16</f>
        <v>2031</v>
      </c>
      <c r="C34">
        <f>sumatera!D16</f>
        <v>9712.0031889746988</v>
      </c>
      <c r="D34">
        <f>sumatera!E16</f>
        <v>3166.4498306440059</v>
      </c>
      <c r="E34">
        <f>sumatera!F16</f>
        <v>11209.748367068994</v>
      </c>
      <c r="F34">
        <f>sumatera!G16</f>
        <v>3614.6905238250906</v>
      </c>
      <c r="G34">
        <f>sumatera!H16</f>
        <v>1109.5664705175207</v>
      </c>
      <c r="H34">
        <f>sumatera!I16</f>
        <v>3186.5150942563791</v>
      </c>
      <c r="I34">
        <f>sumatera!J16</f>
        <v>3043.8135173817141</v>
      </c>
      <c r="J34">
        <f>sumatera!K16</f>
        <v>5329.8186627208615</v>
      </c>
      <c r="K34">
        <f>sumatera!L16</f>
        <v>2781.3900397848593</v>
      </c>
      <c r="L34">
        <f>sumatera!M16</f>
        <v>42.654013436727979</v>
      </c>
      <c r="M34">
        <f>sumatera!N16</f>
        <v>9.6302691787054826</v>
      </c>
      <c r="N34">
        <f>sumatera!O16</f>
        <v>6.9443546593945582</v>
      </c>
      <c r="O34">
        <f>sumatera!P16</f>
        <v>12.341294943305247</v>
      </c>
      <c r="P34">
        <f>sumatera!Q16</f>
        <v>43213.224332448968</v>
      </c>
    </row>
    <row r="35" spans="1:16" x14ac:dyDescent="0.25">
      <c r="A35" t="str">
        <f>sumatera!B17</f>
        <v>SUMATERA</v>
      </c>
      <c r="B35">
        <f>sumatera!C17</f>
        <v>2032</v>
      </c>
      <c r="C35">
        <f>sumatera!D17</f>
        <v>10305.72131315072</v>
      </c>
      <c r="D35">
        <f>sumatera!E17</f>
        <v>4126.4230854359712</v>
      </c>
      <c r="E35">
        <f>sumatera!F17</f>
        <v>11400.448214059164</v>
      </c>
      <c r="F35">
        <f>sumatera!G17</f>
        <v>3672.9990705811297</v>
      </c>
      <c r="G35">
        <f>sumatera!H17</f>
        <v>1137.9611616371035</v>
      </c>
      <c r="H35">
        <f>sumatera!I17</f>
        <v>3186.525596245041</v>
      </c>
      <c r="I35">
        <f>sumatera!J17</f>
        <v>3043.8275200489597</v>
      </c>
      <c r="J35">
        <f>sumatera!K17</f>
        <v>5329.8230146609694</v>
      </c>
      <c r="K35">
        <f>sumatera!L17</f>
        <v>2781.3973156348866</v>
      </c>
      <c r="L35">
        <f>sumatera!M17</f>
        <v>42.654013436727979</v>
      </c>
      <c r="M35">
        <f>sumatera!N17</f>
        <v>9.6444937416188345</v>
      </c>
      <c r="N35">
        <f>sumatera!O17</f>
        <v>6.9485855172487971</v>
      </c>
      <c r="O35">
        <f>sumatera!P17</f>
        <v>12.80839717711393</v>
      </c>
      <c r="P35">
        <f>sumatera!Q17</f>
        <v>45044.373384149541</v>
      </c>
    </row>
    <row r="36" spans="1:16" x14ac:dyDescent="0.25">
      <c r="A36" t="str">
        <f>sumatera!B18</f>
        <v>SUMATERA</v>
      </c>
      <c r="B36">
        <f>sumatera!C18</f>
        <v>2033</v>
      </c>
      <c r="C36">
        <f>sumatera!D18</f>
        <v>10921.277439803418</v>
      </c>
      <c r="D36">
        <f>sumatera!E18</f>
        <v>5245.0864876255491</v>
      </c>
      <c r="E36">
        <f>sumatera!F18</f>
        <v>11637.703513359635</v>
      </c>
      <c r="F36">
        <f>sumatera!G18</f>
        <v>3686.6260623260491</v>
      </c>
      <c r="G36">
        <f>sumatera!H18</f>
        <v>2490.5002763260945</v>
      </c>
      <c r="H36">
        <f>sumatera!I18</f>
        <v>3208.5885766201418</v>
      </c>
      <c r="I36">
        <f>sumatera!J18</f>
        <v>3073.2420600475334</v>
      </c>
      <c r="J36">
        <f>sumatera!K18</f>
        <v>5338.9699918475353</v>
      </c>
      <c r="K36">
        <f>sumatera!L18</f>
        <v>2796.6848255444179</v>
      </c>
      <c r="L36">
        <f>sumatera!M18</f>
        <v>42.654013436727979</v>
      </c>
      <c r="M36">
        <f>sumatera!N18</f>
        <v>10.364295340127866</v>
      </c>
      <c r="N36">
        <f>sumatera!O18</f>
        <v>17.380858777763336</v>
      </c>
      <c r="O36">
        <f>sumatera!P18</f>
        <v>13.93263112818318</v>
      </c>
      <c r="P36">
        <f>sumatera!Q18</f>
        <v>48469.078401054998</v>
      </c>
    </row>
    <row r="37" spans="1:16" x14ac:dyDescent="0.25">
      <c r="A37" t="str">
        <f>sumatera!B19</f>
        <v>SUMATERA</v>
      </c>
      <c r="B37">
        <f>sumatera!C19</f>
        <v>2034</v>
      </c>
      <c r="C37">
        <f>sumatera!D19</f>
        <v>11671.155339143806</v>
      </c>
      <c r="D37">
        <f>sumatera!E19</f>
        <v>6163.0057852653681</v>
      </c>
      <c r="E37">
        <f>sumatera!F19</f>
        <v>11858.250532315204</v>
      </c>
      <c r="F37">
        <f>sumatera!G19</f>
        <v>3750.0882915984539</v>
      </c>
      <c r="G37">
        <f>sumatera!H19</f>
        <v>2490.5005329457008</v>
      </c>
      <c r="H37">
        <f>sumatera!I19</f>
        <v>3208.5888138324908</v>
      </c>
      <c r="I37">
        <f>sumatera!J19</f>
        <v>3073.2422870964365</v>
      </c>
      <c r="J37">
        <f>sumatera!K19</f>
        <v>5338.9701553018222</v>
      </c>
      <c r="K37">
        <f>sumatera!L19</f>
        <v>2796.7669085862299</v>
      </c>
      <c r="L37">
        <f>sumatera!M19</f>
        <v>42.654013436727979</v>
      </c>
      <c r="M37">
        <f>sumatera!N19</f>
        <v>10.364337889155875</v>
      </c>
      <c r="N37">
        <f>sumatera!O19</f>
        <v>17.380946909101713</v>
      </c>
      <c r="O37">
        <f>sumatera!P19</f>
        <v>14.438181960005616</v>
      </c>
      <c r="P37">
        <f>sumatera!Q19</f>
        <v>50420.967944320495</v>
      </c>
    </row>
    <row r="38" spans="1:16" x14ac:dyDescent="0.25">
      <c r="A38" t="str">
        <f>sumatera!B20</f>
        <v>SUMATERA</v>
      </c>
      <c r="B38">
        <f>sumatera!C20</f>
        <v>2035</v>
      </c>
      <c r="C38">
        <f>sumatera!D20</f>
        <v>12025.343765396745</v>
      </c>
      <c r="D38">
        <f>sumatera!E20</f>
        <v>7665.797133151621</v>
      </c>
      <c r="E38">
        <f>sumatera!F20</f>
        <v>13249.495698344675</v>
      </c>
      <c r="F38">
        <f>sumatera!G20</f>
        <v>3750.0924649010403</v>
      </c>
      <c r="G38">
        <f>sumatera!H20</f>
        <v>2490.5051887466529</v>
      </c>
      <c r="H38">
        <f>sumatera!I20</f>
        <v>3208.5919983411304</v>
      </c>
      <c r="I38">
        <f>sumatera!J20</f>
        <v>3073.2465340777308</v>
      </c>
      <c r="J38">
        <f>sumatera!K20</f>
        <v>5338.9714749166315</v>
      </c>
      <c r="K38">
        <f>sumatera!L20</f>
        <v>2805.3742633158063</v>
      </c>
      <c r="L38">
        <f>sumatera!M20</f>
        <v>42.654013436727979</v>
      </c>
      <c r="M38">
        <f>sumatera!N20</f>
        <v>10.368651068023238</v>
      </c>
      <c r="N38">
        <f>sumatera!O20</f>
        <v>17.382229828616236</v>
      </c>
      <c r="O38">
        <f>sumatera!P20</f>
        <v>15.137421471418202</v>
      </c>
      <c r="P38">
        <f>sumatera!Q20</f>
        <v>53677.823415525403</v>
      </c>
    </row>
    <row r="39" spans="1:16" x14ac:dyDescent="0.25">
      <c r="A39" t="str">
        <f>sumatera!B21</f>
        <v>SUMATERA</v>
      </c>
      <c r="B39">
        <f>sumatera!C21</f>
        <v>2036</v>
      </c>
      <c r="C39">
        <f>sumatera!D21</f>
        <v>13051.761665529148</v>
      </c>
      <c r="D39">
        <f>sumatera!E21</f>
        <v>8029.9189827680593</v>
      </c>
      <c r="E39">
        <f>sumatera!F21</f>
        <v>13586.588887015298</v>
      </c>
      <c r="F39">
        <f>sumatera!G21</f>
        <v>3750.0924639010404</v>
      </c>
      <c r="G39">
        <f>sumatera!H21</f>
        <v>4366.6279485771711</v>
      </c>
      <c r="H39">
        <f>sumatera!I21</f>
        <v>3458.2969139072825</v>
      </c>
      <c r="I39">
        <f>sumatera!J21</f>
        <v>3406.1556407941566</v>
      </c>
      <c r="J39">
        <f>sumatera!K21</f>
        <v>5442.4963886043533</v>
      </c>
      <c r="K39">
        <f>sumatera!L21</f>
        <v>2978.3963334646469</v>
      </c>
      <c r="L39">
        <f>sumatera!M21</f>
        <v>183.17637434079458</v>
      </c>
      <c r="M39">
        <f>sumatera!N21</f>
        <v>11.887886649849442</v>
      </c>
      <c r="N39">
        <f>sumatera!O21</f>
        <v>178.52999589170494</v>
      </c>
      <c r="O39">
        <f>sumatera!P21</f>
        <v>16.823940836514968</v>
      </c>
      <c r="P39">
        <f>sumatera!Q21</f>
        <v>58443.929481443498</v>
      </c>
    </row>
    <row r="40" spans="1:16" x14ac:dyDescent="0.25">
      <c r="A40" t="str">
        <f>sumatera!B22</f>
        <v>SUMATERA</v>
      </c>
      <c r="B40">
        <f>sumatera!C22</f>
        <v>2037</v>
      </c>
      <c r="C40">
        <f>sumatera!D22</f>
        <v>13926.202118211104</v>
      </c>
      <c r="D40">
        <f>sumatera!E22</f>
        <v>9349.5240169099725</v>
      </c>
      <c r="E40">
        <f>sumatera!F22</f>
        <v>13861.70454083076</v>
      </c>
      <c r="F40">
        <f>sumatera!G22</f>
        <v>3750.0926826600917</v>
      </c>
      <c r="G40">
        <f>sumatera!H22</f>
        <v>4366.6287092507528</v>
      </c>
      <c r="H40">
        <f>sumatera!I22</f>
        <v>3458.2974342719417</v>
      </c>
      <c r="I40">
        <f>sumatera!J22</f>
        <v>3406.1570142045757</v>
      </c>
      <c r="J40">
        <f>sumatera!K22</f>
        <v>5443.8991522833476</v>
      </c>
      <c r="K40">
        <f>sumatera!L22</f>
        <v>2978.3966938055351</v>
      </c>
      <c r="L40">
        <f>sumatera!M22</f>
        <v>183.17637434079458</v>
      </c>
      <c r="M40">
        <f>sumatera!N22</f>
        <v>11.888590979083958</v>
      </c>
      <c r="N40">
        <f>sumatera!O22</f>
        <v>178.53020671672746</v>
      </c>
      <c r="O40">
        <f>sumatera!P22</f>
        <v>17.443141872414131</v>
      </c>
      <c r="P40">
        <f>sumatera!Q22</f>
        <v>60914.497534464688</v>
      </c>
    </row>
    <row r="41" spans="1:16" x14ac:dyDescent="0.25">
      <c r="A41" t="str">
        <f>sumatera!B23</f>
        <v>SUMATERA</v>
      </c>
      <c r="B41">
        <f>sumatera!C23</f>
        <v>2038</v>
      </c>
      <c r="C41">
        <f>sumatera!D23</f>
        <v>14684.390180083286</v>
      </c>
      <c r="D41">
        <f>sumatera!E23</f>
        <v>11070.075104657411</v>
      </c>
      <c r="E41">
        <f>sumatera!F23</f>
        <v>14316.731170839317</v>
      </c>
      <c r="F41">
        <f>sumatera!G23</f>
        <v>3758.218169530282</v>
      </c>
      <c r="G41">
        <f>sumatera!H23</f>
        <v>4791.1670065695607</v>
      </c>
      <c r="H41">
        <f>sumatera!I23</f>
        <v>3471.4528688371943</v>
      </c>
      <c r="I41">
        <f>sumatera!J23</f>
        <v>3423.6961484850622</v>
      </c>
      <c r="J41">
        <f>sumatera!K23</f>
        <v>10975.675192413353</v>
      </c>
      <c r="K41">
        <f>sumatera!L23</f>
        <v>2987.5121842632516</v>
      </c>
      <c r="L41">
        <f>sumatera!M23</f>
        <v>183.17637434079458</v>
      </c>
      <c r="M41">
        <f>sumatera!N23</f>
        <v>14.891263726076833</v>
      </c>
      <c r="N41">
        <f>sumatera!O23</f>
        <v>184.75062809533057</v>
      </c>
      <c r="O41">
        <f>sumatera!P23</f>
        <v>19.624508637357142</v>
      </c>
      <c r="P41">
        <f>sumatera!Q23</f>
        <v>69861.736291840905</v>
      </c>
    </row>
    <row r="42" spans="1:16" x14ac:dyDescent="0.25">
      <c r="A42" t="str">
        <f>Jawa!B4</f>
        <v>JAWA</v>
      </c>
      <c r="B42">
        <f>Jawa!C4</f>
        <v>2019</v>
      </c>
      <c r="C42">
        <f>Jawa!D4</f>
        <v>23045</v>
      </c>
      <c r="D42">
        <f>Jawa!E4</f>
        <v>2896.7400000000002</v>
      </c>
      <c r="E42">
        <f>Jawa!F4</f>
        <v>9861.0300000000007</v>
      </c>
      <c r="F42">
        <f>Jawa!G4</f>
        <v>33.130000000000003</v>
      </c>
      <c r="G42">
        <f>Jawa!H4</f>
        <v>1204.8</v>
      </c>
      <c r="H42">
        <f>Jawa!I4</f>
        <v>2599.35</v>
      </c>
      <c r="I42">
        <f>Jawa!J4</f>
        <v>17.350000000000001</v>
      </c>
      <c r="J42">
        <f>Jawa!K4</f>
        <v>1</v>
      </c>
      <c r="K42">
        <f>Jawa!L4</f>
        <v>0</v>
      </c>
      <c r="L42">
        <f>Jawa!M4</f>
        <v>8</v>
      </c>
      <c r="M42">
        <f>Jawa!N4</f>
        <v>0</v>
      </c>
      <c r="N42">
        <f>Jawa!O4</f>
        <v>0</v>
      </c>
      <c r="O42">
        <f>Jawa!P4</f>
        <v>0</v>
      </c>
      <c r="P42">
        <f>Jawa!Q4</f>
        <v>39666.400000000001</v>
      </c>
    </row>
    <row r="43" spans="1:16" x14ac:dyDescent="0.25">
      <c r="A43" t="str">
        <f>Jawa!B5</f>
        <v>JAWA</v>
      </c>
      <c r="B43">
        <f>Jawa!C5</f>
        <v>2020</v>
      </c>
      <c r="C43">
        <f>Jawa!D5</f>
        <v>24590.342157830499</v>
      </c>
      <c r="D43">
        <f>Jawa!E5</f>
        <v>2896.7400000000002</v>
      </c>
      <c r="E43">
        <f>Jawa!F5</f>
        <v>10866.79029873865</v>
      </c>
      <c r="F43">
        <f>Jawa!G5</f>
        <v>33.130000000000003</v>
      </c>
      <c r="G43">
        <f>Jawa!H5</f>
        <v>1204.8</v>
      </c>
      <c r="H43">
        <f>Jawa!I5</f>
        <v>4698.849945526661</v>
      </c>
      <c r="I43">
        <f>Jawa!J5</f>
        <v>45.913049212311336</v>
      </c>
      <c r="J43">
        <f>Jawa!K5</f>
        <v>5132.4106039591934</v>
      </c>
      <c r="K43">
        <f>Jawa!L5</f>
        <v>15.070203388185728</v>
      </c>
      <c r="L43">
        <f>Jawa!M5</f>
        <v>8</v>
      </c>
      <c r="M43">
        <f>Jawa!N5</f>
        <v>5.5552591534388132</v>
      </c>
      <c r="N43">
        <f>Jawa!O5</f>
        <v>0</v>
      </c>
      <c r="O43">
        <f>Jawa!P5</f>
        <v>14.133045404029611</v>
      </c>
      <c r="P43">
        <f>Jawa!Q5</f>
        <v>49497.601517808944</v>
      </c>
    </row>
    <row r="44" spans="1:16" x14ac:dyDescent="0.25">
      <c r="A44" t="str">
        <f>Jawa!B6</f>
        <v>JAWA</v>
      </c>
      <c r="B44">
        <f>Jawa!C6</f>
        <v>2021</v>
      </c>
      <c r="C44">
        <f>Jawa!D6</f>
        <v>25844.279313886684</v>
      </c>
      <c r="D44">
        <f>Jawa!E6</f>
        <v>2896.7400000000002</v>
      </c>
      <c r="E44">
        <f>Jawa!F6</f>
        <v>13616.364638620629</v>
      </c>
      <c r="F44">
        <f>Jawa!G6</f>
        <v>33.130000000000003</v>
      </c>
      <c r="G44">
        <f>Jawa!H6</f>
        <v>1204.8</v>
      </c>
      <c r="H44">
        <f>Jawa!I6</f>
        <v>5748.5999727633298</v>
      </c>
      <c r="I44">
        <f>Jawa!J6</f>
        <v>1486.6315246061556</v>
      </c>
      <c r="J44">
        <f>Jawa!K6</f>
        <v>5644.7360482598597</v>
      </c>
      <c r="K44">
        <f>Jawa!L6</f>
        <v>1781.0435282416056</v>
      </c>
      <c r="L44">
        <f>Jawa!M6</f>
        <v>8</v>
      </c>
      <c r="M44">
        <f>Jawa!N6</f>
        <v>7.940875974922962</v>
      </c>
      <c r="N44">
        <f>Jawa!O6</f>
        <v>0</v>
      </c>
      <c r="O44">
        <f>Jawa!P6</f>
        <v>16.790977129804766</v>
      </c>
      <c r="P44">
        <f>Jawa!Q6</f>
        <v>58272.265902353189</v>
      </c>
    </row>
    <row r="45" spans="1:16" x14ac:dyDescent="0.25">
      <c r="A45" t="str">
        <f>Jawa!B7</f>
        <v>JAWA</v>
      </c>
      <c r="B45">
        <f>Jawa!C7</f>
        <v>2022</v>
      </c>
      <c r="C45">
        <f>Jawa!D7</f>
        <v>25844.279313886684</v>
      </c>
      <c r="D45">
        <f>Jawa!E7</f>
        <v>2896.7400000000002</v>
      </c>
      <c r="E45">
        <f>Jawa!F7</f>
        <v>19545.329074238332</v>
      </c>
      <c r="F45">
        <f>Jawa!G7</f>
        <v>45.901869312161693</v>
      </c>
      <c r="G45">
        <f>Jawa!H7</f>
        <v>1204.8000104406976</v>
      </c>
      <c r="H45">
        <f>Jawa!I7</f>
        <v>5748.5999727633298</v>
      </c>
      <c r="I45">
        <f>Jawa!J7</f>
        <v>1486.6315246061556</v>
      </c>
      <c r="J45">
        <f>Jawa!K7</f>
        <v>5644.7360482598597</v>
      </c>
      <c r="K45">
        <f>Jawa!L7</f>
        <v>1781.0435282416056</v>
      </c>
      <c r="L45">
        <f>Jawa!M7</f>
        <v>8</v>
      </c>
      <c r="M45">
        <f>Jawa!N7</f>
        <v>7.9408759749190105</v>
      </c>
      <c r="N45">
        <f>Jawa!O7</f>
        <v>0</v>
      </c>
      <c r="O45">
        <f>Jawa!P7</f>
        <v>17.930445731203395</v>
      </c>
      <c r="P45">
        <f>Jawa!Q7</f>
        <v>64214.002217723748</v>
      </c>
    </row>
    <row r="46" spans="1:16" x14ac:dyDescent="0.25">
      <c r="A46" t="str">
        <f>Jawa!B8</f>
        <v>JAWA</v>
      </c>
      <c r="B46">
        <f>Jawa!C8</f>
        <v>2023</v>
      </c>
      <c r="C46">
        <f>Jawa!D8</f>
        <v>25844.279313886684</v>
      </c>
      <c r="D46">
        <f>Jawa!E8</f>
        <v>2896.7400000000002</v>
      </c>
      <c r="E46">
        <f>Jawa!F8</f>
        <v>23722.056165832804</v>
      </c>
      <c r="F46">
        <f>Jawa!G8</f>
        <v>47.09565033013989</v>
      </c>
      <c r="G46">
        <f>Jawa!H8</f>
        <v>1204.8000104406976</v>
      </c>
      <c r="H46">
        <f>Jawa!I8</f>
        <v>5748.5999727633298</v>
      </c>
      <c r="I46">
        <f>Jawa!J8</f>
        <v>1486.6315246061556</v>
      </c>
      <c r="J46">
        <f>Jawa!K8</f>
        <v>5644.7360482598597</v>
      </c>
      <c r="K46">
        <f>Jawa!L8</f>
        <v>1781.0435282416056</v>
      </c>
      <c r="L46">
        <f>Jawa!M8</f>
        <v>8</v>
      </c>
      <c r="M46">
        <f>Jawa!N8</f>
        <v>7.9408759749190105</v>
      </c>
      <c r="N46">
        <f>Jawa!O8</f>
        <v>0</v>
      </c>
      <c r="O46">
        <f>Jawa!P8</f>
        <v>18.730459902774886</v>
      </c>
      <c r="P46">
        <f>Jawa!Q8</f>
        <v>68391.923090336204</v>
      </c>
    </row>
    <row r="47" spans="1:16" x14ac:dyDescent="0.25">
      <c r="A47" t="str">
        <f>Jawa!B9</f>
        <v>JAWA</v>
      </c>
      <c r="B47">
        <f>Jawa!C9</f>
        <v>2024</v>
      </c>
      <c r="C47">
        <f>Jawa!D9</f>
        <v>25844.279313886684</v>
      </c>
      <c r="D47">
        <f>Jawa!E9</f>
        <v>3340.5114030069753</v>
      </c>
      <c r="E47">
        <f>Jawa!F9</f>
        <v>27935.803810131412</v>
      </c>
      <c r="F47">
        <f>Jawa!G9</f>
        <v>48.479226222518854</v>
      </c>
      <c r="G47">
        <f>Jawa!H9</f>
        <v>1204.8000104406976</v>
      </c>
      <c r="H47">
        <f>Jawa!I9</f>
        <v>5748.5999727633298</v>
      </c>
      <c r="I47">
        <f>Jawa!J9</f>
        <v>1486.6315246061556</v>
      </c>
      <c r="J47">
        <f>Jawa!K9</f>
        <v>5644.7360482598597</v>
      </c>
      <c r="K47">
        <f>Jawa!L9</f>
        <v>1781.0435282416056</v>
      </c>
      <c r="L47">
        <f>Jawa!M9</f>
        <v>8</v>
      </c>
      <c r="M47">
        <f>Jawa!N9</f>
        <v>7.9408759749190105</v>
      </c>
      <c r="N47">
        <f>Jawa!O9</f>
        <v>0</v>
      </c>
      <c r="O47">
        <f>Jawa!P9</f>
        <v>19.629395346747643</v>
      </c>
      <c r="P47">
        <f>Jawa!Q9</f>
        <v>73050.825713534141</v>
      </c>
    </row>
    <row r="48" spans="1:16" x14ac:dyDescent="0.25">
      <c r="A48" t="str">
        <f>Jawa!B10</f>
        <v>JAWA</v>
      </c>
      <c r="B48">
        <f>Jawa!C10</f>
        <v>2025</v>
      </c>
      <c r="C48">
        <f>Jawa!D10</f>
        <v>25844.279313886684</v>
      </c>
      <c r="D48">
        <f>Jawa!E10</f>
        <v>3762.3823755759972</v>
      </c>
      <c r="E48">
        <f>Jawa!F10</f>
        <v>29370.642105337633</v>
      </c>
      <c r="F48">
        <f>Jawa!G10</f>
        <v>49.674101963024924</v>
      </c>
      <c r="G48">
        <f>Jawa!H10</f>
        <v>1204.8000104406976</v>
      </c>
      <c r="H48">
        <f>Jawa!I10</f>
        <v>6170.4355349591624</v>
      </c>
      <c r="I48">
        <f>Jawa!J10</f>
        <v>1486.6315246061556</v>
      </c>
      <c r="J48">
        <f>Jawa!K10</f>
        <v>5644.7360482598597</v>
      </c>
      <c r="K48">
        <f>Jawa!L10</f>
        <v>3481.9881504819964</v>
      </c>
      <c r="L48">
        <f>Jawa!M10</f>
        <v>8</v>
      </c>
      <c r="M48">
        <f>Jawa!N10</f>
        <v>7.9408759749190105</v>
      </c>
      <c r="N48">
        <f>Jawa!O10</f>
        <v>0</v>
      </c>
      <c r="O48">
        <f>Jawa!P10</f>
        <v>20.776034754674001</v>
      </c>
      <c r="P48">
        <f>Jawa!Q10</f>
        <v>77031.510041486137</v>
      </c>
    </row>
    <row r="49" spans="1:16" x14ac:dyDescent="0.25">
      <c r="A49" t="str">
        <f>Jawa!B11</f>
        <v>JAWA</v>
      </c>
      <c r="B49">
        <f>Jawa!C11</f>
        <v>2026</v>
      </c>
      <c r="C49">
        <f>Jawa!D11</f>
        <v>25875.696708134146</v>
      </c>
      <c r="D49">
        <f>Jawa!E11</f>
        <v>3782.4467735483295</v>
      </c>
      <c r="E49">
        <f>Jawa!F11</f>
        <v>29388.731632783347</v>
      </c>
      <c r="F49">
        <f>Jawa!G11</f>
        <v>49.674101963024924</v>
      </c>
      <c r="G49">
        <f>Jawa!H11</f>
        <v>1376.3865850510283</v>
      </c>
      <c r="H49">
        <f>Jawa!I11</f>
        <v>6421.3534526450148</v>
      </c>
      <c r="I49">
        <f>Jawa!J11</f>
        <v>1685.507026535865</v>
      </c>
      <c r="J49">
        <f>Jawa!K11</f>
        <v>5709.9484942784329</v>
      </c>
      <c r="K49">
        <f>Jawa!L11</f>
        <v>3590.3993462724366</v>
      </c>
      <c r="L49">
        <f>Jawa!M11</f>
        <v>96.365073885961152</v>
      </c>
      <c r="M49">
        <f>Jawa!N11</f>
        <v>7.9408759749190105</v>
      </c>
      <c r="N49">
        <f>Jawa!O11</f>
        <v>18.869583896723704</v>
      </c>
      <c r="O49">
        <f>Jawa!P11</f>
        <v>21.105446194035586</v>
      </c>
      <c r="P49">
        <f>Jawa!Q11</f>
        <v>78003.319654969222</v>
      </c>
    </row>
    <row r="50" spans="1:16" x14ac:dyDescent="0.25">
      <c r="A50" t="str">
        <f>Jawa!B12</f>
        <v>JAWA</v>
      </c>
      <c r="B50">
        <f>Jawa!C12</f>
        <v>2027</v>
      </c>
      <c r="C50">
        <f>Jawa!D12</f>
        <v>25875.696708134146</v>
      </c>
      <c r="D50">
        <f>Jawa!E12</f>
        <v>4121.8283399563961</v>
      </c>
      <c r="E50">
        <f>Jawa!F12</f>
        <v>35510.473743231232</v>
      </c>
      <c r="F50">
        <f>Jawa!G12</f>
        <v>52.14003244797653</v>
      </c>
      <c r="G50">
        <f>Jawa!H12</f>
        <v>1376.3865850510283</v>
      </c>
      <c r="H50">
        <f>Jawa!I12</f>
        <v>6609.8466798783911</v>
      </c>
      <c r="I50">
        <f>Jawa!J12</f>
        <v>1685.507026535865</v>
      </c>
      <c r="J50">
        <f>Jawa!K12</f>
        <v>5709.9484942784329</v>
      </c>
      <c r="K50">
        <f>Jawa!L12</f>
        <v>4604.6678182017085</v>
      </c>
      <c r="L50">
        <f>Jawa!M12</f>
        <v>96.365073885961152</v>
      </c>
      <c r="M50">
        <f>Jawa!N12</f>
        <v>7.9408759749190105</v>
      </c>
      <c r="N50">
        <f>Jawa!O12</f>
        <v>18.869583896723704</v>
      </c>
      <c r="O50">
        <f>Jawa!P12</f>
        <v>22.796753333224451</v>
      </c>
      <c r="P50">
        <f>Jawa!Q12</f>
        <v>85669.670961472788</v>
      </c>
    </row>
    <row r="51" spans="1:16" x14ac:dyDescent="0.25">
      <c r="A51" t="str">
        <f>Jawa!B13</f>
        <v>JAWA</v>
      </c>
      <c r="B51">
        <f>Jawa!C13</f>
        <v>2028</v>
      </c>
      <c r="C51">
        <f>Jawa!D13</f>
        <v>25875.696708134146</v>
      </c>
      <c r="D51">
        <f>Jawa!E13</f>
        <v>4667.842353099406</v>
      </c>
      <c r="E51">
        <f>Jawa!F13</f>
        <v>38910.75117141501</v>
      </c>
      <c r="F51">
        <f>Jawa!G13</f>
        <v>53.710953705758016</v>
      </c>
      <c r="G51">
        <f>Jawa!H13</f>
        <v>1376.3865850510283</v>
      </c>
      <c r="H51">
        <f>Jawa!I13</f>
        <v>6609.8466798783911</v>
      </c>
      <c r="I51">
        <f>Jawa!J13</f>
        <v>1685.507026535865</v>
      </c>
      <c r="J51">
        <f>Jawa!K13</f>
        <v>6316.2724329650018</v>
      </c>
      <c r="K51">
        <f>Jawa!L13</f>
        <v>5797.7122733352862</v>
      </c>
      <c r="L51">
        <f>Jawa!M13</f>
        <v>96.365073885961152</v>
      </c>
      <c r="M51">
        <f>Jawa!N13</f>
        <v>7.9408759749190105</v>
      </c>
      <c r="N51">
        <f>Jawa!O13</f>
        <v>18.869583896723704</v>
      </c>
      <c r="O51">
        <f>Jawa!P13</f>
        <v>24.160013316444644</v>
      </c>
      <c r="P51">
        <f>Jawa!Q13</f>
        <v>91416.90171787751</v>
      </c>
    </row>
    <row r="52" spans="1:16" x14ac:dyDescent="0.25">
      <c r="A52" t="str">
        <f>Jawa!B14</f>
        <v>JAWA</v>
      </c>
      <c r="B52">
        <f>Jawa!C14</f>
        <v>2029</v>
      </c>
      <c r="C52">
        <f>Jawa!D14</f>
        <v>25875.696708134146</v>
      </c>
      <c r="D52">
        <f>Jawa!E14</f>
        <v>5308.3070660751973</v>
      </c>
      <c r="E52">
        <f>Jawa!F14</f>
        <v>42194.674697447823</v>
      </c>
      <c r="F52">
        <f>Jawa!G14</f>
        <v>55.211284520983412</v>
      </c>
      <c r="G52">
        <f>Jawa!H14</f>
        <v>1376.3865850510283</v>
      </c>
      <c r="H52">
        <f>Jawa!I14</f>
        <v>6609.8466798783911</v>
      </c>
      <c r="I52">
        <f>Jawa!J14</f>
        <v>1685.507026535865</v>
      </c>
      <c r="J52">
        <f>Jawa!K14</f>
        <v>7049.0910930745567</v>
      </c>
      <c r="K52">
        <f>Jawa!L14</f>
        <v>6954.4418136126287</v>
      </c>
      <c r="L52">
        <f>Jawa!M14</f>
        <v>96.365073885961152</v>
      </c>
      <c r="M52">
        <f>Jawa!N14</f>
        <v>7.9408759749190105</v>
      </c>
      <c r="N52">
        <f>Jawa!O14</f>
        <v>18.869583896723704</v>
      </c>
      <c r="O52">
        <f>Jawa!P14</f>
        <v>25.53565116042331</v>
      </c>
      <c r="P52">
        <f>Jawa!Q14</f>
        <v>97232.338488088237</v>
      </c>
    </row>
    <row r="53" spans="1:16" x14ac:dyDescent="0.25">
      <c r="A53" t="str">
        <f>Jawa!B15</f>
        <v>JAWA</v>
      </c>
      <c r="B53">
        <f>Jawa!C15</f>
        <v>2030</v>
      </c>
      <c r="C53">
        <f>Jawa!D15</f>
        <v>25875.696708134146</v>
      </c>
      <c r="D53">
        <f>Jawa!E15</f>
        <v>5984.5957716961038</v>
      </c>
      <c r="E53">
        <f>Jawa!F15</f>
        <v>46191.971362755939</v>
      </c>
      <c r="F53">
        <f>Jawa!G15</f>
        <v>57.089518658801268</v>
      </c>
      <c r="G53">
        <f>Jawa!H15</f>
        <v>1376.3865850510283</v>
      </c>
      <c r="H53">
        <f>Jawa!I15</f>
        <v>6609.8466798783911</v>
      </c>
      <c r="I53">
        <f>Jawa!J15</f>
        <v>1685.507026535865</v>
      </c>
      <c r="J53">
        <f>Jawa!K15</f>
        <v>7912.1228799532482</v>
      </c>
      <c r="K53">
        <f>Jawa!L15</f>
        <v>8298.2036055338212</v>
      </c>
      <c r="L53">
        <f>Jawa!M15</f>
        <v>96.365073885961152</v>
      </c>
      <c r="M53">
        <f>Jawa!N15</f>
        <v>7.9408759749190105</v>
      </c>
      <c r="N53">
        <f>Jawa!O15</f>
        <v>18.869583896723704</v>
      </c>
      <c r="O53">
        <f>Jawa!P15</f>
        <v>27.157373818497369</v>
      </c>
      <c r="P53">
        <f>Jawa!Q15</f>
        <v>104114.59567195497</v>
      </c>
    </row>
    <row r="54" spans="1:16" x14ac:dyDescent="0.25">
      <c r="A54" t="str">
        <f>Jawa!B16</f>
        <v>JAWA</v>
      </c>
      <c r="B54">
        <f>Jawa!C16</f>
        <v>2031</v>
      </c>
      <c r="C54">
        <f>Jawa!D16</f>
        <v>25875.696708134146</v>
      </c>
      <c r="D54">
        <f>Jawa!E16</f>
        <v>6698.0722484069702</v>
      </c>
      <c r="E54">
        <f>Jawa!F16</f>
        <v>51714.496193200604</v>
      </c>
      <c r="F54">
        <f>Jawa!G16</f>
        <v>59.792714133875677</v>
      </c>
      <c r="G54">
        <f>Jawa!H16</f>
        <v>1376.3865850510283</v>
      </c>
      <c r="H54">
        <f>Jawa!I16</f>
        <v>6609.8466798783911</v>
      </c>
      <c r="I54">
        <f>Jawa!J16</f>
        <v>1685.507026535865</v>
      </c>
      <c r="J54">
        <f>Jawa!K16</f>
        <v>9361.2062960970779</v>
      </c>
      <c r="K54">
        <f>Jawa!L16</f>
        <v>9811.5471114429911</v>
      </c>
      <c r="L54">
        <f>Jawa!M16</f>
        <v>96.365073885961152</v>
      </c>
      <c r="M54">
        <f>Jawa!N16</f>
        <v>7.9408759749190105</v>
      </c>
      <c r="N54">
        <f>Jawa!O16</f>
        <v>18.869583896723704</v>
      </c>
      <c r="O54">
        <f>Jawa!P16</f>
        <v>29.27927767465556</v>
      </c>
      <c r="P54">
        <f>Jawa!Q16</f>
        <v>113315.72709663857</v>
      </c>
    </row>
    <row r="55" spans="1:16" x14ac:dyDescent="0.25">
      <c r="A55" t="str">
        <f>Jawa!B17</f>
        <v>JAWA</v>
      </c>
      <c r="B55">
        <f>Jawa!C17</f>
        <v>2032</v>
      </c>
      <c r="C55">
        <f>Jawa!D17</f>
        <v>25875.698151137447</v>
      </c>
      <c r="D55">
        <f>Jawa!E17</f>
        <v>7451.7761672150655</v>
      </c>
      <c r="E55">
        <f>Jawa!F17</f>
        <v>57840.150322723523</v>
      </c>
      <c r="F55">
        <f>Jawa!G17</f>
        <v>62.73795529068677</v>
      </c>
      <c r="G55">
        <f>Jawa!H17</f>
        <v>1376.3865850510283</v>
      </c>
      <c r="H55">
        <f>Jawa!I17</f>
        <v>6609.8472638696994</v>
      </c>
      <c r="I55">
        <f>Jawa!J17</f>
        <v>1685.507026535865</v>
      </c>
      <c r="J55">
        <f>Jawa!K17</f>
        <v>10999.606062296818</v>
      </c>
      <c r="K55">
        <f>Jawa!L17</f>
        <v>11477.104327317693</v>
      </c>
      <c r="L55">
        <f>Jawa!M17</f>
        <v>96.365073885961152</v>
      </c>
      <c r="M55">
        <f>Jawa!N17</f>
        <v>7.9408759749190105</v>
      </c>
      <c r="N55">
        <f>Jawa!O17</f>
        <v>18.869583896723704</v>
      </c>
      <c r="O55">
        <f>Jawa!P17</f>
        <v>31.627230523650645</v>
      </c>
      <c r="P55">
        <f>Jawa!Q17</f>
        <v>123501.98939519544</v>
      </c>
    </row>
    <row r="56" spans="1:16" x14ac:dyDescent="0.25">
      <c r="A56" t="str">
        <f>Jawa!B18</f>
        <v>JAWA</v>
      </c>
      <c r="B56">
        <f>Jawa!C18</f>
        <v>2033</v>
      </c>
      <c r="C56">
        <f>Jawa!D18</f>
        <v>25875.698151137447</v>
      </c>
      <c r="D56">
        <f>Jawa!E18</f>
        <v>8248.6047095593603</v>
      </c>
      <c r="E56">
        <f>Jawa!F18</f>
        <v>63810.076286442534</v>
      </c>
      <c r="F56">
        <f>Jawa!G18</f>
        <v>65.562745090167851</v>
      </c>
      <c r="G56">
        <f>Jawa!H18</f>
        <v>1376.3865850510283</v>
      </c>
      <c r="H56">
        <f>Jawa!I18</f>
        <v>6609.8472638696994</v>
      </c>
      <c r="I56">
        <f>Jawa!J18</f>
        <v>1685.507026535865</v>
      </c>
      <c r="J56">
        <f>Jawa!K18</f>
        <v>11610.56175222015</v>
      </c>
      <c r="K56">
        <f>Jawa!L18</f>
        <v>13799.896049045952</v>
      </c>
      <c r="L56">
        <f>Jawa!M18</f>
        <v>96.365073885961152</v>
      </c>
      <c r="M56">
        <f>Jawa!N18</f>
        <v>7.9408759749190105</v>
      </c>
      <c r="N56">
        <f>Jawa!O18</f>
        <v>18.869583896723704</v>
      </c>
      <c r="O56">
        <f>Jawa!P18</f>
        <v>33.970677387365861</v>
      </c>
      <c r="P56">
        <f>Jawa!Q18</f>
        <v>133205.31610270982</v>
      </c>
    </row>
    <row r="57" spans="1:16" x14ac:dyDescent="0.25">
      <c r="A57" t="str">
        <f>Jawa!B19</f>
        <v>JAWA</v>
      </c>
      <c r="B57">
        <f>Jawa!C19</f>
        <v>2034</v>
      </c>
      <c r="C57">
        <f>Jawa!D19</f>
        <v>27256.812685380381</v>
      </c>
      <c r="D57">
        <f>Jawa!E19</f>
        <v>9090.5418410765014</v>
      </c>
      <c r="E57">
        <f>Jawa!F19</f>
        <v>67806.514370794423</v>
      </c>
      <c r="F57">
        <f>Jawa!G19</f>
        <v>68.531312182324044</v>
      </c>
      <c r="G57">
        <f>Jawa!H19</f>
        <v>1376.3865850510283</v>
      </c>
      <c r="H57">
        <f>Jawa!I19</f>
        <v>6609.8472638696994</v>
      </c>
      <c r="I57">
        <f>Jawa!J19</f>
        <v>1685.507026535865</v>
      </c>
      <c r="J57">
        <f>Jawa!K19</f>
        <v>13165.468880134005</v>
      </c>
      <c r="K57">
        <f>Jawa!L19</f>
        <v>15790.071789239595</v>
      </c>
      <c r="L57">
        <f>Jawa!M19</f>
        <v>96.365073885961152</v>
      </c>
      <c r="M57">
        <f>Jawa!N19</f>
        <v>7.9408759749190105</v>
      </c>
      <c r="N57">
        <f>Jawa!O19</f>
        <v>18.869584106831478</v>
      </c>
      <c r="O57">
        <f>Jawa!P19</f>
        <v>36.498279711154964</v>
      </c>
      <c r="P57">
        <f>Jawa!Q19</f>
        <v>142972.85728823158</v>
      </c>
    </row>
    <row r="58" spans="1:16" x14ac:dyDescent="0.25">
      <c r="A58" t="str">
        <f>Jawa!B20</f>
        <v>JAWA</v>
      </c>
      <c r="B58">
        <f>Jawa!C20</f>
        <v>2035</v>
      </c>
      <c r="C58">
        <f>Jawa!D20</f>
        <v>28792.705201535817</v>
      </c>
      <c r="D58">
        <f>Jawa!E20</f>
        <v>9980.4704545849327</v>
      </c>
      <c r="E58">
        <f>Jawa!F20</f>
        <v>71592.751283939739</v>
      </c>
      <c r="F58">
        <f>Jawa!G20</f>
        <v>71.451870221092449</v>
      </c>
      <c r="G58">
        <f>Jawa!H20</f>
        <v>1376.3865850510283</v>
      </c>
      <c r="H58">
        <f>Jawa!I20</f>
        <v>6609.8472638696994</v>
      </c>
      <c r="I58">
        <f>Jawa!J20</f>
        <v>1685.507026535865</v>
      </c>
      <c r="J58">
        <f>Jawa!K20</f>
        <v>14888.374672949081</v>
      </c>
      <c r="K58">
        <f>Jawa!L20</f>
        <v>17798.31304879719</v>
      </c>
      <c r="L58">
        <f>Jawa!M20</f>
        <v>96.365073885961152</v>
      </c>
      <c r="M58">
        <f>Jawa!N20</f>
        <v>7.9408759749190105</v>
      </c>
      <c r="N58">
        <f>Jawa!O20</f>
        <v>18.869584300670859</v>
      </c>
      <c r="O58">
        <f>Jawa!P20</f>
        <v>39.093102079760477</v>
      </c>
      <c r="P58">
        <f>Jawa!Q20</f>
        <v>152918.98294164601</v>
      </c>
    </row>
    <row r="59" spans="1:16" x14ac:dyDescent="0.25">
      <c r="A59" t="str">
        <f>Jawa!B21</f>
        <v>JAWA</v>
      </c>
      <c r="B59">
        <f>Jawa!C21</f>
        <v>2036</v>
      </c>
      <c r="C59">
        <f>Jawa!D21</f>
        <v>29937.099545285681</v>
      </c>
      <c r="D59">
        <f>Jawa!E21</f>
        <v>10922.699304584294</v>
      </c>
      <c r="E59">
        <f>Jawa!F21</f>
        <v>74242.355949995457</v>
      </c>
      <c r="F59">
        <f>Jawa!G21</f>
        <v>73.329743347510572</v>
      </c>
      <c r="G59">
        <f>Jawa!H21</f>
        <v>1376.3865850510283</v>
      </c>
      <c r="H59">
        <f>Jawa!I21</f>
        <v>6609.8472638696994</v>
      </c>
      <c r="I59">
        <f>Jawa!J21</f>
        <v>1685.507026535865</v>
      </c>
      <c r="J59">
        <f>Jawa!K21</f>
        <v>16570.634325687723</v>
      </c>
      <c r="K59">
        <f>Jawa!L21</f>
        <v>19341.496668003052</v>
      </c>
      <c r="L59">
        <f>Jawa!M21</f>
        <v>96.365073885961152</v>
      </c>
      <c r="M59">
        <f>Jawa!N21</f>
        <v>7.9408759749190105</v>
      </c>
      <c r="N59">
        <f>Jawa!O21</f>
        <v>18.869584300670859</v>
      </c>
      <c r="O59">
        <f>Jawa!P21</f>
        <v>41.161078638269792</v>
      </c>
      <c r="P59">
        <f>Jawa!Q21</f>
        <v>160882.53194652189</v>
      </c>
    </row>
    <row r="60" spans="1:16" x14ac:dyDescent="0.25">
      <c r="A60" t="str">
        <f>Jawa!B22</f>
        <v>JAWA</v>
      </c>
      <c r="B60">
        <f>Jawa!C22</f>
        <v>2037</v>
      </c>
      <c r="C60">
        <f>Jawa!D22</f>
        <v>30669.624122269928</v>
      </c>
      <c r="D60">
        <f>Jawa!E22</f>
        <v>11920.157674861715</v>
      </c>
      <c r="E60">
        <f>Jawa!F22</f>
        <v>75678.684069769632</v>
      </c>
      <c r="F60">
        <f>Jawa!G22</f>
        <v>74.155042610353263</v>
      </c>
      <c r="G60">
        <f>Jawa!H22</f>
        <v>1376.3865850510283</v>
      </c>
      <c r="H60">
        <f>Jawa!I22</f>
        <v>6609.8472638696994</v>
      </c>
      <c r="I60">
        <f>Jawa!J22</f>
        <v>1685.507026535865</v>
      </c>
      <c r="J60">
        <f>Jawa!K22</f>
        <v>18170.4080849811</v>
      </c>
      <c r="K60">
        <f>Jawa!L22</f>
        <v>20381.306046326376</v>
      </c>
      <c r="L60">
        <f>Jawa!M22</f>
        <v>96.365073885961152</v>
      </c>
      <c r="M60">
        <f>Jawa!N22</f>
        <v>7.9408759749190105</v>
      </c>
      <c r="N60">
        <f>Jawa!O22</f>
        <v>18.869584300670859</v>
      </c>
      <c r="O60">
        <f>Jawa!P22</f>
        <v>42.656922467642673</v>
      </c>
      <c r="P60">
        <f>Jawa!Q22</f>
        <v>166689.25145043727</v>
      </c>
    </row>
    <row r="61" spans="1:16" x14ac:dyDescent="0.25">
      <c r="A61" t="str">
        <f>Jawa!B23</f>
        <v>JAWA</v>
      </c>
      <c r="B61">
        <f>Jawa!C23</f>
        <v>2038</v>
      </c>
      <c r="C61">
        <f>Jawa!D23</f>
        <v>32164.788014545898</v>
      </c>
      <c r="D61">
        <f>Jawa!E23</f>
        <v>12971.40648487715</v>
      </c>
      <c r="E61">
        <f>Jawa!F23</f>
        <v>79295.235112968425</v>
      </c>
      <c r="F61">
        <f>Jawa!G23</f>
        <v>76.771052718490182</v>
      </c>
      <c r="G61">
        <f>Jawa!H23</f>
        <v>1376.3865850510283</v>
      </c>
      <c r="H61">
        <f>Jawa!I23</f>
        <v>6609.8472638696994</v>
      </c>
      <c r="I61">
        <f>Jawa!J23</f>
        <v>2001.8537532846969</v>
      </c>
      <c r="J61">
        <f>Jawa!K23</f>
        <v>20394.898740366141</v>
      </c>
      <c r="K61">
        <f>Jawa!L23</f>
        <v>21686.653023163188</v>
      </c>
      <c r="L61">
        <f>Jawa!M23</f>
        <v>96.365073934563597</v>
      </c>
      <c r="M61">
        <f>Jawa!N23</f>
        <v>7.9408759749190105</v>
      </c>
      <c r="N61">
        <f>Jawa!O23</f>
        <v>18.869584300670859</v>
      </c>
      <c r="O61">
        <f>Jawa!P23</f>
        <v>45.213298283841453</v>
      </c>
      <c r="P61">
        <f>Jawa!Q23</f>
        <v>176701.0155650549</v>
      </c>
    </row>
    <row r="62" spans="1:16" x14ac:dyDescent="0.25">
      <c r="A62" t="str">
        <f>bali_nt!B4</f>
        <v>BALI_NT</v>
      </c>
      <c r="B62">
        <f>bali_nt!C4</f>
        <v>2019</v>
      </c>
      <c r="C62">
        <f>bali_nt!D4</f>
        <v>519.33999999999992</v>
      </c>
      <c r="D62">
        <f>bali_nt!E4</f>
        <v>660.53</v>
      </c>
      <c r="E62">
        <f>bali_nt!F4</f>
        <v>0</v>
      </c>
      <c r="F62">
        <f>bali_nt!G4</f>
        <v>582.04999999999995</v>
      </c>
      <c r="G62">
        <f>bali_nt!H4</f>
        <v>24.6</v>
      </c>
      <c r="H62">
        <f>bali_nt!I4</f>
        <v>7.3000000000000007</v>
      </c>
      <c r="I62">
        <f>bali_nt!J4</f>
        <v>16</v>
      </c>
      <c r="J62">
        <f>bali_nt!K4</f>
        <v>4.13</v>
      </c>
      <c r="K62">
        <f>bali_nt!L4</f>
        <v>0</v>
      </c>
      <c r="L62">
        <f>bali_nt!M4</f>
        <v>0</v>
      </c>
      <c r="M62">
        <f>bali_nt!N4</f>
        <v>0</v>
      </c>
      <c r="N62">
        <f>bali_nt!O4</f>
        <v>0</v>
      </c>
      <c r="O62">
        <f>bali_nt!P4</f>
        <v>0</v>
      </c>
      <c r="P62">
        <f>bali_nt!Q4</f>
        <v>1813.9499999999998</v>
      </c>
    </row>
    <row r="63" spans="1:16" x14ac:dyDescent="0.25">
      <c r="A63" t="str">
        <f>bali_nt!B5</f>
        <v>BALI_NT</v>
      </c>
      <c r="B63">
        <f>bali_nt!C5</f>
        <v>2020</v>
      </c>
      <c r="C63">
        <f>bali_nt!D5</f>
        <v>526.98181339487712</v>
      </c>
      <c r="D63">
        <f>bali_nt!E5</f>
        <v>660.53</v>
      </c>
      <c r="E63">
        <f>bali_nt!F5</f>
        <v>0</v>
      </c>
      <c r="F63">
        <f>bali_nt!G5</f>
        <v>582.04999999999995</v>
      </c>
      <c r="G63">
        <f>bali_nt!H5</f>
        <v>24.6</v>
      </c>
      <c r="H63">
        <f>bali_nt!I5</f>
        <v>7.3000000000000007</v>
      </c>
      <c r="I63">
        <f>bali_nt!J5</f>
        <v>16</v>
      </c>
      <c r="J63">
        <f>bali_nt!K5</f>
        <v>13.265126724862792</v>
      </c>
      <c r="K63">
        <f>bali_nt!L5</f>
        <v>0</v>
      </c>
      <c r="L63">
        <f>bali_nt!M5</f>
        <v>67.751832013396978</v>
      </c>
      <c r="M63">
        <f>bali_nt!N5</f>
        <v>0</v>
      </c>
      <c r="N63">
        <f>bali_nt!O5</f>
        <v>0</v>
      </c>
      <c r="O63">
        <f>bali_nt!P5</f>
        <v>0.54916660682686425</v>
      </c>
      <c r="P63">
        <f>bali_nt!Q5</f>
        <v>1898.4787721331368</v>
      </c>
    </row>
    <row r="64" spans="1:16" x14ac:dyDescent="0.25">
      <c r="A64" t="str">
        <f>bali_nt!B6</f>
        <v>BALI_NT</v>
      </c>
      <c r="B64">
        <f>bali_nt!C6</f>
        <v>2021</v>
      </c>
      <c r="C64">
        <f>bali_nt!D6</f>
        <v>609.44679347290753</v>
      </c>
      <c r="D64">
        <f>bali_nt!E6</f>
        <v>660.53</v>
      </c>
      <c r="E64">
        <f>bali_nt!F6</f>
        <v>0</v>
      </c>
      <c r="F64">
        <f>bali_nt!G6</f>
        <v>582.04999999999995</v>
      </c>
      <c r="G64">
        <f>bali_nt!H6</f>
        <v>165.91549048654986</v>
      </c>
      <c r="H64">
        <f>bali_nt!I6</f>
        <v>7.3000000000000007</v>
      </c>
      <c r="I64">
        <f>bali_nt!J6</f>
        <v>16</v>
      </c>
      <c r="J64">
        <f>bali_nt!K6</f>
        <v>42.053193959489889</v>
      </c>
      <c r="K64">
        <f>bali_nt!L6</f>
        <v>0</v>
      </c>
      <c r="L64">
        <f>bali_nt!M6</f>
        <v>67.751831013396981</v>
      </c>
      <c r="M64">
        <f>bali_nt!N6</f>
        <v>-3.3184666028279741E-7</v>
      </c>
      <c r="N64">
        <f>bali_nt!O6</f>
        <v>0</v>
      </c>
      <c r="O64">
        <f>bali_nt!P6</f>
        <v>0.64689207684542227</v>
      </c>
      <c r="P64">
        <f>bali_nt!Q6</f>
        <v>2151.0473086004972</v>
      </c>
    </row>
    <row r="65" spans="1:16" x14ac:dyDescent="0.25">
      <c r="A65" t="str">
        <f>bali_nt!B7</f>
        <v>BALI_NT</v>
      </c>
      <c r="B65">
        <f>bali_nt!C7</f>
        <v>2022</v>
      </c>
      <c r="C65">
        <f>bali_nt!D7</f>
        <v>665.56556924556082</v>
      </c>
      <c r="D65">
        <f>bali_nt!E7</f>
        <v>660.53</v>
      </c>
      <c r="E65">
        <f>bali_nt!F7</f>
        <v>135.34349871081264</v>
      </c>
      <c r="F65">
        <f>bali_nt!G7</f>
        <v>582.04999899999996</v>
      </c>
      <c r="G65">
        <f>bali_nt!H7</f>
        <v>165.91549048654986</v>
      </c>
      <c r="H65">
        <f>bali_nt!I7</f>
        <v>82.013520341653106</v>
      </c>
      <c r="I65">
        <f>bali_nt!J7</f>
        <v>16</v>
      </c>
      <c r="J65">
        <f>bali_nt!K7</f>
        <v>54.97767017918968</v>
      </c>
      <c r="K65">
        <f>bali_nt!L7</f>
        <v>0</v>
      </c>
      <c r="L65">
        <f>bali_nt!M7</f>
        <v>67.751830013396983</v>
      </c>
      <c r="M65">
        <f>bali_nt!N7</f>
        <v>1.170350923641468E-14</v>
      </c>
      <c r="N65">
        <f>bali_nt!O7</f>
        <v>0</v>
      </c>
      <c r="O65">
        <f>bali_nt!P7</f>
        <v>0.71754670569109402</v>
      </c>
      <c r="P65">
        <f>bali_nt!Q7</f>
        <v>2430.1475779771631</v>
      </c>
    </row>
    <row r="66" spans="1:16" x14ac:dyDescent="0.25">
      <c r="A66" t="str">
        <f>bali_nt!B8</f>
        <v>BALI_NT</v>
      </c>
      <c r="B66">
        <f>bali_nt!C8</f>
        <v>2023</v>
      </c>
      <c r="C66">
        <f>bali_nt!D8</f>
        <v>667.10882560586492</v>
      </c>
      <c r="D66">
        <f>bali_nt!E8</f>
        <v>661.83779435485474</v>
      </c>
      <c r="E66">
        <f>bali_nt!F8</f>
        <v>136.88657022738687</v>
      </c>
      <c r="F66">
        <f>bali_nt!G8</f>
        <v>583.35797209917132</v>
      </c>
      <c r="G66">
        <f>bali_nt!H8</f>
        <v>167.45891044851896</v>
      </c>
      <c r="H66">
        <f>bali_nt!I8</f>
        <v>83.321448215029463</v>
      </c>
      <c r="I66">
        <f>bali_nt!J8</f>
        <v>16.000533454215024</v>
      </c>
      <c r="J66">
        <f>bali_nt!K8</f>
        <v>75.162201149851171</v>
      </c>
      <c r="K66">
        <f>bali_nt!L8</f>
        <v>5.2035956722422984E-5</v>
      </c>
      <c r="L66">
        <f>bali_nt!M8</f>
        <v>69.294879825318858</v>
      </c>
      <c r="M66">
        <f>bali_nt!N8</f>
        <v>5.317879380142801E-5</v>
      </c>
      <c r="N66">
        <f>bali_nt!O8</f>
        <v>0</v>
      </c>
      <c r="O66">
        <f>bali_nt!P8</f>
        <v>0.72509107136756912</v>
      </c>
      <c r="P66">
        <f>bali_nt!Q8</f>
        <v>2460.4292405949614</v>
      </c>
    </row>
    <row r="67" spans="1:16" x14ac:dyDescent="0.25">
      <c r="A67" t="str">
        <f>bali_nt!B9</f>
        <v>BALI_NT</v>
      </c>
      <c r="B67">
        <f>bali_nt!C9</f>
        <v>2024</v>
      </c>
      <c r="C67">
        <f>bali_nt!D9</f>
        <v>667.10882560586492</v>
      </c>
      <c r="D67">
        <f>bali_nt!E9</f>
        <v>661.83779435485474</v>
      </c>
      <c r="E67">
        <f>bali_nt!F9</f>
        <v>136.88657022738687</v>
      </c>
      <c r="F67">
        <f>bali_nt!G9</f>
        <v>583.35797209917132</v>
      </c>
      <c r="G67">
        <f>bali_nt!H9</f>
        <v>167.45891044851896</v>
      </c>
      <c r="H67">
        <f>bali_nt!I9</f>
        <v>83.321447215029465</v>
      </c>
      <c r="I67">
        <f>bali_nt!J9</f>
        <v>16.000533454215024</v>
      </c>
      <c r="J67">
        <f>bali_nt!K9</f>
        <v>75.162201149851171</v>
      </c>
      <c r="K67">
        <f>bali_nt!L9</f>
        <v>5.2035956722422984E-5</v>
      </c>
      <c r="L67">
        <f>bali_nt!M9</f>
        <v>159.37685585258927</v>
      </c>
      <c r="M67">
        <f>bali_nt!N9</f>
        <v>5.317879380142801E-5</v>
      </c>
      <c r="N67">
        <f>bali_nt!O9</f>
        <v>0</v>
      </c>
      <c r="O67">
        <f>bali_nt!P9</f>
        <v>0.74065483751788674</v>
      </c>
      <c r="P67">
        <f>bali_nt!Q9</f>
        <v>2550.5112156222322</v>
      </c>
    </row>
    <row r="68" spans="1:16" x14ac:dyDescent="0.25">
      <c r="A68" t="str">
        <f>bali_nt!B10</f>
        <v>BALI_NT</v>
      </c>
      <c r="B68">
        <f>bali_nt!C10</f>
        <v>2025</v>
      </c>
      <c r="C68">
        <f>bali_nt!D10</f>
        <v>668.34439598994732</v>
      </c>
      <c r="D68">
        <f>bali_nt!E10</f>
        <v>661.83779435485474</v>
      </c>
      <c r="E68">
        <f>bali_nt!F10</f>
        <v>143.87529637658335</v>
      </c>
      <c r="F68">
        <f>bali_nt!G10</f>
        <v>583.35797209917132</v>
      </c>
      <c r="G68">
        <f>bali_nt!H10</f>
        <v>167.45891044851896</v>
      </c>
      <c r="H68">
        <f>bali_nt!I10</f>
        <v>83.321447215029465</v>
      </c>
      <c r="I68">
        <f>bali_nt!J10</f>
        <v>16.000533454215024</v>
      </c>
      <c r="J68">
        <f>bali_nt!K10</f>
        <v>80.013284880550501</v>
      </c>
      <c r="K68">
        <f>bali_nt!L10</f>
        <v>5.2035956722422984E-5</v>
      </c>
      <c r="L68">
        <f>bali_nt!M10</f>
        <v>228.94065003905723</v>
      </c>
      <c r="M68">
        <f>bali_nt!N10</f>
        <v>5.317879380142801E-5</v>
      </c>
      <c r="N68">
        <f>bali_nt!O10</f>
        <v>0</v>
      </c>
      <c r="O68">
        <f>bali_nt!P10</f>
        <v>0.75554293863265753</v>
      </c>
      <c r="P68">
        <f>bali_nt!Q10</f>
        <v>2633.1503900726784</v>
      </c>
    </row>
    <row r="69" spans="1:16" x14ac:dyDescent="0.25">
      <c r="A69" t="str">
        <f>bali_nt!B11</f>
        <v>BALI_NT</v>
      </c>
      <c r="B69">
        <f>bali_nt!C11</f>
        <v>2026</v>
      </c>
      <c r="C69">
        <f>bali_nt!D11</f>
        <v>670.52581068130507</v>
      </c>
      <c r="D69">
        <f>bali_nt!E11</f>
        <v>661.83779435485474</v>
      </c>
      <c r="E69">
        <f>bali_nt!F11</f>
        <v>143.87529537658335</v>
      </c>
      <c r="F69">
        <f>bali_nt!G11</f>
        <v>583.35797209917132</v>
      </c>
      <c r="G69">
        <f>bali_nt!H11</f>
        <v>167.45890944851897</v>
      </c>
      <c r="H69">
        <f>bali_nt!I11</f>
        <v>83.321447215029465</v>
      </c>
      <c r="I69">
        <f>bali_nt!J11</f>
        <v>16.000533454215024</v>
      </c>
      <c r="J69">
        <f>bali_nt!K11</f>
        <v>87.619180459110837</v>
      </c>
      <c r="K69">
        <f>bali_nt!L11</f>
        <v>5.2038182450900788E-5</v>
      </c>
      <c r="L69">
        <f>bali_nt!M11</f>
        <v>262.34465515129455</v>
      </c>
      <c r="M69">
        <f>bali_nt!N11</f>
        <v>5.3180980141599158E-5</v>
      </c>
      <c r="N69">
        <f>bali_nt!O11</f>
        <v>0</v>
      </c>
      <c r="O69">
        <f>bali_nt!P11</f>
        <v>0.76379720783778904</v>
      </c>
      <c r="P69">
        <f>bali_nt!Q11</f>
        <v>2676.3417034592458</v>
      </c>
    </row>
    <row r="70" spans="1:16" x14ac:dyDescent="0.25">
      <c r="A70" t="str">
        <f>bali_nt!B12</f>
        <v>BALI_NT</v>
      </c>
      <c r="B70">
        <f>bali_nt!C12</f>
        <v>2027</v>
      </c>
      <c r="C70">
        <f>bali_nt!D12</f>
        <v>676.95209603889077</v>
      </c>
      <c r="D70">
        <f>bali_nt!E12</f>
        <v>661.83779435485474</v>
      </c>
      <c r="E70">
        <f>bali_nt!F12</f>
        <v>143.87529537658335</v>
      </c>
      <c r="F70">
        <f>bali_nt!G12</f>
        <v>583.35797209917132</v>
      </c>
      <c r="G70">
        <f>bali_nt!H12</f>
        <v>167.45890944851897</v>
      </c>
      <c r="H70">
        <f>bali_nt!I12</f>
        <v>83.321447215029465</v>
      </c>
      <c r="I70">
        <f>bali_nt!J12</f>
        <v>16.000533454215024</v>
      </c>
      <c r="J70">
        <f>bali_nt!K12</f>
        <v>97.744629749294646</v>
      </c>
      <c r="K70">
        <f>bali_nt!L12</f>
        <v>5.2052906467852625E-5</v>
      </c>
      <c r="L70">
        <f>bali_nt!M12</f>
        <v>314.07858656359127</v>
      </c>
      <c r="M70">
        <f>bali_nt!N12</f>
        <v>5.3195448399464987E-5</v>
      </c>
      <c r="N70">
        <f>bali_nt!O12</f>
        <v>0</v>
      </c>
      <c r="O70">
        <f>bali_nt!P12</f>
        <v>0.77722241977811379</v>
      </c>
      <c r="P70">
        <f>bali_nt!Q12</f>
        <v>2744.6273695485047</v>
      </c>
    </row>
    <row r="71" spans="1:16" x14ac:dyDescent="0.25">
      <c r="A71" t="str">
        <f>bali_nt!B13</f>
        <v>BALI_NT</v>
      </c>
      <c r="B71">
        <f>bali_nt!C13</f>
        <v>2028</v>
      </c>
      <c r="C71">
        <f>bali_nt!D13</f>
        <v>691.35504298344108</v>
      </c>
      <c r="D71">
        <f>bali_nt!E13</f>
        <v>661.83779335485474</v>
      </c>
      <c r="E71">
        <f>bali_nt!F13</f>
        <v>228.22546145589365</v>
      </c>
      <c r="F71">
        <f>bali_nt!G13</f>
        <v>583.35797209917132</v>
      </c>
      <c r="G71">
        <f>bali_nt!H13</f>
        <v>167.45890944851897</v>
      </c>
      <c r="H71">
        <f>bali_nt!I13</f>
        <v>83.321447215029465</v>
      </c>
      <c r="I71">
        <f>bali_nt!J13</f>
        <v>16.000533454215024</v>
      </c>
      <c r="J71">
        <f>bali_nt!K13</f>
        <v>103.02843603759182</v>
      </c>
      <c r="K71">
        <f>bali_nt!L13</f>
        <v>5.2091339198897594E-5</v>
      </c>
      <c r="L71">
        <f>bali_nt!M13</f>
        <v>314.07858656359127</v>
      </c>
      <c r="M71">
        <f>bali_nt!N13</f>
        <v>5.3233198038977954E-5</v>
      </c>
      <c r="N71">
        <f>bali_nt!O13</f>
        <v>0</v>
      </c>
      <c r="O71">
        <f>bali_nt!P13</f>
        <v>0.79941850986430285</v>
      </c>
      <c r="P71">
        <f>bali_nt!Q13</f>
        <v>2848.6642879368446</v>
      </c>
    </row>
    <row r="72" spans="1:16" x14ac:dyDescent="0.25">
      <c r="A72" t="str">
        <f>bali_nt!B14</f>
        <v>BALI_NT</v>
      </c>
      <c r="B72">
        <f>bali_nt!C14</f>
        <v>2029</v>
      </c>
      <c r="C72">
        <f>bali_nt!D14</f>
        <v>707.72782015254938</v>
      </c>
      <c r="D72">
        <f>bali_nt!E14</f>
        <v>661.83779235485474</v>
      </c>
      <c r="E72">
        <f>bali_nt!F14</f>
        <v>228.22546145589365</v>
      </c>
      <c r="F72">
        <f>bali_nt!G14</f>
        <v>583.35797209917132</v>
      </c>
      <c r="G72">
        <f>bali_nt!H14</f>
        <v>167.45890944851897</v>
      </c>
      <c r="H72">
        <f>bali_nt!I14</f>
        <v>83.321447215029465</v>
      </c>
      <c r="I72">
        <f>bali_nt!J14</f>
        <v>16.000533454215024</v>
      </c>
      <c r="J72">
        <f>bali_nt!K14</f>
        <v>119.77247299531615</v>
      </c>
      <c r="K72">
        <f>bali_nt!L14</f>
        <v>5.2139130109608373E-5</v>
      </c>
      <c r="L72">
        <f>bali_nt!M14</f>
        <v>410.09181299509174</v>
      </c>
      <c r="M72">
        <f>bali_nt!N14</f>
        <v>5.3280128434109801E-5</v>
      </c>
      <c r="N72">
        <f>bali_nt!O14</f>
        <v>0</v>
      </c>
      <c r="O72">
        <f>bali_nt!P14</f>
        <v>0.82535436307765364</v>
      </c>
      <c r="P72">
        <f>bali_nt!Q14</f>
        <v>2977.7943275898992</v>
      </c>
    </row>
    <row r="73" spans="1:16" x14ac:dyDescent="0.25">
      <c r="A73" t="str">
        <f>bali_nt!B15</f>
        <v>BALI_NT</v>
      </c>
      <c r="B73">
        <f>bali_nt!C15</f>
        <v>2030</v>
      </c>
      <c r="C73">
        <f>bali_nt!D15</f>
        <v>778.67546995955411</v>
      </c>
      <c r="D73">
        <f>bali_nt!E15</f>
        <v>661.83779135485474</v>
      </c>
      <c r="E73">
        <f>bali_nt!F15</f>
        <v>414.74093947909591</v>
      </c>
      <c r="F73">
        <f>bali_nt!G15</f>
        <v>583.35797209917132</v>
      </c>
      <c r="G73">
        <f>bali_nt!H15</f>
        <v>167.45890944851897</v>
      </c>
      <c r="H73">
        <f>bali_nt!I15</f>
        <v>164.96970948045194</v>
      </c>
      <c r="I73">
        <f>bali_nt!J15</f>
        <v>16.000533454215024</v>
      </c>
      <c r="J73">
        <f>bali_nt!K15</f>
        <v>144.07619316335166</v>
      </c>
      <c r="K73">
        <f>bali_nt!L15</f>
        <v>5.2139130109608373E-5</v>
      </c>
      <c r="L73">
        <f>bali_nt!M15</f>
        <v>410.09181299509174</v>
      </c>
      <c r="M73">
        <f>bali_nt!N15</f>
        <v>5.3280128434109801E-5</v>
      </c>
      <c r="N73">
        <f>bali_nt!O15</f>
        <v>0</v>
      </c>
      <c r="O73">
        <f>bali_nt!P15</f>
        <v>0.9155292830834989</v>
      </c>
      <c r="P73">
        <f>bali_nt!Q15</f>
        <v>3341.2094368535641</v>
      </c>
    </row>
    <row r="74" spans="1:16" x14ac:dyDescent="0.25">
      <c r="A74" t="str">
        <f>bali_nt!B16</f>
        <v>BALI_NT</v>
      </c>
      <c r="B74">
        <f>bali_nt!C16</f>
        <v>2031</v>
      </c>
      <c r="C74">
        <f>bali_nt!D16</f>
        <v>861.61534671684569</v>
      </c>
      <c r="D74">
        <f>bali_nt!E16</f>
        <v>661.83779035485475</v>
      </c>
      <c r="E74">
        <f>bali_nt!F16</f>
        <v>583.02644715457564</v>
      </c>
      <c r="F74">
        <f>bali_nt!G16</f>
        <v>583.35797109917132</v>
      </c>
      <c r="G74">
        <f>bali_nt!H16</f>
        <v>167.45890844851897</v>
      </c>
      <c r="H74">
        <f>bali_nt!I16</f>
        <v>289.3036830031856</v>
      </c>
      <c r="I74">
        <f>bali_nt!J16</f>
        <v>16.000533454215024</v>
      </c>
      <c r="J74">
        <f>bali_nt!K16</f>
        <v>180.51515357858528</v>
      </c>
      <c r="K74">
        <f>bali_nt!L16</f>
        <v>5.2139130109608373E-5</v>
      </c>
      <c r="L74">
        <f>bali_nt!M16</f>
        <v>410.09181299509174</v>
      </c>
      <c r="M74">
        <f>bali_nt!N16</f>
        <v>5.3280128434109801E-5</v>
      </c>
      <c r="N74">
        <f>bali_nt!O16</f>
        <v>0</v>
      </c>
      <c r="O74">
        <f>bali_nt!P16</f>
        <v>1.0221393529078284</v>
      </c>
      <c r="P74">
        <f>bali_nt!Q16</f>
        <v>3753.2077522243026</v>
      </c>
    </row>
    <row r="75" spans="1:16" x14ac:dyDescent="0.25">
      <c r="A75" t="str">
        <f>bali_nt!B17</f>
        <v>BALI_NT</v>
      </c>
      <c r="B75">
        <f>bali_nt!C17</f>
        <v>2032</v>
      </c>
      <c r="C75">
        <f>bali_nt!D17</f>
        <v>900.43925229137517</v>
      </c>
      <c r="D75">
        <f>bali_nt!E17</f>
        <v>842.49874955332814</v>
      </c>
      <c r="E75">
        <f>bali_nt!F17</f>
        <v>583.02644715457564</v>
      </c>
      <c r="F75">
        <f>bali_nt!G17</f>
        <v>583.35797009917133</v>
      </c>
      <c r="G75">
        <f>bali_nt!H17</f>
        <v>167.45890844851897</v>
      </c>
      <c r="H75">
        <f>bali_nt!I17</f>
        <v>289.3036830031856</v>
      </c>
      <c r="I75">
        <f>bali_nt!J17</f>
        <v>16.000533454215024</v>
      </c>
      <c r="J75">
        <f>bali_nt!K17</f>
        <v>191.09727433806026</v>
      </c>
      <c r="K75">
        <f>bali_nt!L17</f>
        <v>5.2139130109608373E-5</v>
      </c>
      <c r="L75">
        <f>bali_nt!M17</f>
        <v>414.86299431813438</v>
      </c>
      <c r="M75">
        <f>bali_nt!N17</f>
        <v>5.3280128434109801E-5</v>
      </c>
      <c r="N75">
        <f>bali_nt!O17</f>
        <v>0</v>
      </c>
      <c r="O75">
        <f>bali_nt!P17</f>
        <v>1.0757825568100983</v>
      </c>
      <c r="P75">
        <f>bali_nt!Q17</f>
        <v>3988.045918079823</v>
      </c>
    </row>
    <row r="76" spans="1:16" x14ac:dyDescent="0.25">
      <c r="A76" t="str">
        <f>bali_nt!B18</f>
        <v>BALI_NT</v>
      </c>
      <c r="B76">
        <f>bali_nt!C18</f>
        <v>2033</v>
      </c>
      <c r="C76">
        <f>bali_nt!D18</f>
        <v>911.53687542546015</v>
      </c>
      <c r="D76">
        <f>bali_nt!E18</f>
        <v>882.11038590792498</v>
      </c>
      <c r="E76">
        <f>bali_nt!F18</f>
        <v>583.02644715457564</v>
      </c>
      <c r="F76">
        <f>bali_nt!G18</f>
        <v>583.35797009917133</v>
      </c>
      <c r="G76">
        <f>bali_nt!H18</f>
        <v>167.45890844851897</v>
      </c>
      <c r="H76">
        <f>bali_nt!I18</f>
        <v>289.3036830031856</v>
      </c>
      <c r="I76">
        <f>bali_nt!J18</f>
        <v>16.000533454215024</v>
      </c>
      <c r="J76">
        <f>bali_nt!K18</f>
        <v>207.14920501312872</v>
      </c>
      <c r="K76">
        <f>bali_nt!L18</f>
        <v>5.2139130109608373E-5</v>
      </c>
      <c r="L76">
        <f>bali_nt!M18</f>
        <v>452.99643395457781</v>
      </c>
      <c r="M76">
        <f>bali_nt!N18</f>
        <v>5.3280128434109801E-5</v>
      </c>
      <c r="N76">
        <f>bali_nt!O18</f>
        <v>0</v>
      </c>
      <c r="O76">
        <f>bali_nt!P18</f>
        <v>1.0979808323884659</v>
      </c>
      <c r="P76">
        <f>bali_nt!Q18</f>
        <v>4092.9405478800163</v>
      </c>
    </row>
    <row r="77" spans="1:16" x14ac:dyDescent="0.25">
      <c r="A77" t="str">
        <f>bali_nt!B19</f>
        <v>BALI_NT</v>
      </c>
      <c r="B77">
        <f>bali_nt!C19</f>
        <v>2034</v>
      </c>
      <c r="C77">
        <f>bali_nt!D19</f>
        <v>954.14189684335497</v>
      </c>
      <c r="D77">
        <f>bali_nt!E19</f>
        <v>907.2568609640756</v>
      </c>
      <c r="E77">
        <f>bali_nt!F19</f>
        <v>688.99132783722177</v>
      </c>
      <c r="F77">
        <f>bali_nt!G19</f>
        <v>583.35796909917133</v>
      </c>
      <c r="G77">
        <f>bali_nt!H19</f>
        <v>167.45890744851897</v>
      </c>
      <c r="H77">
        <f>bali_nt!I19</f>
        <v>289.3036820031856</v>
      </c>
      <c r="I77">
        <f>bali_nt!J19</f>
        <v>16.000533454215024</v>
      </c>
      <c r="J77">
        <f>bali_nt!K19</f>
        <v>232.15815735711266</v>
      </c>
      <c r="K77">
        <f>bali_nt!L19</f>
        <v>5.2139130109608373E-5</v>
      </c>
      <c r="L77">
        <f>bali_nt!M19</f>
        <v>541.86806371671446</v>
      </c>
      <c r="M77">
        <f>bali_nt!N19</f>
        <v>5.3310995262677424E-5</v>
      </c>
      <c r="N77">
        <f>bali_nt!O19</f>
        <v>0</v>
      </c>
      <c r="O77">
        <f>bali_nt!P19</f>
        <v>1.158871377551562</v>
      </c>
      <c r="P77">
        <f>bali_nt!Q19</f>
        <v>4380.5375041736961</v>
      </c>
    </row>
    <row r="78" spans="1:16" x14ac:dyDescent="0.25">
      <c r="A78" t="str">
        <f>bali_nt!B20</f>
        <v>BALI_NT</v>
      </c>
      <c r="B78">
        <f>bali_nt!C20</f>
        <v>2035</v>
      </c>
      <c r="C78">
        <f>bali_nt!D20</f>
        <v>964.69756841837636</v>
      </c>
      <c r="D78">
        <f>bali_nt!E20</f>
        <v>946.63485250340818</v>
      </c>
      <c r="E78">
        <f>bali_nt!F20</f>
        <v>688.99132783722177</v>
      </c>
      <c r="F78">
        <f>bali_nt!G20</f>
        <v>583.35796909917133</v>
      </c>
      <c r="G78">
        <f>bali_nt!H20</f>
        <v>167.45890644851897</v>
      </c>
      <c r="H78">
        <f>bali_nt!I20</f>
        <v>289.3036810031856</v>
      </c>
      <c r="I78">
        <f>bali_nt!J20</f>
        <v>16.000533454215024</v>
      </c>
      <c r="J78">
        <f>bali_nt!K20</f>
        <v>251.2922697260895</v>
      </c>
      <c r="K78">
        <f>bali_nt!L20</f>
        <v>5.2139130109608373E-5</v>
      </c>
      <c r="L78">
        <f>bali_nt!M20</f>
        <v>580.26434952605416</v>
      </c>
      <c r="M78">
        <f>bali_nt!N20</f>
        <v>5.3310995262677424E-5</v>
      </c>
      <c r="N78">
        <f>bali_nt!O20</f>
        <v>0</v>
      </c>
      <c r="O78">
        <f>bali_nt!P20</f>
        <v>1.1815946088842875</v>
      </c>
      <c r="P78">
        <f>bali_nt!Q20</f>
        <v>4488.0015634663669</v>
      </c>
    </row>
    <row r="79" spans="1:16" x14ac:dyDescent="0.25">
      <c r="A79" t="str">
        <f>bali_nt!B21</f>
        <v>BALI_NT</v>
      </c>
      <c r="B79">
        <f>bali_nt!C21</f>
        <v>2036</v>
      </c>
      <c r="C79">
        <f>bali_nt!D21</f>
        <v>1086.7992209014856</v>
      </c>
      <c r="D79">
        <f>bali_nt!E21</f>
        <v>946.63485150340819</v>
      </c>
      <c r="E79">
        <f>bali_nt!F21</f>
        <v>831.04739483844855</v>
      </c>
      <c r="F79">
        <f>bali_nt!G21</f>
        <v>583.35796809917133</v>
      </c>
      <c r="G79">
        <f>bali_nt!H21</f>
        <v>220.20944823053446</v>
      </c>
      <c r="H79">
        <f>bali_nt!I21</f>
        <v>460.30184050159176</v>
      </c>
      <c r="I79">
        <f>bali_nt!J21</f>
        <v>16.000533454215024</v>
      </c>
      <c r="J79">
        <f>bali_nt!K21</f>
        <v>340.09728461065691</v>
      </c>
      <c r="K79">
        <f>bali_nt!L21</f>
        <v>5.2139130109608373E-5</v>
      </c>
      <c r="L79">
        <f>bali_nt!M21</f>
        <v>580.26434952605416</v>
      </c>
      <c r="M79">
        <f>bali_nt!N21</f>
        <v>5.2310995262704179E-5</v>
      </c>
      <c r="N79">
        <f>bali_nt!O21</f>
        <v>0</v>
      </c>
      <c r="O79">
        <f>bali_nt!P21</f>
        <v>1.3463859869778416</v>
      </c>
      <c r="P79">
        <f>bali_nt!Q21</f>
        <v>5064.7129961156925</v>
      </c>
    </row>
    <row r="80" spans="1:16" x14ac:dyDescent="0.25">
      <c r="A80" t="str">
        <f>bali_nt!B22</f>
        <v>BALI_NT</v>
      </c>
      <c r="B80">
        <f>bali_nt!C22</f>
        <v>2037</v>
      </c>
      <c r="C80">
        <f>bali_nt!D22</f>
        <v>1196.8519804466505</v>
      </c>
      <c r="D80">
        <f>bali_nt!E22</f>
        <v>946.63485150340819</v>
      </c>
      <c r="E80">
        <f>bali_nt!F22</f>
        <v>1068.4908574703591</v>
      </c>
      <c r="F80">
        <f>bali_nt!G22</f>
        <v>583.35796709917133</v>
      </c>
      <c r="G80">
        <f>bali_nt!H22</f>
        <v>276.73880144377438</v>
      </c>
      <c r="H80">
        <f>bali_nt!I22</f>
        <v>545.80092025079534</v>
      </c>
      <c r="I80">
        <f>bali_nt!J22</f>
        <v>16.000533454215024</v>
      </c>
      <c r="J80">
        <f>bali_nt!K22</f>
        <v>412.80945399061636</v>
      </c>
      <c r="K80">
        <f>bali_nt!L22</f>
        <v>5.2139130109608373E-5</v>
      </c>
      <c r="L80">
        <f>bali_nt!M22</f>
        <v>580.26434952605416</v>
      </c>
      <c r="M80">
        <f>bali_nt!N22</f>
        <v>5.2310995262704179E-5</v>
      </c>
      <c r="N80">
        <f>bali_nt!O22</f>
        <v>0</v>
      </c>
      <c r="O80">
        <f>bali_nt!P22</f>
        <v>1.4971318629761103</v>
      </c>
      <c r="P80">
        <f>bali_nt!Q22</f>
        <v>5626.9498196351697</v>
      </c>
    </row>
    <row r="81" spans="1:16" x14ac:dyDescent="0.25">
      <c r="A81" t="str">
        <f>bali_nt!B23</f>
        <v>BALI_NT</v>
      </c>
      <c r="B81">
        <f>bali_nt!C23</f>
        <v>2038</v>
      </c>
      <c r="C81">
        <f>bali_nt!D23</f>
        <v>1313.0788502751313</v>
      </c>
      <c r="D81">
        <f>bali_nt!E23</f>
        <v>946.63485050340819</v>
      </c>
      <c r="E81">
        <f>bali_nt!F23</f>
        <v>1326.9224995024756</v>
      </c>
      <c r="F81">
        <f>bali_nt!G23</f>
        <v>583.35796609917134</v>
      </c>
      <c r="G81">
        <f>bali_nt!H23</f>
        <v>367.65617345570899</v>
      </c>
      <c r="H81">
        <f>bali_nt!I23</f>
        <v>588.55046012539765</v>
      </c>
      <c r="I81">
        <f>bali_nt!J23</f>
        <v>16.000533454215024</v>
      </c>
      <c r="J81">
        <f>bali_nt!K23</f>
        <v>495.36357741744956</v>
      </c>
      <c r="K81">
        <f>bali_nt!L23</f>
        <v>5.2139130109608373E-5</v>
      </c>
      <c r="L81">
        <f>bali_nt!M23</f>
        <v>580.26434952605416</v>
      </c>
      <c r="M81">
        <f>bali_nt!N23</f>
        <v>5.2310995262704179E-5</v>
      </c>
      <c r="N81">
        <f>bali_nt!O23</f>
        <v>0</v>
      </c>
      <c r="O81">
        <f>bali_nt!P23</f>
        <v>1.6585412935208683</v>
      </c>
      <c r="P81">
        <f>bali_nt!Q23</f>
        <v>6217.8293648091385</v>
      </c>
    </row>
    <row r="82" spans="1:16" x14ac:dyDescent="0.25">
      <c r="A82" t="str">
        <f>kalimantan!B4</f>
        <v>KALIMANTAN</v>
      </c>
      <c r="B82">
        <f>kalimantan!C4</f>
        <v>2019</v>
      </c>
      <c r="C82">
        <f>kalimantan!D4</f>
        <v>2450.5</v>
      </c>
      <c r="D82">
        <f>kalimantan!E4</f>
        <v>535.03</v>
      </c>
      <c r="E82">
        <f>kalimantan!F4</f>
        <v>60</v>
      </c>
      <c r="F82">
        <f>kalimantan!G4</f>
        <v>1724.67</v>
      </c>
      <c r="G82">
        <f>kalimantan!H4</f>
        <v>0</v>
      </c>
      <c r="H82">
        <f>kalimantan!I4</f>
        <v>264.27</v>
      </c>
      <c r="I82">
        <f>kalimantan!J4</f>
        <v>3.46</v>
      </c>
      <c r="J82">
        <f>kalimantan!K4</f>
        <v>0.61</v>
      </c>
      <c r="K82">
        <f>kalimantan!L4</f>
        <v>0</v>
      </c>
      <c r="L82">
        <f>kalimantan!M4</f>
        <v>97.75</v>
      </c>
      <c r="M82">
        <f>kalimantan!N4</f>
        <v>0</v>
      </c>
      <c r="N82">
        <f>kalimantan!O4</f>
        <v>0</v>
      </c>
      <c r="O82">
        <f>kalimantan!P4</f>
        <v>0</v>
      </c>
      <c r="P82">
        <f>kalimantan!Q4</f>
        <v>5136.2899999999991</v>
      </c>
    </row>
    <row r="83" spans="1:16" x14ac:dyDescent="0.25">
      <c r="A83" t="str">
        <f>kalimantan!B5</f>
        <v>KALIMANTAN</v>
      </c>
      <c r="B83">
        <f>kalimantan!C5</f>
        <v>2020</v>
      </c>
      <c r="C83">
        <f>kalimantan!D5</f>
        <v>2662.3808579283627</v>
      </c>
      <c r="D83">
        <f>kalimantan!E5</f>
        <v>535.02999899999998</v>
      </c>
      <c r="E83">
        <f>kalimantan!F5</f>
        <v>265.29592514176716</v>
      </c>
      <c r="F83">
        <f>kalimantan!G5</f>
        <v>1724.67</v>
      </c>
      <c r="G83">
        <f>kalimantan!H5</f>
        <v>0</v>
      </c>
      <c r="H83">
        <f>kalimantan!I5</f>
        <v>285.23611630559105</v>
      </c>
      <c r="I83">
        <f>kalimantan!J5</f>
        <v>92.384537253633354</v>
      </c>
      <c r="J83">
        <f>kalimantan!K5</f>
        <v>914.83909941933075</v>
      </c>
      <c r="K83">
        <f>kalimantan!L5</f>
        <v>0</v>
      </c>
      <c r="L83">
        <f>kalimantan!M5</f>
        <v>97.75</v>
      </c>
      <c r="M83">
        <f>kalimantan!N5</f>
        <v>0</v>
      </c>
      <c r="N83">
        <f>kalimantan!O5</f>
        <v>0</v>
      </c>
      <c r="O83">
        <f>kalimantan!P5</f>
        <v>2.0036432425816071</v>
      </c>
      <c r="P83">
        <f>kalimantan!Q5</f>
        <v>6577.5865350486847</v>
      </c>
    </row>
    <row r="84" spans="1:16" x14ac:dyDescent="0.25">
      <c r="A84" t="str">
        <f>kalimantan!B6</f>
        <v>KALIMANTAN</v>
      </c>
      <c r="B84">
        <f>kalimantan!C6</f>
        <v>2021</v>
      </c>
      <c r="C84">
        <f>kalimantan!D6</f>
        <v>2783.5640594033612</v>
      </c>
      <c r="D84">
        <f>kalimantan!E6</f>
        <v>535.02999799999998</v>
      </c>
      <c r="E84">
        <f>kalimantan!F6</f>
        <v>929.59253869125041</v>
      </c>
      <c r="F84">
        <f>kalimantan!G6</f>
        <v>1724.67</v>
      </c>
      <c r="G84">
        <f>kalimantan!H6</f>
        <v>0</v>
      </c>
      <c r="H84">
        <f>kalimantan!I6</f>
        <v>493.6241890523454</v>
      </c>
      <c r="I84">
        <f>kalimantan!J6</f>
        <v>115.16362188578105</v>
      </c>
      <c r="J84">
        <f>kalimantan!K6</f>
        <v>914.83909941933075</v>
      </c>
      <c r="K84">
        <f>kalimantan!L6</f>
        <v>0</v>
      </c>
      <c r="L84">
        <f>kalimantan!M6</f>
        <v>97.75</v>
      </c>
      <c r="M84">
        <f>kalimantan!N6</f>
        <v>0</v>
      </c>
      <c r="N84">
        <f>kalimantan!O6</f>
        <v>0</v>
      </c>
      <c r="O84">
        <f>kalimantan!P6</f>
        <v>2.2447885097933535</v>
      </c>
      <c r="P84">
        <f>kalimantan!Q6</f>
        <v>7594.2335064520685</v>
      </c>
    </row>
    <row r="85" spans="1:16" x14ac:dyDescent="0.25">
      <c r="A85" t="str">
        <f>kalimantan!B7</f>
        <v>KALIMANTAN</v>
      </c>
      <c r="B85">
        <f>kalimantan!C7</f>
        <v>2022</v>
      </c>
      <c r="C85">
        <f>kalimantan!D7</f>
        <v>2896.9232248207077</v>
      </c>
      <c r="D85">
        <f>kalimantan!E7</f>
        <v>535.02999699999998</v>
      </c>
      <c r="E85">
        <f>kalimantan!F7</f>
        <v>1706.0721774177355</v>
      </c>
      <c r="F85">
        <f>kalimantan!G7</f>
        <v>1724.67</v>
      </c>
      <c r="G85">
        <f>kalimantan!H7</f>
        <v>0</v>
      </c>
      <c r="H85">
        <f>kalimantan!I7</f>
        <v>515.31738292402338</v>
      </c>
      <c r="I85">
        <f>kalimantan!J7</f>
        <v>115.16362088578106</v>
      </c>
      <c r="J85">
        <f>kalimantan!K7</f>
        <v>1556.3627599379756</v>
      </c>
      <c r="K85">
        <f>kalimantan!L7</f>
        <v>0</v>
      </c>
      <c r="L85">
        <f>kalimantan!M7</f>
        <v>97.75</v>
      </c>
      <c r="M85">
        <f>kalimantan!N7</f>
        <v>0</v>
      </c>
      <c r="N85">
        <f>kalimantan!O7</f>
        <v>0</v>
      </c>
      <c r="O85">
        <f>kalimantan!P7</f>
        <v>2.5858333784873464</v>
      </c>
      <c r="P85">
        <f>kalimantan!Q7</f>
        <v>9147.2891629862224</v>
      </c>
    </row>
    <row r="86" spans="1:16" x14ac:dyDescent="0.25">
      <c r="A86" t="str">
        <f>kalimantan!B8</f>
        <v>KALIMANTAN</v>
      </c>
      <c r="B86">
        <f>kalimantan!C8</f>
        <v>2023</v>
      </c>
      <c r="C86">
        <f>kalimantan!D8</f>
        <v>2896.9232248207077</v>
      </c>
      <c r="D86">
        <f>kalimantan!E8</f>
        <v>770.89895519885943</v>
      </c>
      <c r="E86">
        <f>kalimantan!F8</f>
        <v>2059.2320184138803</v>
      </c>
      <c r="F86">
        <f>kalimantan!G8</f>
        <v>1724.6700000000012</v>
      </c>
      <c r="G86">
        <f>kalimantan!H8</f>
        <v>91.000090999999998</v>
      </c>
      <c r="H86">
        <f>kalimantan!I8</f>
        <v>584.91630113420206</v>
      </c>
      <c r="I86">
        <f>kalimantan!J8</f>
        <v>133.83480105469803</v>
      </c>
      <c r="J86">
        <f>kalimantan!K8</f>
        <v>1572.4113815967157</v>
      </c>
      <c r="K86">
        <f>kalimantan!L8</f>
        <v>8.3236639128921457</v>
      </c>
      <c r="L86">
        <f>kalimantan!M8</f>
        <v>160.03723777877929</v>
      </c>
      <c r="M86">
        <f>kalimantan!N8</f>
        <v>0</v>
      </c>
      <c r="N86">
        <f>kalimantan!O8</f>
        <v>0</v>
      </c>
      <c r="O86">
        <f>kalimantan!P8</f>
        <v>2.789746722053259</v>
      </c>
      <c r="P86">
        <f>kalimantan!Q8</f>
        <v>10002.247674910734</v>
      </c>
    </row>
    <row r="87" spans="1:16" x14ac:dyDescent="0.25">
      <c r="A87" t="str">
        <f>kalimantan!B9</f>
        <v>KALIMANTAN</v>
      </c>
      <c r="B87">
        <f>kalimantan!C9</f>
        <v>2024</v>
      </c>
      <c r="C87">
        <f>kalimantan!D9</f>
        <v>2896.9232248207077</v>
      </c>
      <c r="D87">
        <f>kalimantan!E9</f>
        <v>823.08629450918852</v>
      </c>
      <c r="E87">
        <f>kalimantan!F9</f>
        <v>2187.0504897792862</v>
      </c>
      <c r="F87">
        <f>kalimantan!G9</f>
        <v>1724.6700000000012</v>
      </c>
      <c r="G87">
        <f>kalimantan!H9</f>
        <v>132.32153260398823</v>
      </c>
      <c r="H87">
        <f>kalimantan!I9</f>
        <v>584.91630113420206</v>
      </c>
      <c r="I87">
        <f>kalimantan!J9</f>
        <v>236.37945759950773</v>
      </c>
      <c r="J87">
        <f>kalimantan!K9</f>
        <v>1614.8846320091791</v>
      </c>
      <c r="K87">
        <f>kalimantan!L9</f>
        <v>21.051978146579501</v>
      </c>
      <c r="L87">
        <f>kalimantan!M9</f>
        <v>181.49716800603389</v>
      </c>
      <c r="M87">
        <f>kalimantan!N9</f>
        <v>0</v>
      </c>
      <c r="N87">
        <f>kalimantan!O9</f>
        <v>0</v>
      </c>
      <c r="O87">
        <f>kalimantan!P9</f>
        <v>2.9039310528718008</v>
      </c>
      <c r="P87">
        <f>kalimantan!Q9</f>
        <v>10402.781078608672</v>
      </c>
    </row>
    <row r="88" spans="1:16" x14ac:dyDescent="0.25">
      <c r="A88" t="str">
        <f>kalimantan!B10</f>
        <v>KALIMANTAN</v>
      </c>
      <c r="B88">
        <f>kalimantan!C10</f>
        <v>2025</v>
      </c>
      <c r="C88">
        <f>kalimantan!D10</f>
        <v>2896.9232248207077</v>
      </c>
      <c r="D88">
        <f>kalimantan!E10</f>
        <v>939.19873335166403</v>
      </c>
      <c r="E88">
        <f>kalimantan!F10</f>
        <v>2261.5628707109449</v>
      </c>
      <c r="F88">
        <f>kalimantan!G10</f>
        <v>1724.6700000000012</v>
      </c>
      <c r="G88">
        <f>kalimantan!H10</f>
        <v>157.16079112909927</v>
      </c>
      <c r="H88">
        <f>kalimantan!I10</f>
        <v>636.54758998294892</v>
      </c>
      <c r="I88">
        <f>kalimantan!J10</f>
        <v>275.00469005187546</v>
      </c>
      <c r="J88">
        <f>kalimantan!K10</f>
        <v>1701.5879850740323</v>
      </c>
      <c r="K88">
        <f>kalimantan!L10</f>
        <v>94.386116160248676</v>
      </c>
      <c r="L88">
        <f>kalimantan!M10</f>
        <v>234.07334976192163</v>
      </c>
      <c r="M88">
        <f>kalimantan!N10</f>
        <v>0</v>
      </c>
      <c r="N88">
        <f>kalimantan!O10</f>
        <v>0</v>
      </c>
      <c r="O88">
        <f>kalimantan!P10</f>
        <v>3.0423034816993106</v>
      </c>
      <c r="P88">
        <f>kalimantan!Q10</f>
        <v>10921.115351043445</v>
      </c>
    </row>
    <row r="89" spans="1:16" x14ac:dyDescent="0.25">
      <c r="A89" t="str">
        <f>kalimantan!B11</f>
        <v>KALIMANTAN</v>
      </c>
      <c r="B89">
        <f>kalimantan!C11</f>
        <v>2026</v>
      </c>
      <c r="C89">
        <f>kalimantan!D11</f>
        <v>2896.9232248207077</v>
      </c>
      <c r="D89">
        <f>kalimantan!E11</f>
        <v>997.40722285178822</v>
      </c>
      <c r="E89">
        <f>kalimantan!F11</f>
        <v>2315.3001571513896</v>
      </c>
      <c r="F89">
        <f>kalimantan!G11</f>
        <v>1724.6700000000012</v>
      </c>
      <c r="G89">
        <f>kalimantan!H11</f>
        <v>169.58040797202554</v>
      </c>
      <c r="H89">
        <f>kalimantan!I11</f>
        <v>643.84181665277151</v>
      </c>
      <c r="I89">
        <f>kalimantan!J11</f>
        <v>296.33014419201277</v>
      </c>
      <c r="J89">
        <f>kalimantan!K11</f>
        <v>1704.5934922180488</v>
      </c>
      <c r="K89">
        <f>kalimantan!L11</f>
        <v>100.07300513364751</v>
      </c>
      <c r="L89">
        <f>kalimantan!M11</f>
        <v>237.23643330096854</v>
      </c>
      <c r="M89">
        <f>kalimantan!N11</f>
        <v>0</v>
      </c>
      <c r="N89">
        <f>kalimantan!O11</f>
        <v>0</v>
      </c>
      <c r="O89">
        <f>kalimantan!P11</f>
        <v>3.0846025122602554</v>
      </c>
      <c r="P89">
        <f>kalimantan!Q11</f>
        <v>11085.95590429336</v>
      </c>
    </row>
    <row r="90" spans="1:16" x14ac:dyDescent="0.25">
      <c r="A90" t="str">
        <f>kalimantan!B12</f>
        <v>KALIMANTAN</v>
      </c>
      <c r="B90">
        <f>kalimantan!C12</f>
        <v>2027</v>
      </c>
      <c r="C90">
        <f>kalimantan!D12</f>
        <v>2896.9232248207077</v>
      </c>
      <c r="D90">
        <f>kalimantan!E12</f>
        <v>997.40722285178822</v>
      </c>
      <c r="E90">
        <f>kalimantan!F12</f>
        <v>3611.9531091728268</v>
      </c>
      <c r="F90">
        <f>kalimantan!G12</f>
        <v>1785.8358123597523</v>
      </c>
      <c r="G90">
        <f>kalimantan!H12</f>
        <v>169.58040797202554</v>
      </c>
      <c r="H90">
        <f>kalimantan!I12</f>
        <v>643.84181665277151</v>
      </c>
      <c r="I90">
        <f>kalimantan!J12</f>
        <v>296.33014419201277</v>
      </c>
      <c r="J90">
        <f>kalimantan!K12</f>
        <v>1704.5934922180488</v>
      </c>
      <c r="K90">
        <f>kalimantan!L12</f>
        <v>549.01948488164157</v>
      </c>
      <c r="L90">
        <f>kalimantan!M12</f>
        <v>237.23643330096854</v>
      </c>
      <c r="M90">
        <f>kalimantan!N12</f>
        <v>0</v>
      </c>
      <c r="N90">
        <f>kalimantan!O12</f>
        <v>0</v>
      </c>
      <c r="O90">
        <f>kalimantan!P12</f>
        <v>3.5267968469335571</v>
      </c>
      <c r="P90">
        <f>kalimantan!Q12</f>
        <v>12892.721148422543</v>
      </c>
    </row>
    <row r="91" spans="1:16" x14ac:dyDescent="0.25">
      <c r="A91" t="str">
        <f>kalimantan!B13</f>
        <v>KALIMANTAN</v>
      </c>
      <c r="B91">
        <f>kalimantan!C13</f>
        <v>2028</v>
      </c>
      <c r="C91">
        <f>kalimantan!D13</f>
        <v>2947.9168463505484</v>
      </c>
      <c r="D91">
        <f>kalimantan!E13</f>
        <v>997.40722285178822</v>
      </c>
      <c r="E91">
        <f>kalimantan!F13</f>
        <v>3611.9531091728268</v>
      </c>
      <c r="F91">
        <f>kalimantan!G13</f>
        <v>1941.0019466768806</v>
      </c>
      <c r="G91">
        <f>kalimantan!H13</f>
        <v>169.58040797202554</v>
      </c>
      <c r="H91">
        <f>kalimantan!I13</f>
        <v>643.84181665277151</v>
      </c>
      <c r="I91">
        <f>kalimantan!J13</f>
        <v>296.33014419201277</v>
      </c>
      <c r="J91">
        <f>kalimantan!K13</f>
        <v>1704.5934922180488</v>
      </c>
      <c r="K91">
        <f>kalimantan!L13</f>
        <v>718.21302588040771</v>
      </c>
      <c r="L91">
        <f>kalimantan!M13</f>
        <v>237.23643330096854</v>
      </c>
      <c r="M91">
        <f>kalimantan!N13</f>
        <v>0</v>
      </c>
      <c r="N91">
        <f>kalimantan!O13</f>
        <v>0</v>
      </c>
      <c r="O91">
        <f>kalimantan!P13</f>
        <v>3.6626699619736063</v>
      </c>
      <c r="P91">
        <f>kalimantan!Q13</f>
        <v>13268.074445268279</v>
      </c>
    </row>
    <row r="92" spans="1:16" x14ac:dyDescent="0.25">
      <c r="A92" t="str">
        <f>kalimantan!B14</f>
        <v>KALIMANTAN</v>
      </c>
      <c r="B92">
        <f>kalimantan!C14</f>
        <v>2029</v>
      </c>
      <c r="C92">
        <f>kalimantan!D14</f>
        <v>2947.9168463505484</v>
      </c>
      <c r="D92">
        <f>kalimantan!E14</f>
        <v>997.40722285178822</v>
      </c>
      <c r="E92">
        <f>kalimantan!F14</f>
        <v>3611.9531091728268</v>
      </c>
      <c r="F92">
        <f>kalimantan!G14</f>
        <v>1941.0019466768806</v>
      </c>
      <c r="G92">
        <f>kalimantan!H14</f>
        <v>169.58040697202554</v>
      </c>
      <c r="H92">
        <f>kalimantan!I14</f>
        <v>643.93846625296669</v>
      </c>
      <c r="I92">
        <f>kalimantan!J14</f>
        <v>306.13839193175357</v>
      </c>
      <c r="J92">
        <f>kalimantan!K14</f>
        <v>1715.1298397015667</v>
      </c>
      <c r="K92">
        <f>kalimantan!L14</f>
        <v>721.45159040209319</v>
      </c>
      <c r="L92">
        <f>kalimantan!M14</f>
        <v>284.33674166227649</v>
      </c>
      <c r="M92">
        <f>kalimantan!N14</f>
        <v>0</v>
      </c>
      <c r="N92">
        <f>kalimantan!O14</f>
        <v>0</v>
      </c>
      <c r="O92">
        <f>kalimantan!P14</f>
        <v>3.6785259178943717</v>
      </c>
      <c r="P92">
        <f>kalimantan!Q14</f>
        <v>13338.854561974727</v>
      </c>
    </row>
    <row r="93" spans="1:16" x14ac:dyDescent="0.25">
      <c r="A93" t="str">
        <f>kalimantan!B15</f>
        <v>KALIMANTAN</v>
      </c>
      <c r="B93">
        <f>kalimantan!C15</f>
        <v>2030</v>
      </c>
      <c r="C93">
        <f>kalimantan!D15</f>
        <v>2947.9168463505484</v>
      </c>
      <c r="D93">
        <f>kalimantan!E15</f>
        <v>997.40722285178822</v>
      </c>
      <c r="E93">
        <f>kalimantan!F15</f>
        <v>3611.9531091728268</v>
      </c>
      <c r="F93">
        <f>kalimantan!G15</f>
        <v>1941.0019466768806</v>
      </c>
      <c r="G93">
        <f>kalimantan!H15</f>
        <v>175.79020969580927</v>
      </c>
      <c r="H93">
        <f>kalimantan!I15</f>
        <v>670.2048189874597</v>
      </c>
      <c r="I93">
        <f>kalimantan!J15</f>
        <v>306.99576340444139</v>
      </c>
      <c r="J93">
        <f>kalimantan!K15</f>
        <v>1721.5298397015667</v>
      </c>
      <c r="K93">
        <f>kalimantan!L15</f>
        <v>732.33630419709152</v>
      </c>
      <c r="L93">
        <f>kalimantan!M15</f>
        <v>284.33674166227649</v>
      </c>
      <c r="M93">
        <f>kalimantan!N15</f>
        <v>0</v>
      </c>
      <c r="N93">
        <f>kalimantan!O15</f>
        <v>0</v>
      </c>
      <c r="O93">
        <f>kalimantan!P15</f>
        <v>3.6953941218412432</v>
      </c>
      <c r="P93">
        <f>kalimantan!Q15</f>
        <v>13389.472802700691</v>
      </c>
    </row>
    <row r="94" spans="1:16" x14ac:dyDescent="0.25">
      <c r="A94" t="str">
        <f>kalimantan!B16</f>
        <v>KALIMANTAN</v>
      </c>
      <c r="B94">
        <f>kalimantan!C16</f>
        <v>2031</v>
      </c>
      <c r="C94">
        <f>kalimantan!D16</f>
        <v>2947.9168463505484</v>
      </c>
      <c r="D94">
        <f>kalimantan!E16</f>
        <v>997.40722285178822</v>
      </c>
      <c r="E94">
        <f>kalimantan!F16</f>
        <v>3611.9531091728268</v>
      </c>
      <c r="F94">
        <f>kalimantan!G16</f>
        <v>1956.3652217975264</v>
      </c>
      <c r="G94">
        <f>kalimantan!H16</f>
        <v>175.79020969580927</v>
      </c>
      <c r="H94">
        <f>kalimantan!I16</f>
        <v>670.2048189874597</v>
      </c>
      <c r="I94">
        <f>kalimantan!J16</f>
        <v>306.99576340444139</v>
      </c>
      <c r="J94">
        <f>kalimantan!K16</f>
        <v>1721.5298397015667</v>
      </c>
      <c r="K94">
        <f>kalimantan!L16</f>
        <v>808.57906896405461</v>
      </c>
      <c r="L94">
        <f>kalimantan!M16</f>
        <v>284.33674166227649</v>
      </c>
      <c r="M94">
        <f>kalimantan!N16</f>
        <v>0</v>
      </c>
      <c r="N94">
        <f>kalimantan!O16</f>
        <v>0</v>
      </c>
      <c r="O94">
        <f>kalimantan!P16</f>
        <v>3.7300536661802122</v>
      </c>
      <c r="P94">
        <f>kalimantan!Q16</f>
        <v>13481.0788425883</v>
      </c>
    </row>
    <row r="95" spans="1:16" x14ac:dyDescent="0.25">
      <c r="A95" t="str">
        <f>kalimantan!B17</f>
        <v>KALIMANTAN</v>
      </c>
      <c r="B95">
        <f>kalimantan!C17</f>
        <v>2032</v>
      </c>
      <c r="C95">
        <f>kalimantan!D17</f>
        <v>3037.4416478074922</v>
      </c>
      <c r="D95">
        <f>kalimantan!E17</f>
        <v>997.40722285178822</v>
      </c>
      <c r="E95">
        <f>kalimantan!F17</f>
        <v>3615.7966427301108</v>
      </c>
      <c r="F95">
        <f>kalimantan!G17</f>
        <v>2158.0099099701206</v>
      </c>
      <c r="G95">
        <f>kalimantan!H17</f>
        <v>175.79020969580927</v>
      </c>
      <c r="H95">
        <f>kalimantan!I17</f>
        <v>670.2048189874597</v>
      </c>
      <c r="I95">
        <f>kalimantan!J17</f>
        <v>306.99576340444139</v>
      </c>
      <c r="J95">
        <f>kalimantan!K17</f>
        <v>1721.5298397015667</v>
      </c>
      <c r="K95">
        <f>kalimantan!L17</f>
        <v>1036.6919430323755</v>
      </c>
      <c r="L95">
        <f>kalimantan!M17</f>
        <v>284.33674166227649</v>
      </c>
      <c r="M95">
        <f>kalimantan!N17</f>
        <v>0</v>
      </c>
      <c r="N95">
        <f>kalimantan!O17</f>
        <v>0</v>
      </c>
      <c r="O95">
        <f>kalimantan!P17</f>
        <v>3.9183348168033461</v>
      </c>
      <c r="P95">
        <f>kalimantan!Q17</f>
        <v>14004.204739843444</v>
      </c>
    </row>
    <row r="96" spans="1:16" x14ac:dyDescent="0.25">
      <c r="A96" t="str">
        <f>kalimantan!B18</f>
        <v>KALIMANTAN</v>
      </c>
      <c r="B96">
        <f>kalimantan!C18</f>
        <v>2033</v>
      </c>
      <c r="C96">
        <f>kalimantan!D18</f>
        <v>3143.0567968713212</v>
      </c>
      <c r="D96">
        <f>kalimantan!E18</f>
        <v>997.40722285178822</v>
      </c>
      <c r="E96">
        <f>kalimantan!F18</f>
        <v>3902.3848857103276</v>
      </c>
      <c r="F96">
        <f>kalimantan!G18</f>
        <v>2186.4855362269927</v>
      </c>
      <c r="G96">
        <f>kalimantan!H18</f>
        <v>175.79020969580927</v>
      </c>
      <c r="H96">
        <f>kalimantan!I18</f>
        <v>670.2048189874597</v>
      </c>
      <c r="I96">
        <f>kalimantan!J18</f>
        <v>306.99576340444139</v>
      </c>
      <c r="J96">
        <f>kalimantan!K18</f>
        <v>1721.5298397015667</v>
      </c>
      <c r="K96">
        <f>kalimantan!L18</f>
        <v>1270.2844857337168</v>
      </c>
      <c r="L96">
        <f>kalimantan!M18</f>
        <v>284.33674166227649</v>
      </c>
      <c r="M96">
        <f>kalimantan!N18</f>
        <v>0</v>
      </c>
      <c r="N96">
        <f>kalimantan!O18</f>
        <v>0</v>
      </c>
      <c r="O96">
        <f>kalimantan!P18</f>
        <v>4.108389699129205</v>
      </c>
      <c r="P96">
        <f>kalimantan!Q18</f>
        <v>14658.476300845703</v>
      </c>
    </row>
    <row r="97" spans="1:16" x14ac:dyDescent="0.25">
      <c r="A97" t="str">
        <f>kalimantan!B19</f>
        <v>KALIMANTAN</v>
      </c>
      <c r="B97">
        <f>kalimantan!C19</f>
        <v>2034</v>
      </c>
      <c r="C97">
        <f>kalimantan!D19</f>
        <v>3417.8658555355555</v>
      </c>
      <c r="D97">
        <f>kalimantan!E19</f>
        <v>997.40722185178822</v>
      </c>
      <c r="E97">
        <f>kalimantan!F19</f>
        <v>4473.8777142191748</v>
      </c>
      <c r="F97">
        <f>kalimantan!G19</f>
        <v>2186.4855362269927</v>
      </c>
      <c r="G97">
        <f>kalimantan!H19</f>
        <v>175.79020969580927</v>
      </c>
      <c r="H97">
        <f>kalimantan!I19</f>
        <v>680.01737844550917</v>
      </c>
      <c r="I97">
        <f>kalimantan!J19</f>
        <v>669.13105413199116</v>
      </c>
      <c r="J97">
        <f>kalimantan!K19</f>
        <v>1721.5298397015667</v>
      </c>
      <c r="K97">
        <f>kalimantan!L19</f>
        <v>1271.8611756890068</v>
      </c>
      <c r="L97">
        <f>kalimantan!M19</f>
        <v>284.33674166227649</v>
      </c>
      <c r="M97">
        <f>kalimantan!N19</f>
        <v>0</v>
      </c>
      <c r="N97">
        <f>kalimantan!O19</f>
        <v>0</v>
      </c>
      <c r="O97">
        <f>kalimantan!P19</f>
        <v>4.4618779983295358</v>
      </c>
      <c r="P97">
        <f>kalimantan!Q19</f>
        <v>15878.302727159671</v>
      </c>
    </row>
    <row r="98" spans="1:16" x14ac:dyDescent="0.25">
      <c r="A98" t="str">
        <f>kalimantan!B20</f>
        <v>KALIMANTAN</v>
      </c>
      <c r="B98">
        <f>kalimantan!C20</f>
        <v>2035</v>
      </c>
      <c r="C98">
        <f>kalimantan!D20</f>
        <v>3614.5988482540647</v>
      </c>
      <c r="D98">
        <f>kalimantan!E20</f>
        <v>997.40722185178822</v>
      </c>
      <c r="E98">
        <f>kalimantan!F20</f>
        <v>5036.942988697655</v>
      </c>
      <c r="F98">
        <f>kalimantan!G20</f>
        <v>2351.1041853912052</v>
      </c>
      <c r="G98">
        <f>kalimantan!H20</f>
        <v>175.79020969580927</v>
      </c>
      <c r="H98">
        <f>kalimantan!I20</f>
        <v>680.01737844550917</v>
      </c>
      <c r="I98">
        <f>kalimantan!J20</f>
        <v>669.13105413199116</v>
      </c>
      <c r="J98">
        <f>kalimantan!K20</f>
        <v>1721.5298397015667</v>
      </c>
      <c r="K98">
        <f>kalimantan!L20</f>
        <v>1431.830219814678</v>
      </c>
      <c r="L98">
        <f>kalimantan!M20</f>
        <v>284.33674166227649</v>
      </c>
      <c r="M98">
        <f>kalimantan!N20</f>
        <v>0</v>
      </c>
      <c r="N98">
        <f>kalimantan!O20</f>
        <v>0</v>
      </c>
      <c r="O98">
        <f>kalimantan!P20</f>
        <v>4.754149378670018</v>
      </c>
      <c r="P98">
        <f>kalimantan!Q20</f>
        <v>16962.688687646543</v>
      </c>
    </row>
    <row r="99" spans="1:16" x14ac:dyDescent="0.25">
      <c r="A99" t="str">
        <f>kalimantan!B21</f>
        <v>KALIMANTAN</v>
      </c>
      <c r="B99">
        <f>kalimantan!C21</f>
        <v>2036</v>
      </c>
      <c r="C99">
        <f>kalimantan!D21</f>
        <v>3695.9304840595205</v>
      </c>
      <c r="D99">
        <f>kalimantan!E21</f>
        <v>997.40722185178822</v>
      </c>
      <c r="E99">
        <f>kalimantan!F21</f>
        <v>5226.1916555747848</v>
      </c>
      <c r="F99">
        <f>kalimantan!G21</f>
        <v>2402.1144377752207</v>
      </c>
      <c r="G99">
        <f>kalimantan!H21</f>
        <v>175.79020969580927</v>
      </c>
      <c r="H99">
        <f>kalimantan!I21</f>
        <v>680.01737844550917</v>
      </c>
      <c r="I99">
        <f>kalimantan!J21</f>
        <v>669.13105413199116</v>
      </c>
      <c r="J99">
        <f>kalimantan!K21</f>
        <v>1721.5298397015667</v>
      </c>
      <c r="K99">
        <f>kalimantan!L21</f>
        <v>1658.1219160097096</v>
      </c>
      <c r="L99">
        <f>kalimantan!M21</f>
        <v>284.33674166227649</v>
      </c>
      <c r="M99">
        <f>kalimantan!N21</f>
        <v>0</v>
      </c>
      <c r="N99">
        <f>kalimantan!O21</f>
        <v>0</v>
      </c>
      <c r="O99">
        <f>kalimantan!P21</f>
        <v>4.9224032085121445</v>
      </c>
      <c r="P99">
        <f>kalimantan!Q21</f>
        <v>17510.570938908175</v>
      </c>
    </row>
    <row r="100" spans="1:16" x14ac:dyDescent="0.25">
      <c r="A100" t="str">
        <f>kalimantan!B22</f>
        <v>KALIMANTAN</v>
      </c>
      <c r="B100">
        <f>kalimantan!C22</f>
        <v>2037</v>
      </c>
      <c r="C100">
        <f>kalimantan!D22</f>
        <v>3775.6614276002329</v>
      </c>
      <c r="D100">
        <f>kalimantan!E22</f>
        <v>1204.1381275334263</v>
      </c>
      <c r="E100">
        <f>kalimantan!F22</f>
        <v>5282.4477775712312</v>
      </c>
      <c r="F100">
        <f>kalimantan!G22</f>
        <v>2402.1144377752207</v>
      </c>
      <c r="G100">
        <f>kalimantan!H22</f>
        <v>176.41119176742083</v>
      </c>
      <c r="H100">
        <f>kalimantan!I22</f>
        <v>703.11154858163593</v>
      </c>
      <c r="I100">
        <f>kalimantan!J22</f>
        <v>677.6064223325692</v>
      </c>
      <c r="J100">
        <f>kalimantan!K22</f>
        <v>1786.7022232640861</v>
      </c>
      <c r="K100">
        <f>kalimantan!L22</f>
        <v>1777.1821592564088</v>
      </c>
      <c r="L100">
        <f>kalimantan!M22</f>
        <v>310.3143221724427</v>
      </c>
      <c r="M100">
        <f>kalimantan!N22</f>
        <v>0</v>
      </c>
      <c r="N100">
        <f>kalimantan!O22</f>
        <v>0</v>
      </c>
      <c r="O100">
        <f>kalimantan!P22</f>
        <v>5.0788338871483951</v>
      </c>
      <c r="P100">
        <f>kalimantan!Q22</f>
        <v>18095.689637854673</v>
      </c>
    </row>
    <row r="101" spans="1:16" x14ac:dyDescent="0.25">
      <c r="A101" t="str">
        <f>kalimantan!B23</f>
        <v>KALIMANTAN</v>
      </c>
      <c r="B101">
        <f>kalimantan!C23</f>
        <v>2038</v>
      </c>
      <c r="C101">
        <f>kalimantan!D23</f>
        <v>3896.3440832645692</v>
      </c>
      <c r="D101">
        <f>kalimantan!E23</f>
        <v>1204.1381275334263</v>
      </c>
      <c r="E101">
        <f>kalimantan!F23</f>
        <v>5670.9436069830626</v>
      </c>
      <c r="F101">
        <f>kalimantan!G23</f>
        <v>2409.271954257782</v>
      </c>
      <c r="G101">
        <f>kalimantan!H23</f>
        <v>176.41119176742083</v>
      </c>
      <c r="H101">
        <f>kalimantan!I23</f>
        <v>703.11154858163593</v>
      </c>
      <c r="I101">
        <f>kalimantan!J23</f>
        <v>677.6064223325692</v>
      </c>
      <c r="J101">
        <f>kalimantan!K23</f>
        <v>1786.7022232640861</v>
      </c>
      <c r="K101">
        <f>kalimantan!L23</f>
        <v>2077.5712554101115</v>
      </c>
      <c r="L101">
        <f>kalimantan!M23</f>
        <v>310.3143221724427</v>
      </c>
      <c r="M101">
        <f>kalimantan!N23</f>
        <v>0</v>
      </c>
      <c r="N101">
        <f>kalimantan!O23</f>
        <v>0</v>
      </c>
      <c r="O101">
        <f>kalimantan!P23</f>
        <v>5.3117955327554025</v>
      </c>
      <c r="P101">
        <f>kalimantan!Q23</f>
        <v>18912.414735567105</v>
      </c>
    </row>
    <row r="102" spans="1:16" x14ac:dyDescent="0.25">
      <c r="A102" t="str">
        <f>sulawesi!B4</f>
        <v>SULAWESI</v>
      </c>
      <c r="B102">
        <f>sulawesi!C4</f>
        <v>2019</v>
      </c>
      <c r="C102">
        <f>sulawesi!D4</f>
        <v>2835.5</v>
      </c>
      <c r="D102">
        <f>sulawesi!E4</f>
        <v>288.72000000000003</v>
      </c>
      <c r="E102">
        <f>sulawesi!F4</f>
        <v>315</v>
      </c>
      <c r="F102">
        <f>sulawesi!G4</f>
        <v>895.93</v>
      </c>
      <c r="G102">
        <f>sulawesi!H4</f>
        <v>80</v>
      </c>
      <c r="H102">
        <f>sulawesi!I4</f>
        <v>828.97</v>
      </c>
      <c r="I102">
        <f>sulawesi!J4</f>
        <v>62.55</v>
      </c>
      <c r="J102">
        <f>sulawesi!K4</f>
        <v>4.24</v>
      </c>
      <c r="K102">
        <f>sulawesi!L4</f>
        <v>0</v>
      </c>
      <c r="L102">
        <f>sulawesi!M4</f>
        <v>0.5</v>
      </c>
      <c r="M102">
        <f>sulawesi!N4</f>
        <v>0</v>
      </c>
      <c r="N102">
        <f>sulawesi!O4</f>
        <v>0</v>
      </c>
      <c r="O102">
        <f>sulawesi!P4</f>
        <v>0</v>
      </c>
      <c r="P102">
        <f>sulawesi!Q4</f>
        <v>5311.4100000000008</v>
      </c>
    </row>
    <row r="103" spans="1:16" x14ac:dyDescent="0.25">
      <c r="A103" t="str">
        <f>sulawesi!B5</f>
        <v>SULAWESI</v>
      </c>
      <c r="B103">
        <f>sulawesi!C5</f>
        <v>2020</v>
      </c>
      <c r="C103">
        <f>sulawesi!D5</f>
        <v>2835.5</v>
      </c>
      <c r="D103">
        <f>sulawesi!E5</f>
        <v>294.59139401707773</v>
      </c>
      <c r="E103">
        <f>sulawesi!F5</f>
        <v>499.05911647924097</v>
      </c>
      <c r="F103">
        <f>sulawesi!G5</f>
        <v>895.93</v>
      </c>
      <c r="G103">
        <f>sulawesi!H5</f>
        <v>80</v>
      </c>
      <c r="H103">
        <f>sulawesi!I5</f>
        <v>828.97</v>
      </c>
      <c r="I103">
        <f>sulawesi!J5</f>
        <v>62.55</v>
      </c>
      <c r="J103">
        <f>sulawesi!K5</f>
        <v>132.97247070825631</v>
      </c>
      <c r="K103">
        <f>sulawesi!L5</f>
        <v>0</v>
      </c>
      <c r="L103">
        <f>sulawesi!M5</f>
        <v>0.5</v>
      </c>
      <c r="M103">
        <f>sulawesi!N5</f>
        <v>0</v>
      </c>
      <c r="N103">
        <f>sulawesi!O5</f>
        <v>0</v>
      </c>
      <c r="O103">
        <f>sulawesi!P5</f>
        <v>1.764110426647024</v>
      </c>
      <c r="P103">
        <f>sulawesi!Q5</f>
        <v>5630.0729812045747</v>
      </c>
    </row>
    <row r="104" spans="1:16" x14ac:dyDescent="0.25">
      <c r="A104" t="str">
        <f>sulawesi!B6</f>
        <v>SULAWESI</v>
      </c>
      <c r="B104">
        <f>sulawesi!C6</f>
        <v>2021</v>
      </c>
      <c r="C104">
        <f>sulawesi!D6</f>
        <v>2835.4999990000001</v>
      </c>
      <c r="D104">
        <f>sulawesi!E6</f>
        <v>294.59139301707773</v>
      </c>
      <c r="E104">
        <f>sulawesi!F6</f>
        <v>1540.2607536287114</v>
      </c>
      <c r="F104">
        <f>sulawesi!G6</f>
        <v>895.93</v>
      </c>
      <c r="G104">
        <f>sulawesi!H6</f>
        <v>80</v>
      </c>
      <c r="H104">
        <f>sulawesi!I6</f>
        <v>828.97</v>
      </c>
      <c r="I104">
        <f>sulawesi!J6</f>
        <v>62.55</v>
      </c>
      <c r="J104">
        <f>sulawesi!K6</f>
        <v>139.99564490685384</v>
      </c>
      <c r="K104">
        <f>sulawesi!L6</f>
        <v>0</v>
      </c>
      <c r="L104">
        <f>sulawesi!M6</f>
        <v>0.5</v>
      </c>
      <c r="M104">
        <f>sulawesi!N6</f>
        <v>0</v>
      </c>
      <c r="N104">
        <f>sulawesi!O6</f>
        <v>0</v>
      </c>
      <c r="O104">
        <f>sulawesi!P6</f>
        <v>1.9650573184269793</v>
      </c>
      <c r="P104">
        <f>sulawesi!Q6</f>
        <v>6678.2977905526441</v>
      </c>
    </row>
    <row r="105" spans="1:16" x14ac:dyDescent="0.25">
      <c r="A105" t="str">
        <f>sulawesi!B7</f>
        <v>SULAWESI</v>
      </c>
      <c r="B105">
        <f>sulawesi!C7</f>
        <v>2022</v>
      </c>
      <c r="C105">
        <f>sulawesi!D7</f>
        <v>2951.0955116822706</v>
      </c>
      <c r="D105">
        <f>sulawesi!E7</f>
        <v>294.59139201707774</v>
      </c>
      <c r="E105">
        <f>sulawesi!F7</f>
        <v>2160.5505659631121</v>
      </c>
      <c r="F105">
        <f>sulawesi!G7</f>
        <v>895.93</v>
      </c>
      <c r="G105">
        <f>sulawesi!H7</f>
        <v>80</v>
      </c>
      <c r="H105">
        <f>sulawesi!I7</f>
        <v>828.97</v>
      </c>
      <c r="I105">
        <f>sulawesi!J7</f>
        <v>62.549999</v>
      </c>
      <c r="J105">
        <f>sulawesi!K7</f>
        <v>1658.1346467056242</v>
      </c>
      <c r="K105">
        <f>sulawesi!L7</f>
        <v>0</v>
      </c>
      <c r="L105">
        <f>sulawesi!M7</f>
        <v>0.5</v>
      </c>
      <c r="M105">
        <f>sulawesi!N7</f>
        <v>0</v>
      </c>
      <c r="N105">
        <f>sulawesi!O7</f>
        <v>0</v>
      </c>
      <c r="O105">
        <f>sulawesi!P7</f>
        <v>2.4721244066566954</v>
      </c>
      <c r="P105">
        <f>sulawesi!Q7</f>
        <v>8932.3221153680861</v>
      </c>
    </row>
    <row r="106" spans="1:16" x14ac:dyDescent="0.25">
      <c r="A106" t="str">
        <f>sulawesi!B8</f>
        <v>SULAWESI</v>
      </c>
      <c r="B106">
        <f>sulawesi!C8</f>
        <v>2023</v>
      </c>
      <c r="C106">
        <f>sulawesi!D8</f>
        <v>3113.7692061403595</v>
      </c>
      <c r="D106">
        <f>sulawesi!E8</f>
        <v>294.59139201707774</v>
      </c>
      <c r="E106">
        <f>sulawesi!F8</f>
        <v>2655.4404294635819</v>
      </c>
      <c r="F106">
        <f>sulawesi!G8</f>
        <v>895.93</v>
      </c>
      <c r="G106">
        <f>sulawesi!H8</f>
        <v>79.999999000000003</v>
      </c>
      <c r="H106">
        <f>sulawesi!I8</f>
        <v>1033.7699990000001</v>
      </c>
      <c r="I106">
        <f>sulawesi!J8</f>
        <v>62.549998000000002</v>
      </c>
      <c r="J106">
        <f>sulawesi!K8</f>
        <v>2732.0012241466657</v>
      </c>
      <c r="K106">
        <f>sulawesi!L8</f>
        <v>236.73939528858028</v>
      </c>
      <c r="L106">
        <f>sulawesi!M8</f>
        <v>0.5</v>
      </c>
      <c r="M106">
        <f>sulawesi!N8</f>
        <v>0</v>
      </c>
      <c r="N106">
        <f>sulawesi!O8</f>
        <v>0</v>
      </c>
      <c r="O106">
        <f>sulawesi!P8</f>
        <v>3.0227076455642417</v>
      </c>
      <c r="P106">
        <f>sulawesi!Q8</f>
        <v>11105.291643056265</v>
      </c>
    </row>
    <row r="107" spans="1:16" x14ac:dyDescent="0.25">
      <c r="A107" t="str">
        <f>sulawesi!B9</f>
        <v>SULAWESI</v>
      </c>
      <c r="B107">
        <f>sulawesi!C9</f>
        <v>2024</v>
      </c>
      <c r="C107">
        <f>sulawesi!D9</f>
        <v>3161.4437423670774</v>
      </c>
      <c r="D107">
        <f>sulawesi!E9</f>
        <v>294.59139201707774</v>
      </c>
      <c r="E107">
        <f>sulawesi!F9</f>
        <v>3717.8927938511706</v>
      </c>
      <c r="F107">
        <f>sulawesi!G9</f>
        <v>895.93</v>
      </c>
      <c r="G107">
        <f>sulawesi!H9</f>
        <v>79.999999000000003</v>
      </c>
      <c r="H107">
        <f>sulawesi!I9</f>
        <v>1033.7699990000001</v>
      </c>
      <c r="I107">
        <f>sulawesi!J9</f>
        <v>62.549998000000002</v>
      </c>
      <c r="J107">
        <f>sulawesi!K9</f>
        <v>2732.0012241466657</v>
      </c>
      <c r="K107">
        <f>sulawesi!L9</f>
        <v>1028.1129453610881</v>
      </c>
      <c r="L107">
        <f>sulawesi!M9</f>
        <v>0.5</v>
      </c>
      <c r="M107">
        <f>sulawesi!N9</f>
        <v>0</v>
      </c>
      <c r="N107">
        <f>sulawesi!O9</f>
        <v>0</v>
      </c>
      <c r="O107">
        <f>sulawesi!P9</f>
        <v>3.5467268338456241</v>
      </c>
      <c r="P107">
        <f>sulawesi!Q9</f>
        <v>13006.792093743079</v>
      </c>
    </row>
    <row r="108" spans="1:16" x14ac:dyDescent="0.25">
      <c r="A108" t="str">
        <f>sulawesi!B10</f>
        <v>SULAWESI</v>
      </c>
      <c r="B108">
        <f>sulawesi!C10</f>
        <v>2025</v>
      </c>
      <c r="C108">
        <f>sulawesi!D10</f>
        <v>3161.4437423670774</v>
      </c>
      <c r="D108">
        <f>sulawesi!E10</f>
        <v>294.59139201707774</v>
      </c>
      <c r="E108">
        <f>sulawesi!F10</f>
        <v>5067.4539122060214</v>
      </c>
      <c r="F108">
        <f>sulawesi!G10</f>
        <v>895.93</v>
      </c>
      <c r="G108">
        <f>sulawesi!H10</f>
        <v>79.999999000000003</v>
      </c>
      <c r="H108">
        <f>sulawesi!I10</f>
        <v>1033.7699990000001</v>
      </c>
      <c r="I108">
        <f>sulawesi!J10</f>
        <v>62.549998000000002</v>
      </c>
      <c r="J108">
        <f>sulawesi!K10</f>
        <v>2732.0012241466657</v>
      </c>
      <c r="K108">
        <f>sulawesi!L10</f>
        <v>1089.9252811594056</v>
      </c>
      <c r="L108">
        <f>sulawesi!M10</f>
        <v>0.5</v>
      </c>
      <c r="M108">
        <f>sulawesi!N10</f>
        <v>0</v>
      </c>
      <c r="N108">
        <f>sulawesi!O10</f>
        <v>0</v>
      </c>
      <c r="O108">
        <f>sulawesi!P10</f>
        <v>3.8288835374471129</v>
      </c>
      <c r="P108">
        <f>sulawesi!Q10</f>
        <v>14418.165547896249</v>
      </c>
    </row>
    <row r="109" spans="1:16" x14ac:dyDescent="0.25">
      <c r="A109" t="str">
        <f>sulawesi!B11</f>
        <v>SULAWESI</v>
      </c>
      <c r="B109">
        <f>sulawesi!C11</f>
        <v>2026</v>
      </c>
      <c r="C109">
        <f>sulawesi!D11</f>
        <v>3181.4178955052857</v>
      </c>
      <c r="D109">
        <f>sulawesi!E11</f>
        <v>294.59139201707774</v>
      </c>
      <c r="E109">
        <f>sulawesi!F11</f>
        <v>5750.4961688008998</v>
      </c>
      <c r="F109">
        <f>sulawesi!G11</f>
        <v>1138.4301864461934</v>
      </c>
      <c r="G109">
        <f>sulawesi!H11</f>
        <v>79.999999000000003</v>
      </c>
      <c r="H109">
        <f>sulawesi!I11</f>
        <v>1033.7699990000001</v>
      </c>
      <c r="I109">
        <f>sulawesi!J11</f>
        <v>62.549998000000002</v>
      </c>
      <c r="J109">
        <f>sulawesi!K11</f>
        <v>2732.0012241466657</v>
      </c>
      <c r="K109">
        <f>sulawesi!L11</f>
        <v>1089.9252811594056</v>
      </c>
      <c r="L109">
        <f>sulawesi!M11</f>
        <v>0.5</v>
      </c>
      <c r="M109">
        <f>sulawesi!N11</f>
        <v>0</v>
      </c>
      <c r="N109">
        <f>sulawesi!O11</f>
        <v>0</v>
      </c>
      <c r="O109">
        <f>sulawesi!P11</f>
        <v>4.0501758248571234</v>
      </c>
      <c r="P109">
        <f>sulawesi!Q11</f>
        <v>15363.682144075527</v>
      </c>
    </row>
    <row r="110" spans="1:16" x14ac:dyDescent="0.25">
      <c r="A110" t="str">
        <f>sulawesi!B12</f>
        <v>SULAWESI</v>
      </c>
      <c r="B110">
        <f>sulawesi!C12</f>
        <v>2027</v>
      </c>
      <c r="C110">
        <f>sulawesi!D12</f>
        <v>3403.6223562864748</v>
      </c>
      <c r="D110">
        <f>sulawesi!E12</f>
        <v>294.59139201707774</v>
      </c>
      <c r="E110">
        <f>sulawesi!F12</f>
        <v>6343.7798406314478</v>
      </c>
      <c r="F110">
        <f>sulawesi!G12</f>
        <v>1138.4301864461934</v>
      </c>
      <c r="G110">
        <f>sulawesi!H12</f>
        <v>79.999999000000003</v>
      </c>
      <c r="H110">
        <f>sulawesi!I12</f>
        <v>1033.7699990000001</v>
      </c>
      <c r="I110">
        <f>sulawesi!J12</f>
        <v>62.549998000000002</v>
      </c>
      <c r="J110">
        <f>sulawesi!K12</f>
        <v>2732.0012241466657</v>
      </c>
      <c r="K110">
        <f>sulawesi!L12</f>
        <v>1503.0501000678455</v>
      </c>
      <c r="L110">
        <f>sulawesi!M12</f>
        <v>0.5</v>
      </c>
      <c r="M110">
        <f>sulawesi!N12</f>
        <v>0</v>
      </c>
      <c r="N110">
        <f>sulawesi!O12</f>
        <v>0</v>
      </c>
      <c r="O110">
        <f>sulawesi!P12</f>
        <v>4.3973190621712135</v>
      </c>
      <c r="P110">
        <f>sulawesi!Q12</f>
        <v>16592.295095595706</v>
      </c>
    </row>
    <row r="111" spans="1:16" x14ac:dyDescent="0.25">
      <c r="A111" t="str">
        <f>sulawesi!B13</f>
        <v>SULAWESI</v>
      </c>
      <c r="B111">
        <f>sulawesi!C13</f>
        <v>2028</v>
      </c>
      <c r="C111">
        <f>sulawesi!D13</f>
        <v>3492.9102249249095</v>
      </c>
      <c r="D111">
        <f>sulawesi!E13</f>
        <v>294.59139201707774</v>
      </c>
      <c r="E111">
        <f>sulawesi!F13</f>
        <v>6343.7798406314478</v>
      </c>
      <c r="F111">
        <f>sulawesi!G13</f>
        <v>1422.3927402196871</v>
      </c>
      <c r="G111">
        <f>sulawesi!H13</f>
        <v>79.999999000000003</v>
      </c>
      <c r="H111">
        <f>sulawesi!I13</f>
        <v>1033.7699990000001</v>
      </c>
      <c r="I111">
        <f>sulawesi!J13</f>
        <v>62.549998000000002</v>
      </c>
      <c r="J111">
        <f>sulawesi!K13</f>
        <v>2732.0012241466657</v>
      </c>
      <c r="K111">
        <f>sulawesi!L13</f>
        <v>1503.0501000678455</v>
      </c>
      <c r="L111">
        <f>sulawesi!M13</f>
        <v>0.5</v>
      </c>
      <c r="M111">
        <f>sulawesi!N13</f>
        <v>0</v>
      </c>
      <c r="N111">
        <f>sulawesi!O13</f>
        <v>0</v>
      </c>
      <c r="O111">
        <f>sulawesi!P13</f>
        <v>4.525432001722411</v>
      </c>
      <c r="P111">
        <f>sulawesi!Q13</f>
        <v>16965.545518007635</v>
      </c>
    </row>
    <row r="112" spans="1:16" x14ac:dyDescent="0.25">
      <c r="A112" t="str">
        <f>sulawesi!B14</f>
        <v>SULAWESI</v>
      </c>
      <c r="B112">
        <f>sulawesi!C14</f>
        <v>2029</v>
      </c>
      <c r="C112">
        <f>sulawesi!D14</f>
        <v>3492.9102249249095</v>
      </c>
      <c r="D112">
        <f>sulawesi!E14</f>
        <v>294.59139201707774</v>
      </c>
      <c r="E112">
        <f>sulawesi!F14</f>
        <v>6343.7798406314478</v>
      </c>
      <c r="F112">
        <f>sulawesi!G14</f>
        <v>1422.3927402196871</v>
      </c>
      <c r="G112">
        <f>sulawesi!H14</f>
        <v>79.999999000000003</v>
      </c>
      <c r="H112">
        <f>sulawesi!I14</f>
        <v>1033.7699990000001</v>
      </c>
      <c r="I112">
        <f>sulawesi!J14</f>
        <v>62.549998000000002</v>
      </c>
      <c r="J112">
        <f>sulawesi!K14</f>
        <v>2732.0012241466657</v>
      </c>
      <c r="K112">
        <f>sulawesi!L14</f>
        <v>1503.0501000678455</v>
      </c>
      <c r="L112">
        <f>sulawesi!M14</f>
        <v>0.5</v>
      </c>
      <c r="M112">
        <f>sulawesi!N14</f>
        <v>0</v>
      </c>
      <c r="N112">
        <f>sulawesi!O14</f>
        <v>0</v>
      </c>
      <c r="O112">
        <f>sulawesi!P14</f>
        <v>4.525432001722411</v>
      </c>
      <c r="P112">
        <f>sulawesi!Q14</f>
        <v>16965.545518007635</v>
      </c>
    </row>
    <row r="113" spans="1:16" x14ac:dyDescent="0.25">
      <c r="A113" t="str">
        <f>sulawesi!B15</f>
        <v>SULAWESI</v>
      </c>
      <c r="B113">
        <f>sulawesi!C15</f>
        <v>2030</v>
      </c>
      <c r="C113">
        <f>sulawesi!D15</f>
        <v>3492.9102249249095</v>
      </c>
      <c r="D113">
        <f>sulawesi!E15</f>
        <v>294.59139201707774</v>
      </c>
      <c r="E113">
        <f>sulawesi!F15</f>
        <v>6343.7798406314478</v>
      </c>
      <c r="F113">
        <f>sulawesi!G15</f>
        <v>1422.3927402196871</v>
      </c>
      <c r="G113">
        <f>sulawesi!H15</f>
        <v>79.999999000000003</v>
      </c>
      <c r="H113">
        <f>sulawesi!I15</f>
        <v>1033.7699990000001</v>
      </c>
      <c r="I113">
        <f>sulawesi!J15</f>
        <v>62.549998000000002</v>
      </c>
      <c r="J113">
        <f>sulawesi!K15</f>
        <v>2732.0012241466657</v>
      </c>
      <c r="K113">
        <f>sulawesi!L15</f>
        <v>1503.0501000678455</v>
      </c>
      <c r="L113">
        <f>sulawesi!M15</f>
        <v>0.5</v>
      </c>
      <c r="M113">
        <f>sulawesi!N15</f>
        <v>0</v>
      </c>
      <c r="N113">
        <f>sulawesi!O15</f>
        <v>0</v>
      </c>
      <c r="O113">
        <f>sulawesi!P15</f>
        <v>4.525432001722411</v>
      </c>
      <c r="P113">
        <f>sulawesi!Q15</f>
        <v>16965.545518007635</v>
      </c>
    </row>
    <row r="114" spans="1:16" x14ac:dyDescent="0.25">
      <c r="A114" t="str">
        <f>sulawesi!B16</f>
        <v>SULAWESI</v>
      </c>
      <c r="B114">
        <f>sulawesi!C16</f>
        <v>2031</v>
      </c>
      <c r="C114">
        <f>sulawesi!D16</f>
        <v>3492.9102249249095</v>
      </c>
      <c r="D114">
        <f>sulawesi!E16</f>
        <v>294.59139201707774</v>
      </c>
      <c r="E114">
        <f>sulawesi!F16</f>
        <v>6343.7798406314478</v>
      </c>
      <c r="F114">
        <f>sulawesi!G16</f>
        <v>1422.3927402196871</v>
      </c>
      <c r="G114">
        <f>sulawesi!H16</f>
        <v>79.999999000000003</v>
      </c>
      <c r="H114">
        <f>sulawesi!I16</f>
        <v>1033.7699990000001</v>
      </c>
      <c r="I114">
        <f>sulawesi!J16</f>
        <v>62.549998000000002</v>
      </c>
      <c r="J114">
        <f>sulawesi!K16</f>
        <v>2732.0012241466657</v>
      </c>
      <c r="K114">
        <f>sulawesi!L16</f>
        <v>1503.0501000678455</v>
      </c>
      <c r="L114">
        <f>sulawesi!M16</f>
        <v>0.5</v>
      </c>
      <c r="M114">
        <f>sulawesi!N16</f>
        <v>0</v>
      </c>
      <c r="N114">
        <f>sulawesi!O16</f>
        <v>0</v>
      </c>
      <c r="O114">
        <f>sulawesi!P16</f>
        <v>4.525432001722411</v>
      </c>
      <c r="P114">
        <f>sulawesi!Q16</f>
        <v>16965.545518007635</v>
      </c>
    </row>
    <row r="115" spans="1:16" x14ac:dyDescent="0.25">
      <c r="A115" t="str">
        <f>sulawesi!B17</f>
        <v>SULAWESI</v>
      </c>
      <c r="B115">
        <f>sulawesi!C17</f>
        <v>2032</v>
      </c>
      <c r="C115">
        <f>sulawesi!D17</f>
        <v>3492.9102249249095</v>
      </c>
      <c r="D115">
        <f>sulawesi!E17</f>
        <v>294.59139201707774</v>
      </c>
      <c r="E115">
        <f>sulawesi!F17</f>
        <v>6343.7798406314478</v>
      </c>
      <c r="F115">
        <f>sulawesi!G17</f>
        <v>1422.3927402196871</v>
      </c>
      <c r="G115">
        <f>sulawesi!H17</f>
        <v>79.999999000000003</v>
      </c>
      <c r="H115">
        <f>sulawesi!I17</f>
        <v>1033.7699990000001</v>
      </c>
      <c r="I115">
        <f>sulawesi!J17</f>
        <v>62.549998000000002</v>
      </c>
      <c r="J115">
        <f>sulawesi!K17</f>
        <v>2732.0012241466657</v>
      </c>
      <c r="K115">
        <f>sulawesi!L17</f>
        <v>1503.0501000678455</v>
      </c>
      <c r="L115">
        <f>sulawesi!M17</f>
        <v>0.5</v>
      </c>
      <c r="M115">
        <f>sulawesi!N17</f>
        <v>0</v>
      </c>
      <c r="N115">
        <f>sulawesi!O17</f>
        <v>0</v>
      </c>
      <c r="O115">
        <f>sulawesi!P17</f>
        <v>4.525432001722411</v>
      </c>
      <c r="P115">
        <f>sulawesi!Q17</f>
        <v>16965.545518007635</v>
      </c>
    </row>
    <row r="116" spans="1:16" x14ac:dyDescent="0.25">
      <c r="A116" t="str">
        <f>sulawesi!B18</f>
        <v>SULAWESI</v>
      </c>
      <c r="B116">
        <f>sulawesi!C18</f>
        <v>2033</v>
      </c>
      <c r="C116">
        <f>sulawesi!D18</f>
        <v>3492.9102249249095</v>
      </c>
      <c r="D116">
        <f>sulawesi!E18</f>
        <v>294.59139201707774</v>
      </c>
      <c r="E116">
        <f>sulawesi!F18</f>
        <v>6343.7798406314478</v>
      </c>
      <c r="F116">
        <f>sulawesi!G18</f>
        <v>1422.3927402196871</v>
      </c>
      <c r="G116">
        <f>sulawesi!H18</f>
        <v>79.999999000000003</v>
      </c>
      <c r="H116">
        <f>sulawesi!I18</f>
        <v>1033.7699990000001</v>
      </c>
      <c r="I116">
        <f>sulawesi!J18</f>
        <v>62.549998000000002</v>
      </c>
      <c r="J116">
        <f>sulawesi!K18</f>
        <v>2732.0012241466657</v>
      </c>
      <c r="K116">
        <f>sulawesi!L18</f>
        <v>1503.0501000678455</v>
      </c>
      <c r="L116">
        <f>sulawesi!M18</f>
        <v>0.5</v>
      </c>
      <c r="M116">
        <f>sulawesi!N18</f>
        <v>0</v>
      </c>
      <c r="N116">
        <f>sulawesi!O18</f>
        <v>0</v>
      </c>
      <c r="O116">
        <f>sulawesi!P18</f>
        <v>4.525432001722411</v>
      </c>
      <c r="P116">
        <f>sulawesi!Q18</f>
        <v>16965.545518007635</v>
      </c>
    </row>
    <row r="117" spans="1:16" x14ac:dyDescent="0.25">
      <c r="A117" t="str">
        <f>sulawesi!B19</f>
        <v>SULAWESI</v>
      </c>
      <c r="B117">
        <f>sulawesi!C19</f>
        <v>2034</v>
      </c>
      <c r="C117">
        <f>sulawesi!D19</f>
        <v>3492.9102249249095</v>
      </c>
      <c r="D117">
        <f>sulawesi!E19</f>
        <v>294.59139201707774</v>
      </c>
      <c r="E117">
        <f>sulawesi!F19</f>
        <v>6343.7798406314478</v>
      </c>
      <c r="F117">
        <f>sulawesi!G19</f>
        <v>1422.3927402196871</v>
      </c>
      <c r="G117">
        <f>sulawesi!H19</f>
        <v>79.999999000000003</v>
      </c>
      <c r="H117">
        <f>sulawesi!I19</f>
        <v>1033.7699990000001</v>
      </c>
      <c r="I117">
        <f>sulawesi!J19</f>
        <v>62.549998000000002</v>
      </c>
      <c r="J117">
        <f>sulawesi!K19</f>
        <v>2732.0012241466657</v>
      </c>
      <c r="K117">
        <f>sulawesi!L19</f>
        <v>1503.0501000678455</v>
      </c>
      <c r="L117">
        <f>sulawesi!M19</f>
        <v>0.5</v>
      </c>
      <c r="M117">
        <f>sulawesi!N19</f>
        <v>0</v>
      </c>
      <c r="N117">
        <f>sulawesi!O19</f>
        <v>0</v>
      </c>
      <c r="O117">
        <f>sulawesi!P19</f>
        <v>4.525432001722411</v>
      </c>
      <c r="P117">
        <f>sulawesi!Q19</f>
        <v>16965.545518007635</v>
      </c>
    </row>
    <row r="118" spans="1:16" x14ac:dyDescent="0.25">
      <c r="A118" t="str">
        <f>sulawesi!B20</f>
        <v>SULAWESI</v>
      </c>
      <c r="B118">
        <f>sulawesi!C20</f>
        <v>2035</v>
      </c>
      <c r="C118">
        <f>sulawesi!D20</f>
        <v>3492.9102249249095</v>
      </c>
      <c r="D118">
        <f>sulawesi!E20</f>
        <v>294.59139201707774</v>
      </c>
      <c r="E118">
        <f>sulawesi!F20</f>
        <v>6343.7798406314478</v>
      </c>
      <c r="F118">
        <f>sulawesi!G20</f>
        <v>1429.5967296077386</v>
      </c>
      <c r="G118">
        <f>sulawesi!H20</f>
        <v>79.999999000000003</v>
      </c>
      <c r="H118">
        <f>sulawesi!I20</f>
        <v>1033.7699990000001</v>
      </c>
      <c r="I118">
        <f>sulawesi!J20</f>
        <v>62.549998000000002</v>
      </c>
      <c r="J118">
        <f>sulawesi!K20</f>
        <v>2732.0012241466657</v>
      </c>
      <c r="K118">
        <f>sulawesi!L20</f>
        <v>1503.0501000678455</v>
      </c>
      <c r="L118">
        <f>sulawesi!M20</f>
        <v>0.5</v>
      </c>
      <c r="M118">
        <f>sulawesi!N20</f>
        <v>0</v>
      </c>
      <c r="N118">
        <f>sulawesi!O20</f>
        <v>0</v>
      </c>
      <c r="O118">
        <f>sulawesi!P20</f>
        <v>4.5279223241637103</v>
      </c>
      <c r="P118">
        <f>sulawesi!Q20</f>
        <v>16972.749507395685</v>
      </c>
    </row>
    <row r="119" spans="1:16" x14ac:dyDescent="0.25">
      <c r="A119" t="str">
        <f>sulawesi!B21</f>
        <v>SULAWESI</v>
      </c>
      <c r="B119">
        <f>sulawesi!C21</f>
        <v>2036</v>
      </c>
      <c r="C119">
        <f>sulawesi!D21</f>
        <v>3492.9102249249095</v>
      </c>
      <c r="D119">
        <f>sulawesi!E21</f>
        <v>294.59139201707774</v>
      </c>
      <c r="E119">
        <f>sulawesi!F21</f>
        <v>6700.6104969295902</v>
      </c>
      <c r="F119">
        <f>sulawesi!G21</f>
        <v>1555.4377126377092</v>
      </c>
      <c r="G119">
        <f>sulawesi!H21</f>
        <v>79.999999000000003</v>
      </c>
      <c r="H119">
        <f>sulawesi!I21</f>
        <v>1033.7699990000001</v>
      </c>
      <c r="I119">
        <f>sulawesi!J21</f>
        <v>62.549998000000002</v>
      </c>
      <c r="J119">
        <f>sulawesi!K21</f>
        <v>2732.0012241466657</v>
      </c>
      <c r="K119">
        <f>sulawesi!L21</f>
        <v>1763.3658494501356</v>
      </c>
      <c r="L119">
        <f>sulawesi!M21</f>
        <v>0.5</v>
      </c>
      <c r="M119">
        <f>sulawesi!N21</f>
        <v>0</v>
      </c>
      <c r="N119">
        <f>sulawesi!O21</f>
        <v>0</v>
      </c>
      <c r="O119">
        <f>sulawesi!P21</f>
        <v>4.7399414623755387</v>
      </c>
      <c r="P119">
        <f>sulawesi!Q21</f>
        <v>17715.736896106089</v>
      </c>
    </row>
    <row r="120" spans="1:16" x14ac:dyDescent="0.25">
      <c r="A120" t="str">
        <f>sulawesi!B22</f>
        <v>SULAWESI</v>
      </c>
      <c r="B120">
        <f>sulawesi!C22</f>
        <v>2037</v>
      </c>
      <c r="C120">
        <f>sulawesi!D22</f>
        <v>3693.4729418598763</v>
      </c>
      <c r="D120">
        <f>sulawesi!E22</f>
        <v>294.59139201707774</v>
      </c>
      <c r="E120">
        <f>sulawesi!F22</f>
        <v>7445.0601011327826</v>
      </c>
      <c r="F120">
        <f>sulawesi!G22</f>
        <v>1616.9010757294304</v>
      </c>
      <c r="G120">
        <f>sulawesi!H22</f>
        <v>79.999999000000003</v>
      </c>
      <c r="H120">
        <f>sulawesi!I22</f>
        <v>1033.7699990000001</v>
      </c>
      <c r="I120">
        <f>sulawesi!J22</f>
        <v>62.549998000000002</v>
      </c>
      <c r="J120">
        <f>sulawesi!K22</f>
        <v>2732.0012241466657</v>
      </c>
      <c r="K120">
        <f>sulawesi!L22</f>
        <v>2247.1917759512053</v>
      </c>
      <c r="L120">
        <f>sulawesi!M22</f>
        <v>0.5</v>
      </c>
      <c r="M120">
        <f>sulawesi!N22</f>
        <v>0</v>
      </c>
      <c r="N120">
        <f>sulawesi!O22</f>
        <v>0</v>
      </c>
      <c r="O120">
        <f>sulawesi!P22</f>
        <v>5.1572272147333988</v>
      </c>
      <c r="P120">
        <f>sulawesi!Q22</f>
        <v>19206.038506837038</v>
      </c>
    </row>
    <row r="121" spans="1:16" x14ac:dyDescent="0.25">
      <c r="A121" t="str">
        <f>sulawesi!B23</f>
        <v>SULAWESI</v>
      </c>
      <c r="B121">
        <f>sulawesi!C23</f>
        <v>2038</v>
      </c>
      <c r="C121">
        <f>sulawesi!D23</f>
        <v>3981.4968234932207</v>
      </c>
      <c r="D121">
        <f>sulawesi!E23</f>
        <v>294.59139201707774</v>
      </c>
      <c r="E121">
        <f>sulawesi!F23</f>
        <v>8106.9555959341806</v>
      </c>
      <c r="F121">
        <f>sulawesi!G23</f>
        <v>1616.9010757294304</v>
      </c>
      <c r="G121">
        <f>sulawesi!H23</f>
        <v>79.999999000000003</v>
      </c>
      <c r="H121">
        <f>sulawesi!I23</f>
        <v>1033.7699990000001</v>
      </c>
      <c r="I121">
        <f>sulawesi!J23</f>
        <v>62.549998000000002</v>
      </c>
      <c r="J121">
        <f>sulawesi!K23</f>
        <v>2732.0012241466657</v>
      </c>
      <c r="K121">
        <f>sulawesi!L23</f>
        <v>3008.853725919294</v>
      </c>
      <c r="L121">
        <f>sulawesi!M23</f>
        <v>0.5</v>
      </c>
      <c r="M121">
        <f>sulawesi!N23</f>
        <v>0</v>
      </c>
      <c r="N121">
        <f>sulawesi!O23</f>
        <v>0</v>
      </c>
      <c r="O121">
        <f>sulawesi!P23</f>
        <v>5.6737491006826986</v>
      </c>
      <c r="P121">
        <f>sulawesi!Q23</f>
        <v>20917.619833239867</v>
      </c>
    </row>
    <row r="122" spans="1:16" x14ac:dyDescent="0.25">
      <c r="A122" t="str">
        <f>maluku_papua!B4</f>
        <v>MALUKU_PAPUA</v>
      </c>
      <c r="B122">
        <f>maluku_papua!C4</f>
        <v>2019</v>
      </c>
      <c r="C122">
        <f>maluku_papua!D4</f>
        <v>279</v>
      </c>
      <c r="D122">
        <f>maluku_papua!E4</f>
        <v>4</v>
      </c>
      <c r="E122">
        <f>maluku_papua!F4</f>
        <v>0</v>
      </c>
      <c r="F122">
        <f>maluku_papua!G4</f>
        <v>893.06</v>
      </c>
      <c r="G122">
        <f>maluku_papua!H4</f>
        <v>0</v>
      </c>
      <c r="H122">
        <f>maluku_papua!I4</f>
        <v>29.79</v>
      </c>
      <c r="I122">
        <f>maluku_papua!J4</f>
        <v>0</v>
      </c>
      <c r="J122">
        <f>maluku_papua!K4</f>
        <v>6.41</v>
      </c>
      <c r="K122">
        <f>maluku_papua!L4</f>
        <v>0</v>
      </c>
      <c r="L122">
        <f>maluku_papua!M4</f>
        <v>0</v>
      </c>
      <c r="M122">
        <f>maluku_papua!N4</f>
        <v>0</v>
      </c>
      <c r="N122">
        <f>maluku_papua!O4</f>
        <v>0</v>
      </c>
      <c r="O122">
        <f>maluku_papua!P4</f>
        <v>0</v>
      </c>
      <c r="P122">
        <f>maluku_papua!Q4</f>
        <v>1212.26</v>
      </c>
    </row>
    <row r="123" spans="1:16" x14ac:dyDescent="0.25">
      <c r="A123" t="str">
        <f>maluku_papua!B5</f>
        <v>MALUKU_PAPUA</v>
      </c>
      <c r="B123">
        <f>maluku_papua!C5</f>
        <v>2020</v>
      </c>
      <c r="C123">
        <f>maluku_papua!D5</f>
        <v>279</v>
      </c>
      <c r="D123">
        <f>maluku_papua!E5</f>
        <v>3.9999990000000025</v>
      </c>
      <c r="E123">
        <f>maluku_papua!F5</f>
        <v>245.6691115891654</v>
      </c>
      <c r="F123">
        <f>maluku_papua!G5</f>
        <v>893.06</v>
      </c>
      <c r="G123">
        <f>maluku_papua!H5</f>
        <v>0</v>
      </c>
      <c r="H123">
        <f>maluku_papua!I5</f>
        <v>29.79</v>
      </c>
      <c r="I123">
        <f>maluku_papua!J5</f>
        <v>0</v>
      </c>
      <c r="J123">
        <f>maluku_papua!K5</f>
        <v>6.409999</v>
      </c>
      <c r="K123">
        <f>maluku_papua!L5</f>
        <v>0</v>
      </c>
      <c r="L123">
        <f>maluku_papua!M5</f>
        <v>0</v>
      </c>
      <c r="M123">
        <f>maluku_papua!N5</f>
        <v>-3.3184666029494048E-7</v>
      </c>
      <c r="N123">
        <f>maluku_papua!O5</f>
        <v>0</v>
      </c>
      <c r="O123">
        <f>maluku_papua!P5</f>
        <v>0.46078982868869955</v>
      </c>
      <c r="P123">
        <f>maluku_papua!Q5</f>
        <v>1457.9291092573187</v>
      </c>
    </row>
    <row r="124" spans="1:16" x14ac:dyDescent="0.25">
      <c r="A124" t="str">
        <f>maluku_papua!B6</f>
        <v>MALUKU_PAPUA</v>
      </c>
      <c r="B124">
        <f>maluku_papua!C6</f>
        <v>2021</v>
      </c>
      <c r="C124">
        <f>maluku_papua!D6</f>
        <v>279</v>
      </c>
      <c r="D124">
        <f>maluku_papua!E6</f>
        <v>3.9999980000000033</v>
      </c>
      <c r="E124">
        <f>maluku_papua!F6</f>
        <v>507.79805342918644</v>
      </c>
      <c r="F124">
        <f>maluku_papua!G6</f>
        <v>893.06</v>
      </c>
      <c r="G124">
        <f>maluku_papua!H6</f>
        <v>-3.3644169840764491E-15</v>
      </c>
      <c r="H124">
        <f>maluku_papua!I6</f>
        <v>29.790505433438195</v>
      </c>
      <c r="I124">
        <f>maluku_papua!J6</f>
        <v>75.510804178099022</v>
      </c>
      <c r="J124">
        <f>maluku_papua!K6</f>
        <v>340.55731414609454</v>
      </c>
      <c r="K124">
        <f>maluku_papua!L6</f>
        <v>37.155986149229314</v>
      </c>
      <c r="L124">
        <f>maluku_papua!M6</f>
        <v>0</v>
      </c>
      <c r="M124">
        <f>maluku_papua!N6</f>
        <v>0.24162813712232287</v>
      </c>
      <c r="N124">
        <f>maluku_papua!O6</f>
        <v>0</v>
      </c>
      <c r="O124">
        <f>maluku_papua!P6</f>
        <v>0.63321986188724666</v>
      </c>
      <c r="P124">
        <f>maluku_papua!Q6</f>
        <v>2167.1142894731697</v>
      </c>
    </row>
    <row r="125" spans="1:16" x14ac:dyDescent="0.25">
      <c r="A125" t="str">
        <f>maluku_papua!B7</f>
        <v>MALUKU_PAPUA</v>
      </c>
      <c r="B125">
        <f>maluku_papua!C7</f>
        <v>2022</v>
      </c>
      <c r="C125">
        <f>maluku_papua!D7</f>
        <v>298.36405964897546</v>
      </c>
      <c r="D125">
        <f>maluku_papua!E7</f>
        <v>3.9999970000000058</v>
      </c>
      <c r="E125">
        <f>maluku_papua!F7</f>
        <v>705.29432904128828</v>
      </c>
      <c r="F125">
        <f>maluku_papua!G7</f>
        <v>893.06</v>
      </c>
      <c r="G125">
        <f>maluku_papua!H7</f>
        <v>0</v>
      </c>
      <c r="H125">
        <f>maluku_papua!I7</f>
        <v>49.354844898709693</v>
      </c>
      <c r="I125">
        <f>maluku_papua!J7</f>
        <v>106.97541618651606</v>
      </c>
      <c r="J125">
        <f>maluku_papua!K7</f>
        <v>348.66846547507458</v>
      </c>
      <c r="K125">
        <f>maluku_papua!L7</f>
        <v>50.712294988868564</v>
      </c>
      <c r="L125">
        <f>maluku_papua!M7</f>
        <v>0</v>
      </c>
      <c r="M125">
        <f>maluku_papua!N7</f>
        <v>0.27798618837005767</v>
      </c>
      <c r="N125">
        <f>maluku_papua!O7</f>
        <v>0</v>
      </c>
      <c r="O125">
        <f>maluku_papua!P7</f>
        <v>0.70351539974811073</v>
      </c>
      <c r="P125">
        <f>maluku_papua!Q7</f>
        <v>2456.7073934278028</v>
      </c>
    </row>
    <row r="126" spans="1:16" x14ac:dyDescent="0.25">
      <c r="A126" t="str">
        <f>maluku_papua!B8</f>
        <v>MALUKU_PAPUA</v>
      </c>
      <c r="B126">
        <f>maluku_papua!C8</f>
        <v>2023</v>
      </c>
      <c r="C126">
        <f>maluku_papua!D8</f>
        <v>350.59962662286966</v>
      </c>
      <c r="D126">
        <f>maluku_papua!E8</f>
        <v>3.9999970000000058</v>
      </c>
      <c r="E126">
        <f>maluku_papua!F8</f>
        <v>781.99909929127398</v>
      </c>
      <c r="F126">
        <f>maluku_papua!G8</f>
        <v>893.06</v>
      </c>
      <c r="G126">
        <f>maluku_papua!H8</f>
        <v>-3.3644176193511595E-15</v>
      </c>
      <c r="H126">
        <f>maluku_papua!I8</f>
        <v>49.893261336787482</v>
      </c>
      <c r="I126">
        <f>maluku_papua!J8</f>
        <v>106.97888429870441</v>
      </c>
      <c r="J126">
        <f>maluku_papua!K8</f>
        <v>355.06238544460746</v>
      </c>
      <c r="K126">
        <f>maluku_papua!L8</f>
        <v>154.56819345917864</v>
      </c>
      <c r="L126">
        <f>maluku_papua!M8</f>
        <v>0</v>
      </c>
      <c r="M126">
        <f>maluku_papua!N8</f>
        <v>0.28339305824292482</v>
      </c>
      <c r="N126">
        <f>maluku_papua!O8</f>
        <v>0</v>
      </c>
      <c r="O126">
        <f>maluku_papua!P8</f>
        <v>0.77734087030196652</v>
      </c>
      <c r="P126">
        <f>maluku_papua!Q8</f>
        <v>2696.4448405116646</v>
      </c>
    </row>
    <row r="127" spans="1:16" x14ac:dyDescent="0.25">
      <c r="A127" t="str">
        <f>maluku_papua!B9</f>
        <v>MALUKU_PAPUA</v>
      </c>
      <c r="B127">
        <f>maluku_papua!C9</f>
        <v>2024</v>
      </c>
      <c r="C127">
        <f>maluku_papua!D9</f>
        <v>405.33203747611225</v>
      </c>
      <c r="D127">
        <f>maluku_papua!E9</f>
        <v>3.9999960000000065</v>
      </c>
      <c r="E127">
        <f>maluku_papua!F9</f>
        <v>868.10030084865502</v>
      </c>
      <c r="F127">
        <f>maluku_papua!G9</f>
        <v>893.06</v>
      </c>
      <c r="G127">
        <f>maluku_papua!H9</f>
        <v>-1.5410366119894324E-7</v>
      </c>
      <c r="H127">
        <f>maluku_papua!I9</f>
        <v>63.172852350506801</v>
      </c>
      <c r="I127">
        <f>maluku_papua!J9</f>
        <v>157.39739624247019</v>
      </c>
      <c r="J127">
        <f>maluku_papua!K9</f>
        <v>355.06238544460746</v>
      </c>
      <c r="K127">
        <f>maluku_papua!L9</f>
        <v>162.60425077469961</v>
      </c>
      <c r="L127">
        <f>maluku_papua!M9</f>
        <v>0</v>
      </c>
      <c r="M127">
        <f>maluku_papua!N9</f>
        <v>0.28339305824292482</v>
      </c>
      <c r="N127">
        <f>maluku_papua!O9</f>
        <v>0</v>
      </c>
      <c r="O127">
        <f>maluku_papua!P9</f>
        <v>0.83999928720215589</v>
      </c>
      <c r="P127">
        <f>maluku_papua!Q9</f>
        <v>2909.0126120411906</v>
      </c>
    </row>
    <row r="128" spans="1:16" x14ac:dyDescent="0.25">
      <c r="A128" t="str">
        <f>maluku_papua!B10</f>
        <v>MALUKU_PAPUA</v>
      </c>
      <c r="B128">
        <f>maluku_papua!C10</f>
        <v>2025</v>
      </c>
      <c r="C128">
        <f>maluku_papua!D10</f>
        <v>462.56609481853565</v>
      </c>
      <c r="D128">
        <f>maluku_papua!E10</f>
        <v>3.9999950000000073</v>
      </c>
      <c r="E128">
        <f>maluku_papua!F10</f>
        <v>964.9172083647851</v>
      </c>
      <c r="F128">
        <f>maluku_papua!G10</f>
        <v>893.06</v>
      </c>
      <c r="G128">
        <f>maluku_papua!H10</f>
        <v>-1.5410366119894324E-7</v>
      </c>
      <c r="H128">
        <f>maluku_papua!I10</f>
        <v>122.32451216658625</v>
      </c>
      <c r="I128">
        <f>maluku_papua!J10</f>
        <v>163.82303990892518</v>
      </c>
      <c r="J128">
        <f>maluku_papua!K10</f>
        <v>378.85564916975579</v>
      </c>
      <c r="K128">
        <f>maluku_papua!L10</f>
        <v>193.06051058591694</v>
      </c>
      <c r="L128">
        <f>maluku_papua!M10</f>
        <v>0</v>
      </c>
      <c r="M128">
        <f>maluku_papua!N10</f>
        <v>0.28340801578564845</v>
      </c>
      <c r="N128">
        <f>maluku_papua!O10</f>
        <v>0</v>
      </c>
      <c r="O128">
        <f>maluku_papua!P10</f>
        <v>0.9157307406313</v>
      </c>
      <c r="P128">
        <f>maluku_papua!Q10</f>
        <v>3182.8904178761868</v>
      </c>
    </row>
    <row r="129" spans="1:16" x14ac:dyDescent="0.25">
      <c r="A129" t="str">
        <f>maluku_papua!B11</f>
        <v>MALUKU_PAPUA</v>
      </c>
      <c r="B129">
        <f>maluku_papua!C11</f>
        <v>2026</v>
      </c>
      <c r="C129">
        <f>maluku_papua!D11</f>
        <v>528.55918576194347</v>
      </c>
      <c r="D129">
        <f>maluku_papua!E11</f>
        <v>3.9999950000000073</v>
      </c>
      <c r="E129">
        <f>maluku_papua!F11</f>
        <v>1047.3182739413792</v>
      </c>
      <c r="F129">
        <f>maluku_papua!G11</f>
        <v>893.06</v>
      </c>
      <c r="G129">
        <f>maluku_papua!H11</f>
        <v>0</v>
      </c>
      <c r="H129">
        <f>maluku_papua!I11</f>
        <v>137.1490665464537</v>
      </c>
      <c r="I129">
        <f>maluku_papua!J11</f>
        <v>182.74435055809892</v>
      </c>
      <c r="J129">
        <f>maluku_papua!K11</f>
        <v>383.91489379703012</v>
      </c>
      <c r="K129">
        <f>maluku_papua!L11</f>
        <v>202.90553916919714</v>
      </c>
      <c r="L129">
        <f>maluku_papua!M11</f>
        <v>0</v>
      </c>
      <c r="M129">
        <f>maluku_papua!N11</f>
        <v>0.33691294614266781</v>
      </c>
      <c r="N129">
        <f>maluku_papua!O11</f>
        <v>0</v>
      </c>
      <c r="O129">
        <f>maluku_papua!P11</f>
        <v>0.97091726789943822</v>
      </c>
      <c r="P129">
        <f>maluku_papua!Q11</f>
        <v>3379.9882177202453</v>
      </c>
    </row>
    <row r="130" spans="1:16" x14ac:dyDescent="0.25">
      <c r="A130" t="str">
        <f>maluku_papua!B12</f>
        <v>MALUKU_PAPUA</v>
      </c>
      <c r="B130">
        <f>maluku_papua!C12</f>
        <v>2027</v>
      </c>
      <c r="C130">
        <f>maluku_papua!D12</f>
        <v>598.53410328403595</v>
      </c>
      <c r="D130">
        <f>maluku_papua!E12</f>
        <v>3.9999940000000072</v>
      </c>
      <c r="E130">
        <f>maluku_papua!F12</f>
        <v>1137.1066673322885</v>
      </c>
      <c r="F130">
        <f>maluku_papua!G12</f>
        <v>893.06</v>
      </c>
      <c r="G130">
        <f>maluku_papua!H12</f>
        <v>-3.3644289219470494E-15</v>
      </c>
      <c r="H130">
        <f>maluku_papua!I12</f>
        <v>158.71441492001441</v>
      </c>
      <c r="I130">
        <f>maluku_papua!J12</f>
        <v>199.6711997731189</v>
      </c>
      <c r="J130">
        <f>maluku_papua!K12</f>
        <v>383.93207044072346</v>
      </c>
      <c r="K130">
        <f>maluku_papua!L12</f>
        <v>215.88549294963642</v>
      </c>
      <c r="L130">
        <f>maluku_papua!M12</f>
        <v>0</v>
      </c>
      <c r="M130">
        <f>maluku_papua!N12</f>
        <v>0.47021768032859246</v>
      </c>
      <c r="N130">
        <f>maluku_papua!O12</f>
        <v>0</v>
      </c>
      <c r="O130">
        <f>maluku_papua!P12</f>
        <v>1.0301830478593823</v>
      </c>
      <c r="P130">
        <f>maluku_papua!Q12</f>
        <v>3591.3741603801463</v>
      </c>
    </row>
    <row r="131" spans="1:16" x14ac:dyDescent="0.25">
      <c r="A131" t="str">
        <f>maluku_papua!B13</f>
        <v>MALUKU_PAPUA</v>
      </c>
      <c r="B131">
        <f>maluku_papua!C13</f>
        <v>2028</v>
      </c>
      <c r="C131">
        <f>maluku_papua!D13</f>
        <v>672.71287207468106</v>
      </c>
      <c r="D131">
        <f>maluku_papua!E13</f>
        <v>3.9999930000000079</v>
      </c>
      <c r="E131">
        <f>maluku_papua!F13</f>
        <v>1234.9673221574787</v>
      </c>
      <c r="F131">
        <f>maluku_papua!G13</f>
        <v>893.06</v>
      </c>
      <c r="G131">
        <f>maluku_papua!H13</f>
        <v>-3.3644289219470494E-15</v>
      </c>
      <c r="H131">
        <f>maluku_papua!I13</f>
        <v>158.71441789906615</v>
      </c>
      <c r="I131">
        <f>maluku_papua!J13</f>
        <v>199.67120225865247</v>
      </c>
      <c r="J131">
        <f>maluku_papua!K13</f>
        <v>419.14606276539462</v>
      </c>
      <c r="K131">
        <f>maluku_papua!L13</f>
        <v>278.22339328590277</v>
      </c>
      <c r="L131">
        <f>maluku_papua!M13</f>
        <v>0</v>
      </c>
      <c r="M131">
        <f>maluku_papua!N13</f>
        <v>0.52814161069059862</v>
      </c>
      <c r="N131">
        <f>maluku_papua!O13</f>
        <v>0</v>
      </c>
      <c r="O131">
        <f>maluku_papua!P13</f>
        <v>1.1059261855625977</v>
      </c>
      <c r="P131">
        <f>maluku_papua!Q13</f>
        <v>3861.0234050518661</v>
      </c>
    </row>
    <row r="132" spans="1:16" x14ac:dyDescent="0.25">
      <c r="A132" t="str">
        <f>maluku_papua!B14</f>
        <v>MALUKU_PAPUA</v>
      </c>
      <c r="B132">
        <f>maluku_papua!C14</f>
        <v>2029</v>
      </c>
      <c r="C132">
        <f>maluku_papua!D14</f>
        <v>751.32844130453395</v>
      </c>
      <c r="D132">
        <f>maluku_papua!E14</f>
        <v>3.9999930000000079</v>
      </c>
      <c r="E132">
        <f>maluku_papua!F14</f>
        <v>1341.6478343924366</v>
      </c>
      <c r="F132">
        <f>maluku_papua!G14</f>
        <v>893.06</v>
      </c>
      <c r="G132">
        <f>maluku_papua!H14</f>
        <v>0</v>
      </c>
      <c r="H132">
        <f>maluku_papua!I14</f>
        <v>176.65116307670868</v>
      </c>
      <c r="I132">
        <f>maluku_papua!J14</f>
        <v>224.57124505439819</v>
      </c>
      <c r="J132">
        <f>maluku_papua!K14</f>
        <v>426.58445970437003</v>
      </c>
      <c r="K132">
        <f>maluku_papua!L14</f>
        <v>290.6464502351713</v>
      </c>
      <c r="L132">
        <f>maluku_papua!M14</f>
        <v>0</v>
      </c>
      <c r="M132">
        <f>maluku_papua!N14</f>
        <v>0.5281552557872855</v>
      </c>
      <c r="N132">
        <f>maluku_papua!O14</f>
        <v>0</v>
      </c>
      <c r="O132">
        <f>maluku_papua!P14</f>
        <v>1.1749186588648985</v>
      </c>
      <c r="P132">
        <f>maluku_papua!Q14</f>
        <v>4109.0177420234058</v>
      </c>
    </row>
    <row r="133" spans="1:16" x14ac:dyDescent="0.25">
      <c r="A133" t="str">
        <f>maluku_papua!B15</f>
        <v>MALUKU_PAPUA</v>
      </c>
      <c r="B133">
        <f>maluku_papua!C15</f>
        <v>2030</v>
      </c>
      <c r="C133">
        <f>maluku_papua!D15</f>
        <v>834.62479182789889</v>
      </c>
      <c r="D133">
        <f>maluku_papua!E15</f>
        <v>3.9999930000000079</v>
      </c>
      <c r="E133">
        <f>maluku_papua!F15</f>
        <v>1457.9653161591984</v>
      </c>
      <c r="F133">
        <f>maluku_papua!G15</f>
        <v>893.06</v>
      </c>
      <c r="G133">
        <f>maluku_papua!H15</f>
        <v>-1.5410366049906088E-7</v>
      </c>
      <c r="H133">
        <f>maluku_papua!I15</f>
        <v>176.65116307670868</v>
      </c>
      <c r="I133">
        <f>maluku_papua!J15</f>
        <v>271.96296240360613</v>
      </c>
      <c r="J133">
        <f>maluku_papua!K15</f>
        <v>438.77200937294646</v>
      </c>
      <c r="K133">
        <f>maluku_papua!L15</f>
        <v>290.6464507351713</v>
      </c>
      <c r="L133">
        <f>maluku_papua!M15</f>
        <v>0</v>
      </c>
      <c r="M133">
        <f>maluku_papua!N15</f>
        <v>0.58931093757640129</v>
      </c>
      <c r="N133">
        <f>maluku_papua!O15</f>
        <v>0</v>
      </c>
      <c r="O133">
        <f>maluku_papua!P15</f>
        <v>1.2473617143368299</v>
      </c>
      <c r="P133">
        <f>maluku_papua!Q15</f>
        <v>4368.2719973590019</v>
      </c>
    </row>
    <row r="134" spans="1:16" x14ac:dyDescent="0.25">
      <c r="A134" t="str">
        <f>maluku_papua!B16</f>
        <v>MALUKU_PAPUA</v>
      </c>
      <c r="B134">
        <f>maluku_papua!C16</f>
        <v>2031</v>
      </c>
      <c r="C134">
        <f>maluku_papua!D16</f>
        <v>922.85722637705703</v>
      </c>
      <c r="D134">
        <f>maluku_papua!E16</f>
        <v>3.9999930000000079</v>
      </c>
      <c r="E134">
        <f>maluku_papua!F16</f>
        <v>1584.8129532122348</v>
      </c>
      <c r="F134">
        <f>maluku_papua!G16</f>
        <v>893.06</v>
      </c>
      <c r="G134">
        <f>maluku_papua!H16</f>
        <v>0</v>
      </c>
      <c r="H134">
        <f>maluku_papua!I16</f>
        <v>201.71242925443565</v>
      </c>
      <c r="I134">
        <f>maluku_papua!J16</f>
        <v>297.17325832228016</v>
      </c>
      <c r="J134">
        <f>maluku_papua!K16</f>
        <v>438.77200937294646</v>
      </c>
      <c r="K134">
        <f>maluku_papua!L16</f>
        <v>313.09156812863239</v>
      </c>
      <c r="L134">
        <f>maluku_papua!M16</f>
        <v>0</v>
      </c>
      <c r="M134">
        <f>maluku_papua!N16</f>
        <v>0.58931093757640129</v>
      </c>
      <c r="N134">
        <f>maluku_papua!O16</f>
        <v>0</v>
      </c>
      <c r="O134">
        <f>maluku_papua!P16</f>
        <v>1.3279010455245386</v>
      </c>
      <c r="P134">
        <f>maluku_papua!Q16</f>
        <v>4656.0687486051629</v>
      </c>
    </row>
    <row r="135" spans="1:16" x14ac:dyDescent="0.25">
      <c r="A135" t="str">
        <f>maluku_papua!B17</f>
        <v>MALUKU_PAPUA</v>
      </c>
      <c r="B135">
        <f>maluku_papua!C17</f>
        <v>2032</v>
      </c>
      <c r="C135">
        <f>maluku_papua!D17</f>
        <v>1016.2926491242723</v>
      </c>
      <c r="D135">
        <f>maluku_papua!E17</f>
        <v>3.9999930000000079</v>
      </c>
      <c r="E135">
        <f>maluku_papua!F17</f>
        <v>1723.1671372138881</v>
      </c>
      <c r="F135">
        <f>maluku_papua!G17</f>
        <v>893.06</v>
      </c>
      <c r="G135">
        <f>maluku_papua!H17</f>
        <v>-3.3644175664116003E-15</v>
      </c>
      <c r="H135">
        <f>maluku_papua!I17</f>
        <v>201.71503899709435</v>
      </c>
      <c r="I135">
        <f>maluku_papua!J17</f>
        <v>351.93118447829585</v>
      </c>
      <c r="J135">
        <f>maluku_papua!K17</f>
        <v>439.6523970545536</v>
      </c>
      <c r="K135">
        <f>maluku_papua!L17</f>
        <v>323.61567939089866</v>
      </c>
      <c r="L135">
        <f>maluku_papua!M17</f>
        <v>0</v>
      </c>
      <c r="M135">
        <f>maluku_papua!N17</f>
        <v>0.63931043757640127</v>
      </c>
      <c r="N135">
        <f>maluku_papua!O17</f>
        <v>0</v>
      </c>
      <c r="O135">
        <f>maluku_papua!P17</f>
        <v>1.4124243593980899</v>
      </c>
      <c r="P135">
        <f>maluku_papua!Q17</f>
        <v>4954.0733896965785</v>
      </c>
    </row>
    <row r="136" spans="1:16" x14ac:dyDescent="0.25">
      <c r="A136" t="str">
        <f>maluku_papua!B18</f>
        <v>MALUKU_PAPUA</v>
      </c>
      <c r="B136">
        <f>maluku_papua!C18</f>
        <v>2033</v>
      </c>
      <c r="C136">
        <f>maluku_papua!D18</f>
        <v>1115.2098062689713</v>
      </c>
      <c r="D136">
        <f>maluku_papua!E18</f>
        <v>3.9999930000000079</v>
      </c>
      <c r="E136">
        <f>maluku_papua!F18</f>
        <v>1874.0953186125475</v>
      </c>
      <c r="F136">
        <f>maluku_papua!G18</f>
        <v>893.06</v>
      </c>
      <c r="G136">
        <f>maluku_papua!H18</f>
        <v>-1.5410366119894319E-7</v>
      </c>
      <c r="H136">
        <f>maluku_papua!I18</f>
        <v>208.19129865452604</v>
      </c>
      <c r="I136">
        <f>maluku_papua!J18</f>
        <v>408.24357360987358</v>
      </c>
      <c r="J136">
        <f>maluku_papua!K18</f>
        <v>439.7024871306312</v>
      </c>
      <c r="K136">
        <f>maluku_papua!L18</f>
        <v>332.48646471224373</v>
      </c>
      <c r="L136">
        <f>maluku_papua!M18</f>
        <v>0</v>
      </c>
      <c r="M136">
        <f>maluku_papua!N18</f>
        <v>0.69465926107239406</v>
      </c>
      <c r="N136">
        <f>maluku_papua!O18</f>
        <v>0</v>
      </c>
      <c r="O136">
        <f>maluku_papua!P18</f>
        <v>1.5029925674220839</v>
      </c>
      <c r="P136">
        <f>maluku_papua!Q18</f>
        <v>5275.6836010957613</v>
      </c>
    </row>
    <row r="137" spans="1:16" x14ac:dyDescent="0.25">
      <c r="A137" t="str">
        <f>maluku_papua!B19</f>
        <v>MALUKU_PAPUA</v>
      </c>
      <c r="B137">
        <f>maluku_papua!C19</f>
        <v>2034</v>
      </c>
      <c r="C137">
        <f>maluku_papua!D19</f>
        <v>1219.8994948146751</v>
      </c>
      <c r="D137">
        <f>maluku_papua!E19</f>
        <v>3.9999920000000087</v>
      </c>
      <c r="E137">
        <f>maluku_papua!F19</f>
        <v>2038.7645908784723</v>
      </c>
      <c r="F137">
        <f>maluku_papua!G19</f>
        <v>893.06</v>
      </c>
      <c r="G137">
        <f>maluku_papua!H19</f>
        <v>0</v>
      </c>
      <c r="H137">
        <f>maluku_papua!I19</f>
        <v>236.99630067276212</v>
      </c>
      <c r="I137">
        <f>maluku_papua!J19</f>
        <v>430.46497070008877</v>
      </c>
      <c r="J137">
        <f>maluku_papua!K19</f>
        <v>440.09921016666669</v>
      </c>
      <c r="K137">
        <f>maluku_papua!L19</f>
        <v>385.64356061311207</v>
      </c>
      <c r="L137">
        <f>maluku_papua!M19</f>
        <v>0</v>
      </c>
      <c r="M137">
        <f>maluku_papua!N19</f>
        <v>0.74465833443050244</v>
      </c>
      <c r="N137">
        <f>maluku_papua!O19</f>
        <v>0</v>
      </c>
      <c r="O137">
        <f>maluku_papua!P19</f>
        <v>1.6081512345005937</v>
      </c>
      <c r="P137">
        <f>maluku_papua!Q19</f>
        <v>5649.6727781802074</v>
      </c>
    </row>
    <row r="138" spans="1:16" x14ac:dyDescent="0.25">
      <c r="A138" t="str">
        <f>maluku_papua!B20</f>
        <v>MALUKU_PAPUA</v>
      </c>
      <c r="B138">
        <f>maluku_papua!C20</f>
        <v>2035</v>
      </c>
      <c r="C138">
        <f>maluku_papua!D20</f>
        <v>1333.7002890017891</v>
      </c>
      <c r="D138">
        <f>maluku_papua!E20</f>
        <v>3.9999910000000112</v>
      </c>
      <c r="E138">
        <f>maluku_papua!F20</f>
        <v>2205.5659353492265</v>
      </c>
      <c r="F138">
        <f>maluku_papua!G20</f>
        <v>893.06</v>
      </c>
      <c r="G138">
        <f>maluku_papua!H20</f>
        <v>-1.5410365961088246E-7</v>
      </c>
      <c r="H138">
        <f>maluku_papua!I20</f>
        <v>245.28055882388341</v>
      </c>
      <c r="I138">
        <f>maluku_papua!J20</f>
        <v>500.8615055815535</v>
      </c>
      <c r="J138">
        <f>maluku_papua!K20</f>
        <v>440.09921016666669</v>
      </c>
      <c r="K138">
        <f>maluku_papua!L20</f>
        <v>385.64356061311207</v>
      </c>
      <c r="L138">
        <f>maluku_papua!M20</f>
        <v>0</v>
      </c>
      <c r="M138">
        <f>maluku_papua!N20</f>
        <v>0.78575673053630857</v>
      </c>
      <c r="N138">
        <f>maluku_papua!O20</f>
        <v>0</v>
      </c>
      <c r="O138">
        <f>maluku_papua!P20</f>
        <v>1.7096412577760101</v>
      </c>
      <c r="P138">
        <f>maluku_papua!Q20</f>
        <v>6008.9968071126632</v>
      </c>
    </row>
    <row r="139" spans="1:16" x14ac:dyDescent="0.25">
      <c r="A139" t="str">
        <f>maluku_papua!B21</f>
        <v>MALUKU_PAPUA</v>
      </c>
      <c r="B139">
        <f>maluku_papua!C21</f>
        <v>2036</v>
      </c>
      <c r="C139">
        <f>maluku_papua!D21</f>
        <v>1439.3421230817924</v>
      </c>
      <c r="D139">
        <f>maluku_papua!E21</f>
        <v>3.9999910000000112</v>
      </c>
      <c r="E139">
        <f>maluku_papua!F21</f>
        <v>2450.5402241481643</v>
      </c>
      <c r="F139">
        <f>maluku_papua!G21</f>
        <v>893.06</v>
      </c>
      <c r="G139">
        <f>maluku_papua!H21</f>
        <v>-3.3644175664116003E-15</v>
      </c>
      <c r="H139">
        <f>maluku_papua!I21</f>
        <v>245.28055915726497</v>
      </c>
      <c r="I139">
        <f>maluku_papua!J21</f>
        <v>547.13776353729509</v>
      </c>
      <c r="J139">
        <f>maluku_papua!K21</f>
        <v>440.09921248286651</v>
      </c>
      <c r="K139">
        <f>maluku_papua!L21</f>
        <v>562.64897362767545</v>
      </c>
      <c r="L139">
        <f>maluku_papua!M21</f>
        <v>0</v>
      </c>
      <c r="M139">
        <f>maluku_papua!N21</f>
        <v>0.89753291036499816</v>
      </c>
      <c r="N139">
        <f>maluku_papua!O21</f>
        <v>0</v>
      </c>
      <c r="O139">
        <f>maluku_papua!P21</f>
        <v>1.879102459583796</v>
      </c>
      <c r="P139">
        <f>maluku_papua!Q21</f>
        <v>6583.0063799454229</v>
      </c>
    </row>
    <row r="140" spans="1:16" x14ac:dyDescent="0.25">
      <c r="A140" t="str">
        <f>maluku_papua!B22</f>
        <v>MALUKU_PAPUA</v>
      </c>
      <c r="B140">
        <f>maluku_papua!C22</f>
        <v>2037</v>
      </c>
      <c r="C140">
        <f>maluku_papua!D22</f>
        <v>1552.8350165811025</v>
      </c>
      <c r="D140">
        <f>maluku_papua!E22</f>
        <v>3.9999910000000112</v>
      </c>
      <c r="E140">
        <f>maluku_papua!F22</f>
        <v>2708.6463700857998</v>
      </c>
      <c r="F140">
        <f>maluku_papua!G22</f>
        <v>893.06</v>
      </c>
      <c r="G140">
        <f>maluku_papua!H22</f>
        <v>0</v>
      </c>
      <c r="H140">
        <f>maluku_papua!I22</f>
        <v>245.37838309840106</v>
      </c>
      <c r="I140">
        <f>maluku_papua!J22</f>
        <v>548.73776490958892</v>
      </c>
      <c r="J140">
        <f>maluku_papua!K22</f>
        <v>493.53685142614842</v>
      </c>
      <c r="K140">
        <f>maluku_papua!L22</f>
        <v>823.76235691028273</v>
      </c>
      <c r="L140">
        <f>maluku_papua!M22</f>
        <v>0</v>
      </c>
      <c r="M140">
        <f>maluku_papua!N22</f>
        <v>0.89753611364876995</v>
      </c>
      <c r="N140">
        <f>maluku_papua!O22</f>
        <v>0</v>
      </c>
      <c r="O140">
        <f>maluku_papua!P22</f>
        <v>2.080086192103177</v>
      </c>
      <c r="P140">
        <f>maluku_papua!Q22</f>
        <v>7270.8542701249726</v>
      </c>
    </row>
    <row r="141" spans="1:16" x14ac:dyDescent="0.25">
      <c r="A141" t="str">
        <f>maluku_papua!B23</f>
        <v>MALUKU_PAPUA</v>
      </c>
      <c r="B141">
        <f>maluku_papua!C23</f>
        <v>2038</v>
      </c>
      <c r="C141">
        <f>maluku_papua!D23</f>
        <v>1672.8120082339101</v>
      </c>
      <c r="D141">
        <f>maluku_papua!E23</f>
        <v>3.9999900000000119</v>
      </c>
      <c r="E141">
        <f>maluku_papua!F23</f>
        <v>2988.7994170631709</v>
      </c>
      <c r="F141">
        <f>maluku_papua!G23</f>
        <v>893.06</v>
      </c>
      <c r="G141">
        <f>maluku_papua!H23</f>
        <v>0</v>
      </c>
      <c r="H141">
        <f>maluku_papua!I23</f>
        <v>296.24348734588006</v>
      </c>
      <c r="I141">
        <f>maluku_papua!J23</f>
        <v>627.94551881224413</v>
      </c>
      <c r="J141">
        <f>maluku_papua!K23</f>
        <v>581.29649903622055</v>
      </c>
      <c r="K141">
        <f>maluku_papua!L23</f>
        <v>859.00728684031253</v>
      </c>
      <c r="L141">
        <f>maluku_papua!M23</f>
        <v>0</v>
      </c>
      <c r="M141">
        <f>maluku_papua!N23</f>
        <v>1.1828369874896039</v>
      </c>
      <c r="N141">
        <f>maluku_papua!O23</f>
        <v>0</v>
      </c>
      <c r="O141">
        <f>maluku_papua!P23</f>
        <v>2.2558975117049456</v>
      </c>
      <c r="P141">
        <f>maluku_papua!Q23</f>
        <v>7924.3470443192273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2003-E828-47B7-A9BA-1C0D64A62393}">
  <dimension ref="A1:J141"/>
  <sheetViews>
    <sheetView workbookViewId="0">
      <selection activeCell="C2" sqref="C2:J141"/>
    </sheetView>
  </sheetViews>
  <sheetFormatPr defaultRowHeight="15" x14ac:dyDescent="0.25"/>
  <cols>
    <col min="1" max="1" width="16" customWidth="1"/>
  </cols>
  <sheetData>
    <row r="1" spans="1:10" x14ac:dyDescent="0.25">
      <c r="A1" t="str">
        <f>indonesia!AO3</f>
        <v>region</v>
      </c>
      <c r="B1" t="str">
        <f>indonesia!AP3</f>
        <v>year</v>
      </c>
      <c r="C1" t="str">
        <f>indonesia!AU3</f>
        <v>geothermal</v>
      </c>
      <c r="D1" t="str">
        <f>indonesia!AV3</f>
        <v>lhydro</v>
      </c>
      <c r="E1" t="str">
        <f>indonesia!AW3</f>
        <v>mhydro</v>
      </c>
      <c r="F1" t="str">
        <f>indonesia!AX3</f>
        <v>solar</v>
      </c>
      <c r="G1" t="str">
        <f>indonesia!AY3</f>
        <v>wind</v>
      </c>
      <c r="H1" t="str">
        <f>indonesia!AZ3</f>
        <v>biomass</v>
      </c>
      <c r="I1" t="str">
        <f>indonesia!BA3</f>
        <v>ocean</v>
      </c>
      <c r="J1" t="str">
        <f>indonesia!BD3</f>
        <v>total</v>
      </c>
    </row>
    <row r="2" spans="1:10" x14ac:dyDescent="0.25">
      <c r="A2" t="str">
        <f>indonesia!AO4</f>
        <v>INDONESIA</v>
      </c>
      <c r="B2">
        <f>indonesia!AP4</f>
        <v>2019</v>
      </c>
      <c r="C2">
        <f>SUM(C22,C42,C62,C82,C102,C122)</f>
        <v>46700.6</v>
      </c>
      <c r="D2">
        <f t="shared" ref="D2:J2" si="0">SUM(D22,D42,D62,D82,D102,D122)</f>
        <v>127381</v>
      </c>
      <c r="E2">
        <f t="shared" si="0"/>
        <v>37938</v>
      </c>
      <c r="F2">
        <f t="shared" si="0"/>
        <v>402398</v>
      </c>
      <c r="G2">
        <f t="shared" si="0"/>
        <v>115754</v>
      </c>
      <c r="H2">
        <f t="shared" si="0"/>
        <v>65091</v>
      </c>
      <c r="I2">
        <f t="shared" si="0"/>
        <v>35585</v>
      </c>
      <c r="J2">
        <f t="shared" si="0"/>
        <v>830847.6</v>
      </c>
    </row>
    <row r="3" spans="1:10" x14ac:dyDescent="0.25">
      <c r="A3" t="str">
        <f>indonesia!AO5</f>
        <v>INDONESIA</v>
      </c>
      <c r="B3">
        <f>indonesia!AP5</f>
        <v>2020</v>
      </c>
      <c r="C3">
        <f t="shared" ref="C3:J18" si="1">SUM(C23,C43,C63,C83,C103,C123)</f>
        <v>46700.6</v>
      </c>
      <c r="D3">
        <f t="shared" si="1"/>
        <v>125116.40955899665</v>
      </c>
      <c r="E3">
        <f t="shared" si="1"/>
        <v>37686.600063913633</v>
      </c>
      <c r="F3">
        <f t="shared" si="1"/>
        <v>395769.30445507023</v>
      </c>
      <c r="G3">
        <f t="shared" si="1"/>
        <v>115640.66467779748</v>
      </c>
      <c r="H3">
        <f t="shared" si="1"/>
        <v>65023.248167986603</v>
      </c>
      <c r="I3">
        <f t="shared" si="1"/>
        <v>35577.660627199955</v>
      </c>
      <c r="J3">
        <f t="shared" si="1"/>
        <v>821514.48755096458</v>
      </c>
    </row>
    <row r="4" spans="1:10" x14ac:dyDescent="0.25">
      <c r="A4" t="str">
        <f>indonesia!AO6</f>
        <v>INDONESIA</v>
      </c>
      <c r="B4">
        <f>indonesia!AP6</f>
        <v>2021</v>
      </c>
      <c r="C4">
        <f t="shared" si="1"/>
        <v>46559.284509513454</v>
      </c>
      <c r="D4">
        <f t="shared" si="1"/>
        <v>123858.27095357979</v>
      </c>
      <c r="E4">
        <f t="shared" si="1"/>
        <v>36147.591699709541</v>
      </c>
      <c r="F4">
        <f t="shared" si="1"/>
        <v>394887.02045419026</v>
      </c>
      <c r="G4">
        <f t="shared" si="1"/>
        <v>113695.51010052854</v>
      </c>
      <c r="H4">
        <f t="shared" si="1"/>
        <v>65023.248168986604</v>
      </c>
      <c r="I4">
        <f t="shared" si="1"/>
        <v>35575.033382241352</v>
      </c>
      <c r="J4">
        <f t="shared" si="1"/>
        <v>815745.95926874958</v>
      </c>
    </row>
    <row r="5" spans="1:10" x14ac:dyDescent="0.25">
      <c r="A5" t="str">
        <f>indonesia!AO7</f>
        <v>INDONESIA</v>
      </c>
      <c r="B5">
        <f>indonesia!AP7</f>
        <v>2022</v>
      </c>
      <c r="C5">
        <f t="shared" si="1"/>
        <v>46559.284499072754</v>
      </c>
      <c r="D5">
        <f t="shared" si="1"/>
        <v>123742.29989990118</v>
      </c>
      <c r="E5">
        <f t="shared" si="1"/>
        <v>36116.12708970112</v>
      </c>
      <c r="F5">
        <f t="shared" si="1"/>
        <v>392706.32216432423</v>
      </c>
      <c r="G5">
        <f t="shared" si="1"/>
        <v>113681.95379168889</v>
      </c>
      <c r="H5">
        <f t="shared" si="1"/>
        <v>65023.248169986604</v>
      </c>
      <c r="I5">
        <f t="shared" si="1"/>
        <v>35574.997023858261</v>
      </c>
      <c r="J5">
        <f t="shared" si="1"/>
        <v>813404.23263853299</v>
      </c>
    </row>
    <row r="6" spans="1:10" x14ac:dyDescent="0.25">
      <c r="A6" t="str">
        <f>indonesia!AO8</f>
        <v>INDONESIA</v>
      </c>
      <c r="B6">
        <f>indonesia!AP8</f>
        <v>2023</v>
      </c>
      <c r="C6">
        <f t="shared" si="1"/>
        <v>46466.740989110782</v>
      </c>
      <c r="D6">
        <f t="shared" si="1"/>
        <v>123466.05463837954</v>
      </c>
      <c r="E6">
        <f t="shared" si="1"/>
        <v>36097.451908965799</v>
      </c>
      <c r="F6">
        <f t="shared" si="1"/>
        <v>391589.82851428422</v>
      </c>
      <c r="G6">
        <f t="shared" si="1"/>
        <v>113303.64640696612</v>
      </c>
      <c r="H6">
        <f t="shared" si="1"/>
        <v>64959.417882395901</v>
      </c>
      <c r="I6">
        <f t="shared" si="1"/>
        <v>35574.991563809584</v>
      </c>
      <c r="J6">
        <f t="shared" si="1"/>
        <v>811458.13190391194</v>
      </c>
    </row>
    <row r="7" spans="1:10" x14ac:dyDescent="0.25">
      <c r="A7" t="str">
        <f>indonesia!AO9</f>
        <v>INDONESIA</v>
      </c>
      <c r="B7">
        <f>indonesia!AP9</f>
        <v>2024</v>
      </c>
      <c r="C7">
        <f t="shared" si="1"/>
        <v>46425.419547660902</v>
      </c>
      <c r="D7">
        <f t="shared" si="1"/>
        <v>123452.77504836582</v>
      </c>
      <c r="E7">
        <f t="shared" si="1"/>
        <v>35944.488740477231</v>
      </c>
      <c r="F7">
        <f t="shared" si="1"/>
        <v>391547.35526387172</v>
      </c>
      <c r="G7">
        <f t="shared" si="1"/>
        <v>111496.33269314942</v>
      </c>
      <c r="H7">
        <f t="shared" si="1"/>
        <v>64847.875976141382</v>
      </c>
      <c r="I7">
        <f t="shared" si="1"/>
        <v>35574.991563809584</v>
      </c>
      <c r="J7">
        <f t="shared" si="1"/>
        <v>809289.23883347609</v>
      </c>
    </row>
    <row r="8" spans="1:10" x14ac:dyDescent="0.25">
      <c r="A8" t="str">
        <f>indonesia!AO10</f>
        <v>INDONESIA</v>
      </c>
      <c r="B8">
        <f>indonesia!AP10</f>
        <v>2025</v>
      </c>
      <c r="C8">
        <f t="shared" si="1"/>
        <v>46400.580289135789</v>
      </c>
      <c r="D8">
        <f t="shared" si="1"/>
        <v>122920.15653750516</v>
      </c>
      <c r="E8">
        <f t="shared" si="1"/>
        <v>35899.437864358406</v>
      </c>
      <c r="F8">
        <f t="shared" si="1"/>
        <v>391379.21521552163</v>
      </c>
      <c r="G8">
        <f t="shared" si="1"/>
        <v>108394.15547524602</v>
      </c>
      <c r="H8">
        <f t="shared" si="1"/>
        <v>64725.736000199016</v>
      </c>
      <c r="I8">
        <f t="shared" si="1"/>
        <v>35574.991548852049</v>
      </c>
      <c r="J8">
        <f t="shared" si="1"/>
        <v>805294.27293081803</v>
      </c>
    </row>
    <row r="9" spans="1:10" x14ac:dyDescent="0.25">
      <c r="A9" t="str">
        <f>indonesia!AO11</f>
        <v>INDONESIA</v>
      </c>
      <c r="B9">
        <f>indonesia!AP11</f>
        <v>2026</v>
      </c>
      <c r="C9">
        <f t="shared" si="1"/>
        <v>46216.57119035146</v>
      </c>
      <c r="D9">
        <f t="shared" si="1"/>
        <v>122647.11796887036</v>
      </c>
      <c r="E9">
        <f t="shared" si="1"/>
        <v>34869.829772795056</v>
      </c>
      <c r="F9">
        <f t="shared" si="1"/>
        <v>390923.25595624477</v>
      </c>
      <c r="G9">
        <f t="shared" si="1"/>
        <v>108270.21106642549</v>
      </c>
      <c r="H9">
        <f t="shared" si="1"/>
        <v>64600.803837661777</v>
      </c>
      <c r="I9">
        <f t="shared" si="1"/>
        <v>35574.938043919508</v>
      </c>
      <c r="J9">
        <f t="shared" si="1"/>
        <v>803102.72783626849</v>
      </c>
    </row>
    <row r="10" spans="1:10" x14ac:dyDescent="0.25">
      <c r="A10" t="str">
        <f>indonesia!AO12</f>
        <v>INDONESIA</v>
      </c>
      <c r="B10">
        <f>indonesia!AP12</f>
        <v>2027</v>
      </c>
      <c r="C10">
        <f t="shared" si="1"/>
        <v>46216.571191351461</v>
      </c>
      <c r="D10">
        <f t="shared" si="1"/>
        <v>121725.27879724916</v>
      </c>
      <c r="E10">
        <f t="shared" si="1"/>
        <v>33297.881031487392</v>
      </c>
      <c r="F10">
        <f t="shared" si="1"/>
        <v>389820.85896876256</v>
      </c>
      <c r="G10">
        <f t="shared" si="1"/>
        <v>106363.72208919228</v>
      </c>
      <c r="H10">
        <f t="shared" si="1"/>
        <v>64549.069906249482</v>
      </c>
      <c r="I10">
        <f t="shared" si="1"/>
        <v>35574.804739502695</v>
      </c>
      <c r="J10">
        <f t="shared" si="1"/>
        <v>797548.18672379502</v>
      </c>
    </row>
    <row r="11" spans="1:10" x14ac:dyDescent="0.25">
      <c r="A11" t="str">
        <f>indonesia!AO13</f>
        <v>INDONESIA</v>
      </c>
      <c r="B11">
        <f>indonesia!AP13</f>
        <v>2028</v>
      </c>
      <c r="C11">
        <f t="shared" si="1"/>
        <v>46216.571191351461</v>
      </c>
      <c r="D11">
        <f t="shared" si="1"/>
        <v>121365.39079545662</v>
      </c>
      <c r="E11">
        <f t="shared" si="1"/>
        <v>32818.093398674187</v>
      </c>
      <c r="F11">
        <f t="shared" si="1"/>
        <v>389024.81036938657</v>
      </c>
      <c r="G11">
        <f t="shared" si="1"/>
        <v>104689.71992705244</v>
      </c>
      <c r="H11">
        <f t="shared" si="1"/>
        <v>64549.069906249482</v>
      </c>
      <c r="I11">
        <f t="shared" si="1"/>
        <v>35568.751163374167</v>
      </c>
      <c r="J11">
        <f t="shared" si="1"/>
        <v>794232.40675154491</v>
      </c>
    </row>
    <row r="12" spans="1:10" x14ac:dyDescent="0.25">
      <c r="A12" t="str">
        <f>indonesia!AO14</f>
        <v>INDONESIA</v>
      </c>
      <c r="B12">
        <f>indonesia!AP14</f>
        <v>2029</v>
      </c>
      <c r="C12">
        <f t="shared" si="1"/>
        <v>46216.571192351461</v>
      </c>
      <c r="D12">
        <f t="shared" si="1"/>
        <v>121347.35740067877</v>
      </c>
      <c r="E12">
        <f t="shared" si="1"/>
        <v>32783.385108138704</v>
      </c>
      <c r="F12">
        <f t="shared" si="1"/>
        <v>388257.27292789682</v>
      </c>
      <c r="G12">
        <f t="shared" si="1"/>
        <v>103517.32876525636</v>
      </c>
      <c r="H12">
        <f t="shared" si="1"/>
        <v>64405.956371456676</v>
      </c>
      <c r="I12">
        <f t="shared" si="1"/>
        <v>35568.751134928803</v>
      </c>
      <c r="J12">
        <f t="shared" si="1"/>
        <v>792096.62290070765</v>
      </c>
    </row>
    <row r="13" spans="1:10" x14ac:dyDescent="0.25">
      <c r="A13" t="str">
        <f>indonesia!AO15</f>
        <v>INDONESIA</v>
      </c>
      <c r="B13">
        <f>indonesia!AP15</f>
        <v>2030</v>
      </c>
      <c r="C13">
        <f t="shared" si="1"/>
        <v>46210.357675753607</v>
      </c>
      <c r="D13">
        <f t="shared" si="1"/>
        <v>121239.44024820297</v>
      </c>
      <c r="E13">
        <f t="shared" si="1"/>
        <v>32735.132635566071</v>
      </c>
      <c r="F13">
        <f t="shared" si="1"/>
        <v>387351.348819835</v>
      </c>
      <c r="G13">
        <f t="shared" si="1"/>
        <v>102155.82772921794</v>
      </c>
      <c r="H13">
        <f t="shared" si="1"/>
        <v>64405.956371456676</v>
      </c>
      <c r="I13">
        <f t="shared" si="1"/>
        <v>35568.686543404539</v>
      </c>
      <c r="J13">
        <f t="shared" si="1"/>
        <v>789666.75002343673</v>
      </c>
    </row>
    <row r="14" spans="1:10" x14ac:dyDescent="0.25">
      <c r="A14" t="str">
        <f>indonesia!AO16</f>
        <v>INDONESIA</v>
      </c>
      <c r="B14">
        <f>indonesia!AP16</f>
        <v>2031</v>
      </c>
      <c r="C14">
        <f t="shared" si="1"/>
        <v>45777.797827287126</v>
      </c>
      <c r="D14">
        <f t="shared" si="1"/>
        <v>121079.28729562013</v>
      </c>
      <c r="E14">
        <f t="shared" si="1"/>
        <v>32695.579902901489</v>
      </c>
      <c r="F14">
        <f t="shared" si="1"/>
        <v>382651.67681438231</v>
      </c>
      <c r="G14">
        <f t="shared" si="1"/>
        <v>100536.34205947249</v>
      </c>
      <c r="H14">
        <f t="shared" si="1"/>
        <v>64399.902358019943</v>
      </c>
      <c r="I14">
        <f t="shared" si="1"/>
        <v>35566.839490628663</v>
      </c>
      <c r="J14">
        <f t="shared" si="1"/>
        <v>782707.42574831215</v>
      </c>
    </row>
    <row r="15" spans="1:10" x14ac:dyDescent="0.25">
      <c r="A15" t="str">
        <f>indonesia!AO17</f>
        <v>INDONESIA</v>
      </c>
      <c r="B15">
        <f>indonesia!AP17</f>
        <v>2032</v>
      </c>
      <c r="C15">
        <f t="shared" si="1"/>
        <v>45749.403136167544</v>
      </c>
      <c r="D15">
        <f t="shared" si="1"/>
        <v>121079.27359989748</v>
      </c>
      <c r="E15">
        <f t="shared" si="1"/>
        <v>32640.807974078227</v>
      </c>
      <c r="F15">
        <f t="shared" si="1"/>
        <v>381001.81018780143</v>
      </c>
      <c r="G15">
        <f t="shared" si="1"/>
        <v>98632.140582417167</v>
      </c>
      <c r="H15">
        <f t="shared" si="1"/>
        <v>64395.131176696901</v>
      </c>
      <c r="I15">
        <f t="shared" si="1"/>
        <v>35566.775266565754</v>
      </c>
      <c r="J15">
        <f t="shared" si="1"/>
        <v>779065.34192362451</v>
      </c>
    </row>
    <row r="16" spans="1:10" x14ac:dyDescent="0.25">
      <c r="A16" t="str">
        <f>indonesia!AO18</f>
        <v>INDONESIA</v>
      </c>
      <c r="B16">
        <f>indonesia!AP18</f>
        <v>2033</v>
      </c>
      <c r="C16">
        <f t="shared" si="1"/>
        <v>44396.864021632653</v>
      </c>
      <c r="D16">
        <f t="shared" si="1"/>
        <v>121050.73435986496</v>
      </c>
      <c r="E16">
        <f t="shared" si="1"/>
        <v>32555.081044948074</v>
      </c>
      <c r="F16">
        <f t="shared" si="1"/>
        <v>380365.60549994034</v>
      </c>
      <c r="G16">
        <f t="shared" si="1"/>
        <v>96051.598022756691</v>
      </c>
      <c r="H16">
        <f t="shared" si="1"/>
        <v>64356.997737060461</v>
      </c>
      <c r="I16">
        <f t="shared" si="1"/>
        <v>35566.000116143747</v>
      </c>
      <c r="J16">
        <f t="shared" si="1"/>
        <v>774342.88080234686</v>
      </c>
    </row>
    <row r="17" spans="1:10" x14ac:dyDescent="0.25">
      <c r="A17" t="str">
        <f>indonesia!AO19</f>
        <v>INDONESIA</v>
      </c>
      <c r="B17">
        <f>indonesia!AP19</f>
        <v>2034</v>
      </c>
      <c r="C17">
        <f t="shared" si="1"/>
        <v>44396.863765858943</v>
      </c>
      <c r="D17">
        <f t="shared" si="1"/>
        <v>121012.11656217632</v>
      </c>
      <c r="E17">
        <f t="shared" si="1"/>
        <v>32170.724130081406</v>
      </c>
      <c r="F17">
        <f t="shared" si="1"/>
        <v>378785.2925331922</v>
      </c>
      <c r="G17">
        <f t="shared" si="1"/>
        <v>94006.606413665082</v>
      </c>
      <c r="H17">
        <f t="shared" si="1"/>
        <v>64268.126107298318</v>
      </c>
      <c r="I17">
        <f t="shared" si="1"/>
        <v>35565.950074490494</v>
      </c>
      <c r="J17">
        <f t="shared" si="1"/>
        <v>770205.6795867628</v>
      </c>
    </row>
    <row r="18" spans="1:10" x14ac:dyDescent="0.25">
      <c r="A18" t="str">
        <f>indonesia!AO20</f>
        <v>INDONESIA</v>
      </c>
      <c r="B18">
        <f>indonesia!AP20</f>
        <v>2035</v>
      </c>
      <c r="C18">
        <f t="shared" si="1"/>
        <v>44396.859111212092</v>
      </c>
      <c r="D18">
        <f t="shared" si="1"/>
        <v>121003.82912051657</v>
      </c>
      <c r="E18">
        <f t="shared" si="1"/>
        <v>32100.323348218648</v>
      </c>
      <c r="F18">
        <f t="shared" si="1"/>
        <v>377043.25130839332</v>
      </c>
      <c r="G18">
        <f t="shared" si="1"/>
        <v>91829.788755252244</v>
      </c>
      <c r="H18">
        <f t="shared" si="1"/>
        <v>64229.729821488982</v>
      </c>
      <c r="I18">
        <f t="shared" si="1"/>
        <v>35565.90466291552</v>
      </c>
      <c r="J18">
        <f t="shared" si="1"/>
        <v>766169.68612799747</v>
      </c>
    </row>
    <row r="19" spans="1:10" x14ac:dyDescent="0.25">
      <c r="A19" t="str">
        <f>indonesia!AO21</f>
        <v>INDONESIA</v>
      </c>
      <c r="B19">
        <f>indonesia!AP21</f>
        <v>2036</v>
      </c>
      <c r="C19">
        <f t="shared" ref="C19:J21" si="2">SUM(C39,C59,C79,C99,C119,C139)</f>
        <v>42467.985809445454</v>
      </c>
      <c r="D19">
        <f t="shared" si="2"/>
        <v>120583.12604511861</v>
      </c>
      <c r="E19">
        <f t="shared" si="2"/>
        <v>31721.13798354648</v>
      </c>
      <c r="F19">
        <f t="shared" si="2"/>
        <v>375168.66172476619</v>
      </c>
      <c r="G19">
        <f t="shared" si="2"/>
        <v>89449.970207305654</v>
      </c>
      <c r="H19">
        <f t="shared" si="2"/>
        <v>64089.207460584919</v>
      </c>
      <c r="I19">
        <f t="shared" si="2"/>
        <v>35564.273652153868</v>
      </c>
      <c r="J19">
        <f t="shared" si="2"/>
        <v>759044.36288292112</v>
      </c>
    </row>
    <row r="20" spans="1:10" x14ac:dyDescent="0.25">
      <c r="A20" t="str">
        <f>indonesia!AO22</f>
        <v>INDONESIA</v>
      </c>
      <c r="B20">
        <f>indonesia!AP22</f>
        <v>2037</v>
      </c>
      <c r="C20">
        <f t="shared" si="2"/>
        <v>42410.834713487027</v>
      </c>
      <c r="D20">
        <f t="shared" si="2"/>
        <v>120474.4344509275</v>
      </c>
      <c r="E20">
        <f t="shared" si="2"/>
        <v>31711.061240563187</v>
      </c>
      <c r="F20">
        <f t="shared" si="2"/>
        <v>373376.16300990805</v>
      </c>
      <c r="G20">
        <f t="shared" si="2"/>
        <v>87546.160915611064</v>
      </c>
      <c r="H20">
        <f t="shared" si="2"/>
        <v>64063.229880074752</v>
      </c>
      <c r="I20">
        <f t="shared" si="2"/>
        <v>35564.272944621349</v>
      </c>
      <c r="J20">
        <f t="shared" si="2"/>
        <v>755146.15715519292</v>
      </c>
    </row>
    <row r="21" spans="1:10" x14ac:dyDescent="0.25">
      <c r="A21" t="str">
        <f>indonesia!AO23</f>
        <v>INDONESIA</v>
      </c>
      <c r="B21">
        <f>indonesia!AP23</f>
        <v>2038</v>
      </c>
      <c r="C21">
        <f t="shared" si="2"/>
        <v>41895.379044156281</v>
      </c>
      <c r="D21">
        <f t="shared" si="2"/>
        <v>120367.66437224016</v>
      </c>
      <c r="E21">
        <f t="shared" si="2"/>
        <v>31297.967625631216</v>
      </c>
      <c r="F21">
        <f t="shared" si="2"/>
        <v>365449.58254335611</v>
      </c>
      <c r="G21">
        <f t="shared" si="2"/>
        <v>85134.402472264715</v>
      </c>
      <c r="H21">
        <f t="shared" si="2"/>
        <v>64063.229880026149</v>
      </c>
      <c r="I21">
        <f t="shared" si="2"/>
        <v>35560.984971000515</v>
      </c>
      <c r="J21">
        <f t="shared" si="2"/>
        <v>743769.2109086751</v>
      </c>
    </row>
    <row r="22" spans="1:10" x14ac:dyDescent="0.25">
      <c r="A22" t="str">
        <f>sumatera!AO4</f>
        <v>SUMATERA</v>
      </c>
      <c r="B22">
        <f>sumatera!AP4</f>
        <v>2019</v>
      </c>
      <c r="C22">
        <f>sumatera!AU4</f>
        <v>9679</v>
      </c>
      <c r="D22">
        <f>sumatera!AV4</f>
        <v>15579</v>
      </c>
      <c r="E22">
        <f>sumatera!AW4</f>
        <v>5734</v>
      </c>
      <c r="F22">
        <f>sumatera!AX4</f>
        <v>68749</v>
      </c>
      <c r="G22">
        <f>sumatera!AY4</f>
        <v>7397</v>
      </c>
      <c r="H22">
        <f>sumatera!AZ4</f>
        <v>15589</v>
      </c>
      <c r="I22">
        <f>sumatera!BA4</f>
        <v>6027</v>
      </c>
      <c r="J22">
        <f>sumatera!BD4</f>
        <v>128754</v>
      </c>
    </row>
    <row r="23" spans="1:10" x14ac:dyDescent="0.25">
      <c r="A23" t="str">
        <f>sumatera!AO5</f>
        <v>SUMATERA</v>
      </c>
      <c r="B23">
        <f>sumatera!AP5</f>
        <v>2020</v>
      </c>
      <c r="C23">
        <f>sumatera!AU5</f>
        <v>9679</v>
      </c>
      <c r="D23">
        <f>sumatera!AV5</f>
        <v>15434.875620828896</v>
      </c>
      <c r="E23">
        <f>sumatera!AW5</f>
        <v>5600.0876503795744</v>
      </c>
      <c r="F23">
        <f>sumatera!AX5</f>
        <v>68303.811754881899</v>
      </c>
      <c r="G23">
        <f>sumatera!AY5</f>
        <v>7298.73488118567</v>
      </c>
      <c r="H23">
        <f>sumatera!AZ5</f>
        <v>15589</v>
      </c>
      <c r="I23">
        <f>sumatera!BA5</f>
        <v>6025.2158860215477</v>
      </c>
      <c r="J23">
        <f>sumatera!BD5</f>
        <v>127930.72579329758</v>
      </c>
    </row>
    <row r="24" spans="1:10" x14ac:dyDescent="0.25">
      <c r="A24" t="str">
        <f>sumatera!AO6</f>
        <v>SUMATERA</v>
      </c>
      <c r="B24">
        <f>sumatera!AP6</f>
        <v>2021</v>
      </c>
      <c r="C24">
        <f>sumatera!AU6</f>
        <v>9679</v>
      </c>
      <c r="D24">
        <f>sumatera!AV6</f>
        <v>15434.875620828896</v>
      </c>
      <c r="E24">
        <f>sumatera!AW6</f>
        <v>5600.0876503795744</v>
      </c>
      <c r="F24">
        <f>sumatera!AX6</f>
        <v>68303.811754881899</v>
      </c>
      <c r="G24">
        <f>sumatera!AY6</f>
        <v>7156.7096149193694</v>
      </c>
      <c r="H24">
        <f>sumatera!AZ6</f>
        <v>15589</v>
      </c>
      <c r="I24">
        <f>sumatera!BA6</f>
        <v>6025.2158860215477</v>
      </c>
      <c r="J24">
        <f>sumatera!BD6</f>
        <v>127788.70052703128</v>
      </c>
    </row>
    <row r="25" spans="1:10" x14ac:dyDescent="0.25">
      <c r="A25" t="str">
        <f>sumatera!AO7</f>
        <v>SUMATERA</v>
      </c>
      <c r="B25">
        <f>sumatera!AP7</f>
        <v>2022</v>
      </c>
      <c r="C25">
        <f>sumatera!AU7</f>
        <v>9679</v>
      </c>
      <c r="D25">
        <f>sumatera!AV7</f>
        <v>15434.875620828896</v>
      </c>
      <c r="E25">
        <f>sumatera!AW7</f>
        <v>5600.0876503795744</v>
      </c>
      <c r="F25">
        <f>sumatera!AX7</f>
        <v>68303.811754881899</v>
      </c>
      <c r="G25">
        <f>sumatera!AY7</f>
        <v>7156.7096149193694</v>
      </c>
      <c r="H25">
        <f>sumatera!AZ7</f>
        <v>15589</v>
      </c>
      <c r="I25">
        <f>sumatera!BA7</f>
        <v>6025.2158860215477</v>
      </c>
      <c r="J25">
        <f>sumatera!BD7</f>
        <v>127788.70052703128</v>
      </c>
    </row>
    <row r="26" spans="1:10" x14ac:dyDescent="0.25">
      <c r="A26" t="str">
        <f>sumatera!AO8</f>
        <v>SUMATERA</v>
      </c>
      <c r="B26">
        <f>sumatera!AP8</f>
        <v>2023</v>
      </c>
      <c r="C26">
        <f>sumatera!AU8</f>
        <v>9679</v>
      </c>
      <c r="D26">
        <f>sumatera!AV8</f>
        <v>15434.875620828896</v>
      </c>
      <c r="E26">
        <f>sumatera!AW8</f>
        <v>5600.0876503795744</v>
      </c>
      <c r="F26">
        <f>sumatera!AX8</f>
        <v>68303.811754881899</v>
      </c>
      <c r="G26">
        <f>sumatera!AY8</f>
        <v>7127.3212399043477</v>
      </c>
      <c r="H26">
        <f>sumatera!AZ8</f>
        <v>15589</v>
      </c>
      <c r="I26">
        <f>sumatera!BA8</f>
        <v>6025.2158860215477</v>
      </c>
      <c r="J26">
        <f>sumatera!BD8</f>
        <v>127759.31215201625</v>
      </c>
    </row>
    <row r="27" spans="1:10" x14ac:dyDescent="0.25">
      <c r="A27" t="str">
        <f>sumatera!AO9</f>
        <v>SUMATERA</v>
      </c>
      <c r="B27">
        <f>sumatera!AP9</f>
        <v>2024</v>
      </c>
      <c r="C27">
        <f>sumatera!AU9</f>
        <v>9679</v>
      </c>
      <c r="D27">
        <f>sumatera!AV9</f>
        <v>15434.875620828896</v>
      </c>
      <c r="E27">
        <f>sumatera!AW9</f>
        <v>5600.0876503795744</v>
      </c>
      <c r="F27">
        <f>sumatera!AX9</f>
        <v>68303.811754881899</v>
      </c>
      <c r="G27">
        <f>sumatera!AY9</f>
        <v>6132.1454477093457</v>
      </c>
      <c r="H27">
        <f>sumatera!AZ9</f>
        <v>15589</v>
      </c>
      <c r="I27">
        <f>sumatera!BA9</f>
        <v>6025.2158860215477</v>
      </c>
      <c r="J27">
        <f>sumatera!BD9</f>
        <v>126764.13635982126</v>
      </c>
    </row>
    <row r="28" spans="1:10" x14ac:dyDescent="0.25">
      <c r="A28" t="str">
        <f>sumatera!AO10</f>
        <v>SUMATERA</v>
      </c>
      <c r="B28">
        <f>sumatera!AP10</f>
        <v>2025</v>
      </c>
      <c r="C28">
        <f>sumatera!AU10</f>
        <v>9679</v>
      </c>
      <c r="D28">
        <f>sumatera!AV10</f>
        <v>15434.875620828896</v>
      </c>
      <c r="E28">
        <f>sumatera!AW10</f>
        <v>5600.0876503795744</v>
      </c>
      <c r="F28">
        <f>sumatera!AX10</f>
        <v>68251.01940705243</v>
      </c>
      <c r="G28">
        <f>sumatera!AY10</f>
        <v>4896.515585669541</v>
      </c>
      <c r="H28">
        <f>sumatera!AZ10</f>
        <v>15589</v>
      </c>
      <c r="I28">
        <f>sumatera!BA10</f>
        <v>6025.2158860215477</v>
      </c>
      <c r="J28">
        <f>sumatera!BD10</f>
        <v>125475.71414995198</v>
      </c>
    </row>
    <row r="29" spans="1:10" x14ac:dyDescent="0.25">
      <c r="A29" t="str">
        <f>sumatera!AO11</f>
        <v>SUMATERA</v>
      </c>
      <c r="B29">
        <f>sumatera!AP11</f>
        <v>2026</v>
      </c>
      <c r="C29">
        <f>sumatera!AU11</f>
        <v>9678.9970918230338</v>
      </c>
      <c r="D29">
        <f>sumatera!AV11</f>
        <v>15434.873750929642</v>
      </c>
      <c r="E29">
        <f>sumatera!AW11</f>
        <v>4809.6018255352465</v>
      </c>
      <c r="F29">
        <f>sumatera!AX11</f>
        <v>67875.943241144065</v>
      </c>
      <c r="G29">
        <f>sumatera!AY11</f>
        <v>4896.5142901983572</v>
      </c>
      <c r="H29">
        <f>sumatera!AZ11</f>
        <v>15589</v>
      </c>
      <c r="I29">
        <f>sumatera!BA11</f>
        <v>6025.2158860215477</v>
      </c>
      <c r="J29">
        <f>sumatera!BD11</f>
        <v>124310.1460856519</v>
      </c>
    </row>
    <row r="30" spans="1:10" x14ac:dyDescent="0.25">
      <c r="A30" t="str">
        <f>sumatera!AO12</f>
        <v>SUMATERA</v>
      </c>
      <c r="B30">
        <f>sumatera!AP12</f>
        <v>2027</v>
      </c>
      <c r="C30">
        <f>sumatera!AU12</f>
        <v>9678.9970928230341</v>
      </c>
      <c r="D30">
        <f>sumatera!AV12</f>
        <v>14723.093154915376</v>
      </c>
      <c r="E30">
        <f>sumatera!AW12</f>
        <v>3254.5799334425992</v>
      </c>
      <c r="F30">
        <f>sumatera!AX12</f>
        <v>66783.688879595691</v>
      </c>
      <c r="G30">
        <f>sumatera!AY12</f>
        <v>4879.3450373460219</v>
      </c>
      <c r="H30">
        <f>sumatera!AZ12</f>
        <v>15589</v>
      </c>
      <c r="I30">
        <f>sumatera!BA12</f>
        <v>6025.2158863533941</v>
      </c>
      <c r="J30">
        <f>sumatera!BD12</f>
        <v>120933.91998447612</v>
      </c>
    </row>
    <row r="31" spans="1:10" x14ac:dyDescent="0.25">
      <c r="A31" t="str">
        <f>sumatera!AO13</f>
        <v>SUMATERA</v>
      </c>
      <c r="B31">
        <f>sumatera!AP13</f>
        <v>2028</v>
      </c>
      <c r="C31">
        <f>sumatera!AU13</f>
        <v>9678.9970928230341</v>
      </c>
      <c r="D31">
        <f>sumatera!AV13</f>
        <v>14363.2051561019</v>
      </c>
      <c r="E31">
        <f>sumatera!AW13</f>
        <v>2774.7923031149303</v>
      </c>
      <c r="F31">
        <f>sumatera!AX13</f>
        <v>66634.462017519254</v>
      </c>
      <c r="G31">
        <f>sumatera!AY13</f>
        <v>4629.9187717132318</v>
      </c>
      <c r="H31">
        <f>sumatera!AZ13</f>
        <v>15589</v>
      </c>
      <c r="I31">
        <f>sumatera!BA13</f>
        <v>6019.220234192976</v>
      </c>
      <c r="J31">
        <f>sumatera!BD13</f>
        <v>119689.59557546533</v>
      </c>
    </row>
    <row r="32" spans="1:10" x14ac:dyDescent="0.25">
      <c r="A32" t="str">
        <f>sumatera!AO14</f>
        <v>SUMATERA</v>
      </c>
      <c r="B32">
        <f>sumatera!AP14</f>
        <v>2029</v>
      </c>
      <c r="C32">
        <f>sumatera!AU14</f>
        <v>9678.9970928230341</v>
      </c>
      <c r="D32">
        <f>sumatera!AV14</f>
        <v>14363.2051561019</v>
      </c>
      <c r="E32">
        <f>sumatera!AW14</f>
        <v>2774.7923031149303</v>
      </c>
      <c r="F32">
        <f>sumatera!AX14</f>
        <v>66634.462017519254</v>
      </c>
      <c r="G32">
        <f>sumatera!AY14</f>
        <v>4629.9187717132318</v>
      </c>
      <c r="H32">
        <f>sumatera!AZ14</f>
        <v>15589</v>
      </c>
      <c r="I32">
        <f>sumatera!BA14</f>
        <v>6019.2202194396423</v>
      </c>
      <c r="J32">
        <f>sumatera!BD14</f>
        <v>119689.59556071198</v>
      </c>
    </row>
    <row r="33" spans="1:10" x14ac:dyDescent="0.25">
      <c r="A33" t="str">
        <f>sumatera!AO15</f>
        <v>SUMATERA</v>
      </c>
      <c r="B33">
        <f>sumatera!AP15</f>
        <v>2030</v>
      </c>
      <c r="C33">
        <f>sumatera!AU15</f>
        <v>9678.9933787948539</v>
      </c>
      <c r="D33">
        <f>sumatera!AV15</f>
        <v>14363.202618625994</v>
      </c>
      <c r="E33">
        <f>sumatera!AW15</f>
        <v>2774.7889193641963</v>
      </c>
      <c r="F33">
        <f>sumatera!AX15</f>
        <v>66634.460966172686</v>
      </c>
      <c r="G33">
        <f>sumatera!AY15</f>
        <v>4623.0642418910093</v>
      </c>
      <c r="H33">
        <f>sumatera!AZ15</f>
        <v>15589</v>
      </c>
      <c r="I33">
        <f>sumatera!BA15</f>
        <v>6019.2167835971686</v>
      </c>
      <c r="J33">
        <f>sumatera!BD15</f>
        <v>119682.72690844591</v>
      </c>
    </row>
    <row r="34" spans="1:10" x14ac:dyDescent="0.25">
      <c r="A34" t="str">
        <f>sumatera!AO16</f>
        <v>SUMATERA</v>
      </c>
      <c r="B34">
        <f>sumatera!AP16</f>
        <v>2031</v>
      </c>
      <c r="C34">
        <f>sumatera!AU16</f>
        <v>9246.4335294824796</v>
      </c>
      <c r="D34">
        <f>sumatera!AV16</f>
        <v>14352.44490574362</v>
      </c>
      <c r="E34">
        <f>sumatera!AW16</f>
        <v>2760.4464826182857</v>
      </c>
      <c r="F34">
        <f>sumatera!AX16</f>
        <v>63420.311337279134</v>
      </c>
      <c r="G34">
        <f>sumatera!AY16</f>
        <v>4615.6099602151398</v>
      </c>
      <c r="H34">
        <f>sumatera!AZ16</f>
        <v>15582.945986563273</v>
      </c>
      <c r="I34">
        <f>sumatera!BA16</f>
        <v>6017.3697308212941</v>
      </c>
      <c r="J34">
        <f>sumatera!BD16</f>
        <v>115995.56193272321</v>
      </c>
    </row>
    <row r="35" spans="1:10" x14ac:dyDescent="0.25">
      <c r="A35" t="str">
        <f>sumatera!AO17</f>
        <v>SUMATERA</v>
      </c>
      <c r="B35">
        <f>sumatera!AP17</f>
        <v>2032</v>
      </c>
      <c r="C35">
        <f>sumatera!AU17</f>
        <v>9218.0388383628961</v>
      </c>
      <c r="D35">
        <f>sumatera!AV17</f>
        <v>14352.434403754958</v>
      </c>
      <c r="E35">
        <f>sumatera!AW17</f>
        <v>2760.43247995104</v>
      </c>
      <c r="F35">
        <f>sumatera!AX17</f>
        <v>63420.306985339026</v>
      </c>
      <c r="G35">
        <f>sumatera!AY17</f>
        <v>4615.6026843651125</v>
      </c>
      <c r="H35">
        <f>sumatera!AZ17</f>
        <v>15582.945986563273</v>
      </c>
      <c r="I35">
        <f>sumatera!BA17</f>
        <v>6017.355506258381</v>
      </c>
      <c r="J35">
        <f>sumatera!BD17</f>
        <v>115967.11688459468</v>
      </c>
    </row>
    <row r="36" spans="1:10" x14ac:dyDescent="0.25">
      <c r="A36" t="str">
        <f>sumatera!AO18</f>
        <v>SUMATERA</v>
      </c>
      <c r="B36">
        <f>sumatera!AP18</f>
        <v>2033</v>
      </c>
      <c r="C36">
        <f>sumatera!AU18</f>
        <v>7865.4997236739055</v>
      </c>
      <c r="D36">
        <f>sumatera!AV18</f>
        <v>14330.371423379856</v>
      </c>
      <c r="E36">
        <f>sumatera!AW18</f>
        <v>2731.0179399524663</v>
      </c>
      <c r="F36">
        <f>sumatera!AX18</f>
        <v>63411.160008152459</v>
      </c>
      <c r="G36">
        <f>sumatera!AY18</f>
        <v>4600.3151744555817</v>
      </c>
      <c r="H36">
        <f>sumatera!AZ18</f>
        <v>15582.945986563273</v>
      </c>
      <c r="I36">
        <f>sumatera!BA18</f>
        <v>6016.6357046598723</v>
      </c>
      <c r="J36">
        <f>sumatera!BD18</f>
        <v>114537.9459608374</v>
      </c>
    </row>
    <row r="37" spans="1:10" x14ac:dyDescent="0.25">
      <c r="A37" t="str">
        <f>sumatera!AO19</f>
        <v>SUMATERA</v>
      </c>
      <c r="B37">
        <f>sumatera!AP19</f>
        <v>2034</v>
      </c>
      <c r="C37">
        <f>sumatera!AU19</f>
        <v>7865.4994670542992</v>
      </c>
      <c r="D37">
        <f>sumatera!AV19</f>
        <v>14330.371186167507</v>
      </c>
      <c r="E37">
        <f>sumatera!AW19</f>
        <v>2731.0177129035633</v>
      </c>
      <c r="F37">
        <f>sumatera!AX19</f>
        <v>63411.159844698173</v>
      </c>
      <c r="G37">
        <f>sumatera!AY19</f>
        <v>4600.2330914137701</v>
      </c>
      <c r="H37">
        <f>sumatera!AZ19</f>
        <v>15582.945986563273</v>
      </c>
      <c r="I37">
        <f>sumatera!BA19</f>
        <v>6016.6356621108444</v>
      </c>
      <c r="J37">
        <f>sumatera!BD19</f>
        <v>114537.86295091143</v>
      </c>
    </row>
    <row r="38" spans="1:10" x14ac:dyDescent="0.25">
      <c r="A38" t="str">
        <f>sumatera!AO20</f>
        <v>SUMATERA</v>
      </c>
      <c r="B38">
        <f>sumatera!AP20</f>
        <v>2035</v>
      </c>
      <c r="C38">
        <f>sumatera!AU20</f>
        <v>7865.4948112533466</v>
      </c>
      <c r="D38">
        <f>sumatera!AV20</f>
        <v>14330.368001658868</v>
      </c>
      <c r="E38">
        <f>sumatera!AW20</f>
        <v>2731.013465922269</v>
      </c>
      <c r="F38">
        <f>sumatera!AX20</f>
        <v>63411.158525083367</v>
      </c>
      <c r="G38">
        <f>sumatera!AY20</f>
        <v>4591.6257366841937</v>
      </c>
      <c r="H38">
        <f>sumatera!AZ20</f>
        <v>15582.945986563273</v>
      </c>
      <c r="I38">
        <f>sumatera!BA20</f>
        <v>6016.6313489319773</v>
      </c>
      <c r="J38">
        <f>sumatera!BD20</f>
        <v>114529.23787609728</v>
      </c>
    </row>
    <row r="39" spans="1:10" x14ac:dyDescent="0.25">
      <c r="A39" t="str">
        <f>sumatera!AO21</f>
        <v>SUMATERA</v>
      </c>
      <c r="B39">
        <f>sumatera!AP21</f>
        <v>2036</v>
      </c>
      <c r="C39">
        <f>sumatera!AU21</f>
        <v>5989.372051422828</v>
      </c>
      <c r="D39">
        <f>sumatera!AV21</f>
        <v>14080.663086092716</v>
      </c>
      <c r="E39">
        <f>sumatera!AW21</f>
        <v>2398.1043592058431</v>
      </c>
      <c r="F39">
        <f>sumatera!AX21</f>
        <v>63307.633611395642</v>
      </c>
      <c r="G39">
        <f>sumatera!AY21</f>
        <v>4418.6036665353531</v>
      </c>
      <c r="H39">
        <f>sumatera!AZ21</f>
        <v>15442.423625659207</v>
      </c>
      <c r="I39">
        <f>sumatera!BA21</f>
        <v>6015.112113350151</v>
      </c>
      <c r="J39">
        <f>sumatera!BD21</f>
        <v>111651.91251366172</v>
      </c>
    </row>
    <row r="40" spans="1:10" x14ac:dyDescent="0.25">
      <c r="A40" t="str">
        <f>sumatera!AO22</f>
        <v>SUMATERA</v>
      </c>
      <c r="B40">
        <f>sumatera!AP22</f>
        <v>2037</v>
      </c>
      <c r="C40">
        <f>sumatera!AU22</f>
        <v>5989.3712907492463</v>
      </c>
      <c r="D40">
        <f>sumatera!AV22</f>
        <v>14080.662565728057</v>
      </c>
      <c r="E40">
        <f>sumatera!AW22</f>
        <v>2398.102985795424</v>
      </c>
      <c r="F40">
        <f>sumatera!AX22</f>
        <v>63306.230847716644</v>
      </c>
      <c r="G40">
        <f>sumatera!AY22</f>
        <v>4418.6033061944645</v>
      </c>
      <c r="H40">
        <f>sumatera!AZ22</f>
        <v>15442.423625659207</v>
      </c>
      <c r="I40">
        <f>sumatera!BA22</f>
        <v>6015.1114090209167</v>
      </c>
      <c r="J40">
        <f>sumatera!BD22</f>
        <v>111650.50603086397</v>
      </c>
    </row>
    <row r="41" spans="1:10" x14ac:dyDescent="0.25">
      <c r="A41" t="str">
        <f>sumatera!AO23</f>
        <v>SUMATERA</v>
      </c>
      <c r="B41">
        <f>sumatera!AP23</f>
        <v>2038</v>
      </c>
      <c r="C41">
        <f>sumatera!AU23</f>
        <v>5564.8329934304384</v>
      </c>
      <c r="D41">
        <f>sumatera!AV23</f>
        <v>14067.507131162803</v>
      </c>
      <c r="E41">
        <f>sumatera!AW23</f>
        <v>2380.5638515149376</v>
      </c>
      <c r="F41">
        <f>sumatera!AX23</f>
        <v>57774.454807586641</v>
      </c>
      <c r="G41">
        <f>sumatera!AY23</f>
        <v>4409.4878157367484</v>
      </c>
      <c r="H41">
        <f>sumatera!AZ23</f>
        <v>15442.423625659207</v>
      </c>
      <c r="I41">
        <f>sumatera!BA23</f>
        <v>6012.1087362739236</v>
      </c>
      <c r="J41">
        <f>sumatera!BD23</f>
        <v>105651.37896136469</v>
      </c>
    </row>
    <row r="42" spans="1:10" x14ac:dyDescent="0.25">
      <c r="A42" t="str">
        <f>Jawa!AO4</f>
        <v>JAWA</v>
      </c>
      <c r="B42">
        <f>Jawa!AP4</f>
        <v>2019</v>
      </c>
      <c r="C42">
        <f>Jawa!AU4</f>
        <v>8107</v>
      </c>
      <c r="D42">
        <f>Jawa!AV4</f>
        <v>4199</v>
      </c>
      <c r="E42">
        <f>Jawa!AW4</f>
        <v>2910</v>
      </c>
      <c r="F42">
        <f>Jawa!AX4</f>
        <v>31869</v>
      </c>
      <c r="G42">
        <f>Jawa!AY4</f>
        <v>22992</v>
      </c>
      <c r="H42">
        <f>Jawa!AZ4</f>
        <v>9215</v>
      </c>
      <c r="I42">
        <f>Jawa!BA4</f>
        <v>2273</v>
      </c>
      <c r="J42">
        <f>Jawa!BD4</f>
        <v>81565</v>
      </c>
    </row>
    <row r="43" spans="1:10" x14ac:dyDescent="0.25">
      <c r="A43" t="str">
        <f>Jawa!AO5</f>
        <v>JAWA</v>
      </c>
      <c r="B43">
        <f>Jawa!AP5</f>
        <v>2020</v>
      </c>
      <c r="C43">
        <f>Jawa!AU5</f>
        <v>8107</v>
      </c>
      <c r="D43">
        <f>Jawa!AV5</f>
        <v>2099.5000544733384</v>
      </c>
      <c r="E43">
        <f>Jawa!AW5</f>
        <v>2881.4369507876886</v>
      </c>
      <c r="F43">
        <f>Jawa!AX5</f>
        <v>26737.589396040807</v>
      </c>
      <c r="G43">
        <f>Jawa!AY5</f>
        <v>22976.929796611814</v>
      </c>
      <c r="H43">
        <f>Jawa!AZ5</f>
        <v>9215</v>
      </c>
      <c r="I43">
        <f>Jawa!BA5</f>
        <v>2267.4447408465612</v>
      </c>
      <c r="J43">
        <f>Jawa!BD5</f>
        <v>74284.900938760213</v>
      </c>
    </row>
    <row r="44" spans="1:10" x14ac:dyDescent="0.25">
      <c r="A44" t="str">
        <f>Jawa!AO6</f>
        <v>JAWA</v>
      </c>
      <c r="B44">
        <f>Jawa!AP6</f>
        <v>2021</v>
      </c>
      <c r="C44">
        <f>Jawa!AU6</f>
        <v>8107</v>
      </c>
      <c r="D44">
        <f>Jawa!AV6</f>
        <v>1049.7500272366692</v>
      </c>
      <c r="E44">
        <f>Jawa!AW6</f>
        <v>1440.7184753938443</v>
      </c>
      <c r="F44">
        <f>Jawa!AX6</f>
        <v>26225.26395174014</v>
      </c>
      <c r="G44">
        <f>Jawa!AY6</f>
        <v>21210.956471758393</v>
      </c>
      <c r="H44">
        <f>Jawa!AZ6</f>
        <v>9215</v>
      </c>
      <c r="I44">
        <f>Jawa!BA6</f>
        <v>2265.0591240250769</v>
      </c>
      <c r="J44">
        <f>Jawa!BD6</f>
        <v>69513.748050154129</v>
      </c>
    </row>
    <row r="45" spans="1:10" x14ac:dyDescent="0.25">
      <c r="A45" t="str">
        <f>Jawa!AO7</f>
        <v>JAWA</v>
      </c>
      <c r="B45">
        <f>Jawa!AP7</f>
        <v>2022</v>
      </c>
      <c r="C45">
        <f>Jawa!AU7</f>
        <v>8106.9999895593028</v>
      </c>
      <c r="D45">
        <f>Jawa!AV7</f>
        <v>1049.7500272366692</v>
      </c>
      <c r="E45">
        <f>Jawa!AW7</f>
        <v>1440.7184753938443</v>
      </c>
      <c r="F45">
        <f>Jawa!AX7</f>
        <v>26225.26395174014</v>
      </c>
      <c r="G45">
        <f>Jawa!AY7</f>
        <v>21210.956471758393</v>
      </c>
      <c r="H45">
        <f>Jawa!AZ7</f>
        <v>9215</v>
      </c>
      <c r="I45">
        <f>Jawa!BA7</f>
        <v>2265.059124025081</v>
      </c>
      <c r="J45">
        <f>Jawa!BD7</f>
        <v>69513.74803971342</v>
      </c>
    </row>
    <row r="46" spans="1:10" x14ac:dyDescent="0.25">
      <c r="A46" t="str">
        <f>Jawa!AO8</f>
        <v>JAWA</v>
      </c>
      <c r="B46">
        <f>Jawa!AP8</f>
        <v>2023</v>
      </c>
      <c r="C46">
        <f>Jawa!AU8</f>
        <v>8106.9999895593028</v>
      </c>
      <c r="D46">
        <f>Jawa!AV8</f>
        <v>1049.7500272366692</v>
      </c>
      <c r="E46">
        <f>Jawa!AW8</f>
        <v>1440.7184753938443</v>
      </c>
      <c r="F46">
        <f>Jawa!AX8</f>
        <v>26225.26395174014</v>
      </c>
      <c r="G46">
        <f>Jawa!AY8</f>
        <v>21210.956471758393</v>
      </c>
      <c r="H46">
        <f>Jawa!AZ8</f>
        <v>9215</v>
      </c>
      <c r="I46">
        <f>Jawa!BA8</f>
        <v>2265.059124025081</v>
      </c>
      <c r="J46">
        <f>Jawa!BD8</f>
        <v>69513.74803971342</v>
      </c>
    </row>
    <row r="47" spans="1:10" x14ac:dyDescent="0.25">
      <c r="A47" t="str">
        <f>Jawa!AO9</f>
        <v>JAWA</v>
      </c>
      <c r="B47">
        <f>Jawa!AP9</f>
        <v>2024</v>
      </c>
      <c r="C47">
        <f>Jawa!AU9</f>
        <v>8106.9999895593028</v>
      </c>
      <c r="D47">
        <f>Jawa!AV9</f>
        <v>1049.7500272366692</v>
      </c>
      <c r="E47">
        <f>Jawa!AW9</f>
        <v>1440.7184753938443</v>
      </c>
      <c r="F47">
        <f>Jawa!AX9</f>
        <v>26225.26395174014</v>
      </c>
      <c r="G47">
        <f>Jawa!AY9</f>
        <v>21210.956471758393</v>
      </c>
      <c r="H47">
        <f>Jawa!AZ9</f>
        <v>9215</v>
      </c>
      <c r="I47">
        <f>Jawa!BA9</f>
        <v>2265.059124025081</v>
      </c>
      <c r="J47">
        <f>Jawa!BD9</f>
        <v>69513.74803971342</v>
      </c>
    </row>
    <row r="48" spans="1:10" x14ac:dyDescent="0.25">
      <c r="A48" t="str">
        <f>Jawa!AO10</f>
        <v>JAWA</v>
      </c>
      <c r="B48">
        <f>Jawa!AP10</f>
        <v>2025</v>
      </c>
      <c r="C48">
        <f>Jawa!AU10</f>
        <v>8106.9999895593028</v>
      </c>
      <c r="D48">
        <f>Jawa!AV10</f>
        <v>627.91446504083638</v>
      </c>
      <c r="E48">
        <f>Jawa!AW10</f>
        <v>1440.7184753938443</v>
      </c>
      <c r="F48">
        <f>Jawa!AX10</f>
        <v>26225.26395174014</v>
      </c>
      <c r="G48">
        <f>Jawa!AY10</f>
        <v>19510.011849518003</v>
      </c>
      <c r="H48">
        <f>Jawa!AZ10</f>
        <v>9215</v>
      </c>
      <c r="I48">
        <f>Jawa!BA10</f>
        <v>2265.059124025081</v>
      </c>
      <c r="J48">
        <f>Jawa!BD10</f>
        <v>67390.967855277209</v>
      </c>
    </row>
    <row r="49" spans="1:10" x14ac:dyDescent="0.25">
      <c r="A49" t="str">
        <f>Jawa!AO11</f>
        <v>JAWA</v>
      </c>
      <c r="B49">
        <f>Jawa!AP11</f>
        <v>2026</v>
      </c>
      <c r="C49">
        <f>Jawa!AU11</f>
        <v>7935.4134149489719</v>
      </c>
      <c r="D49">
        <f>Jawa!AV11</f>
        <v>376.99654735498359</v>
      </c>
      <c r="E49">
        <f>Jawa!AW11</f>
        <v>1241.842973464135</v>
      </c>
      <c r="F49">
        <f>Jawa!AX11</f>
        <v>26160.051505721567</v>
      </c>
      <c r="G49">
        <f>Jawa!AY11</f>
        <v>19401.600653727564</v>
      </c>
      <c r="H49">
        <f>Jawa!AZ11</f>
        <v>9126.6349261140385</v>
      </c>
      <c r="I49">
        <f>Jawa!BA11</f>
        <v>2265.059124025081</v>
      </c>
      <c r="J49">
        <f>Jawa!BD11</f>
        <v>66507.599145356347</v>
      </c>
    </row>
    <row r="50" spans="1:10" x14ac:dyDescent="0.25">
      <c r="A50" t="str">
        <f>Jawa!AO12</f>
        <v>JAWA</v>
      </c>
      <c r="B50">
        <f>Jawa!AP12</f>
        <v>2027</v>
      </c>
      <c r="C50">
        <f>Jawa!AU12</f>
        <v>7935.4134149489719</v>
      </c>
      <c r="D50">
        <f>Jawa!AV12</f>
        <v>188.50332012160737</v>
      </c>
      <c r="E50">
        <f>Jawa!AW12</f>
        <v>1241.842973464135</v>
      </c>
      <c r="F50">
        <f>Jawa!AX12</f>
        <v>26160.051505721567</v>
      </c>
      <c r="G50">
        <f>Jawa!AY12</f>
        <v>18387.332181798294</v>
      </c>
      <c r="H50">
        <f>Jawa!AZ12</f>
        <v>9126.6349261140385</v>
      </c>
      <c r="I50">
        <f>Jawa!BA12</f>
        <v>2265.059124025081</v>
      </c>
      <c r="J50">
        <f>Jawa!BD12</f>
        <v>65304.837446193691</v>
      </c>
    </row>
    <row r="51" spans="1:10" x14ac:dyDescent="0.25">
      <c r="A51" t="str">
        <f>Jawa!AO13</f>
        <v>JAWA</v>
      </c>
      <c r="B51">
        <f>Jawa!AP13</f>
        <v>2028</v>
      </c>
      <c r="C51">
        <f>Jawa!AU13</f>
        <v>7935.4134149489719</v>
      </c>
      <c r="D51">
        <f>Jawa!AV13</f>
        <v>188.50332012160737</v>
      </c>
      <c r="E51">
        <f>Jawa!AW13</f>
        <v>1241.842973464135</v>
      </c>
      <c r="F51">
        <f>Jawa!AX13</f>
        <v>25553.727567034999</v>
      </c>
      <c r="G51">
        <f>Jawa!AY13</f>
        <v>17194.287726664716</v>
      </c>
      <c r="H51">
        <f>Jawa!AZ13</f>
        <v>9126.6349261140385</v>
      </c>
      <c r="I51">
        <f>Jawa!BA13</f>
        <v>2265.059124025081</v>
      </c>
      <c r="J51">
        <f>Jawa!BD13</f>
        <v>63505.469052373548</v>
      </c>
    </row>
    <row r="52" spans="1:10" x14ac:dyDescent="0.25">
      <c r="A52" t="str">
        <f>Jawa!AO14</f>
        <v>JAWA</v>
      </c>
      <c r="B52">
        <f>Jawa!AP14</f>
        <v>2029</v>
      </c>
      <c r="C52">
        <f>Jawa!AU14</f>
        <v>7935.4134149489719</v>
      </c>
      <c r="D52">
        <f>Jawa!AV14</f>
        <v>188.50332012160737</v>
      </c>
      <c r="E52">
        <f>Jawa!AW14</f>
        <v>1241.842973464135</v>
      </c>
      <c r="F52">
        <f>Jawa!AX14</f>
        <v>24820.908906925444</v>
      </c>
      <c r="G52">
        <f>Jawa!AY14</f>
        <v>16037.558186387374</v>
      </c>
      <c r="H52">
        <f>Jawa!AZ14</f>
        <v>9126.6349261140385</v>
      </c>
      <c r="I52">
        <f>Jawa!BA14</f>
        <v>2265.059124025081</v>
      </c>
      <c r="J52">
        <f>Jawa!BD14</f>
        <v>61615.920851986652</v>
      </c>
    </row>
    <row r="53" spans="1:10" x14ac:dyDescent="0.25">
      <c r="A53" t="str">
        <f>Jawa!AO15</f>
        <v>JAWA</v>
      </c>
      <c r="B53">
        <f>Jawa!AP15</f>
        <v>2030</v>
      </c>
      <c r="C53">
        <f>Jawa!AU15</f>
        <v>7935.4134149489719</v>
      </c>
      <c r="D53">
        <f>Jawa!AV15</f>
        <v>188.50332012160737</v>
      </c>
      <c r="E53">
        <f>Jawa!AW15</f>
        <v>1241.842973464135</v>
      </c>
      <c r="F53">
        <f>Jawa!AX15</f>
        <v>23957.877120046753</v>
      </c>
      <c r="G53">
        <f>Jawa!AY15</f>
        <v>14693.796394466181</v>
      </c>
      <c r="H53">
        <f>Jawa!AZ15</f>
        <v>9126.6349261140385</v>
      </c>
      <c r="I53">
        <f>Jawa!BA15</f>
        <v>2265.059124025081</v>
      </c>
      <c r="J53">
        <f>Jawa!BD15</f>
        <v>59409.127273186765</v>
      </c>
    </row>
    <row r="54" spans="1:10" x14ac:dyDescent="0.25">
      <c r="A54" t="str">
        <f>Jawa!AO16</f>
        <v>JAWA</v>
      </c>
      <c r="B54">
        <f>Jawa!AP16</f>
        <v>2031</v>
      </c>
      <c r="C54">
        <f>Jawa!AU16</f>
        <v>7935.4134149489719</v>
      </c>
      <c r="D54">
        <f>Jawa!AV16</f>
        <v>188.50332012160737</v>
      </c>
      <c r="E54">
        <f>Jawa!AW16</f>
        <v>1241.842973464135</v>
      </c>
      <c r="F54">
        <f>Jawa!AX16</f>
        <v>22508.793703902924</v>
      </c>
      <c r="G54">
        <f>Jawa!AY16</f>
        <v>13180.452888557011</v>
      </c>
      <c r="H54">
        <f>Jawa!AZ16</f>
        <v>9126.6349261140385</v>
      </c>
      <c r="I54">
        <f>Jawa!BA16</f>
        <v>2265.059124025081</v>
      </c>
      <c r="J54">
        <f>Jawa!BD16</f>
        <v>56446.700351133768</v>
      </c>
    </row>
    <row r="55" spans="1:10" x14ac:dyDescent="0.25">
      <c r="A55" t="str">
        <f>Jawa!AO17</f>
        <v>JAWA</v>
      </c>
      <c r="B55">
        <f>Jawa!AP17</f>
        <v>2032</v>
      </c>
      <c r="C55">
        <f>Jawa!AU17</f>
        <v>7935.4134149489719</v>
      </c>
      <c r="D55">
        <f>Jawa!AV17</f>
        <v>188.50273613029884</v>
      </c>
      <c r="E55">
        <f>Jawa!AW17</f>
        <v>1241.842973464135</v>
      </c>
      <c r="F55">
        <f>Jawa!AX17</f>
        <v>20870.393937703186</v>
      </c>
      <c r="G55">
        <f>Jawa!AY17</f>
        <v>11514.895672682309</v>
      </c>
      <c r="H55">
        <f>Jawa!AZ17</f>
        <v>9126.6349261140385</v>
      </c>
      <c r="I55">
        <f>Jawa!BA17</f>
        <v>2265.059124025081</v>
      </c>
      <c r="J55">
        <f>Jawa!BD17</f>
        <v>53142.742785068025</v>
      </c>
    </row>
    <row r="56" spans="1:10" x14ac:dyDescent="0.25">
      <c r="A56" t="str">
        <f>Jawa!AO18</f>
        <v>JAWA</v>
      </c>
      <c r="B56">
        <f>Jawa!AP18</f>
        <v>2033</v>
      </c>
      <c r="C56">
        <f>Jawa!AU18</f>
        <v>7935.4134149489719</v>
      </c>
      <c r="D56">
        <f>Jawa!AV18</f>
        <v>188.50273613029884</v>
      </c>
      <c r="E56">
        <f>Jawa!AW18</f>
        <v>1241.842973464135</v>
      </c>
      <c r="F56">
        <f>Jawa!AX18</f>
        <v>20259.438247779854</v>
      </c>
      <c r="G56">
        <f>Jawa!AY18</f>
        <v>9192.1039509540497</v>
      </c>
      <c r="H56">
        <f>Jawa!AZ18</f>
        <v>9126.6349261140385</v>
      </c>
      <c r="I56">
        <f>Jawa!BA18</f>
        <v>2265.059124025081</v>
      </c>
      <c r="J56">
        <f>Jawa!BD18</f>
        <v>50208.99537341643</v>
      </c>
    </row>
    <row r="57" spans="1:10" x14ac:dyDescent="0.25">
      <c r="A57" t="str">
        <f>Jawa!AO19</f>
        <v>JAWA</v>
      </c>
      <c r="B57">
        <f>Jawa!AP19</f>
        <v>2034</v>
      </c>
      <c r="C57">
        <f>Jawa!AU19</f>
        <v>7935.4134149489719</v>
      </c>
      <c r="D57">
        <f>Jawa!AV19</f>
        <v>188.50273613029884</v>
      </c>
      <c r="E57">
        <f>Jawa!AW19</f>
        <v>1241.842973464135</v>
      </c>
      <c r="F57">
        <f>Jawa!AX19</f>
        <v>18704.531119865998</v>
      </c>
      <c r="G57">
        <f>Jawa!AY19</f>
        <v>7201.9282107604067</v>
      </c>
      <c r="H57">
        <f>Jawa!AZ19</f>
        <v>9126.6349261140385</v>
      </c>
      <c r="I57">
        <f>Jawa!BA19</f>
        <v>2265.059124025081</v>
      </c>
      <c r="J57">
        <f>Jawa!BD19</f>
        <v>46663.912505308923</v>
      </c>
    </row>
    <row r="58" spans="1:10" x14ac:dyDescent="0.25">
      <c r="A58" t="str">
        <f>Jawa!AO20</f>
        <v>JAWA</v>
      </c>
      <c r="B58">
        <f>Jawa!AP20</f>
        <v>2035</v>
      </c>
      <c r="C58">
        <f>Jawa!AU20</f>
        <v>7935.4134149489719</v>
      </c>
      <c r="D58">
        <f>Jawa!AV20</f>
        <v>188.50273613029884</v>
      </c>
      <c r="E58">
        <f>Jawa!AW20</f>
        <v>1241.842973464135</v>
      </c>
      <c r="F58">
        <f>Jawa!AX20</f>
        <v>16981.625327050922</v>
      </c>
      <c r="G58">
        <f>Jawa!AY20</f>
        <v>5193.6869512028097</v>
      </c>
      <c r="H58">
        <f>Jawa!AZ20</f>
        <v>9126.6349261140385</v>
      </c>
      <c r="I58">
        <f>Jawa!BA20</f>
        <v>2265.059124025081</v>
      </c>
      <c r="J58">
        <f>Jawa!BD20</f>
        <v>42932.765452936255</v>
      </c>
    </row>
    <row r="59" spans="1:10" x14ac:dyDescent="0.25">
      <c r="A59" t="str">
        <f>Jawa!AO21</f>
        <v>JAWA</v>
      </c>
      <c r="B59">
        <f>Jawa!AP21</f>
        <v>2036</v>
      </c>
      <c r="C59">
        <f>Jawa!AU21</f>
        <v>7935.4134149489719</v>
      </c>
      <c r="D59">
        <f>Jawa!AV21</f>
        <v>188.50273613029884</v>
      </c>
      <c r="E59">
        <f>Jawa!AW21</f>
        <v>1241.842973464135</v>
      </c>
      <c r="F59">
        <f>Jawa!AX21</f>
        <v>15299.365674312281</v>
      </c>
      <c r="G59">
        <f>Jawa!AY21</f>
        <v>3650.5033319969466</v>
      </c>
      <c r="H59">
        <f>Jawa!AZ21</f>
        <v>9126.6349261140385</v>
      </c>
      <c r="I59">
        <f>Jawa!BA21</f>
        <v>2265.059124025081</v>
      </c>
      <c r="J59">
        <f>Jawa!BD21</f>
        <v>39707.322180991752</v>
      </c>
    </row>
    <row r="60" spans="1:10" x14ac:dyDescent="0.25">
      <c r="A60" t="str">
        <f>Jawa!AO22</f>
        <v>JAWA</v>
      </c>
      <c r="B60">
        <f>Jawa!AP22</f>
        <v>2037</v>
      </c>
      <c r="C60">
        <f>Jawa!AU22</f>
        <v>7935.4134149489719</v>
      </c>
      <c r="D60">
        <f>Jawa!AV22</f>
        <v>188.50273613029884</v>
      </c>
      <c r="E60">
        <f>Jawa!AW22</f>
        <v>1241.842973464135</v>
      </c>
      <c r="F60">
        <f>Jawa!AX22</f>
        <v>13699.591915018906</v>
      </c>
      <c r="G60">
        <f>Jawa!AY22</f>
        <v>2610.6939536736245</v>
      </c>
      <c r="H60">
        <f>Jawa!AZ22</f>
        <v>9126.6349261140385</v>
      </c>
      <c r="I60">
        <f>Jawa!BA22</f>
        <v>2265.059124025081</v>
      </c>
      <c r="J60">
        <f>Jawa!BD22</f>
        <v>37067.739043375055</v>
      </c>
    </row>
    <row r="61" spans="1:10" x14ac:dyDescent="0.25">
      <c r="A61" t="str">
        <f>Jawa!AO23</f>
        <v>JAWA</v>
      </c>
      <c r="B61">
        <f>Jawa!AP23</f>
        <v>2038</v>
      </c>
      <c r="C61">
        <f>Jawa!AU23</f>
        <v>7935.4134149489719</v>
      </c>
      <c r="D61">
        <f>Jawa!AV23</f>
        <v>188.50273613029884</v>
      </c>
      <c r="E61">
        <f>Jawa!AW23</f>
        <v>925.49624671530296</v>
      </c>
      <c r="F61">
        <f>Jawa!AX23</f>
        <v>11475.101259633862</v>
      </c>
      <c r="G61">
        <f>Jawa!AY23</f>
        <v>1305.3469768368122</v>
      </c>
      <c r="H61">
        <f>Jawa!AZ23</f>
        <v>9126.634926065437</v>
      </c>
      <c r="I61">
        <f>Jawa!BA23</f>
        <v>2265.059124025081</v>
      </c>
      <c r="J61">
        <f>Jawa!BD23</f>
        <v>33221.554684355768</v>
      </c>
    </row>
    <row r="62" spans="1:10" x14ac:dyDescent="0.25">
      <c r="A62" t="str">
        <f>bali_nt!AO4</f>
        <v>BALI_NT</v>
      </c>
      <c r="B62">
        <f>bali_nt!AP4</f>
        <v>2019</v>
      </c>
      <c r="C62">
        <f>bali_nt!AU4</f>
        <v>1698.8</v>
      </c>
      <c r="D62">
        <f>bali_nt!AV4</f>
        <v>624</v>
      </c>
      <c r="E62">
        <f>bali_nt!AW4</f>
        <v>141</v>
      </c>
      <c r="F62">
        <f>bali_nt!AX4</f>
        <v>18457</v>
      </c>
      <c r="G62">
        <f>bali_nt!AY4</f>
        <v>13812</v>
      </c>
      <c r="H62">
        <f>bali_nt!AZ4</f>
        <v>635</v>
      </c>
      <c r="I62">
        <f>bali_nt!BA4</f>
        <v>9297</v>
      </c>
      <c r="J62">
        <f>bali_nt!BD4</f>
        <v>44664.800000000003</v>
      </c>
    </row>
    <row r="63" spans="1:10" x14ac:dyDescent="0.25">
      <c r="A63" t="str">
        <f>bali_nt!AO5</f>
        <v>BALI_NT</v>
      </c>
      <c r="B63">
        <f>bali_nt!AP5</f>
        <v>2020</v>
      </c>
      <c r="C63">
        <f>bali_nt!AU5</f>
        <v>1698.8</v>
      </c>
      <c r="D63">
        <f>bali_nt!AV5</f>
        <v>624</v>
      </c>
      <c r="E63">
        <f>bali_nt!AW5</f>
        <v>141</v>
      </c>
      <c r="F63">
        <f>bali_nt!AX5</f>
        <v>18447.864873275139</v>
      </c>
      <c r="G63">
        <f>bali_nt!AY5</f>
        <v>13812</v>
      </c>
      <c r="H63">
        <f>bali_nt!AZ5</f>
        <v>567.24816798660299</v>
      </c>
      <c r="I63">
        <f>bali_nt!BA5</f>
        <v>9297</v>
      </c>
      <c r="J63">
        <f>bali_nt!BD5</f>
        <v>44587.913041261738</v>
      </c>
    </row>
    <row r="64" spans="1:10" x14ac:dyDescent="0.25">
      <c r="A64" t="str">
        <f>bali_nt!AO6</f>
        <v>BALI_NT</v>
      </c>
      <c r="B64">
        <f>bali_nt!AP6</f>
        <v>2021</v>
      </c>
      <c r="C64">
        <f>bali_nt!AU6</f>
        <v>1557.4845095134501</v>
      </c>
      <c r="D64">
        <f>bali_nt!AV6</f>
        <v>624</v>
      </c>
      <c r="E64">
        <f>bali_nt!AW6</f>
        <v>141</v>
      </c>
      <c r="F64">
        <f>bali_nt!AX6</f>
        <v>18419.076806040513</v>
      </c>
      <c r="G64">
        <f>bali_nt!AY6</f>
        <v>13812</v>
      </c>
      <c r="H64">
        <f>bali_nt!AZ6</f>
        <v>567.24816898660299</v>
      </c>
      <c r="I64">
        <f>bali_nt!BA6</f>
        <v>9297.0000003318473</v>
      </c>
      <c r="J64">
        <f>bali_nt!BD6</f>
        <v>44417.809484872414</v>
      </c>
    </row>
    <row r="65" spans="1:10" x14ac:dyDescent="0.25">
      <c r="A65" t="str">
        <f>bali_nt!AO7</f>
        <v>BALI_NT</v>
      </c>
      <c r="B65">
        <f>bali_nt!AP7</f>
        <v>2022</v>
      </c>
      <c r="C65">
        <f>bali_nt!AU7</f>
        <v>1557.4845095134501</v>
      </c>
      <c r="D65">
        <f>bali_nt!AV7</f>
        <v>549.28647965834693</v>
      </c>
      <c r="E65">
        <f>bali_nt!AW7</f>
        <v>141</v>
      </c>
      <c r="F65">
        <f>bali_nt!AX7</f>
        <v>18406.152329820812</v>
      </c>
      <c r="G65">
        <f>bali_nt!AY7</f>
        <v>13812</v>
      </c>
      <c r="H65">
        <f>bali_nt!AZ7</f>
        <v>567.24816998660299</v>
      </c>
      <c r="I65">
        <f>bali_nt!BA7</f>
        <v>9297</v>
      </c>
      <c r="J65">
        <f>bali_nt!BD7</f>
        <v>44330.171488979213</v>
      </c>
    </row>
    <row r="66" spans="1:10" x14ac:dyDescent="0.25">
      <c r="A66" t="str">
        <f>bali_nt!AO8</f>
        <v>BALI_NT</v>
      </c>
      <c r="B66">
        <f>bali_nt!AP8</f>
        <v>2023</v>
      </c>
      <c r="C66">
        <f>bali_nt!AU8</f>
        <v>1555.9410895514811</v>
      </c>
      <c r="D66">
        <f>bali_nt!AV8</f>
        <v>547.97855178497059</v>
      </c>
      <c r="E66">
        <f>bali_nt!AW8</f>
        <v>140.99946654578497</v>
      </c>
      <c r="F66">
        <f>bali_nt!AX8</f>
        <v>18385.96779885015</v>
      </c>
      <c r="G66">
        <f>bali_nt!AY8</f>
        <v>13811.999947964043</v>
      </c>
      <c r="H66">
        <f>bali_nt!AZ8</f>
        <v>565.70512017468116</v>
      </c>
      <c r="I66">
        <f>bali_nt!BA8</f>
        <v>9296.9999468212063</v>
      </c>
      <c r="J66">
        <f>bali_nt!BD8</f>
        <v>44305.591921692314</v>
      </c>
    </row>
    <row r="67" spans="1:10" x14ac:dyDescent="0.25">
      <c r="A67" t="str">
        <f>bali_nt!AO9</f>
        <v>BALI_NT</v>
      </c>
      <c r="B67">
        <f>bali_nt!AP9</f>
        <v>2024</v>
      </c>
      <c r="C67">
        <f>bali_nt!AU9</f>
        <v>1555.9410895514811</v>
      </c>
      <c r="D67">
        <f>bali_nt!AV9</f>
        <v>547.97855278497059</v>
      </c>
      <c r="E67">
        <f>bali_nt!AW9</f>
        <v>140.99946654578497</v>
      </c>
      <c r="F67">
        <f>bali_nt!AX9</f>
        <v>18385.96779885015</v>
      </c>
      <c r="G67">
        <f>bali_nt!AY9</f>
        <v>13811.999947964043</v>
      </c>
      <c r="H67">
        <f>bali_nt!AZ9</f>
        <v>475.62314414741076</v>
      </c>
      <c r="I67">
        <f>bali_nt!BA9</f>
        <v>9296.9999468212063</v>
      </c>
      <c r="J67">
        <f>bali_nt!BD9</f>
        <v>44215.509946665043</v>
      </c>
    </row>
    <row r="68" spans="1:10" x14ac:dyDescent="0.25">
      <c r="A68" t="str">
        <f>bali_nt!AO10</f>
        <v>BALI_NT</v>
      </c>
      <c r="B68">
        <f>bali_nt!AP10</f>
        <v>2025</v>
      </c>
      <c r="C68">
        <f>bali_nt!AU10</f>
        <v>1555.9410895514811</v>
      </c>
      <c r="D68">
        <f>bali_nt!AV10</f>
        <v>547.97855278497059</v>
      </c>
      <c r="E68">
        <f>bali_nt!AW10</f>
        <v>140.99946654578497</v>
      </c>
      <c r="F68">
        <f>bali_nt!AX10</f>
        <v>18381.11671511945</v>
      </c>
      <c r="G68">
        <f>bali_nt!AY10</f>
        <v>13811.999947964043</v>
      </c>
      <c r="H68">
        <f>bali_nt!AZ10</f>
        <v>406.05934996094277</v>
      </c>
      <c r="I68">
        <f>bali_nt!BA10</f>
        <v>9296.9999468212063</v>
      </c>
      <c r="J68">
        <f>bali_nt!BD10</f>
        <v>44141.095068747883</v>
      </c>
    </row>
    <row r="69" spans="1:10" x14ac:dyDescent="0.25">
      <c r="A69" t="str">
        <f>bali_nt!AO11</f>
        <v>BALI_NT</v>
      </c>
      <c r="B69">
        <f>bali_nt!AP11</f>
        <v>2026</v>
      </c>
      <c r="C69">
        <f>bali_nt!AU11</f>
        <v>1555.9410905514812</v>
      </c>
      <c r="D69">
        <f>bali_nt!AV11</f>
        <v>547.97855278497059</v>
      </c>
      <c r="E69">
        <f>bali_nt!AW11</f>
        <v>140.99946654578497</v>
      </c>
      <c r="F69">
        <f>bali_nt!AX11</f>
        <v>18373.51081954089</v>
      </c>
      <c r="G69">
        <f>bali_nt!AY11</f>
        <v>13811.999947961816</v>
      </c>
      <c r="H69">
        <f>bali_nt!AZ11</f>
        <v>372.65534484870545</v>
      </c>
      <c r="I69">
        <f>bali_nt!BA11</f>
        <v>9296.9999468190199</v>
      </c>
      <c r="J69">
        <f>bali_nt!BD11</f>
        <v>44100.085169052669</v>
      </c>
    </row>
    <row r="70" spans="1:10" x14ac:dyDescent="0.25">
      <c r="A70" t="str">
        <f>bali_nt!AO12</f>
        <v>BALI_NT</v>
      </c>
      <c r="B70">
        <f>bali_nt!AP12</f>
        <v>2027</v>
      </c>
      <c r="C70">
        <f>bali_nt!AU12</f>
        <v>1555.9410905514812</v>
      </c>
      <c r="D70">
        <f>bali_nt!AV12</f>
        <v>547.97855278497059</v>
      </c>
      <c r="E70">
        <f>bali_nt!AW12</f>
        <v>140.99946654578497</v>
      </c>
      <c r="F70">
        <f>bali_nt!AX12</f>
        <v>18363.385370250708</v>
      </c>
      <c r="G70">
        <f>bali_nt!AY12</f>
        <v>13811.999947947092</v>
      </c>
      <c r="H70">
        <f>bali_nt!AZ12</f>
        <v>320.92141343640873</v>
      </c>
      <c r="I70">
        <f>bali_nt!BA12</f>
        <v>9296.9999468045517</v>
      </c>
      <c r="J70">
        <f>bali_nt!BD12</f>
        <v>44038.225788320997</v>
      </c>
    </row>
    <row r="71" spans="1:10" x14ac:dyDescent="0.25">
      <c r="A71" t="str">
        <f>bali_nt!AO13</f>
        <v>BALI_NT</v>
      </c>
      <c r="B71">
        <f>bali_nt!AP13</f>
        <v>2028</v>
      </c>
      <c r="C71">
        <f>bali_nt!AU13</f>
        <v>1555.9410905514812</v>
      </c>
      <c r="D71">
        <f>bali_nt!AV13</f>
        <v>547.97855278497059</v>
      </c>
      <c r="E71">
        <f>bali_nt!AW13</f>
        <v>140.99946654578497</v>
      </c>
      <c r="F71">
        <f>bali_nt!AX13</f>
        <v>18358.101563962409</v>
      </c>
      <c r="G71">
        <f>bali_nt!AY13</f>
        <v>13811.999947908658</v>
      </c>
      <c r="H71">
        <f>bali_nt!AZ13</f>
        <v>320.92141343640873</v>
      </c>
      <c r="I71">
        <f>bali_nt!BA13</f>
        <v>9296.9999467668022</v>
      </c>
      <c r="J71">
        <f>bali_nt!BD13</f>
        <v>44032.941981956516</v>
      </c>
    </row>
    <row r="72" spans="1:10" x14ac:dyDescent="0.25">
      <c r="A72" t="str">
        <f>bali_nt!AO14</f>
        <v>BALI_NT</v>
      </c>
      <c r="B72">
        <f>bali_nt!AP14</f>
        <v>2029</v>
      </c>
      <c r="C72">
        <f>bali_nt!AU14</f>
        <v>1555.9410905514812</v>
      </c>
      <c r="D72">
        <f>bali_nt!AV14</f>
        <v>547.97855278497059</v>
      </c>
      <c r="E72">
        <f>bali_nt!AW14</f>
        <v>140.99946654578497</v>
      </c>
      <c r="F72">
        <f>bali_nt!AX14</f>
        <v>18341.357527004686</v>
      </c>
      <c r="G72">
        <f>bali_nt!AY14</f>
        <v>13811.999947860868</v>
      </c>
      <c r="H72">
        <f>bali_nt!AZ14</f>
        <v>224.90818700490826</v>
      </c>
      <c r="I72">
        <f>bali_nt!BA14</f>
        <v>9296.9999467198722</v>
      </c>
      <c r="J72">
        <f>bali_nt!BD14</f>
        <v>43920.18471847257</v>
      </c>
    </row>
    <row r="73" spans="1:10" x14ac:dyDescent="0.25">
      <c r="A73" t="str">
        <f>bali_nt!AO15</f>
        <v>BALI_NT</v>
      </c>
      <c r="B73">
        <f>bali_nt!AP15</f>
        <v>2030</v>
      </c>
      <c r="C73">
        <f>bali_nt!AU15</f>
        <v>1555.9410905514812</v>
      </c>
      <c r="D73">
        <f>bali_nt!AV15</f>
        <v>466.3302905195481</v>
      </c>
      <c r="E73">
        <f>bali_nt!AW15</f>
        <v>140.99946654578497</v>
      </c>
      <c r="F73">
        <f>bali_nt!AX15</f>
        <v>18317.053806836651</v>
      </c>
      <c r="G73">
        <f>bali_nt!AY15</f>
        <v>13811.999947860868</v>
      </c>
      <c r="H73">
        <f>bali_nt!AZ15</f>
        <v>224.90818700490826</v>
      </c>
      <c r="I73">
        <f>bali_nt!BA15</f>
        <v>9296.9999467198722</v>
      </c>
      <c r="J73">
        <f>bali_nt!BD15</f>
        <v>43814.232736039114</v>
      </c>
    </row>
    <row r="74" spans="1:10" x14ac:dyDescent="0.25">
      <c r="A74" t="str">
        <f>bali_nt!AO16</f>
        <v>BALI_NT</v>
      </c>
      <c r="B74">
        <f>bali_nt!AP16</f>
        <v>2031</v>
      </c>
      <c r="C74">
        <f>bali_nt!AU16</f>
        <v>1555.9410915514813</v>
      </c>
      <c r="D74">
        <f>bali_nt!AV16</f>
        <v>341.99631699681441</v>
      </c>
      <c r="E74">
        <f>bali_nt!AW16</f>
        <v>140.99946654578497</v>
      </c>
      <c r="F74">
        <f>bali_nt!AX16</f>
        <v>18280.614846421417</v>
      </c>
      <c r="G74">
        <f>bali_nt!AY16</f>
        <v>13811.999947860868</v>
      </c>
      <c r="H74">
        <f>bali_nt!AZ16</f>
        <v>224.90818700490826</v>
      </c>
      <c r="I74">
        <f>bali_nt!BA16</f>
        <v>9296.9999467198722</v>
      </c>
      <c r="J74">
        <f>bali_nt!BD16</f>
        <v>43653.459803101141</v>
      </c>
    </row>
    <row r="75" spans="1:10" x14ac:dyDescent="0.25">
      <c r="A75" t="str">
        <f>bali_nt!AO17</f>
        <v>BALI_NT</v>
      </c>
      <c r="B75">
        <f>bali_nt!AP17</f>
        <v>2032</v>
      </c>
      <c r="C75">
        <f>bali_nt!AU17</f>
        <v>1555.9410915514813</v>
      </c>
      <c r="D75">
        <f>bali_nt!AV17</f>
        <v>341.99631699681441</v>
      </c>
      <c r="E75">
        <f>bali_nt!AW17</f>
        <v>140.99946654578497</v>
      </c>
      <c r="F75">
        <f>bali_nt!AX17</f>
        <v>18270.032725661942</v>
      </c>
      <c r="G75">
        <f>bali_nt!AY17</f>
        <v>13811.999947860868</v>
      </c>
      <c r="H75">
        <f>bali_nt!AZ17</f>
        <v>220.13700568186559</v>
      </c>
      <c r="I75">
        <f>bali_nt!BA17</f>
        <v>9296.9999467198722</v>
      </c>
      <c r="J75">
        <f>bali_nt!BD17</f>
        <v>43638.106501018628</v>
      </c>
    </row>
    <row r="76" spans="1:10" x14ac:dyDescent="0.25">
      <c r="A76" t="str">
        <f>bali_nt!AO18</f>
        <v>BALI_NT</v>
      </c>
      <c r="B76">
        <f>bali_nt!AP18</f>
        <v>2033</v>
      </c>
      <c r="C76">
        <f>bali_nt!AU18</f>
        <v>1555.9410915514813</v>
      </c>
      <c r="D76">
        <f>bali_nt!AV18</f>
        <v>341.99631699681441</v>
      </c>
      <c r="E76">
        <f>bali_nt!AW18</f>
        <v>140.99946654578497</v>
      </c>
      <c r="F76">
        <f>bali_nt!AX18</f>
        <v>18253.980794986874</v>
      </c>
      <c r="G76">
        <f>bali_nt!AY18</f>
        <v>13811.999947860868</v>
      </c>
      <c r="H76">
        <f>bali_nt!AZ18</f>
        <v>182.00356604542216</v>
      </c>
      <c r="I76">
        <f>bali_nt!BA18</f>
        <v>9296.9999467198722</v>
      </c>
      <c r="J76">
        <f>bali_nt!BD18</f>
        <v>43583.921130707116</v>
      </c>
    </row>
    <row r="77" spans="1:10" x14ac:dyDescent="0.25">
      <c r="A77" t="str">
        <f>bali_nt!AO19</f>
        <v>BALI_NT</v>
      </c>
      <c r="B77">
        <f>bali_nt!AP19</f>
        <v>2034</v>
      </c>
      <c r="C77">
        <f>bali_nt!AU19</f>
        <v>1555.9410925514815</v>
      </c>
      <c r="D77">
        <f>bali_nt!AV19</f>
        <v>341.99631799681441</v>
      </c>
      <c r="E77">
        <f>bali_nt!AW19</f>
        <v>140.99946654578497</v>
      </c>
      <c r="F77">
        <f>bali_nt!AX19</f>
        <v>18228.971842642888</v>
      </c>
      <c r="G77">
        <f>bali_nt!AY19</f>
        <v>13811.999947860868</v>
      </c>
      <c r="H77">
        <f>bali_nt!AZ19</f>
        <v>93.131936283285512</v>
      </c>
      <c r="I77">
        <f>bali_nt!BA19</f>
        <v>9296.9999466890058</v>
      </c>
      <c r="J77">
        <f>bali_nt!BD19</f>
        <v>43470.040550570135</v>
      </c>
    </row>
    <row r="78" spans="1:10" x14ac:dyDescent="0.25">
      <c r="A78" t="str">
        <f>bali_nt!AO20</f>
        <v>BALI_NT</v>
      </c>
      <c r="B78">
        <f>bali_nt!AP20</f>
        <v>2035</v>
      </c>
      <c r="C78">
        <f>bali_nt!AU20</f>
        <v>1555.9410935514816</v>
      </c>
      <c r="D78">
        <f>bali_nt!AV20</f>
        <v>341.99631899681441</v>
      </c>
      <c r="E78">
        <f>bali_nt!AW20</f>
        <v>140.99946654578497</v>
      </c>
      <c r="F78">
        <f>bali_nt!AX20</f>
        <v>18209.83773027391</v>
      </c>
      <c r="G78">
        <f>bali_nt!AY20</f>
        <v>13811.999947860868</v>
      </c>
      <c r="H78">
        <f>bali_nt!AZ20</f>
        <v>54.735650473945846</v>
      </c>
      <c r="I78">
        <f>bali_nt!BA20</f>
        <v>9296.9999466890058</v>
      </c>
      <c r="J78">
        <f>bali_nt!BD20</f>
        <v>43412.510154391814</v>
      </c>
    </row>
    <row r="79" spans="1:10" x14ac:dyDescent="0.25">
      <c r="A79" t="str">
        <f>bali_nt!AO21</f>
        <v>BALI_NT</v>
      </c>
      <c r="B79">
        <f>bali_nt!AP21</f>
        <v>2036</v>
      </c>
      <c r="C79">
        <f>bali_nt!AU21</f>
        <v>1503.1905517694661</v>
      </c>
      <c r="D79">
        <f>bali_nt!AV21</f>
        <v>170.99815949840826</v>
      </c>
      <c r="E79">
        <f>bali_nt!AW21</f>
        <v>140.99946654578497</v>
      </c>
      <c r="F79">
        <f>bali_nt!AX21</f>
        <v>18121.032715389341</v>
      </c>
      <c r="G79">
        <f>bali_nt!AY21</f>
        <v>13811.999947860868</v>
      </c>
      <c r="H79">
        <f>bali_nt!AZ21</f>
        <v>54.735650473945846</v>
      </c>
      <c r="I79">
        <f>bali_nt!BA21</f>
        <v>9296.9999476890061</v>
      </c>
      <c r="J79">
        <f>bali_nt!BD21</f>
        <v>43099.956439226822</v>
      </c>
    </row>
    <row r="80" spans="1:10" x14ac:dyDescent="0.25">
      <c r="A80" t="str">
        <f>bali_nt!AO22</f>
        <v>BALI_NT</v>
      </c>
      <c r="B80">
        <f>bali_nt!AP22</f>
        <v>2037</v>
      </c>
      <c r="C80">
        <f>bali_nt!AU22</f>
        <v>1446.6611985562263</v>
      </c>
      <c r="D80">
        <f>bali_nt!AV22</f>
        <v>85.49907974920464</v>
      </c>
      <c r="E80">
        <f>bali_nt!AW22</f>
        <v>140.99946654578497</v>
      </c>
      <c r="F80">
        <f>bali_nt!AX22</f>
        <v>18048.320546009381</v>
      </c>
      <c r="G80">
        <f>bali_nt!AY22</f>
        <v>13811.999947860868</v>
      </c>
      <c r="H80">
        <f>bali_nt!AZ22</f>
        <v>54.735650473945846</v>
      </c>
      <c r="I80">
        <f>bali_nt!BA22</f>
        <v>9296.9999476890061</v>
      </c>
      <c r="J80">
        <f>bali_nt!BD22</f>
        <v>42885.215836884418</v>
      </c>
    </row>
    <row r="81" spans="1:10" x14ac:dyDescent="0.25">
      <c r="A81" t="str">
        <f>bali_nt!AO23</f>
        <v>BALI_NT</v>
      </c>
      <c r="B81">
        <f>bali_nt!AP23</f>
        <v>2038</v>
      </c>
      <c r="C81">
        <f>bali_nt!AU23</f>
        <v>1355.7438265442918</v>
      </c>
      <c r="D81">
        <f>bali_nt!AV23</f>
        <v>42.74953987460232</v>
      </c>
      <c r="E81">
        <f>bali_nt!AW23</f>
        <v>140.99946654578497</v>
      </c>
      <c r="F81">
        <f>bali_nt!AX23</f>
        <v>17965.766422582547</v>
      </c>
      <c r="G81">
        <f>bali_nt!AY23</f>
        <v>13811.999947860868</v>
      </c>
      <c r="H81">
        <f>bali_nt!AZ23</f>
        <v>54.735650473945846</v>
      </c>
      <c r="I81">
        <f>bali_nt!BA23</f>
        <v>9296.9999476890061</v>
      </c>
      <c r="J81">
        <f>bali_nt!BD23</f>
        <v>42668.994801571047</v>
      </c>
    </row>
    <row r="82" spans="1:10" x14ac:dyDescent="0.25">
      <c r="A82" t="str">
        <f>kalimantan!AO4</f>
        <v>KALIMANTAN</v>
      </c>
      <c r="B82">
        <f>kalimantan!AP4</f>
        <v>2019</v>
      </c>
      <c r="C82">
        <f>kalimantan!AU4</f>
        <v>182</v>
      </c>
      <c r="D82">
        <f>kalimantan!AV4</f>
        <v>21581</v>
      </c>
      <c r="E82">
        <f>kalimantan!AW4</f>
        <v>8100</v>
      </c>
      <c r="F82">
        <f>kalimantan!AX4</f>
        <v>52725</v>
      </c>
      <c r="G82">
        <f>kalimantan!AY4</f>
        <v>2526</v>
      </c>
      <c r="H82">
        <f>kalimantan!AZ4</f>
        <v>5061</v>
      </c>
      <c r="I82">
        <f>kalimantan!BA4</f>
        <v>0</v>
      </c>
      <c r="J82">
        <f>kalimantan!BD4</f>
        <v>90175</v>
      </c>
    </row>
    <row r="83" spans="1:10" x14ac:dyDescent="0.25">
      <c r="A83" t="str">
        <f>kalimantan!AO5</f>
        <v>KALIMANTAN</v>
      </c>
      <c r="B83">
        <f>kalimantan!AP5</f>
        <v>2020</v>
      </c>
      <c r="C83">
        <f>kalimantan!AU5</f>
        <v>182</v>
      </c>
      <c r="D83">
        <f>kalimantan!AV5</f>
        <v>21560.03388369441</v>
      </c>
      <c r="E83">
        <f>kalimantan!AW5</f>
        <v>8011.0754627463666</v>
      </c>
      <c r="F83">
        <f>kalimantan!AX5</f>
        <v>51810.770900580668</v>
      </c>
      <c r="G83">
        <f>kalimantan!AY5</f>
        <v>2526</v>
      </c>
      <c r="H83">
        <f>kalimantan!AZ5</f>
        <v>5061</v>
      </c>
      <c r="I83">
        <f>kalimantan!BA5</f>
        <v>0</v>
      </c>
      <c r="J83">
        <f>kalimantan!BD5</f>
        <v>89150.880247021443</v>
      </c>
    </row>
    <row r="84" spans="1:10" x14ac:dyDescent="0.25">
      <c r="A84" t="str">
        <f>kalimantan!AO6</f>
        <v>KALIMANTAN</v>
      </c>
      <c r="B84">
        <f>kalimantan!AP6</f>
        <v>2021</v>
      </c>
      <c r="C84">
        <f>kalimantan!AU6</f>
        <v>182</v>
      </c>
      <c r="D84">
        <f>kalimantan!AV6</f>
        <v>21351.645810947655</v>
      </c>
      <c r="E84">
        <f>kalimantan!AW6</f>
        <v>7988.2963781142189</v>
      </c>
      <c r="F84">
        <f>kalimantan!AX6</f>
        <v>51810.770900580668</v>
      </c>
      <c r="G84">
        <f>kalimantan!AY6</f>
        <v>2526</v>
      </c>
      <c r="H84">
        <f>kalimantan!AZ6</f>
        <v>5061</v>
      </c>
      <c r="I84">
        <f>kalimantan!BA6</f>
        <v>0</v>
      </c>
      <c r="J84">
        <f>kalimantan!BD6</f>
        <v>88919.713089642551</v>
      </c>
    </row>
    <row r="85" spans="1:10" x14ac:dyDescent="0.25">
      <c r="A85" t="str">
        <f>kalimantan!AO7</f>
        <v>KALIMANTAN</v>
      </c>
      <c r="B85">
        <f>kalimantan!AP7</f>
        <v>2022</v>
      </c>
      <c r="C85">
        <f>kalimantan!AU7</f>
        <v>182</v>
      </c>
      <c r="D85">
        <f>kalimantan!AV7</f>
        <v>21329.952617075978</v>
      </c>
      <c r="E85">
        <f>kalimantan!AW7</f>
        <v>7988.2963791142192</v>
      </c>
      <c r="F85">
        <f>kalimantan!AX7</f>
        <v>51169.247240062025</v>
      </c>
      <c r="G85">
        <f>kalimantan!AY7</f>
        <v>2526</v>
      </c>
      <c r="H85">
        <f>kalimantan!AZ7</f>
        <v>5061</v>
      </c>
      <c r="I85">
        <f>kalimantan!BA7</f>
        <v>0</v>
      </c>
      <c r="J85">
        <f>kalimantan!BD7</f>
        <v>88256.49623625222</v>
      </c>
    </row>
    <row r="86" spans="1:10" x14ac:dyDescent="0.25">
      <c r="A86" t="str">
        <f>kalimantan!AO8</f>
        <v>KALIMANTAN</v>
      </c>
      <c r="B86">
        <f>kalimantan!AP8</f>
        <v>2023</v>
      </c>
      <c r="C86">
        <f>kalimantan!AU8</f>
        <v>90.999909000000002</v>
      </c>
      <c r="D86">
        <f>kalimantan!AV8</f>
        <v>21260.353698865798</v>
      </c>
      <c r="E86">
        <f>kalimantan!AW8</f>
        <v>7969.6251989453021</v>
      </c>
      <c r="F86">
        <f>kalimantan!AX8</f>
        <v>51153.198618403287</v>
      </c>
      <c r="G86">
        <f>kalimantan!AY8</f>
        <v>2517.6763360871078</v>
      </c>
      <c r="H86">
        <f>kalimantan!AZ8</f>
        <v>4998.7127622212211</v>
      </c>
      <c r="I86">
        <f>kalimantan!BA8</f>
        <v>0</v>
      </c>
      <c r="J86">
        <f>kalimantan!BD8</f>
        <v>87990.566523522721</v>
      </c>
    </row>
    <row r="87" spans="1:10" x14ac:dyDescent="0.25">
      <c r="A87" t="str">
        <f>kalimantan!AO9</f>
        <v>KALIMANTAN</v>
      </c>
      <c r="B87">
        <f>kalimantan!AP9</f>
        <v>2024</v>
      </c>
      <c r="C87">
        <f>kalimantan!AU9</f>
        <v>49.678467396011769</v>
      </c>
      <c r="D87">
        <f>kalimantan!AV9</f>
        <v>21260.353698865798</v>
      </c>
      <c r="E87">
        <f>kalimantan!AW9</f>
        <v>7867.080542400492</v>
      </c>
      <c r="F87">
        <f>kalimantan!AX9</f>
        <v>51110.725367990824</v>
      </c>
      <c r="G87">
        <f>kalimantan!AY9</f>
        <v>2504.9480218534204</v>
      </c>
      <c r="H87">
        <f>kalimantan!AZ9</f>
        <v>4977.2528319939665</v>
      </c>
      <c r="I87">
        <f>kalimantan!BA9</f>
        <v>0</v>
      </c>
      <c r="J87">
        <f>kalimantan!BD9</f>
        <v>87770.038930500508</v>
      </c>
    </row>
    <row r="88" spans="1:10" x14ac:dyDescent="0.25">
      <c r="A88" t="str">
        <f>kalimantan!AO10</f>
        <v>KALIMANTAN</v>
      </c>
      <c r="B88">
        <f>kalimantan!AP10</f>
        <v>2025</v>
      </c>
      <c r="C88">
        <f>kalimantan!AU10</f>
        <v>24.83920887090072</v>
      </c>
      <c r="D88">
        <f>kalimantan!AV10</f>
        <v>21208.72241001705</v>
      </c>
      <c r="E88">
        <f>kalimantan!AW10</f>
        <v>7828.4553099481245</v>
      </c>
      <c r="F88">
        <f>kalimantan!AX10</f>
        <v>51024.022014925969</v>
      </c>
      <c r="G88">
        <f>kalimantan!AY10</f>
        <v>2431.6138838397515</v>
      </c>
      <c r="H88">
        <f>kalimantan!AZ10</f>
        <v>4924.6766502380788</v>
      </c>
      <c r="I88">
        <f>kalimantan!BA10</f>
        <v>0</v>
      </c>
      <c r="J88">
        <f>kalimantan!BD10</f>
        <v>87442.32947783987</v>
      </c>
    </row>
    <row r="89" spans="1:10" x14ac:dyDescent="0.25">
      <c r="A89" t="str">
        <f>kalimantan!AO11</f>
        <v>KALIMANTAN</v>
      </c>
      <c r="B89">
        <f>kalimantan!AP11</f>
        <v>2026</v>
      </c>
      <c r="C89">
        <f>kalimantan!AU11</f>
        <v>12.419592027974446</v>
      </c>
      <c r="D89">
        <f>kalimantan!AV11</f>
        <v>21201.428183347227</v>
      </c>
      <c r="E89">
        <f>kalimantan!AW11</f>
        <v>7807.129855807987</v>
      </c>
      <c r="F89">
        <f>kalimantan!AX11</f>
        <v>51021.016507781955</v>
      </c>
      <c r="G89">
        <f>kalimantan!AY11</f>
        <v>2425.9269948663527</v>
      </c>
      <c r="H89">
        <f>kalimantan!AZ11</f>
        <v>4921.5135666990318</v>
      </c>
      <c r="I89">
        <f>kalimantan!BA11</f>
        <v>0</v>
      </c>
      <c r="J89">
        <f>kalimantan!BD11</f>
        <v>87389.434700530546</v>
      </c>
    </row>
    <row r="90" spans="1:10" x14ac:dyDescent="0.25">
      <c r="A90" t="str">
        <f>kalimantan!AO12</f>
        <v>KALIMANTAN</v>
      </c>
      <c r="B90">
        <f>kalimantan!AP12</f>
        <v>2027</v>
      </c>
      <c r="C90">
        <f>kalimantan!AU12</f>
        <v>12.419592027974446</v>
      </c>
      <c r="D90">
        <f>kalimantan!AV12</f>
        <v>21201.428183347227</v>
      </c>
      <c r="E90">
        <f>kalimantan!AW12</f>
        <v>7807.129855807987</v>
      </c>
      <c r="F90">
        <f>kalimantan!AX12</f>
        <v>51021.016507781955</v>
      </c>
      <c r="G90">
        <f>kalimantan!AY12</f>
        <v>1976.9805151183587</v>
      </c>
      <c r="H90">
        <f>kalimantan!AZ12</f>
        <v>4921.5135666990318</v>
      </c>
      <c r="I90">
        <f>kalimantan!BA12</f>
        <v>0</v>
      </c>
      <c r="J90">
        <f>kalimantan!BD12</f>
        <v>86940.488220782543</v>
      </c>
    </row>
    <row r="91" spans="1:10" x14ac:dyDescent="0.25">
      <c r="A91" t="str">
        <f>kalimantan!AO13</f>
        <v>KALIMANTAN</v>
      </c>
      <c r="B91">
        <f>kalimantan!AP13</f>
        <v>2028</v>
      </c>
      <c r="C91">
        <f>kalimantan!AU13</f>
        <v>12.419592027974446</v>
      </c>
      <c r="D91">
        <f>kalimantan!AV13</f>
        <v>21201.428183347227</v>
      </c>
      <c r="E91">
        <f>kalimantan!AW13</f>
        <v>7807.129855807987</v>
      </c>
      <c r="F91">
        <f>kalimantan!AX13</f>
        <v>51021.016507781955</v>
      </c>
      <c r="G91">
        <f>kalimantan!AY13</f>
        <v>1807.7869741195925</v>
      </c>
      <c r="H91">
        <f>kalimantan!AZ13</f>
        <v>4921.5135666990318</v>
      </c>
      <c r="I91">
        <f>kalimantan!BA13</f>
        <v>0</v>
      </c>
      <c r="J91">
        <f>kalimantan!BD13</f>
        <v>86771.294679783779</v>
      </c>
    </row>
    <row r="92" spans="1:10" x14ac:dyDescent="0.25">
      <c r="A92" t="str">
        <f>kalimantan!AO14</f>
        <v>KALIMANTAN</v>
      </c>
      <c r="B92">
        <f>kalimantan!AP14</f>
        <v>2029</v>
      </c>
      <c r="C92">
        <f>kalimantan!AU14</f>
        <v>12.419593027974445</v>
      </c>
      <c r="D92">
        <f>kalimantan!AV14</f>
        <v>21201.33153374703</v>
      </c>
      <c r="E92">
        <f>kalimantan!AW14</f>
        <v>7797.321608068246</v>
      </c>
      <c r="F92">
        <f>kalimantan!AX14</f>
        <v>51010.480160298437</v>
      </c>
      <c r="G92">
        <f>kalimantan!AY14</f>
        <v>1804.548409597907</v>
      </c>
      <c r="H92">
        <f>kalimantan!AZ14</f>
        <v>4874.4132583377241</v>
      </c>
      <c r="I92">
        <f>kalimantan!BA14</f>
        <v>0</v>
      </c>
      <c r="J92">
        <f>kalimantan!BD14</f>
        <v>86700.514563077319</v>
      </c>
    </row>
    <row r="93" spans="1:10" x14ac:dyDescent="0.25">
      <c r="A93" t="str">
        <f>kalimantan!AO15</f>
        <v>KALIMANTAN</v>
      </c>
      <c r="B93">
        <f>kalimantan!AP15</f>
        <v>2030</v>
      </c>
      <c r="C93">
        <f>kalimantan!AU15</f>
        <v>6.209790304190709</v>
      </c>
      <c r="D93">
        <f>kalimantan!AV15</f>
        <v>21175.065181012538</v>
      </c>
      <c r="E93">
        <f>kalimantan!AW15</f>
        <v>7796.4642365955578</v>
      </c>
      <c r="F93">
        <f>kalimantan!AX15</f>
        <v>51004.080160298436</v>
      </c>
      <c r="G93">
        <f>kalimantan!AY15</f>
        <v>1793.6636958029087</v>
      </c>
      <c r="H93">
        <f>kalimantan!AZ15</f>
        <v>4874.4132583377241</v>
      </c>
      <c r="I93">
        <f>kalimantan!BA15</f>
        <v>0</v>
      </c>
      <c r="J93">
        <f>kalimantan!BD15</f>
        <v>86649.896322351357</v>
      </c>
    </row>
    <row r="94" spans="1:10" x14ac:dyDescent="0.25">
      <c r="A94" t="str">
        <f>kalimantan!AO16</f>
        <v>KALIMANTAN</v>
      </c>
      <c r="B94">
        <f>kalimantan!AP16</f>
        <v>2031</v>
      </c>
      <c r="C94">
        <f>kalimantan!AU16</f>
        <v>6.209790304190709</v>
      </c>
      <c r="D94">
        <f>kalimantan!AV16</f>
        <v>21175.065181012538</v>
      </c>
      <c r="E94">
        <f>kalimantan!AW16</f>
        <v>7796.4642365955578</v>
      </c>
      <c r="F94">
        <f>kalimantan!AX16</f>
        <v>51004.080160298436</v>
      </c>
      <c r="G94">
        <f>kalimantan!AY16</f>
        <v>1717.4209310359456</v>
      </c>
      <c r="H94">
        <f>kalimantan!AZ16</f>
        <v>4874.4132583377241</v>
      </c>
      <c r="I94">
        <f>kalimantan!BA16</f>
        <v>0</v>
      </c>
      <c r="J94">
        <f>kalimantan!BD16</f>
        <v>86573.653557584388</v>
      </c>
    </row>
    <row r="95" spans="1:10" x14ac:dyDescent="0.25">
      <c r="A95" t="str">
        <f>kalimantan!AO17</f>
        <v>KALIMANTAN</v>
      </c>
      <c r="B95">
        <f>kalimantan!AP17</f>
        <v>2032</v>
      </c>
      <c r="C95">
        <f>kalimantan!AU17</f>
        <v>6.209790304190709</v>
      </c>
      <c r="D95">
        <f>kalimantan!AV17</f>
        <v>21175.065181012538</v>
      </c>
      <c r="E95">
        <f>kalimantan!AW17</f>
        <v>7796.4642365955578</v>
      </c>
      <c r="F95">
        <f>kalimantan!AX17</f>
        <v>51004.080160298436</v>
      </c>
      <c r="G95">
        <f>kalimantan!AY17</f>
        <v>1489.3080569676245</v>
      </c>
      <c r="H95">
        <f>kalimantan!AZ17</f>
        <v>4874.4132583377241</v>
      </c>
      <c r="I95">
        <f>kalimantan!BA17</f>
        <v>0</v>
      </c>
      <c r="J95">
        <f>kalimantan!BD17</f>
        <v>86345.540683516068</v>
      </c>
    </row>
    <row r="96" spans="1:10" x14ac:dyDescent="0.25">
      <c r="A96" t="str">
        <f>kalimantan!AO18</f>
        <v>KALIMANTAN</v>
      </c>
      <c r="B96">
        <f>kalimantan!AP18</f>
        <v>2033</v>
      </c>
      <c r="C96">
        <f>kalimantan!AU18</f>
        <v>6.209790304190709</v>
      </c>
      <c r="D96">
        <f>kalimantan!AV18</f>
        <v>21175.065181012538</v>
      </c>
      <c r="E96">
        <f>kalimantan!AW18</f>
        <v>7796.4642365955578</v>
      </c>
      <c r="F96">
        <f>kalimantan!AX18</f>
        <v>51004.080160298436</v>
      </c>
      <c r="G96">
        <f>kalimantan!AY18</f>
        <v>1255.7155142662832</v>
      </c>
      <c r="H96">
        <f>kalimantan!AZ18</f>
        <v>4874.4132583377241</v>
      </c>
      <c r="I96">
        <f>kalimantan!BA18</f>
        <v>0</v>
      </c>
      <c r="J96">
        <f>kalimantan!BD18</f>
        <v>86111.948140814726</v>
      </c>
    </row>
    <row r="97" spans="1:10" x14ac:dyDescent="0.25">
      <c r="A97" t="str">
        <f>kalimantan!AO19</f>
        <v>KALIMANTAN</v>
      </c>
      <c r="B97">
        <f>kalimantan!AP19</f>
        <v>2034</v>
      </c>
      <c r="C97">
        <f>kalimantan!AU19</f>
        <v>6.209790304190709</v>
      </c>
      <c r="D97">
        <f>kalimantan!AV19</f>
        <v>21165.252621554489</v>
      </c>
      <c r="E97">
        <f>kalimantan!AW19</f>
        <v>7434.3289458680083</v>
      </c>
      <c r="F97">
        <f>kalimantan!AX19</f>
        <v>51004.080160298436</v>
      </c>
      <c r="G97">
        <f>kalimantan!AY19</f>
        <v>1254.1388243109932</v>
      </c>
      <c r="H97">
        <f>kalimantan!AZ19</f>
        <v>4874.4132583377241</v>
      </c>
      <c r="I97">
        <f>kalimantan!BA19</f>
        <v>0</v>
      </c>
      <c r="J97">
        <f>kalimantan!BD19</f>
        <v>85738.423600673836</v>
      </c>
    </row>
    <row r="98" spans="1:10" x14ac:dyDescent="0.25">
      <c r="A98" t="str">
        <f>kalimantan!AO20</f>
        <v>KALIMANTAN</v>
      </c>
      <c r="B98">
        <f>kalimantan!AP20</f>
        <v>2035</v>
      </c>
      <c r="C98">
        <f>kalimantan!AU20</f>
        <v>6.209790304190709</v>
      </c>
      <c r="D98">
        <f>kalimantan!AV20</f>
        <v>21165.252621554489</v>
      </c>
      <c r="E98">
        <f>kalimantan!AW20</f>
        <v>7434.3289458680083</v>
      </c>
      <c r="F98">
        <f>kalimantan!AX20</f>
        <v>51004.080160298436</v>
      </c>
      <c r="G98">
        <f>kalimantan!AY20</f>
        <v>1094.169780185322</v>
      </c>
      <c r="H98">
        <f>kalimantan!AZ20</f>
        <v>4874.4132583377241</v>
      </c>
      <c r="I98">
        <f>kalimantan!BA20</f>
        <v>0</v>
      </c>
      <c r="J98">
        <f>kalimantan!BD20</f>
        <v>85578.454556548153</v>
      </c>
    </row>
    <row r="99" spans="1:10" x14ac:dyDescent="0.25">
      <c r="A99" t="str">
        <f>kalimantan!AO21</f>
        <v>KALIMANTAN</v>
      </c>
      <c r="B99">
        <f>kalimantan!AP21</f>
        <v>2036</v>
      </c>
      <c r="C99">
        <f>kalimantan!AU21</f>
        <v>6.209790304190709</v>
      </c>
      <c r="D99">
        <f>kalimantan!AV21</f>
        <v>21165.252621554489</v>
      </c>
      <c r="E99">
        <f>kalimantan!AW21</f>
        <v>7434.3289458680083</v>
      </c>
      <c r="F99">
        <f>kalimantan!AX21</f>
        <v>51004.080160298436</v>
      </c>
      <c r="G99">
        <f>kalimantan!AY21</f>
        <v>867.87808399029052</v>
      </c>
      <c r="H99">
        <f>kalimantan!AZ21</f>
        <v>4874.4132583377241</v>
      </c>
      <c r="I99">
        <f>kalimantan!BA21</f>
        <v>0</v>
      </c>
      <c r="J99">
        <f>kalimantan!BD21</f>
        <v>85352.162860353128</v>
      </c>
    </row>
    <row r="100" spans="1:10" x14ac:dyDescent="0.25">
      <c r="A100" t="str">
        <f>kalimantan!AO22</f>
        <v>KALIMANTAN</v>
      </c>
      <c r="B100">
        <f>kalimantan!AP22</f>
        <v>2037</v>
      </c>
      <c r="C100">
        <f>kalimantan!AU22</f>
        <v>5.5888082325791411</v>
      </c>
      <c r="D100">
        <f>kalimantan!AV22</f>
        <v>21142.158451418363</v>
      </c>
      <c r="E100">
        <f>kalimantan!AW22</f>
        <v>7425.8535776674307</v>
      </c>
      <c r="F100">
        <f>kalimantan!AX22</f>
        <v>50938.907776735919</v>
      </c>
      <c r="G100">
        <f>kalimantan!AY22</f>
        <v>748.81784074359143</v>
      </c>
      <c r="H100">
        <f>kalimantan!AZ22</f>
        <v>4848.4356778275578</v>
      </c>
      <c r="I100">
        <f>kalimantan!BA22</f>
        <v>0</v>
      </c>
      <c r="J100">
        <f>kalimantan!BD22</f>
        <v>85109.762132625445</v>
      </c>
    </row>
    <row r="101" spans="1:10" x14ac:dyDescent="0.25">
      <c r="A101" t="str">
        <f>kalimantan!AO23</f>
        <v>KALIMANTAN</v>
      </c>
      <c r="B101">
        <f>kalimantan!AP23</f>
        <v>2038</v>
      </c>
      <c r="C101">
        <f>kalimantan!AU23</f>
        <v>5.5888082325791411</v>
      </c>
      <c r="D101">
        <f>kalimantan!AV23</f>
        <v>21142.158451418363</v>
      </c>
      <c r="E101">
        <f>kalimantan!AW23</f>
        <v>7425.8535776674307</v>
      </c>
      <c r="F101">
        <f>kalimantan!AX23</f>
        <v>50938.907776735919</v>
      </c>
      <c r="G101">
        <f>kalimantan!AY23</f>
        <v>448.42874458988894</v>
      </c>
      <c r="H101">
        <f>kalimantan!AZ23</f>
        <v>4848.4356778275578</v>
      </c>
      <c r="I101">
        <f>kalimantan!BA23</f>
        <v>0</v>
      </c>
      <c r="J101">
        <f>kalimantan!BD23</f>
        <v>84809.373036471748</v>
      </c>
    </row>
    <row r="102" spans="1:10" x14ac:dyDescent="0.25">
      <c r="A102" t="str">
        <f>sulawesi!AO4</f>
        <v>SULAWESI</v>
      </c>
      <c r="B102">
        <f>sulawesi!AP4</f>
        <v>2019</v>
      </c>
      <c r="C102">
        <f>sulawesi!AU4</f>
        <v>3068</v>
      </c>
      <c r="D102">
        <f>sulawesi!AV4</f>
        <v>10307</v>
      </c>
      <c r="E102">
        <f>sulawesi!AW4</f>
        <v>1668</v>
      </c>
      <c r="F102">
        <f>sulawesi!AX4</f>
        <v>22700</v>
      </c>
      <c r="G102">
        <f>sulawesi!AY4</f>
        <v>8380</v>
      </c>
      <c r="H102">
        <f>sulawesi!AZ4</f>
        <v>1937</v>
      </c>
      <c r="I102">
        <f>sulawesi!BA4</f>
        <v>0</v>
      </c>
      <c r="J102">
        <f>sulawesi!BD4</f>
        <v>48060</v>
      </c>
    </row>
    <row r="103" spans="1:10" x14ac:dyDescent="0.25">
      <c r="A103" t="str">
        <f>sulawesi!AO5</f>
        <v>SULAWESI</v>
      </c>
      <c r="B103">
        <f>sulawesi!AP5</f>
        <v>2020</v>
      </c>
      <c r="C103">
        <f>sulawesi!AU5</f>
        <v>3068</v>
      </c>
      <c r="D103">
        <f>sulawesi!AV5</f>
        <v>10307</v>
      </c>
      <c r="E103">
        <f>sulawesi!AW5</f>
        <v>1668</v>
      </c>
      <c r="F103">
        <f>sulawesi!AX5</f>
        <v>22571.267529291745</v>
      </c>
      <c r="G103">
        <f>sulawesi!AY5</f>
        <v>8380</v>
      </c>
      <c r="H103">
        <f>sulawesi!AZ5</f>
        <v>1937</v>
      </c>
      <c r="I103">
        <f>sulawesi!BA5</f>
        <v>0</v>
      </c>
      <c r="J103">
        <f>sulawesi!BD5</f>
        <v>47931.267529291741</v>
      </c>
    </row>
    <row r="104" spans="1:10" x14ac:dyDescent="0.25">
      <c r="A104" t="str">
        <f>sulawesi!AO6</f>
        <v>SULAWESI</v>
      </c>
      <c r="B104">
        <f>sulawesi!AP6</f>
        <v>2021</v>
      </c>
      <c r="C104">
        <f>sulawesi!AU6</f>
        <v>3068</v>
      </c>
      <c r="D104">
        <f>sulawesi!AV6</f>
        <v>10307</v>
      </c>
      <c r="E104">
        <f>sulawesi!AW6</f>
        <v>1668</v>
      </c>
      <c r="F104">
        <f>sulawesi!AX6</f>
        <v>22564.244355093146</v>
      </c>
      <c r="G104">
        <f>sulawesi!AY6</f>
        <v>8380</v>
      </c>
      <c r="H104">
        <f>sulawesi!AZ6</f>
        <v>1937</v>
      </c>
      <c r="I104">
        <f>sulawesi!BA6</f>
        <v>0</v>
      </c>
      <c r="J104">
        <f>sulawesi!BD6</f>
        <v>47924.244355093149</v>
      </c>
    </row>
    <row r="105" spans="1:10" x14ac:dyDescent="0.25">
      <c r="A105" t="str">
        <f>sulawesi!AO7</f>
        <v>SULAWESI</v>
      </c>
      <c r="B105">
        <f>sulawesi!AP7</f>
        <v>2022</v>
      </c>
      <c r="C105">
        <f>sulawesi!AU7</f>
        <v>3068</v>
      </c>
      <c r="D105">
        <f>sulawesi!AV7</f>
        <v>10307</v>
      </c>
      <c r="E105">
        <f>sulawesi!AW7</f>
        <v>1668.0000010000001</v>
      </c>
      <c r="F105">
        <f>sulawesi!AX7</f>
        <v>21046.105353294377</v>
      </c>
      <c r="G105">
        <f>sulawesi!AY7</f>
        <v>8380</v>
      </c>
      <c r="H105">
        <f>sulawesi!AZ7</f>
        <v>1937</v>
      </c>
      <c r="I105">
        <f>sulawesi!BA7</f>
        <v>0</v>
      </c>
      <c r="J105">
        <f>sulawesi!BD7</f>
        <v>46406.105354294377</v>
      </c>
    </row>
    <row r="106" spans="1:10" x14ac:dyDescent="0.25">
      <c r="A106" t="str">
        <f>sulawesi!AO8</f>
        <v>SULAWESI</v>
      </c>
      <c r="B106">
        <f>sulawesi!AP8</f>
        <v>2023</v>
      </c>
      <c r="C106">
        <f>sulawesi!AU8</f>
        <v>3068.0000009999999</v>
      </c>
      <c r="D106">
        <f>sulawesi!AV8</f>
        <v>10102.200000999999</v>
      </c>
      <c r="E106">
        <f>sulawesi!AW8</f>
        <v>1668.0000020000002</v>
      </c>
      <c r="F106">
        <f>sulawesi!AX8</f>
        <v>19972.238775853337</v>
      </c>
      <c r="G106">
        <f>sulawesi!AY8</f>
        <v>8143.2606047114195</v>
      </c>
      <c r="H106">
        <f>sulawesi!AZ8</f>
        <v>1937</v>
      </c>
      <c r="I106">
        <f>sulawesi!BA8</f>
        <v>0</v>
      </c>
      <c r="J106">
        <f>sulawesi!BD8</f>
        <v>44890.699384564752</v>
      </c>
    </row>
    <row r="107" spans="1:10" x14ac:dyDescent="0.25">
      <c r="A107" t="str">
        <f>sulawesi!AO9</f>
        <v>SULAWESI</v>
      </c>
      <c r="B107">
        <f>sulawesi!AP9</f>
        <v>2024</v>
      </c>
      <c r="C107">
        <f>sulawesi!AU9</f>
        <v>3068.0000009999999</v>
      </c>
      <c r="D107">
        <f>sulawesi!AV9</f>
        <v>10102.200000999999</v>
      </c>
      <c r="E107">
        <f>sulawesi!AW9</f>
        <v>1668.0000020000002</v>
      </c>
      <c r="F107">
        <f>sulawesi!AX9</f>
        <v>19972.238775853337</v>
      </c>
      <c r="G107">
        <f>sulawesi!AY9</f>
        <v>7351.8870546389116</v>
      </c>
      <c r="H107">
        <f>sulawesi!AZ9</f>
        <v>1937</v>
      </c>
      <c r="I107">
        <f>sulawesi!BA9</f>
        <v>0</v>
      </c>
      <c r="J107">
        <f>sulawesi!BD9</f>
        <v>44099.325834492251</v>
      </c>
    </row>
    <row r="108" spans="1:10" x14ac:dyDescent="0.25">
      <c r="A108" t="str">
        <f>sulawesi!AO10</f>
        <v>SULAWESI</v>
      </c>
      <c r="B108">
        <f>sulawesi!AP10</f>
        <v>2025</v>
      </c>
      <c r="C108">
        <f>sulawesi!AU10</f>
        <v>3068.0000009999999</v>
      </c>
      <c r="D108">
        <f>sulawesi!AV10</f>
        <v>10102.200000999999</v>
      </c>
      <c r="E108">
        <f>sulawesi!AW10</f>
        <v>1668.0000020000002</v>
      </c>
      <c r="F108">
        <f>sulawesi!AX10</f>
        <v>19972.238775853337</v>
      </c>
      <c r="G108">
        <f>sulawesi!AY10</f>
        <v>7290.074718840594</v>
      </c>
      <c r="H108">
        <f>sulawesi!AZ10</f>
        <v>1937</v>
      </c>
      <c r="I108">
        <f>sulawesi!BA10</f>
        <v>0</v>
      </c>
      <c r="J108">
        <f>sulawesi!BD10</f>
        <v>44037.51349869393</v>
      </c>
    </row>
    <row r="109" spans="1:10" x14ac:dyDescent="0.25">
      <c r="A109" t="str">
        <f>sulawesi!AO11</f>
        <v>SULAWESI</v>
      </c>
      <c r="B109">
        <f>sulawesi!AP11</f>
        <v>2026</v>
      </c>
      <c r="C109">
        <f>sulawesi!AU11</f>
        <v>3068.0000009999999</v>
      </c>
      <c r="D109">
        <f>sulawesi!AV11</f>
        <v>10102.200000999999</v>
      </c>
      <c r="E109">
        <f>sulawesi!AW11</f>
        <v>1668.0000020000002</v>
      </c>
      <c r="F109">
        <f>sulawesi!AX11</f>
        <v>19972.238775853337</v>
      </c>
      <c r="G109">
        <f>sulawesi!AY11</f>
        <v>7290.074718840594</v>
      </c>
      <c r="H109">
        <f>sulawesi!AZ11</f>
        <v>1937</v>
      </c>
      <c r="I109">
        <f>sulawesi!BA11</f>
        <v>0</v>
      </c>
      <c r="J109">
        <f>sulawesi!BD11</f>
        <v>44037.51349869393</v>
      </c>
    </row>
    <row r="110" spans="1:10" x14ac:dyDescent="0.25">
      <c r="A110" t="str">
        <f>sulawesi!AO12</f>
        <v>SULAWESI</v>
      </c>
      <c r="B110">
        <f>sulawesi!AP12</f>
        <v>2027</v>
      </c>
      <c r="C110">
        <f>sulawesi!AU12</f>
        <v>3068.0000009999999</v>
      </c>
      <c r="D110">
        <f>sulawesi!AV12</f>
        <v>10102.200000999999</v>
      </c>
      <c r="E110">
        <f>sulawesi!AW12</f>
        <v>1668.0000020000002</v>
      </c>
      <c r="F110">
        <f>sulawesi!AX12</f>
        <v>19972.238775853337</v>
      </c>
      <c r="G110">
        <f>sulawesi!AY12</f>
        <v>6876.949899932154</v>
      </c>
      <c r="H110">
        <f>sulawesi!AZ12</f>
        <v>1937</v>
      </c>
      <c r="I110">
        <f>sulawesi!BA12</f>
        <v>0</v>
      </c>
      <c r="J110">
        <f>sulawesi!BD12</f>
        <v>43624.388679785487</v>
      </c>
    </row>
    <row r="111" spans="1:10" x14ac:dyDescent="0.25">
      <c r="A111" t="str">
        <f>sulawesi!AO13</f>
        <v>SULAWESI</v>
      </c>
      <c r="B111">
        <f>sulawesi!AP13</f>
        <v>2028</v>
      </c>
      <c r="C111">
        <f>sulawesi!AU13</f>
        <v>3068.0000009999999</v>
      </c>
      <c r="D111">
        <f>sulawesi!AV13</f>
        <v>10102.200000999999</v>
      </c>
      <c r="E111">
        <f>sulawesi!AW13</f>
        <v>1668.0000020000002</v>
      </c>
      <c r="F111">
        <f>sulawesi!AX13</f>
        <v>19972.238775853337</v>
      </c>
      <c r="G111">
        <f>sulawesi!AY13</f>
        <v>6876.949899932154</v>
      </c>
      <c r="H111">
        <f>sulawesi!AZ13</f>
        <v>1937</v>
      </c>
      <c r="I111">
        <f>sulawesi!BA13</f>
        <v>0</v>
      </c>
      <c r="J111">
        <f>sulawesi!BD13</f>
        <v>43624.388679785487</v>
      </c>
    </row>
    <row r="112" spans="1:10" x14ac:dyDescent="0.25">
      <c r="A112" t="str">
        <f>sulawesi!AO14</f>
        <v>SULAWESI</v>
      </c>
      <c r="B112">
        <f>sulawesi!AP14</f>
        <v>2029</v>
      </c>
      <c r="C112">
        <f>sulawesi!AU14</f>
        <v>3068.0000009999999</v>
      </c>
      <c r="D112">
        <f>sulawesi!AV14</f>
        <v>10102.200000999999</v>
      </c>
      <c r="E112">
        <f>sulawesi!AW14</f>
        <v>1668.0000020000002</v>
      </c>
      <c r="F112">
        <f>sulawesi!AX14</f>
        <v>19972.238775853337</v>
      </c>
      <c r="G112">
        <f>sulawesi!AY14</f>
        <v>6876.949899932154</v>
      </c>
      <c r="H112">
        <f>sulawesi!AZ14</f>
        <v>1937</v>
      </c>
      <c r="I112">
        <f>sulawesi!BA14</f>
        <v>0</v>
      </c>
      <c r="J112">
        <f>sulawesi!BD14</f>
        <v>43624.388679785487</v>
      </c>
    </row>
    <row r="113" spans="1:10" x14ac:dyDescent="0.25">
      <c r="A113" t="str">
        <f>sulawesi!AO15</f>
        <v>SULAWESI</v>
      </c>
      <c r="B113">
        <f>sulawesi!AP15</f>
        <v>2030</v>
      </c>
      <c r="C113">
        <f>sulawesi!AU15</f>
        <v>3068.0000009999999</v>
      </c>
      <c r="D113">
        <f>sulawesi!AV15</f>
        <v>10102.200000999999</v>
      </c>
      <c r="E113">
        <f>sulawesi!AW15</f>
        <v>1668.0000020000002</v>
      </c>
      <c r="F113">
        <f>sulawesi!AX15</f>
        <v>19972.238775853337</v>
      </c>
      <c r="G113">
        <f>sulawesi!AY15</f>
        <v>6876.949899932154</v>
      </c>
      <c r="H113">
        <f>sulawesi!AZ15</f>
        <v>1937</v>
      </c>
      <c r="I113">
        <f>sulawesi!BA15</f>
        <v>0</v>
      </c>
      <c r="J113">
        <f>sulawesi!BD15</f>
        <v>43624.388679785487</v>
      </c>
    </row>
    <row r="114" spans="1:10" x14ac:dyDescent="0.25">
      <c r="A114" t="str">
        <f>sulawesi!AO16</f>
        <v>SULAWESI</v>
      </c>
      <c r="B114">
        <f>sulawesi!AP16</f>
        <v>2031</v>
      </c>
      <c r="C114">
        <f>sulawesi!AU16</f>
        <v>3068.0000009999999</v>
      </c>
      <c r="D114">
        <f>sulawesi!AV16</f>
        <v>10102.200000999999</v>
      </c>
      <c r="E114">
        <f>sulawesi!AW16</f>
        <v>1668.0000020000002</v>
      </c>
      <c r="F114">
        <f>sulawesi!AX16</f>
        <v>19972.238775853337</v>
      </c>
      <c r="G114">
        <f>sulawesi!AY16</f>
        <v>6876.949899932154</v>
      </c>
      <c r="H114">
        <f>sulawesi!AZ16</f>
        <v>1937</v>
      </c>
      <c r="I114">
        <f>sulawesi!BA16</f>
        <v>0</v>
      </c>
      <c r="J114">
        <f>sulawesi!BD16</f>
        <v>43624.388679785487</v>
      </c>
    </row>
    <row r="115" spans="1:10" x14ac:dyDescent="0.25">
      <c r="A115" t="str">
        <f>sulawesi!AO17</f>
        <v>SULAWESI</v>
      </c>
      <c r="B115">
        <f>sulawesi!AP17</f>
        <v>2032</v>
      </c>
      <c r="C115">
        <f>sulawesi!AU17</f>
        <v>3068.0000009999999</v>
      </c>
      <c r="D115">
        <f>sulawesi!AV17</f>
        <v>10102.200000999999</v>
      </c>
      <c r="E115">
        <f>sulawesi!AW17</f>
        <v>1668.0000020000002</v>
      </c>
      <c r="F115">
        <f>sulawesi!AX17</f>
        <v>19972.238775853337</v>
      </c>
      <c r="G115">
        <f>sulawesi!AY17</f>
        <v>6876.949899932154</v>
      </c>
      <c r="H115">
        <f>sulawesi!AZ17</f>
        <v>1937</v>
      </c>
      <c r="I115">
        <f>sulawesi!BA17</f>
        <v>0</v>
      </c>
      <c r="J115">
        <f>sulawesi!BD17</f>
        <v>43624.388679785487</v>
      </c>
    </row>
    <row r="116" spans="1:10" x14ac:dyDescent="0.25">
      <c r="A116" t="str">
        <f>sulawesi!AO18</f>
        <v>SULAWESI</v>
      </c>
      <c r="B116">
        <f>sulawesi!AP18</f>
        <v>2033</v>
      </c>
      <c r="C116">
        <f>sulawesi!AU18</f>
        <v>3068.0000009999999</v>
      </c>
      <c r="D116">
        <f>sulawesi!AV18</f>
        <v>10102.200000999999</v>
      </c>
      <c r="E116">
        <f>sulawesi!AW18</f>
        <v>1668.0000020000002</v>
      </c>
      <c r="F116">
        <f>sulawesi!AX18</f>
        <v>19972.238775853337</v>
      </c>
      <c r="G116">
        <f>sulawesi!AY18</f>
        <v>6876.949899932154</v>
      </c>
      <c r="H116">
        <f>sulawesi!AZ18</f>
        <v>1937</v>
      </c>
      <c r="I116">
        <f>sulawesi!BA18</f>
        <v>0</v>
      </c>
      <c r="J116">
        <f>sulawesi!BD18</f>
        <v>43624.388679785487</v>
      </c>
    </row>
    <row r="117" spans="1:10" x14ac:dyDescent="0.25">
      <c r="A117" t="str">
        <f>sulawesi!AO19</f>
        <v>SULAWESI</v>
      </c>
      <c r="B117">
        <f>sulawesi!AP19</f>
        <v>2034</v>
      </c>
      <c r="C117">
        <f>sulawesi!AU19</f>
        <v>3068.0000009999999</v>
      </c>
      <c r="D117">
        <f>sulawesi!AV19</f>
        <v>10102.200000999999</v>
      </c>
      <c r="E117">
        <f>sulawesi!AW19</f>
        <v>1668.0000020000002</v>
      </c>
      <c r="F117">
        <f>sulawesi!AX19</f>
        <v>19972.238775853337</v>
      </c>
      <c r="G117">
        <f>sulawesi!AY19</f>
        <v>6876.949899932154</v>
      </c>
      <c r="H117">
        <f>sulawesi!AZ19</f>
        <v>1937</v>
      </c>
      <c r="I117">
        <f>sulawesi!BA19</f>
        <v>0</v>
      </c>
      <c r="J117">
        <f>sulawesi!BD19</f>
        <v>43624.388679785487</v>
      </c>
    </row>
    <row r="118" spans="1:10" x14ac:dyDescent="0.25">
      <c r="A118" t="str">
        <f>sulawesi!AO20</f>
        <v>SULAWESI</v>
      </c>
      <c r="B118">
        <f>sulawesi!AP20</f>
        <v>2035</v>
      </c>
      <c r="C118">
        <f>sulawesi!AU20</f>
        <v>3068.0000009999999</v>
      </c>
      <c r="D118">
        <f>sulawesi!AV20</f>
        <v>10102.200000999999</v>
      </c>
      <c r="E118">
        <f>sulawesi!AW20</f>
        <v>1668.0000020000002</v>
      </c>
      <c r="F118">
        <f>sulawesi!AX20</f>
        <v>19972.238775853337</v>
      </c>
      <c r="G118">
        <f>sulawesi!AY20</f>
        <v>6876.949899932154</v>
      </c>
      <c r="H118">
        <f>sulawesi!AZ20</f>
        <v>1937</v>
      </c>
      <c r="I118">
        <f>sulawesi!BA20</f>
        <v>0</v>
      </c>
      <c r="J118">
        <f>sulawesi!BD20</f>
        <v>43624.388679785487</v>
      </c>
    </row>
    <row r="119" spans="1:10" x14ac:dyDescent="0.25">
      <c r="A119" t="str">
        <f>sulawesi!AO21</f>
        <v>SULAWESI</v>
      </c>
      <c r="B119">
        <f>sulawesi!AP21</f>
        <v>2036</v>
      </c>
      <c r="C119">
        <f>sulawesi!AU21</f>
        <v>3068.0000009999999</v>
      </c>
      <c r="D119">
        <f>sulawesi!AV21</f>
        <v>10102.200000999999</v>
      </c>
      <c r="E119">
        <f>sulawesi!AW21</f>
        <v>1668.0000020000002</v>
      </c>
      <c r="F119">
        <f>sulawesi!AX21</f>
        <v>19972.238775853337</v>
      </c>
      <c r="G119">
        <f>sulawesi!AY21</f>
        <v>6616.634150549864</v>
      </c>
      <c r="H119">
        <f>sulawesi!AZ21</f>
        <v>1937</v>
      </c>
      <c r="I119">
        <f>sulawesi!BA21</f>
        <v>0</v>
      </c>
      <c r="J119">
        <f>sulawesi!BD21</f>
        <v>43364.072930403199</v>
      </c>
    </row>
    <row r="120" spans="1:10" x14ac:dyDescent="0.25">
      <c r="A120" t="str">
        <f>sulawesi!AO22</f>
        <v>SULAWESI</v>
      </c>
      <c r="B120">
        <f>sulawesi!AP22</f>
        <v>2037</v>
      </c>
      <c r="C120">
        <f>sulawesi!AU22</f>
        <v>3068.0000009999999</v>
      </c>
      <c r="D120">
        <f>sulawesi!AV22</f>
        <v>10102.200000999999</v>
      </c>
      <c r="E120">
        <f>sulawesi!AW22</f>
        <v>1668.0000020000002</v>
      </c>
      <c r="F120">
        <f>sulawesi!AX22</f>
        <v>19972.238775853337</v>
      </c>
      <c r="G120">
        <f>sulawesi!AY22</f>
        <v>6132.8082240487938</v>
      </c>
      <c r="H120">
        <f>sulawesi!AZ22</f>
        <v>1937</v>
      </c>
      <c r="I120">
        <f>sulawesi!BA22</f>
        <v>0</v>
      </c>
      <c r="J120">
        <f>sulawesi!BD22</f>
        <v>42880.247003902128</v>
      </c>
    </row>
    <row r="121" spans="1:10" x14ac:dyDescent="0.25">
      <c r="A121" t="str">
        <f>sulawesi!AO23</f>
        <v>SULAWESI</v>
      </c>
      <c r="B121">
        <f>sulawesi!AP23</f>
        <v>2038</v>
      </c>
      <c r="C121">
        <f>sulawesi!AU23</f>
        <v>3068.0000009999999</v>
      </c>
      <c r="D121">
        <f>sulawesi!AV23</f>
        <v>10102.200000999999</v>
      </c>
      <c r="E121">
        <f>sulawesi!AW23</f>
        <v>1668.0000020000002</v>
      </c>
      <c r="F121">
        <f>sulawesi!AX23</f>
        <v>19972.238775853337</v>
      </c>
      <c r="G121">
        <f>sulawesi!AY23</f>
        <v>5371.1462740807056</v>
      </c>
      <c r="H121">
        <f>sulawesi!AZ23</f>
        <v>1937</v>
      </c>
      <c r="I121">
        <f>sulawesi!BA23</f>
        <v>0</v>
      </c>
      <c r="J121">
        <f>sulawesi!BD23</f>
        <v>42118.585053934039</v>
      </c>
    </row>
    <row r="122" spans="1:10" x14ac:dyDescent="0.25">
      <c r="A122" t="str">
        <f>maluku_papua!AO4</f>
        <v>MALUKU_PAPUA</v>
      </c>
      <c r="B122">
        <f>maluku_papua!AP4</f>
        <v>2019</v>
      </c>
      <c r="C122">
        <f>maluku_papua!AU4</f>
        <v>23965.8</v>
      </c>
      <c r="D122">
        <f>maluku_papua!AV4</f>
        <v>75091</v>
      </c>
      <c r="E122">
        <f>maluku_papua!AW4</f>
        <v>19385</v>
      </c>
      <c r="F122">
        <f>maluku_papua!AX4</f>
        <v>207898</v>
      </c>
      <c r="G122">
        <f>maluku_papua!AY4</f>
        <v>60647</v>
      </c>
      <c r="H122">
        <f>maluku_papua!AZ4</f>
        <v>32654</v>
      </c>
      <c r="I122">
        <f>maluku_papua!BA4</f>
        <v>17988</v>
      </c>
      <c r="J122">
        <f>maluku_papua!BD4</f>
        <v>437628.8</v>
      </c>
    </row>
    <row r="123" spans="1:10" x14ac:dyDescent="0.25">
      <c r="A123" t="str">
        <f>maluku_papua!AO5</f>
        <v>MALUKU_PAPUA</v>
      </c>
      <c r="B123">
        <f>maluku_papua!AP5</f>
        <v>2020</v>
      </c>
      <c r="C123">
        <f>maluku_papua!AU5</f>
        <v>23965.8</v>
      </c>
      <c r="D123">
        <f>maluku_papua!AV5</f>
        <v>75091</v>
      </c>
      <c r="E123">
        <f>maluku_papua!AW5</f>
        <v>19385</v>
      </c>
      <c r="F123">
        <f>maluku_papua!AX5</f>
        <v>207898.00000100001</v>
      </c>
      <c r="G123">
        <f>maluku_papua!AY5</f>
        <v>60647</v>
      </c>
      <c r="H123">
        <f>maluku_papua!AZ5</f>
        <v>32654</v>
      </c>
      <c r="I123">
        <f>maluku_papua!BA5</f>
        <v>17988.000000331846</v>
      </c>
      <c r="J123">
        <f>maluku_papua!BD5</f>
        <v>437628.80000133184</v>
      </c>
    </row>
    <row r="124" spans="1:10" x14ac:dyDescent="0.25">
      <c r="A124" t="str">
        <f>maluku_papua!AO6</f>
        <v>MALUKU_PAPUA</v>
      </c>
      <c r="B124">
        <f>maluku_papua!AP6</f>
        <v>2021</v>
      </c>
      <c r="C124">
        <f>maluku_papua!AU6</f>
        <v>23965.8</v>
      </c>
      <c r="D124">
        <f>maluku_papua!AV6</f>
        <v>75090.999494566568</v>
      </c>
      <c r="E124">
        <f>maluku_papua!AW6</f>
        <v>19309.489195821901</v>
      </c>
      <c r="F124">
        <f>maluku_papua!AX6</f>
        <v>207563.85268585393</v>
      </c>
      <c r="G124">
        <f>maluku_papua!AY6</f>
        <v>60609.844013850772</v>
      </c>
      <c r="H124">
        <f>maluku_papua!AZ6</f>
        <v>32654</v>
      </c>
      <c r="I124">
        <f>maluku_papua!BA6</f>
        <v>17987.758371862878</v>
      </c>
      <c r="J124">
        <f>maluku_papua!BD6</f>
        <v>437181.74376195605</v>
      </c>
    </row>
    <row r="125" spans="1:10" x14ac:dyDescent="0.25">
      <c r="A125" t="str">
        <f>maluku_papua!AO7</f>
        <v>MALUKU_PAPUA</v>
      </c>
      <c r="B125">
        <f>maluku_papua!AP7</f>
        <v>2022</v>
      </c>
      <c r="C125">
        <f>maluku_papua!AU7</f>
        <v>23965.8</v>
      </c>
      <c r="D125">
        <f>maluku_papua!AV7</f>
        <v>75071.435155101295</v>
      </c>
      <c r="E125">
        <f>maluku_papua!AW7</f>
        <v>19278.024583813483</v>
      </c>
      <c r="F125">
        <f>maluku_papua!AX7</f>
        <v>207555.74153452495</v>
      </c>
      <c r="G125">
        <f>maluku_papua!AY7</f>
        <v>60596.287705011135</v>
      </c>
      <c r="H125">
        <f>maluku_papua!AZ7</f>
        <v>32654</v>
      </c>
      <c r="I125">
        <f>maluku_papua!BA7</f>
        <v>17987.722013811628</v>
      </c>
      <c r="J125">
        <f>maluku_papua!BD7</f>
        <v>437109.01099226251</v>
      </c>
    </row>
    <row r="126" spans="1:10" x14ac:dyDescent="0.25">
      <c r="A126" t="str">
        <f>maluku_papua!AO8</f>
        <v>MALUKU_PAPUA</v>
      </c>
      <c r="B126">
        <f>maluku_papua!AP8</f>
        <v>2023</v>
      </c>
      <c r="C126">
        <f>maluku_papua!AU8</f>
        <v>23965.8</v>
      </c>
      <c r="D126">
        <f>maluku_papua!AV8</f>
        <v>75070.896738663214</v>
      </c>
      <c r="E126">
        <f>maluku_papua!AW8</f>
        <v>19278.021115701296</v>
      </c>
      <c r="F126">
        <f>maluku_papua!AX8</f>
        <v>207549.34761455542</v>
      </c>
      <c r="G126">
        <f>maluku_papua!AY8</f>
        <v>60492.431806540822</v>
      </c>
      <c r="H126">
        <f>maluku_papua!AZ8</f>
        <v>32654</v>
      </c>
      <c r="I126">
        <f>maluku_papua!BA8</f>
        <v>17987.716606941754</v>
      </c>
      <c r="J126">
        <f>maluku_papua!BD8</f>
        <v>436998.21388240252</v>
      </c>
    </row>
    <row r="127" spans="1:10" x14ac:dyDescent="0.25">
      <c r="A127" t="str">
        <f>maluku_papua!AO9</f>
        <v>MALUKU_PAPUA</v>
      </c>
      <c r="B127">
        <f>maluku_papua!AP9</f>
        <v>2024</v>
      </c>
      <c r="C127">
        <f>maluku_papua!AU9</f>
        <v>23965.800000154104</v>
      </c>
      <c r="D127">
        <f>maluku_papua!AV9</f>
        <v>75057.617147649493</v>
      </c>
      <c r="E127">
        <f>maluku_papua!AW9</f>
        <v>19227.602603757532</v>
      </c>
      <c r="F127">
        <f>maluku_papua!AX9</f>
        <v>207549.34761455542</v>
      </c>
      <c r="G127">
        <f>maluku_papua!AY9</f>
        <v>60484.395749225303</v>
      </c>
      <c r="H127">
        <f>maluku_papua!AZ9</f>
        <v>32654</v>
      </c>
      <c r="I127">
        <f>maluku_papua!BA9</f>
        <v>17987.716606941754</v>
      </c>
      <c r="J127">
        <f>maluku_papua!BD9</f>
        <v>436926.47972228361</v>
      </c>
    </row>
    <row r="128" spans="1:10" x14ac:dyDescent="0.25">
      <c r="A128" t="str">
        <f>maluku_papua!AO10</f>
        <v>MALUKU_PAPUA</v>
      </c>
      <c r="B128">
        <f>maluku_papua!AP10</f>
        <v>2025</v>
      </c>
      <c r="C128">
        <f>maluku_papua!AU10</f>
        <v>23965.800000154104</v>
      </c>
      <c r="D128">
        <f>maluku_papua!AV10</f>
        <v>74998.465487833411</v>
      </c>
      <c r="E128">
        <f>maluku_papua!AW10</f>
        <v>19221.176960091077</v>
      </c>
      <c r="F128">
        <f>maluku_papua!AX10</f>
        <v>207525.55435083027</v>
      </c>
      <c r="G128">
        <f>maluku_papua!AY10</f>
        <v>60453.939489414086</v>
      </c>
      <c r="H128">
        <f>maluku_papua!AZ10</f>
        <v>32654</v>
      </c>
      <c r="I128">
        <f>maluku_papua!BA10</f>
        <v>17987.716591984212</v>
      </c>
      <c r="J128">
        <f>maluku_papua!BD10</f>
        <v>436806.65288030717</v>
      </c>
    </row>
    <row r="129" spans="1:10" x14ac:dyDescent="0.25">
      <c r="A129" t="str">
        <f>maluku_papua!AO11</f>
        <v>MALUKU_PAPUA</v>
      </c>
      <c r="B129">
        <f>maluku_papua!AP11</f>
        <v>2026</v>
      </c>
      <c r="C129">
        <f>maluku_papua!AU11</f>
        <v>23965.8</v>
      </c>
      <c r="D129">
        <f>maluku_papua!AV11</f>
        <v>74983.640933453542</v>
      </c>
      <c r="E129">
        <f>maluku_papua!AW11</f>
        <v>19202.255649441904</v>
      </c>
      <c r="F129">
        <f>maluku_papua!AX11</f>
        <v>207520.49510620299</v>
      </c>
      <c r="G129">
        <f>maluku_papua!AY11</f>
        <v>60444.094460830805</v>
      </c>
      <c r="H129">
        <f>maluku_papua!AZ11</f>
        <v>32654</v>
      </c>
      <c r="I129">
        <f>maluku_papua!BA11</f>
        <v>17987.663087053854</v>
      </c>
      <c r="J129">
        <f>maluku_papua!BD11</f>
        <v>436757.94923698308</v>
      </c>
    </row>
    <row r="130" spans="1:10" x14ac:dyDescent="0.25">
      <c r="A130" t="str">
        <f>maluku_papua!AO12</f>
        <v>MALUKU_PAPUA</v>
      </c>
      <c r="B130">
        <f>maluku_papua!AP12</f>
        <v>2027</v>
      </c>
      <c r="C130">
        <f>maluku_papua!AU12</f>
        <v>23965.8</v>
      </c>
      <c r="D130">
        <f>maluku_papua!AV12</f>
        <v>74962.075585079976</v>
      </c>
      <c r="E130">
        <f>maluku_papua!AW12</f>
        <v>19185.328800226886</v>
      </c>
      <c r="F130">
        <f>maluku_papua!AX12</f>
        <v>207520.4779295593</v>
      </c>
      <c r="G130">
        <f>maluku_papua!AY12</f>
        <v>60431.114507050363</v>
      </c>
      <c r="H130">
        <f>maluku_papua!AZ12</f>
        <v>32654</v>
      </c>
      <c r="I130">
        <f>maluku_papua!BA12</f>
        <v>17987.529782319667</v>
      </c>
      <c r="J130">
        <f>maluku_papua!BD12</f>
        <v>436706.32660423621</v>
      </c>
    </row>
    <row r="131" spans="1:10" x14ac:dyDescent="0.25">
      <c r="A131" t="str">
        <f>maluku_papua!AO13</f>
        <v>MALUKU_PAPUA</v>
      </c>
      <c r="B131">
        <f>maluku_papua!AP13</f>
        <v>2028</v>
      </c>
      <c r="C131">
        <f>maluku_papua!AU13</f>
        <v>23965.8</v>
      </c>
      <c r="D131">
        <f>maluku_papua!AV13</f>
        <v>74962.075582100922</v>
      </c>
      <c r="E131">
        <f>maluku_papua!AW13</f>
        <v>19185.328797741353</v>
      </c>
      <c r="F131">
        <f>maluku_papua!AX13</f>
        <v>207485.26393723465</v>
      </c>
      <c r="G131">
        <f>maluku_papua!AY13</f>
        <v>60368.776606714098</v>
      </c>
      <c r="H131">
        <f>maluku_papua!AZ13</f>
        <v>32654</v>
      </c>
      <c r="I131">
        <f>maluku_papua!BA13</f>
        <v>17987.471858389305</v>
      </c>
      <c r="J131">
        <f>maluku_papua!BD13</f>
        <v>436608.71678218036</v>
      </c>
    </row>
    <row r="132" spans="1:10" x14ac:dyDescent="0.25">
      <c r="A132" t="str">
        <f>maluku_papua!AO14</f>
        <v>MALUKU_PAPUA</v>
      </c>
      <c r="B132">
        <f>maluku_papua!AP14</f>
        <v>2029</v>
      </c>
      <c r="C132">
        <f>maluku_papua!AU14</f>
        <v>23965.8</v>
      </c>
      <c r="D132">
        <f>maluku_papua!AV14</f>
        <v>74944.138836923274</v>
      </c>
      <c r="E132">
        <f>maluku_papua!AW14</f>
        <v>19160.428754945606</v>
      </c>
      <c r="F132">
        <f>maluku_papua!AX14</f>
        <v>207477.82554029566</v>
      </c>
      <c r="G132">
        <f>maluku_papua!AY14</f>
        <v>60356.353549764826</v>
      </c>
      <c r="H132">
        <f>maluku_papua!AZ14</f>
        <v>32654</v>
      </c>
      <c r="I132">
        <f>maluku_papua!BA14</f>
        <v>17987.471844744206</v>
      </c>
      <c r="J132">
        <f>maluku_papua!BD14</f>
        <v>436546.01852667361</v>
      </c>
    </row>
    <row r="133" spans="1:10" x14ac:dyDescent="0.25">
      <c r="A133" t="str">
        <f>maluku_papua!AO15</f>
        <v>MALUKU_PAPUA</v>
      </c>
      <c r="B133">
        <f>maluku_papua!AP15</f>
        <v>2030</v>
      </c>
      <c r="C133">
        <f>maluku_papua!AU15</f>
        <v>23965.800000154104</v>
      </c>
      <c r="D133">
        <f>maluku_papua!AV15</f>
        <v>74944.138836923274</v>
      </c>
      <c r="E133">
        <f>maluku_papua!AW15</f>
        <v>19113.037037596398</v>
      </c>
      <c r="F133">
        <f>maluku_papua!AX15</f>
        <v>207465.63799062709</v>
      </c>
      <c r="G133">
        <f>maluku_papua!AY15</f>
        <v>60356.35354926483</v>
      </c>
      <c r="H133">
        <f>maluku_papua!AZ15</f>
        <v>32654</v>
      </c>
      <c r="I133">
        <f>maluku_papua!BA15</f>
        <v>17987.410689062417</v>
      </c>
      <c r="J133">
        <f>maluku_papua!BD15</f>
        <v>436486.37810362817</v>
      </c>
    </row>
    <row r="134" spans="1:10" x14ac:dyDescent="0.25">
      <c r="A134" t="str">
        <f>maluku_papua!AO16</f>
        <v>MALUKU_PAPUA</v>
      </c>
      <c r="B134">
        <f>maluku_papua!AP16</f>
        <v>2031</v>
      </c>
      <c r="C134">
        <f>maluku_papua!AU16</f>
        <v>23965.8</v>
      </c>
      <c r="D134">
        <f>maluku_papua!AV16</f>
        <v>74919.077570745547</v>
      </c>
      <c r="E134">
        <f>maluku_papua!AW16</f>
        <v>19087.826741677723</v>
      </c>
      <c r="F134">
        <f>maluku_papua!AX16</f>
        <v>207465.63799062709</v>
      </c>
      <c r="G134">
        <f>maluku_papua!AY16</f>
        <v>60333.908431871372</v>
      </c>
      <c r="H134">
        <f>maluku_papua!AZ16</f>
        <v>32654</v>
      </c>
      <c r="I134">
        <f>maluku_papua!BA16</f>
        <v>17987.410689062417</v>
      </c>
      <c r="J134">
        <f>maluku_papua!BD16</f>
        <v>436413.66142398416</v>
      </c>
    </row>
    <row r="135" spans="1:10" x14ac:dyDescent="0.25">
      <c r="A135" t="str">
        <f>maluku_papua!AO17</f>
        <v>MALUKU_PAPUA</v>
      </c>
      <c r="B135">
        <f>maluku_papua!AP17</f>
        <v>2032</v>
      </c>
      <c r="C135">
        <f>maluku_papua!AU17</f>
        <v>23965.8</v>
      </c>
      <c r="D135">
        <f>maluku_papua!AV17</f>
        <v>74919.074961002887</v>
      </c>
      <c r="E135">
        <f>maluku_papua!AW17</f>
        <v>19033.068815521707</v>
      </c>
      <c r="F135">
        <f>maluku_papua!AX17</f>
        <v>207464.75760294549</v>
      </c>
      <c r="G135">
        <f>maluku_papua!AY17</f>
        <v>60323.384320609104</v>
      </c>
      <c r="H135">
        <f>maluku_papua!AZ17</f>
        <v>32654</v>
      </c>
      <c r="I135">
        <f>maluku_papua!BA17</f>
        <v>17987.360689562418</v>
      </c>
      <c r="J135">
        <f>maluku_papua!BD17</f>
        <v>436347.44638964155</v>
      </c>
    </row>
    <row r="136" spans="1:10" x14ac:dyDescent="0.25">
      <c r="A136" t="str">
        <f>maluku_papua!AO18</f>
        <v>MALUKU_PAPUA</v>
      </c>
      <c r="B136">
        <f>maluku_papua!AP18</f>
        <v>2033</v>
      </c>
      <c r="C136">
        <f>maluku_papua!AU18</f>
        <v>23965.800000154104</v>
      </c>
      <c r="D136">
        <f>maluku_papua!AV18</f>
        <v>74912.598701345458</v>
      </c>
      <c r="E136">
        <f>maluku_papua!AW18</f>
        <v>18976.756426390129</v>
      </c>
      <c r="F136">
        <f>maluku_papua!AX18</f>
        <v>207464.70751286941</v>
      </c>
      <c r="G136">
        <f>maluku_papua!AY18</f>
        <v>60314.513535287762</v>
      </c>
      <c r="H136">
        <f>maluku_papua!AZ18</f>
        <v>32654</v>
      </c>
      <c r="I136">
        <f>maluku_papua!BA18</f>
        <v>17987.305340738923</v>
      </c>
      <c r="J136">
        <f>maluku_papua!BD18</f>
        <v>436275.68151678576</v>
      </c>
    </row>
    <row r="137" spans="1:10" x14ac:dyDescent="0.25">
      <c r="A137" t="str">
        <f>maluku_papua!AO19</f>
        <v>MALUKU_PAPUA</v>
      </c>
      <c r="B137">
        <f>maluku_papua!AP19</f>
        <v>2034</v>
      </c>
      <c r="C137">
        <f>maluku_papua!AU19</f>
        <v>23965.8</v>
      </c>
      <c r="D137">
        <f>maluku_papua!AV19</f>
        <v>74883.793699327216</v>
      </c>
      <c r="E137">
        <f>maluku_papua!AW19</f>
        <v>18954.535029299914</v>
      </c>
      <c r="F137">
        <f>maluku_papua!AX19</f>
        <v>207464.31078983337</v>
      </c>
      <c r="G137">
        <f>maluku_papua!AY19</f>
        <v>60261.356439386895</v>
      </c>
      <c r="H137">
        <f>maluku_papua!AZ19</f>
        <v>32654</v>
      </c>
      <c r="I137">
        <f>maluku_papua!BA19</f>
        <v>17987.255341665565</v>
      </c>
      <c r="J137">
        <f>maluku_papua!BD19</f>
        <v>436171.05129951303</v>
      </c>
    </row>
    <row r="138" spans="1:10" x14ac:dyDescent="0.25">
      <c r="A138" t="str">
        <f>maluku_papua!AO20</f>
        <v>MALUKU_PAPUA</v>
      </c>
      <c r="B138">
        <f>maluku_papua!AP20</f>
        <v>2035</v>
      </c>
      <c r="C138">
        <f>maluku_papua!AU20</f>
        <v>23965.800000154104</v>
      </c>
      <c r="D138">
        <f>maluku_papua!AV20</f>
        <v>74875.509441176095</v>
      </c>
      <c r="E138">
        <f>maluku_papua!AW20</f>
        <v>18884.13849441845</v>
      </c>
      <c r="F138">
        <f>maluku_papua!AX20</f>
        <v>207464.31078983337</v>
      </c>
      <c r="G138">
        <f>maluku_papua!AY20</f>
        <v>60261.356439386895</v>
      </c>
      <c r="H138">
        <f>maluku_papua!AZ20</f>
        <v>32654</v>
      </c>
      <c r="I138">
        <f>maluku_papua!BA20</f>
        <v>17987.21424326946</v>
      </c>
      <c r="J138">
        <f>maluku_papua!BD20</f>
        <v>436092.32940823841</v>
      </c>
    </row>
    <row r="139" spans="1:10" x14ac:dyDescent="0.25">
      <c r="A139" t="str">
        <f>maluku_papua!AO21</f>
        <v>MALUKU_PAPUA</v>
      </c>
      <c r="B139">
        <f>maluku_papua!AP21</f>
        <v>2036</v>
      </c>
      <c r="C139">
        <f>maluku_papua!AU21</f>
        <v>23965.8</v>
      </c>
      <c r="D139">
        <f>maluku_papua!AV21</f>
        <v>74875.50944084271</v>
      </c>
      <c r="E139">
        <f>maluku_papua!AW21</f>
        <v>18837.862236462708</v>
      </c>
      <c r="F139">
        <f>maluku_papua!AX21</f>
        <v>207464.31078751717</v>
      </c>
      <c r="G139">
        <f>maluku_papua!AY21</f>
        <v>60084.351026372329</v>
      </c>
      <c r="H139">
        <f>maluku_papua!AZ21</f>
        <v>32654</v>
      </c>
      <c r="I139">
        <f>maluku_papua!BA21</f>
        <v>17987.102467089629</v>
      </c>
      <c r="J139">
        <f>maluku_papua!BD21</f>
        <v>435868.93595828454</v>
      </c>
    </row>
    <row r="140" spans="1:10" x14ac:dyDescent="0.25">
      <c r="A140" t="str">
        <f>maluku_papua!AO22</f>
        <v>MALUKU_PAPUA</v>
      </c>
      <c r="B140">
        <f>maluku_papua!AP22</f>
        <v>2037</v>
      </c>
      <c r="C140">
        <f>maluku_papua!AU22</f>
        <v>23965.8</v>
      </c>
      <c r="D140">
        <f>maluku_papua!AV22</f>
        <v>74875.411616901576</v>
      </c>
      <c r="E140">
        <f>maluku_papua!AW22</f>
        <v>18836.262235090413</v>
      </c>
      <c r="F140">
        <f>maluku_papua!AX22</f>
        <v>207410.87314857388</v>
      </c>
      <c r="G140">
        <f>maluku_papua!AY22</f>
        <v>59823.23764308972</v>
      </c>
      <c r="H140">
        <f>maluku_papua!AZ22</f>
        <v>32654</v>
      </c>
      <c r="I140">
        <f>maluku_papua!BA22</f>
        <v>17987.102463886346</v>
      </c>
      <c r="J140">
        <f>maluku_papua!BD22</f>
        <v>435552.68710754195</v>
      </c>
    </row>
    <row r="141" spans="1:10" x14ac:dyDescent="0.25">
      <c r="A141" t="str">
        <f>maluku_papua!AO23</f>
        <v>MALUKU_PAPUA</v>
      </c>
      <c r="B141">
        <f>maluku_papua!AP23</f>
        <v>2038</v>
      </c>
      <c r="C141">
        <f>maluku_papua!AU23</f>
        <v>23965.8</v>
      </c>
      <c r="D141">
        <f>maluku_papua!AV23</f>
        <v>74824.546512654095</v>
      </c>
      <c r="E141">
        <f>maluku_papua!AW23</f>
        <v>18757.054481187759</v>
      </c>
      <c r="F141">
        <f>maluku_papua!AX23</f>
        <v>207323.11350096381</v>
      </c>
      <c r="G141">
        <f>maluku_papua!AY23</f>
        <v>59787.992713159692</v>
      </c>
      <c r="H141">
        <f>maluku_papua!AZ23</f>
        <v>32654</v>
      </c>
      <c r="I141">
        <f>maluku_papua!BA23</f>
        <v>17986.817163012503</v>
      </c>
      <c r="J141">
        <f>maluku_papua!BD23</f>
        <v>435299.32437097788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FD11-85EC-4521-91C0-E30EE81000FC}">
  <dimension ref="A1:R141"/>
  <sheetViews>
    <sheetView workbookViewId="0">
      <selection activeCell="R2" sqref="R2"/>
    </sheetView>
  </sheetViews>
  <sheetFormatPr defaultRowHeight="15" x14ac:dyDescent="0.25"/>
  <cols>
    <col min="1" max="1" width="15.85546875" bestFit="1" customWidth="1"/>
    <col min="2" max="2" width="5" bestFit="1" customWidth="1"/>
    <col min="3" max="6" width="12" bestFit="1" customWidth="1"/>
    <col min="7" max="7" width="12.7109375" bestFit="1" customWidth="1"/>
    <col min="8" max="16" width="12" bestFit="1" customWidth="1"/>
    <col min="17" max="17" width="13.5703125" bestFit="1" customWidth="1"/>
    <col min="18" max="18" width="14.42578125" bestFit="1" customWidth="1"/>
  </cols>
  <sheetData>
    <row r="1" spans="1:18" x14ac:dyDescent="0.25">
      <c r="A1" t="str">
        <f>indonesia!B27</f>
        <v>region</v>
      </c>
      <c r="B1" t="str">
        <f>indonesia!C27</f>
        <v>year</v>
      </c>
      <c r="C1" t="str">
        <f>indonesia!D27</f>
        <v>coal</v>
      </c>
      <c r="D1" t="str">
        <f>indonesia!E27</f>
        <v>ocgt</v>
      </c>
      <c r="E1" t="str">
        <f>indonesia!F27</f>
        <v>ccgt</v>
      </c>
      <c r="F1" t="str">
        <f>indonesia!G27</f>
        <v>reciprocating</v>
      </c>
      <c r="G1" t="str">
        <f>indonesia!H27</f>
        <v>geothermal</v>
      </c>
      <c r="H1" t="str">
        <f>indonesia!I27</f>
        <v>lhydro</v>
      </c>
      <c r="I1" t="str">
        <f>indonesia!J27</f>
        <v>mhydro</v>
      </c>
      <c r="J1" t="str">
        <f>indonesia!K27</f>
        <v>solar</v>
      </c>
      <c r="K1" t="str">
        <f>indonesia!L27</f>
        <v>wind</v>
      </c>
      <c r="L1" t="str">
        <f>indonesia!M27</f>
        <v>biomass</v>
      </c>
      <c r="M1" t="str">
        <f>indonesia!N27</f>
        <v>ocean</v>
      </c>
      <c r="N1" t="str">
        <f>indonesia!O27</f>
        <v>waste</v>
      </c>
      <c r="O1" t="str">
        <f>indonesia!P27</f>
        <v>storage</v>
      </c>
      <c r="P1" t="str">
        <f>indonesia!Q27</f>
        <v>total</v>
      </c>
      <c r="Q1" t="s">
        <v>14</v>
      </c>
      <c r="R1" t="s">
        <v>8</v>
      </c>
    </row>
    <row r="2" spans="1:18" x14ac:dyDescent="0.25">
      <c r="A2" t="str">
        <f>indonesia!B28</f>
        <v>INDONESIA</v>
      </c>
      <c r="B2">
        <f>indonesia!C28</f>
        <v>2019</v>
      </c>
      <c r="C2">
        <f>SUM(C22,C42,C62,C82,C102,C122)</f>
        <v>167089.32579226667</v>
      </c>
      <c r="D2">
        <f t="shared" ref="D2:P2" si="0">SUM(D22,D42,D62,D82,D102,D122)</f>
        <v>16856.297613489227</v>
      </c>
      <c r="E2">
        <f t="shared" si="0"/>
        <v>31896.550966707691</v>
      </c>
      <c r="F2">
        <f t="shared" si="0"/>
        <v>33098.739795692309</v>
      </c>
      <c r="G2">
        <f t="shared" si="0"/>
        <v>12890.02464</v>
      </c>
      <c r="H2">
        <f t="shared" si="0"/>
        <v>25258.010098707695</v>
      </c>
      <c r="I2">
        <f t="shared" si="0"/>
        <v>1003.9917400615385</v>
      </c>
      <c r="J2">
        <f t="shared" si="0"/>
        <v>32.229792000000003</v>
      </c>
      <c r="K2">
        <f t="shared" si="0"/>
        <v>0</v>
      </c>
      <c r="L2">
        <f t="shared" si="0"/>
        <v>356.78369838461538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288481.95413730969</v>
      </c>
      <c r="Q2">
        <f>indonesia!R28</f>
        <v>316000</v>
      </c>
      <c r="R2" s="45">
        <f>proj_rukn!C2</f>
        <v>289000</v>
      </c>
    </row>
    <row r="3" spans="1:18" x14ac:dyDescent="0.25">
      <c r="A3" t="str">
        <f>indonesia!B29</f>
        <v>INDONESIA</v>
      </c>
      <c r="B3">
        <f>indonesia!C29</f>
        <v>2020</v>
      </c>
      <c r="C3">
        <f t="shared" ref="C3:P18" si="1">SUM(C23,C43,C63,C83,C103,C123)</f>
        <v>177067.25059733444</v>
      </c>
      <c r="D3">
        <f t="shared" si="1"/>
        <v>16873.849457036227</v>
      </c>
      <c r="E3">
        <f t="shared" si="1"/>
        <v>39144.11538838756</v>
      </c>
      <c r="F3">
        <f t="shared" si="1"/>
        <v>33098.739795692309</v>
      </c>
      <c r="G3">
        <f t="shared" si="1"/>
        <v>12890.02464</v>
      </c>
      <c r="H3">
        <f t="shared" si="1"/>
        <v>35311.202959468588</v>
      </c>
      <c r="I3">
        <f t="shared" si="1"/>
        <v>2492.0442060603277</v>
      </c>
      <c r="J3">
        <f t="shared" si="1"/>
        <v>12226.37811645275</v>
      </c>
      <c r="K3">
        <f t="shared" si="1"/>
        <v>348.57055998056052</v>
      </c>
      <c r="L3">
        <f t="shared" si="1"/>
        <v>526.0014036563897</v>
      </c>
      <c r="M3">
        <f t="shared" si="1"/>
        <v>22.116759570565389</v>
      </c>
      <c r="N3">
        <f t="shared" si="1"/>
        <v>0</v>
      </c>
      <c r="O3">
        <f t="shared" si="1"/>
        <v>83.705016862877883</v>
      </c>
      <c r="P3">
        <f t="shared" si="1"/>
        <v>330000.29388363968</v>
      </c>
      <c r="Q3">
        <f>indonesia!R29</f>
        <v>345000</v>
      </c>
      <c r="R3" s="45">
        <f>proj_rukn!C3</f>
        <v>315000</v>
      </c>
    </row>
    <row r="4" spans="1:18" x14ac:dyDescent="0.25">
      <c r="A4" t="str">
        <f>indonesia!B30</f>
        <v>INDONESIA</v>
      </c>
      <c r="B4">
        <f>indonesia!C30</f>
        <v>2021</v>
      </c>
      <c r="C4">
        <f t="shared" si="1"/>
        <v>184930.33838281414</v>
      </c>
      <c r="D4">
        <f t="shared" si="1"/>
        <v>16873.849448068075</v>
      </c>
      <c r="E4">
        <f t="shared" si="1"/>
        <v>56831.033546866682</v>
      </c>
      <c r="F4">
        <f t="shared" si="1"/>
        <v>33098.739798844377</v>
      </c>
      <c r="G4">
        <f t="shared" si="1"/>
        <v>13807.040424527444</v>
      </c>
      <c r="H4">
        <f t="shared" si="1"/>
        <v>40896.455734897812</v>
      </c>
      <c r="I4">
        <f t="shared" si="1"/>
        <v>11601.534157401726</v>
      </c>
      <c r="J4">
        <f t="shared" si="1"/>
        <v>13849.427764471571</v>
      </c>
      <c r="K4">
        <f t="shared" si="1"/>
        <v>6331.0269299006686</v>
      </c>
      <c r="L4">
        <f t="shared" si="1"/>
        <v>526.00140115877889</v>
      </c>
      <c r="M4">
        <f t="shared" si="1"/>
        <v>30.033804618628469</v>
      </c>
      <c r="N4">
        <f t="shared" si="1"/>
        <v>0</v>
      </c>
      <c r="O4">
        <f t="shared" si="1"/>
        <v>97.222211188509689</v>
      </c>
      <c r="P4">
        <f t="shared" si="1"/>
        <v>378775.48139356985</v>
      </c>
      <c r="Q4">
        <f>indonesia!R30</f>
        <v>388000</v>
      </c>
      <c r="R4" s="45">
        <f>proj_rukn!C4</f>
        <v>355000</v>
      </c>
    </row>
    <row r="5" spans="1:18" x14ac:dyDescent="0.25">
      <c r="A5" t="str">
        <f>indonesia!B31</f>
        <v>INDONESIA</v>
      </c>
      <c r="B5">
        <f>indonesia!C31</f>
        <v>2022</v>
      </c>
      <c r="C5">
        <f t="shared" si="1"/>
        <v>187005.98843447739</v>
      </c>
      <c r="D5">
        <f t="shared" si="1"/>
        <v>16873.849439099926</v>
      </c>
      <c r="E5">
        <f t="shared" si="1"/>
        <v>83316.585414376968</v>
      </c>
      <c r="F5">
        <f t="shared" si="1"/>
        <v>33328.640976584531</v>
      </c>
      <c r="G5">
        <f t="shared" si="1"/>
        <v>13807.040492278575</v>
      </c>
      <c r="H5">
        <f t="shared" si="1"/>
        <v>41411.285855076232</v>
      </c>
      <c r="I5">
        <f t="shared" si="1"/>
        <v>11787.775217139422</v>
      </c>
      <c r="J5">
        <f t="shared" si="1"/>
        <v>17861.040338509236</v>
      </c>
      <c r="K5">
        <f t="shared" si="1"/>
        <v>6372.7202879083243</v>
      </c>
      <c r="L5">
        <f t="shared" si="1"/>
        <v>526.00139866116808</v>
      </c>
      <c r="M5">
        <f t="shared" si="1"/>
        <v>30.143368424568578</v>
      </c>
      <c r="N5">
        <f t="shared" si="1"/>
        <v>0</v>
      </c>
      <c r="O5">
        <f t="shared" si="1"/>
        <v>106.28325919629465</v>
      </c>
      <c r="P5">
        <f t="shared" si="1"/>
        <v>412321.07122253632</v>
      </c>
      <c r="Q5">
        <f>indonesia!R31</f>
        <v>410000</v>
      </c>
      <c r="R5" s="45">
        <f>proj_rukn!C5</f>
        <v>375000</v>
      </c>
    </row>
    <row r="6" spans="1:18" x14ac:dyDescent="0.25">
      <c r="A6" t="str">
        <f>indonesia!B32</f>
        <v>INDONESIA</v>
      </c>
      <c r="B6">
        <f>indonesia!C32</f>
        <v>2023</v>
      </c>
      <c r="C6">
        <f t="shared" si="1"/>
        <v>188620.65477272694</v>
      </c>
      <c r="D6">
        <f t="shared" si="1"/>
        <v>17582.861755378497</v>
      </c>
      <c r="E6">
        <f t="shared" si="1"/>
        <v>103536.68726557143</v>
      </c>
      <c r="F6">
        <f t="shared" si="1"/>
        <v>33341.142850026627</v>
      </c>
      <c r="G6">
        <f t="shared" si="1"/>
        <v>14407.568142138556</v>
      </c>
      <c r="H6">
        <f t="shared" si="1"/>
        <v>42637.6210195565</v>
      </c>
      <c r="I6">
        <f t="shared" si="1"/>
        <v>11898.314818615769</v>
      </c>
      <c r="J6">
        <f t="shared" si="1"/>
        <v>19914.942057122775</v>
      </c>
      <c r="K6">
        <f t="shared" si="1"/>
        <v>7536.2306073298823</v>
      </c>
      <c r="L6">
        <f t="shared" si="1"/>
        <v>685.42461235080043</v>
      </c>
      <c r="M6">
        <f t="shared" si="1"/>
        <v>30.159821953622629</v>
      </c>
      <c r="N6">
        <f t="shared" si="1"/>
        <v>0</v>
      </c>
      <c r="O6">
        <f t="shared" si="1"/>
        <v>113.78149041308821</v>
      </c>
      <c r="P6">
        <f t="shared" si="1"/>
        <v>440191.60772277147</v>
      </c>
      <c r="Q6">
        <f>indonesia!R32</f>
        <v>434000</v>
      </c>
      <c r="R6" s="45">
        <f>proj_rukn!C6</f>
        <v>399000</v>
      </c>
    </row>
    <row r="7" spans="1:18" x14ac:dyDescent="0.25">
      <c r="A7" t="str">
        <f>indonesia!B33</f>
        <v>INDONESIA</v>
      </c>
      <c r="B7">
        <f>indonesia!C33</f>
        <v>2024</v>
      </c>
      <c r="C7">
        <f t="shared" si="1"/>
        <v>190093.57897163075</v>
      </c>
      <c r="D7">
        <f t="shared" si="1"/>
        <v>19065.472728729892</v>
      </c>
      <c r="E7">
        <f t="shared" si="1"/>
        <v>122436.76687015497</v>
      </c>
      <c r="F7">
        <f t="shared" si="1"/>
        <v>34582.709282928437</v>
      </c>
      <c r="G7">
        <f t="shared" si="1"/>
        <v>14675.708697137212</v>
      </c>
      <c r="H7">
        <f t="shared" si="1"/>
        <v>42696.573083074269</v>
      </c>
      <c r="I7">
        <f t="shared" si="1"/>
        <v>12803.713696673611</v>
      </c>
      <c r="J7">
        <f t="shared" si="1"/>
        <v>19993.075848581546</v>
      </c>
      <c r="K7">
        <f t="shared" si="1"/>
        <v>13094.747943698792</v>
      </c>
      <c r="L7">
        <f t="shared" si="1"/>
        <v>964.01287863263099</v>
      </c>
      <c r="M7">
        <f t="shared" si="1"/>
        <v>30.159821953622629</v>
      </c>
      <c r="N7">
        <f t="shared" si="1"/>
        <v>0</v>
      </c>
      <c r="O7">
        <f t="shared" si="1"/>
        <v>122.34567642271631</v>
      </c>
      <c r="P7">
        <f t="shared" si="1"/>
        <v>470436.5198231957</v>
      </c>
      <c r="Q7">
        <f>indonesia!R33</f>
        <v>467000</v>
      </c>
      <c r="R7" s="45">
        <f>proj_rukn!C7</f>
        <v>429000</v>
      </c>
    </row>
    <row r="8" spans="1:18" x14ac:dyDescent="0.25">
      <c r="A8" t="str">
        <f>indonesia!B34</f>
        <v>INDONESIA</v>
      </c>
      <c r="B8">
        <f>indonesia!C34</f>
        <v>2025</v>
      </c>
      <c r="C8">
        <f t="shared" si="1"/>
        <v>191029.3437296543</v>
      </c>
      <c r="D8">
        <f t="shared" si="1"/>
        <v>20673.711562546105</v>
      </c>
      <c r="E8">
        <f t="shared" si="1"/>
        <v>131207.12962792823</v>
      </c>
      <c r="F8">
        <f t="shared" si="1"/>
        <v>38725.0080603967</v>
      </c>
      <c r="G8">
        <f t="shared" si="1"/>
        <v>14836.894084988609</v>
      </c>
      <c r="H8">
        <f t="shared" si="1"/>
        <v>45061.025618924905</v>
      </c>
      <c r="I8">
        <f t="shared" si="1"/>
        <v>13070.372743400612</v>
      </c>
      <c r="J8">
        <f t="shared" si="1"/>
        <v>20302.386281526531</v>
      </c>
      <c r="K8">
        <f t="shared" si="1"/>
        <v>22635.706834443648</v>
      </c>
      <c r="L8">
        <f t="shared" si="1"/>
        <v>1269.0709978998459</v>
      </c>
      <c r="M8">
        <f t="shared" si="1"/>
        <v>30.159867027280175</v>
      </c>
      <c r="N8">
        <f t="shared" si="1"/>
        <v>0</v>
      </c>
      <c r="O8">
        <f t="shared" si="1"/>
        <v>131.29603499993078</v>
      </c>
      <c r="P8">
        <f t="shared" si="1"/>
        <v>498840.80940873671</v>
      </c>
      <c r="Q8">
        <f>indonesia!R34</f>
        <v>500000</v>
      </c>
      <c r="R8" s="45">
        <f>proj_rukn!C8</f>
        <v>460000</v>
      </c>
    </row>
    <row r="9" spans="1:18" x14ac:dyDescent="0.25">
      <c r="A9" t="str">
        <f>indonesia!B35</f>
        <v>INDONESIA</v>
      </c>
      <c r="B9">
        <f>indonesia!C35</f>
        <v>2026</v>
      </c>
      <c r="C9">
        <f t="shared" si="1"/>
        <v>195353.10543681119</v>
      </c>
      <c r="D9">
        <f t="shared" si="1"/>
        <v>20907.701211874275</v>
      </c>
      <c r="E9">
        <f t="shared" si="1"/>
        <v>133524.26558836421</v>
      </c>
      <c r="F9">
        <f t="shared" si="1"/>
        <v>39936.84621457466</v>
      </c>
      <c r="G9">
        <f t="shared" si="1"/>
        <v>16030.954605183011</v>
      </c>
      <c r="H9">
        <f t="shared" si="1"/>
        <v>46273.125316606012</v>
      </c>
      <c r="I9">
        <f t="shared" si="1"/>
        <v>19164.689565886903</v>
      </c>
      <c r="J9">
        <f t="shared" si="1"/>
        <v>21141.168934892125</v>
      </c>
      <c r="K9">
        <f t="shared" si="1"/>
        <v>23016.906368264474</v>
      </c>
      <c r="L9">
        <f t="shared" si="1"/>
        <v>1581.1029124761585</v>
      </c>
      <c r="M9">
        <f t="shared" si="1"/>
        <v>30.321100931203635</v>
      </c>
      <c r="N9">
        <f t="shared" si="1"/>
        <v>54.051697034847287</v>
      </c>
      <c r="O9">
        <f t="shared" si="1"/>
        <v>136.01057398429526</v>
      </c>
      <c r="P9">
        <f t="shared" si="1"/>
        <v>517014.23895289912</v>
      </c>
      <c r="Q9">
        <f>indonesia!R35</f>
        <v>541000</v>
      </c>
      <c r="R9" s="45">
        <f>proj_rukn!C9</f>
        <v>499000</v>
      </c>
    </row>
    <row r="10" spans="1:18" x14ac:dyDescent="0.25">
      <c r="A10" t="str">
        <f>indonesia!B36</f>
        <v>INDONESIA</v>
      </c>
      <c r="B10">
        <f>indonesia!C36</f>
        <v>2027</v>
      </c>
      <c r="C10">
        <f t="shared" si="1"/>
        <v>200795.90257469169</v>
      </c>
      <c r="D10">
        <f t="shared" si="1"/>
        <v>21922.242925985622</v>
      </c>
      <c r="E10">
        <f t="shared" si="1"/>
        <v>155944.96369008822</v>
      </c>
      <c r="F10">
        <f t="shared" si="1"/>
        <v>40254.829495980659</v>
      </c>
      <c r="G10">
        <f t="shared" si="1"/>
        <v>16030.954598693872</v>
      </c>
      <c r="H10">
        <f t="shared" si="1"/>
        <v>50365.444532969908</v>
      </c>
      <c r="I10">
        <f t="shared" si="1"/>
        <v>28469.155737759509</v>
      </c>
      <c r="J10">
        <f t="shared" si="1"/>
        <v>23169.138433064461</v>
      </c>
      <c r="K10">
        <f t="shared" si="1"/>
        <v>28880.444032219621</v>
      </c>
      <c r="L10">
        <f t="shared" si="1"/>
        <v>1710.3141367061571</v>
      </c>
      <c r="M10">
        <f t="shared" si="1"/>
        <v>30.722805792988098</v>
      </c>
      <c r="N10">
        <f t="shared" si="1"/>
        <v>54.051697034847287</v>
      </c>
      <c r="O10">
        <f t="shared" si="1"/>
        <v>150.03564466557512</v>
      </c>
      <c r="P10">
        <f t="shared" si="1"/>
        <v>567628.16466098756</v>
      </c>
      <c r="Q10">
        <f>indonesia!R36</f>
        <v>589000</v>
      </c>
      <c r="R10" s="45">
        <f>proj_rukn!C10</f>
        <v>543000</v>
      </c>
    </row>
    <row r="11" spans="1:18" x14ac:dyDescent="0.25">
      <c r="A11" t="str">
        <f>indonesia!B37</f>
        <v>INDONESIA</v>
      </c>
      <c r="B11">
        <f>indonesia!C37</f>
        <v>2028</v>
      </c>
      <c r="C11">
        <f t="shared" si="1"/>
        <v>205002.06433839654</v>
      </c>
      <c r="D11">
        <f t="shared" si="1"/>
        <v>23554.488303678663</v>
      </c>
      <c r="E11">
        <f t="shared" si="1"/>
        <v>168684.36420313621</v>
      </c>
      <c r="F11">
        <f t="shared" si="1"/>
        <v>42457.112567799675</v>
      </c>
      <c r="G11">
        <f t="shared" si="1"/>
        <v>16030.954598693872</v>
      </c>
      <c r="H11">
        <f t="shared" si="1"/>
        <v>51963.094785653622</v>
      </c>
      <c r="I11">
        <f t="shared" si="1"/>
        <v>31309.049738043283</v>
      </c>
      <c r="J11">
        <f t="shared" si="1"/>
        <v>24633.549436476489</v>
      </c>
      <c r="K11">
        <f t="shared" si="1"/>
        <v>34028.952544182888</v>
      </c>
      <c r="L11">
        <f t="shared" si="1"/>
        <v>1710.3141367061571</v>
      </c>
      <c r="M11">
        <f t="shared" si="1"/>
        <v>48.964894241743757</v>
      </c>
      <c r="N11">
        <f t="shared" si="1"/>
        <v>54.051697034847287</v>
      </c>
      <c r="O11">
        <f t="shared" si="1"/>
        <v>159.19250325431713</v>
      </c>
      <c r="P11">
        <f t="shared" si="1"/>
        <v>599476.96124404413</v>
      </c>
      <c r="Q11">
        <f>indonesia!R37</f>
        <v>620000</v>
      </c>
      <c r="R11" s="45">
        <f>proj_rukn!C11</f>
        <v>573000</v>
      </c>
    </row>
    <row r="12" spans="1:18" x14ac:dyDescent="0.25">
      <c r="A12" t="str">
        <f>indonesia!B38</f>
        <v>INDONESIA</v>
      </c>
      <c r="B12">
        <f>indonesia!C38</f>
        <v>2029</v>
      </c>
      <c r="C12">
        <f t="shared" si="1"/>
        <v>205462.67676170921</v>
      </c>
      <c r="D12">
        <f t="shared" si="1"/>
        <v>25991.966566418971</v>
      </c>
      <c r="E12">
        <f t="shared" si="1"/>
        <v>178515.95265550024</v>
      </c>
      <c r="F12">
        <f t="shared" si="1"/>
        <v>42464.610085579152</v>
      </c>
      <c r="G12">
        <f t="shared" si="1"/>
        <v>16030.954592204733</v>
      </c>
      <c r="H12">
        <f t="shared" si="1"/>
        <v>52043.150407347188</v>
      </c>
      <c r="I12">
        <f t="shared" si="1"/>
        <v>31514.490352412369</v>
      </c>
      <c r="J12">
        <f t="shared" si="1"/>
        <v>26045.511313841074</v>
      </c>
      <c r="K12">
        <f t="shared" si="1"/>
        <v>37634.722006357239</v>
      </c>
      <c r="L12">
        <f t="shared" si="1"/>
        <v>2067.7560424273579</v>
      </c>
      <c r="M12">
        <f t="shared" si="1"/>
        <v>48.964979960132325</v>
      </c>
      <c r="N12">
        <f t="shared" si="1"/>
        <v>54.051697034847287</v>
      </c>
      <c r="O12">
        <f t="shared" si="1"/>
        <v>164.71847355355672</v>
      </c>
      <c r="P12">
        <f t="shared" si="1"/>
        <v>617874.80746079271</v>
      </c>
      <c r="Q12">
        <f>indonesia!R38</f>
        <v>653000</v>
      </c>
      <c r="R12" s="45">
        <f>proj_rukn!C12</f>
        <v>606000</v>
      </c>
    </row>
    <row r="13" spans="1:18" x14ac:dyDescent="0.25">
      <c r="A13" t="str">
        <f>indonesia!B39</f>
        <v>INDONESIA</v>
      </c>
      <c r="B13">
        <f>indonesia!C39</f>
        <v>2030</v>
      </c>
      <c r="C13">
        <f t="shared" si="1"/>
        <v>209101.27121362166</v>
      </c>
      <c r="D13">
        <f t="shared" si="1"/>
        <v>30244.222824742046</v>
      </c>
      <c r="E13">
        <f t="shared" si="1"/>
        <v>190870.82263446503</v>
      </c>
      <c r="F13">
        <f t="shared" si="1"/>
        <v>42474.002481728661</v>
      </c>
      <c r="G13">
        <f t="shared" si="1"/>
        <v>16071.274961741317</v>
      </c>
      <c r="H13">
        <f t="shared" si="1"/>
        <v>52522.226856306719</v>
      </c>
      <c r="I13">
        <f t="shared" si="1"/>
        <v>31800.099855421835</v>
      </c>
      <c r="J13">
        <f t="shared" si="1"/>
        <v>27712.049303031701</v>
      </c>
      <c r="K13">
        <f t="shared" si="1"/>
        <v>41822.111862610611</v>
      </c>
      <c r="L13">
        <f t="shared" si="1"/>
        <v>2067.7560424273579</v>
      </c>
      <c r="M13">
        <f t="shared" si="1"/>
        <v>49.159622643007616</v>
      </c>
      <c r="N13">
        <f t="shared" si="1"/>
        <v>54.05465499858461</v>
      </c>
      <c r="O13">
        <f t="shared" si="1"/>
        <v>172.50645404149734</v>
      </c>
      <c r="P13">
        <f t="shared" si="1"/>
        <v>644789.05231373862</v>
      </c>
      <c r="Q13">
        <f>indonesia!R39</f>
        <v>688000</v>
      </c>
      <c r="R13" s="45">
        <f>proj_rukn!C13</f>
        <v>639000</v>
      </c>
    </row>
    <row r="14" spans="1:18" x14ac:dyDescent="0.25">
      <c r="A14" t="str">
        <f>indonesia!B40</f>
        <v>INDONESIA</v>
      </c>
      <c r="B14">
        <f>indonesia!C40</f>
        <v>2031</v>
      </c>
      <c r="C14">
        <f t="shared" si="1"/>
        <v>212455.66068322721</v>
      </c>
      <c r="D14">
        <f t="shared" si="1"/>
        <v>35341.565636580584</v>
      </c>
      <c r="E14">
        <f t="shared" si="1"/>
        <v>207693.79417602578</v>
      </c>
      <c r="F14">
        <f t="shared" si="1"/>
        <v>42624.780241169727</v>
      </c>
      <c r="G14">
        <f t="shared" si="1"/>
        <v>18878.215711342389</v>
      </c>
      <c r="H14">
        <f t="shared" si="1"/>
        <v>53233.193612318551</v>
      </c>
      <c r="I14">
        <f t="shared" si="1"/>
        <v>32034.215035778543</v>
      </c>
      <c r="J14">
        <f t="shared" si="1"/>
        <v>36357.56592426233</v>
      </c>
      <c r="K14">
        <f t="shared" si="1"/>
        <v>46802.951161544886</v>
      </c>
      <c r="L14">
        <f t="shared" si="1"/>
        <v>2082.8766115839971</v>
      </c>
      <c r="M14">
        <f t="shared" si="1"/>
        <v>54.725605359938648</v>
      </c>
      <c r="N14">
        <f t="shared" si="1"/>
        <v>73.940194616968967</v>
      </c>
      <c r="O14">
        <f t="shared" si="1"/>
        <v>185.76284971448345</v>
      </c>
      <c r="P14">
        <f t="shared" si="1"/>
        <v>687633.4845938111</v>
      </c>
      <c r="Q14">
        <f>indonesia!R40</f>
        <v>728000</v>
      </c>
      <c r="R14" s="45">
        <f>proj_rukn!C14</f>
        <v>678000</v>
      </c>
    </row>
    <row r="15" spans="1:18" x14ac:dyDescent="0.25">
      <c r="A15" t="str">
        <f>indonesia!B41</f>
        <v>INDONESIA</v>
      </c>
      <c r="B15">
        <f>indonesia!C41</f>
        <v>2032</v>
      </c>
      <c r="C15">
        <f t="shared" si="1"/>
        <v>216410.15771698553</v>
      </c>
      <c r="D15">
        <f t="shared" si="1"/>
        <v>41004.469158485124</v>
      </c>
      <c r="E15">
        <f t="shared" si="1"/>
        <v>225567.74656326976</v>
      </c>
      <c r="F15">
        <f t="shared" si="1"/>
        <v>43938.547825724097</v>
      </c>
      <c r="G15">
        <f t="shared" si="1"/>
        <v>19062.472793589975</v>
      </c>
      <c r="H15">
        <f t="shared" si="1"/>
        <v>53233.254411718939</v>
      </c>
      <c r="I15">
        <f t="shared" si="1"/>
        <v>32358.413621592674</v>
      </c>
      <c r="J15">
        <f t="shared" si="1"/>
        <v>39392.660570520602</v>
      </c>
      <c r="K15">
        <f t="shared" si="1"/>
        <v>52659.453461745259</v>
      </c>
      <c r="L15">
        <f t="shared" si="1"/>
        <v>2094.793165438381</v>
      </c>
      <c r="M15">
        <f t="shared" si="1"/>
        <v>54.919140720084251</v>
      </c>
      <c r="N15">
        <f t="shared" si="1"/>
        <v>73.952313281172763</v>
      </c>
      <c r="O15">
        <f t="shared" si="1"/>
        <v>196.9368511840741</v>
      </c>
      <c r="P15">
        <f t="shared" si="1"/>
        <v>725850.84074307163</v>
      </c>
      <c r="Q15">
        <f>indonesia!R41</f>
        <v>771000</v>
      </c>
      <c r="R15" s="45">
        <f>proj_rukn!C15</f>
        <v>719000</v>
      </c>
    </row>
    <row r="16" spans="1:18" x14ac:dyDescent="0.25">
      <c r="A16" t="str">
        <f>indonesia!B42</f>
        <v>INDONESIA</v>
      </c>
      <c r="B16">
        <f>indonesia!C42</f>
        <v>2033</v>
      </c>
      <c r="C16">
        <f t="shared" si="1"/>
        <v>220440.700809795</v>
      </c>
      <c r="D16">
        <f t="shared" si="1"/>
        <v>46849.023919965475</v>
      </c>
      <c r="E16">
        <f t="shared" si="1"/>
        <v>243956.85540963826</v>
      </c>
      <c r="F16">
        <f t="shared" si="1"/>
        <v>44163.061003323106</v>
      </c>
      <c r="G16">
        <f t="shared" si="1"/>
        <v>27839.286382453491</v>
      </c>
      <c r="H16">
        <f t="shared" si="1"/>
        <v>53359.948616088834</v>
      </c>
      <c r="I16">
        <f t="shared" si="1"/>
        <v>32865.836854392539</v>
      </c>
      <c r="J16">
        <f t="shared" si="1"/>
        <v>40563.02271430978</v>
      </c>
      <c r="K16">
        <f t="shared" si="1"/>
        <v>60596.089168901301</v>
      </c>
      <c r="L16">
        <f t="shared" si="1"/>
        <v>2190.035654942174</v>
      </c>
      <c r="M16">
        <f t="shared" si="1"/>
        <v>57.255010007771077</v>
      </c>
      <c r="N16">
        <f t="shared" si="1"/>
        <v>103.83401124457876</v>
      </c>
      <c r="O16">
        <f t="shared" si="1"/>
        <v>210.34813878910592</v>
      </c>
      <c r="P16">
        <f t="shared" si="1"/>
        <v>772984.94955506257</v>
      </c>
      <c r="Q16">
        <f>indonesia!R42</f>
        <v>813000</v>
      </c>
      <c r="R16" s="45">
        <f>proj_rukn!C16</f>
        <v>760000</v>
      </c>
    </row>
    <row r="17" spans="1:18" x14ac:dyDescent="0.25">
      <c r="A17" t="str">
        <f>indonesia!B43</f>
        <v>INDONESIA</v>
      </c>
      <c r="B17">
        <f>indonesia!C43</f>
        <v>2034</v>
      </c>
      <c r="C17">
        <f t="shared" si="1"/>
        <v>232821.03874842657</v>
      </c>
      <c r="D17">
        <f t="shared" si="1"/>
        <v>52185.08248656326</v>
      </c>
      <c r="E17">
        <f t="shared" si="1"/>
        <v>257957.87805498083</v>
      </c>
      <c r="F17">
        <f t="shared" si="1"/>
        <v>44495.031835553156</v>
      </c>
      <c r="G17">
        <f t="shared" si="1"/>
        <v>27839.288042204509</v>
      </c>
      <c r="H17">
        <f t="shared" si="1"/>
        <v>53531.384545956011</v>
      </c>
      <c r="I17">
        <f t="shared" si="1"/>
        <v>35140.870268858242</v>
      </c>
      <c r="J17">
        <f t="shared" si="1"/>
        <v>43470.1664479397</v>
      </c>
      <c r="K17">
        <f t="shared" si="1"/>
        <v>66885.601180548343</v>
      </c>
      <c r="L17">
        <f t="shared" si="1"/>
        <v>2412.0023945151761</v>
      </c>
      <c r="M17">
        <f t="shared" si="1"/>
        <v>57.40580752734963</v>
      </c>
      <c r="N17">
        <f t="shared" si="1"/>
        <v>103.83426428553594</v>
      </c>
      <c r="O17">
        <f t="shared" si="1"/>
        <v>222.98469329139252</v>
      </c>
      <c r="P17">
        <f t="shared" si="1"/>
        <v>816899.58407735906</v>
      </c>
      <c r="Q17">
        <f>indonesia!R43</f>
        <v>862000</v>
      </c>
      <c r="R17" s="45">
        <f>proj_rukn!C17</f>
        <v>807000</v>
      </c>
    </row>
    <row r="18" spans="1:18" x14ac:dyDescent="0.25">
      <c r="A18" t="str">
        <f>indonesia!B44</f>
        <v>INDONESIA</v>
      </c>
      <c r="B18">
        <f>indonesia!C44</f>
        <v>2035</v>
      </c>
      <c r="C18">
        <f t="shared" si="1"/>
        <v>243543.32832732951</v>
      </c>
      <c r="D18">
        <f t="shared" si="1"/>
        <v>59455.556442169742</v>
      </c>
      <c r="E18">
        <f t="shared" si="1"/>
        <v>274306.38378298021</v>
      </c>
      <c r="F18">
        <f t="shared" si="1"/>
        <v>45368.286919964557</v>
      </c>
      <c r="G18">
        <f t="shared" si="1"/>
        <v>27839.318246852399</v>
      </c>
      <c r="H18">
        <f t="shared" si="1"/>
        <v>53568.174972966262</v>
      </c>
      <c r="I18">
        <f t="shared" si="1"/>
        <v>35557.577045677506</v>
      </c>
      <c r="J18">
        <f t="shared" si="1"/>
        <v>46674.825485079687</v>
      </c>
      <c r="K18">
        <f t="shared" si="1"/>
        <v>73580.55325217791</v>
      </c>
      <c r="L18">
        <f t="shared" si="1"/>
        <v>2507.9013714510456</v>
      </c>
      <c r="M18">
        <f t="shared" si="1"/>
        <v>57.542652583836784</v>
      </c>
      <c r="N18">
        <f t="shared" si="1"/>
        <v>103.83793957324522</v>
      </c>
      <c r="O18">
        <f t="shared" si="1"/>
        <v>236.19158259364036</v>
      </c>
      <c r="P18">
        <f t="shared" si="1"/>
        <v>862563.28643880598</v>
      </c>
      <c r="Q18">
        <f>indonesia!R44</f>
        <v>911000</v>
      </c>
      <c r="R18" s="45">
        <f>proj_rukn!C18</f>
        <v>855000</v>
      </c>
    </row>
    <row r="19" spans="1:18" x14ac:dyDescent="0.25">
      <c r="A19" t="str">
        <f>indonesia!B45</f>
        <v>INDONESIA</v>
      </c>
      <c r="B19">
        <f>indonesia!C45</f>
        <v>2036</v>
      </c>
      <c r="C19">
        <f t="shared" ref="C19:P21" si="2">SUM(C39,C59,C79,C99,C119,C139)</f>
        <v>255568.66588309352</v>
      </c>
      <c r="D19">
        <f t="shared" si="2"/>
        <v>63360.739917046572</v>
      </c>
      <c r="E19">
        <f t="shared" si="2"/>
        <v>285154.39685824164</v>
      </c>
      <c r="F19">
        <f t="shared" si="2"/>
        <v>46261.439710268241</v>
      </c>
      <c r="G19">
        <f t="shared" si="2"/>
        <v>40356.044176780975</v>
      </c>
      <c r="H19">
        <f t="shared" si="2"/>
        <v>55435.801488344834</v>
      </c>
      <c r="I19">
        <f t="shared" si="2"/>
        <v>37801.999720380234</v>
      </c>
      <c r="J19">
        <f t="shared" si="2"/>
        <v>50123.320483120151</v>
      </c>
      <c r="K19">
        <f t="shared" si="2"/>
        <v>80899.848488552641</v>
      </c>
      <c r="L19">
        <f t="shared" si="2"/>
        <v>2858.8715333627752</v>
      </c>
      <c r="M19">
        <f t="shared" si="2"/>
        <v>62.457605653438101</v>
      </c>
      <c r="N19">
        <f t="shared" si="2"/>
        <v>565.42179121569336</v>
      </c>
      <c r="O19">
        <f t="shared" si="2"/>
        <v>252.08743131500177</v>
      </c>
      <c r="P19">
        <f t="shared" si="2"/>
        <v>918449.00765606086</v>
      </c>
      <c r="Q19">
        <f>indonesia!R45</f>
        <v>966000</v>
      </c>
      <c r="R19" s="45">
        <f>proj_rukn!C19</f>
        <v>908000</v>
      </c>
    </row>
    <row r="20" spans="1:18" x14ac:dyDescent="0.25">
      <c r="A20" t="str">
        <f>indonesia!B46</f>
        <v>INDONESIA</v>
      </c>
      <c r="B20">
        <f>indonesia!C46</f>
        <v>2037</v>
      </c>
      <c r="C20">
        <f t="shared" si="2"/>
        <v>265804.26572784118</v>
      </c>
      <c r="D20">
        <f t="shared" si="2"/>
        <v>70905.329470401353</v>
      </c>
      <c r="E20">
        <f t="shared" si="2"/>
        <v>293478.16249556007</v>
      </c>
      <c r="F20">
        <f t="shared" si="2"/>
        <v>46572.712385185296</v>
      </c>
      <c r="G20">
        <f t="shared" si="2"/>
        <v>40726.905551683914</v>
      </c>
      <c r="H20">
        <f t="shared" si="2"/>
        <v>55918.31591521966</v>
      </c>
      <c r="I20">
        <f t="shared" si="2"/>
        <v>37861.644613210956</v>
      </c>
      <c r="J20">
        <f t="shared" si="2"/>
        <v>53420.801118973177</v>
      </c>
      <c r="K20">
        <f t="shared" si="2"/>
        <v>86755.144595766134</v>
      </c>
      <c r="L20">
        <f t="shared" si="2"/>
        <v>2923.7534182035251</v>
      </c>
      <c r="M20">
        <f t="shared" si="2"/>
        <v>62.459737760230006</v>
      </c>
      <c r="N20">
        <f t="shared" si="2"/>
        <v>565.42239509267097</v>
      </c>
      <c r="O20">
        <f t="shared" si="2"/>
        <v>262.90214405887059</v>
      </c>
      <c r="P20">
        <f t="shared" si="2"/>
        <v>954994.91742489813</v>
      </c>
      <c r="Q20">
        <f>indonesia!R46</f>
        <v>1023000</v>
      </c>
      <c r="R20" s="45">
        <f>proj_rukn!C20</f>
        <v>963000</v>
      </c>
    </row>
    <row r="21" spans="1:18" x14ac:dyDescent="0.25">
      <c r="A21" t="str">
        <f>indonesia!B47</f>
        <v>INDONESIA</v>
      </c>
      <c r="B21">
        <f>indonesia!C47</f>
        <v>2038</v>
      </c>
      <c r="C21">
        <f t="shared" si="2"/>
        <v>279858.36495566322</v>
      </c>
      <c r="D21">
        <f t="shared" si="2"/>
        <v>79191.302877135051</v>
      </c>
      <c r="E21">
        <f t="shared" si="2"/>
        <v>309143.66644585814</v>
      </c>
      <c r="F21">
        <f t="shared" si="2"/>
        <v>46662.158101289227</v>
      </c>
      <c r="G21">
        <f t="shared" si="2"/>
        <v>44071.768760756087</v>
      </c>
      <c r="H21">
        <f t="shared" si="2"/>
        <v>56392.300161274681</v>
      </c>
      <c r="I21">
        <f t="shared" si="2"/>
        <v>40306.772412196122</v>
      </c>
      <c r="J21">
        <f t="shared" si="2"/>
        <v>68002.538545242147</v>
      </c>
      <c r="K21">
        <f t="shared" si="2"/>
        <v>94172.673172011011</v>
      </c>
      <c r="L21">
        <f t="shared" si="2"/>
        <v>2923.7534183249154</v>
      </c>
      <c r="M21">
        <f t="shared" si="2"/>
        <v>72.367848988195149</v>
      </c>
      <c r="N21">
        <f t="shared" si="2"/>
        <v>583.23986863835182</v>
      </c>
      <c r="O21">
        <f t="shared" si="2"/>
        <v>283.61910118394769</v>
      </c>
      <c r="P21">
        <f t="shared" si="2"/>
        <v>1021380.906567377</v>
      </c>
      <c r="Q21">
        <f>indonesia!R47</f>
        <v>1089000</v>
      </c>
      <c r="R21" s="45">
        <f>proj_rukn!C21</f>
        <v>1026000</v>
      </c>
    </row>
    <row r="22" spans="1:18" x14ac:dyDescent="0.25">
      <c r="A22" t="str">
        <f>sumatera!B28</f>
        <v>SUMATERA</v>
      </c>
      <c r="B22">
        <f>sumatera!C28</f>
        <v>2019</v>
      </c>
      <c r="C22">
        <f>sumatera!D28</f>
        <v>25836.883829066668</v>
      </c>
      <c r="D22">
        <f>sumatera!E28</f>
        <v>3747.7903350461529</v>
      </c>
      <c r="E22">
        <f>sumatera!F28</f>
        <v>3568.4796713538462</v>
      </c>
      <c r="F22">
        <f>sumatera!G28</f>
        <v>12465.922689969231</v>
      </c>
      <c r="G22">
        <f>sumatera!H28</f>
        <v>4393.1467384615389</v>
      </c>
      <c r="H22">
        <f>sumatera!I28</f>
        <v>8700.8474126769233</v>
      </c>
      <c r="I22">
        <f>sumatera!J28</f>
        <v>415.87347987692317</v>
      </c>
      <c r="J22">
        <f>sumatera!K28</f>
        <v>2.078748</v>
      </c>
      <c r="K22">
        <f>sumatera!L28</f>
        <v>0</v>
      </c>
      <c r="L22">
        <f>sumatera!M28</f>
        <v>91.412554153846145</v>
      </c>
      <c r="M22">
        <f>sumatera!N28</f>
        <v>0</v>
      </c>
      <c r="N22">
        <f>sumatera!O28</f>
        <v>0</v>
      </c>
      <c r="O22">
        <f>sumatera!P28</f>
        <v>0</v>
      </c>
      <c r="P22">
        <f>sumatera!Q28</f>
        <v>59222.435458605127</v>
      </c>
      <c r="Q22">
        <f>sumatera!R28</f>
        <v>59549</v>
      </c>
      <c r="R22" s="45">
        <f>proj_rukn!C22</f>
        <v>51583</v>
      </c>
    </row>
    <row r="23" spans="1:18" x14ac:dyDescent="0.25">
      <c r="A23" t="str">
        <f>sumatera!B29</f>
        <v>SUMATERA</v>
      </c>
      <c r="B23">
        <f>sumatera!C29</f>
        <v>2020</v>
      </c>
      <c r="C23">
        <f>sumatera!D29</f>
        <v>27256.720230726343</v>
      </c>
      <c r="D23">
        <f>sumatera!E29</f>
        <v>3747.7903350461529</v>
      </c>
      <c r="E23">
        <f>sumatera!F29</f>
        <v>6275.1958408192959</v>
      </c>
      <c r="F23">
        <f>sumatera!G29</f>
        <v>12465.922689969231</v>
      </c>
      <c r="G23">
        <f>sumatera!H29</f>
        <v>4393.1467384615389</v>
      </c>
      <c r="H23">
        <f>sumatera!I29</f>
        <v>9340.6585474013882</v>
      </c>
      <c r="I23">
        <f>sumatera!J29</f>
        <v>1208.5093300781984</v>
      </c>
      <c r="J23">
        <f>sumatera!K29</f>
        <v>821.04704371924993</v>
      </c>
      <c r="K23">
        <f>sumatera!L29</f>
        <v>302.2211154123936</v>
      </c>
      <c r="L23">
        <f>sumatera!M29</f>
        <v>91.412554153846145</v>
      </c>
      <c r="M23">
        <f>sumatera!N29</f>
        <v>5.3763204272267373</v>
      </c>
      <c r="N23">
        <f>sumatera!O29</f>
        <v>0</v>
      </c>
      <c r="O23">
        <f>sumatera!P29</f>
        <v>16.441408780660371</v>
      </c>
      <c r="P23">
        <f>sumatera!Q29</f>
        <v>65908.000746214864</v>
      </c>
      <c r="Q23">
        <f>sumatera!R29</f>
        <v>65908</v>
      </c>
      <c r="R23" s="45">
        <f>proj_rukn!C23</f>
        <v>57071</v>
      </c>
    </row>
    <row r="24" spans="1:18" x14ac:dyDescent="0.25">
      <c r="A24" t="str">
        <f>sumatera!B30</f>
        <v>SUMATERA</v>
      </c>
      <c r="B24">
        <f>sumatera!C30</f>
        <v>2021</v>
      </c>
      <c r="C24">
        <f>sumatera!D30</f>
        <v>28051.762939805281</v>
      </c>
      <c r="D24">
        <f>sumatera!E30</f>
        <v>3747.7903350461529</v>
      </c>
      <c r="E24">
        <f>sumatera!F30</f>
        <v>10907.324073421563</v>
      </c>
      <c r="F24">
        <f>sumatera!G30</f>
        <v>12465.922693121298</v>
      </c>
      <c r="G24">
        <f>sumatera!H30</f>
        <v>4393.1467384615389</v>
      </c>
      <c r="H24">
        <f>sumatera!I30</f>
        <v>9340.6585474013882</v>
      </c>
      <c r="I24">
        <f>sumatera!J30</f>
        <v>1208.5093300781984</v>
      </c>
      <c r="J24">
        <f>sumatera!K30</f>
        <v>821.04704371924993</v>
      </c>
      <c r="K24">
        <f>sumatera!L30</f>
        <v>739.02956693266981</v>
      </c>
      <c r="L24">
        <f>sumatera!M30</f>
        <v>91.412554153846145</v>
      </c>
      <c r="M24">
        <f>sumatera!N30</f>
        <v>5.3763204272267373</v>
      </c>
      <c r="N24">
        <f>sumatera!O30</f>
        <v>0</v>
      </c>
      <c r="O24">
        <f>sumatera!P30</f>
        <v>17.971222410954748</v>
      </c>
      <c r="P24">
        <f>sumatera!Q30</f>
        <v>71771.980142568427</v>
      </c>
      <c r="Q24">
        <f>sumatera!R30</f>
        <v>71772</v>
      </c>
      <c r="R24" s="45">
        <f>proj_rukn!C24</f>
        <v>62727</v>
      </c>
    </row>
    <row r="25" spans="1:18" x14ac:dyDescent="0.25">
      <c r="A25" t="str">
        <f>sumatera!B31</f>
        <v>SUMATERA</v>
      </c>
      <c r="B25">
        <f>sumatera!C31</f>
        <v>2022</v>
      </c>
      <c r="C25">
        <f>sumatera!D31</f>
        <v>28651.150837568686</v>
      </c>
      <c r="D25">
        <f>sumatera!E31</f>
        <v>3747.7903350461529</v>
      </c>
      <c r="E25">
        <f>sumatera!F31</f>
        <v>16197.879375899363</v>
      </c>
      <c r="F25">
        <f>sumatera!G31</f>
        <v>12631.999740359131</v>
      </c>
      <c r="G25">
        <f>sumatera!H31</f>
        <v>4393.1467384615389</v>
      </c>
      <c r="H25">
        <f>sumatera!I31</f>
        <v>9340.6585474013882</v>
      </c>
      <c r="I25">
        <f>sumatera!J31</f>
        <v>1208.5093300781984</v>
      </c>
      <c r="J25">
        <f>sumatera!K31</f>
        <v>821.04704371924993</v>
      </c>
      <c r="K25">
        <f>sumatera!L31</f>
        <v>739.02956693266981</v>
      </c>
      <c r="L25">
        <f>sumatera!M31</f>
        <v>91.412554153846145</v>
      </c>
      <c r="M25">
        <f>sumatera!N31</f>
        <v>5.3763204272267373</v>
      </c>
      <c r="N25">
        <f>sumatera!O31</f>
        <v>0</v>
      </c>
      <c r="O25">
        <f>sumatera!P31</f>
        <v>19.461306032209823</v>
      </c>
      <c r="P25">
        <f>sumatera!Q31</f>
        <v>77828.000390047469</v>
      </c>
      <c r="Q25">
        <f>sumatera!R31</f>
        <v>77828</v>
      </c>
      <c r="R25" s="45">
        <f>proj_rukn!C25</f>
        <v>68154</v>
      </c>
    </row>
    <row r="26" spans="1:18" x14ac:dyDescent="0.25">
      <c r="A26" t="str">
        <f>sumatera!B32</f>
        <v>SUMATERA</v>
      </c>
      <c r="B26">
        <f>sumatera!C32</f>
        <v>2023</v>
      </c>
      <c r="C26">
        <f>sumatera!D32</f>
        <v>29216.207170674184</v>
      </c>
      <c r="D26">
        <f>sumatera!E32</f>
        <v>3747.7903350461529</v>
      </c>
      <c r="E26">
        <f>sumatera!F32</f>
        <v>22295.431199086979</v>
      </c>
      <c r="F26">
        <f>sumatera!G32</f>
        <v>12631.999740359131</v>
      </c>
      <c r="G26">
        <f>sumatera!H32</f>
        <v>4393.1467384615389</v>
      </c>
      <c r="H26">
        <f>sumatera!I32</f>
        <v>9340.6585474013882</v>
      </c>
      <c r="I26">
        <f>sumatera!J32</f>
        <v>1208.5093300781984</v>
      </c>
      <c r="J26">
        <f>sumatera!K32</f>
        <v>821.04704371924993</v>
      </c>
      <c r="K26">
        <f>sumatera!L32</f>
        <v>829.41553078602476</v>
      </c>
      <c r="L26">
        <f>sumatera!M32</f>
        <v>91.412554153846145</v>
      </c>
      <c r="M26">
        <f>sumatera!N32</f>
        <v>5.3763204272267373</v>
      </c>
      <c r="N26">
        <f>sumatera!O32</f>
        <v>0</v>
      </c>
      <c r="O26">
        <f>sumatera!P32</f>
        <v>21.140878610931964</v>
      </c>
      <c r="P26">
        <f>sumatera!Q32</f>
        <v>84580.994510193923</v>
      </c>
      <c r="Q26">
        <f>sumatera!R32</f>
        <v>84581</v>
      </c>
      <c r="R26" s="45">
        <f>proj_rukn!C26</f>
        <v>74249</v>
      </c>
    </row>
    <row r="27" spans="1:18" x14ac:dyDescent="0.25">
      <c r="A27" t="str">
        <f>sumatera!B33</f>
        <v>SUMATERA</v>
      </c>
      <c r="B27">
        <f>sumatera!C33</f>
        <v>2024</v>
      </c>
      <c r="C27">
        <f>sumatera!D33</f>
        <v>30192.545063501704</v>
      </c>
      <c r="D27">
        <f>sumatera!E33</f>
        <v>3747.7903350461529</v>
      </c>
      <c r="E27">
        <f>sumatera!F33</f>
        <v>26001.680601859418</v>
      </c>
      <c r="F27">
        <f>sumatera!G33</f>
        <v>13866.652108211352</v>
      </c>
      <c r="G27">
        <f>sumatera!H33</f>
        <v>4393.1467384615389</v>
      </c>
      <c r="H27">
        <f>sumatera!I33</f>
        <v>9340.6585474013882</v>
      </c>
      <c r="I27">
        <f>sumatera!J33</f>
        <v>1208.5093300781984</v>
      </c>
      <c r="J27">
        <f>sumatera!K33</f>
        <v>821.04704371924993</v>
      </c>
      <c r="K27">
        <f>sumatera!L33</f>
        <v>3890.1469640514947</v>
      </c>
      <c r="L27">
        <f>sumatera!M33</f>
        <v>91.412554153846145</v>
      </c>
      <c r="M27">
        <f>sumatera!N33</f>
        <v>5.3763204272267373</v>
      </c>
      <c r="N27">
        <f>sumatera!O33</f>
        <v>0</v>
      </c>
      <c r="O27">
        <f>sumatera!P33</f>
        <v>23.959391530256511</v>
      </c>
      <c r="P27">
        <f>sumatera!Q33</f>
        <v>93558.965606911588</v>
      </c>
      <c r="Q27">
        <f>sumatera!R33</f>
        <v>93559</v>
      </c>
      <c r="R27" s="45">
        <f>proj_rukn!C27</f>
        <v>82533</v>
      </c>
    </row>
    <row r="28" spans="1:18" x14ac:dyDescent="0.25">
      <c r="A28" t="str">
        <f>sumatera!B34</f>
        <v>SUMATERA</v>
      </c>
      <c r="B28">
        <f>sumatera!C34</f>
        <v>2025</v>
      </c>
      <c r="C28">
        <f>sumatera!D34</f>
        <v>30844.782021134</v>
      </c>
      <c r="D28">
        <f>sumatera!E34</f>
        <v>3747.7903350461529</v>
      </c>
      <c r="E28">
        <f>sumatera!F34</f>
        <v>26572.76389944656</v>
      </c>
      <c r="F28">
        <f>sumatera!G34</f>
        <v>18002.979801157588</v>
      </c>
      <c r="G28">
        <f>sumatera!H34</f>
        <v>4393.1467384615389</v>
      </c>
      <c r="H28">
        <f>sumatera!I34</f>
        <v>9340.6585474013882</v>
      </c>
      <c r="I28">
        <f>sumatera!J34</f>
        <v>1208.5093300781984</v>
      </c>
      <c r="J28">
        <f>sumatera!K34</f>
        <v>918.16384678635279</v>
      </c>
      <c r="K28">
        <f>sumatera!L34</f>
        <v>7690.4113879731422</v>
      </c>
      <c r="L28">
        <f>sumatera!M34</f>
        <v>91.412554153846145</v>
      </c>
      <c r="M28">
        <f>sumatera!N34</f>
        <v>5.3763204272267373</v>
      </c>
      <c r="N28">
        <f>sumatera!O34</f>
        <v>0</v>
      </c>
      <c r="O28">
        <f>sumatera!P34</f>
        <v>27.013168733610176</v>
      </c>
      <c r="P28">
        <f>sumatera!Q34</f>
        <v>102815.994782066</v>
      </c>
      <c r="Q28">
        <f>sumatera!R34</f>
        <v>102816</v>
      </c>
      <c r="R28" s="45">
        <f>proj_rukn!C28</f>
        <v>90974</v>
      </c>
    </row>
    <row r="29" spans="1:18" x14ac:dyDescent="0.25">
      <c r="A29" t="str">
        <f>sumatera!B35</f>
        <v>SUMATERA</v>
      </c>
      <c r="B29">
        <f>sumatera!C35</f>
        <v>2026</v>
      </c>
      <c r="C29">
        <f>sumatera!D35</f>
        <v>34588.750400840363</v>
      </c>
      <c r="D29">
        <f>sumatera!E35</f>
        <v>3747.7922910143275</v>
      </c>
      <c r="E29">
        <f>sumatera!F35</f>
        <v>26572.766354081657</v>
      </c>
      <c r="F29">
        <f>sumatera!G35</f>
        <v>18002.985577464755</v>
      </c>
      <c r="G29">
        <f>sumatera!H35</f>
        <v>4393.1656100245418</v>
      </c>
      <c r="H29">
        <f>sumatera!I35</f>
        <v>9340.666848442268</v>
      </c>
      <c r="I29">
        <f>sumatera!J35</f>
        <v>5887.446004877379</v>
      </c>
      <c r="J29">
        <f>sumatera!K35</f>
        <v>1608.1539615913941</v>
      </c>
      <c r="K29">
        <f>sumatera!L35</f>
        <v>7690.4153722836554</v>
      </c>
      <c r="L29">
        <f>sumatera!M35</f>
        <v>91.412554153846145</v>
      </c>
      <c r="M29">
        <f>sumatera!N35</f>
        <v>5.3763204272267373</v>
      </c>
      <c r="N29">
        <f>sumatera!O35</f>
        <v>2.5753701376805666E-3</v>
      </c>
      <c r="O29">
        <f>sumatera!P35</f>
        <v>29.39280566126909</v>
      </c>
      <c r="P29">
        <f>sumatera!Q35</f>
        <v>111928.93387057155</v>
      </c>
      <c r="Q29">
        <f>sumatera!R35</f>
        <v>128296</v>
      </c>
      <c r="R29" s="45">
        <f>proj_rukn!C29</f>
        <v>101129</v>
      </c>
    </row>
    <row r="30" spans="1:18" x14ac:dyDescent="0.25">
      <c r="A30" t="str">
        <f>sumatera!B36</f>
        <v>SUMATERA</v>
      </c>
      <c r="B30">
        <f>sumatera!C36</f>
        <v>2027</v>
      </c>
      <c r="C30">
        <f>sumatera!D36</f>
        <v>38583.564880131948</v>
      </c>
      <c r="D30">
        <f>sumatera!E36</f>
        <v>3747.7922880249444</v>
      </c>
      <c r="E30">
        <f>sumatera!F36</f>
        <v>26572.766354081657</v>
      </c>
      <c r="F30">
        <f>sumatera!G36</f>
        <v>18002.985572467511</v>
      </c>
      <c r="G30">
        <f>sumatera!H36</f>
        <v>4393.1656035354026</v>
      </c>
      <c r="H30">
        <f>sumatera!I36</f>
        <v>12500.473353281326</v>
      </c>
      <c r="I30">
        <f>sumatera!J36</f>
        <v>15091.721062511402</v>
      </c>
      <c r="J30">
        <f>sumatera!K36</f>
        <v>3617.4650850957701</v>
      </c>
      <c r="K30">
        <f>sumatera!L36</f>
        <v>7743.2205875058989</v>
      </c>
      <c r="L30">
        <f>sumatera!M36</f>
        <v>91.412554153846145</v>
      </c>
      <c r="M30">
        <f>sumatera!N36</f>
        <v>5.3763194272267381</v>
      </c>
      <c r="N30">
        <f>sumatera!O36</f>
        <v>2.5753701376805666E-3</v>
      </c>
      <c r="O30">
        <f>sumatera!P36</f>
        <v>34.335924436693603</v>
      </c>
      <c r="P30">
        <f>sumatera!Q36</f>
        <v>130349.94623558709</v>
      </c>
      <c r="Q30">
        <f>sumatera!R36</f>
        <v>139472</v>
      </c>
      <c r="R30" s="45">
        <f>proj_rukn!C30</f>
        <v>113114</v>
      </c>
    </row>
    <row r="31" spans="1:18" x14ac:dyDescent="0.25">
      <c r="A31" t="str">
        <f>sumatera!B37</f>
        <v>SUMATERA</v>
      </c>
      <c r="B31">
        <f>sumatera!C37</f>
        <v>2028</v>
      </c>
      <c r="C31">
        <f>sumatera!D37</f>
        <v>41679.93539180739</v>
      </c>
      <c r="D31">
        <f>sumatera!E37</f>
        <v>3747.7922850355608</v>
      </c>
      <c r="E31">
        <f>sumatera!F37</f>
        <v>29397.68024146129</v>
      </c>
      <c r="F31">
        <f>sumatera!G37</f>
        <v>18002.985572467511</v>
      </c>
      <c r="G31">
        <f>sumatera!H37</f>
        <v>4393.1656035354026</v>
      </c>
      <c r="H31">
        <f>sumatera!I37</f>
        <v>14098.123592740143</v>
      </c>
      <c r="I31">
        <f>sumatera!J37</f>
        <v>17931.615048083142</v>
      </c>
      <c r="J31">
        <f>sumatera!K37</f>
        <v>3891.9828205715712</v>
      </c>
      <c r="K31">
        <f>sumatera!L37</f>
        <v>8510.3481819386961</v>
      </c>
      <c r="L31">
        <f>sumatera!M37</f>
        <v>91.412554153846145</v>
      </c>
      <c r="M31">
        <f>sumatera!N37</f>
        <v>23.44385747351604</v>
      </c>
      <c r="N31">
        <f>sumatera!O37</f>
        <v>2.5753701376805666E-3</v>
      </c>
      <c r="O31">
        <f>sumatera!P37</f>
        <v>37.35647686248231</v>
      </c>
      <c r="P31">
        <f>sumatera!Q37</f>
        <v>141768.48772463822</v>
      </c>
      <c r="Q31">
        <f>sumatera!R37</f>
        <v>151305</v>
      </c>
      <c r="R31" s="45">
        <f>proj_rukn!C31</f>
        <v>120347</v>
      </c>
    </row>
    <row r="32" spans="1:18" x14ac:dyDescent="0.25">
      <c r="A32" t="str">
        <f>sumatera!B38</f>
        <v>SUMATERA</v>
      </c>
      <c r="B32">
        <f>sumatera!C38</f>
        <v>2029</v>
      </c>
      <c r="C32">
        <f>sumatera!D38</f>
        <v>41679.93539180739</v>
      </c>
      <c r="D32">
        <f>sumatera!E38</f>
        <v>4270.6757822968948</v>
      </c>
      <c r="E32">
        <f>sumatera!F38</f>
        <v>29845.818964744412</v>
      </c>
      <c r="F32">
        <f>sumatera!G38</f>
        <v>18002.985572467511</v>
      </c>
      <c r="G32">
        <f>sumatera!H38</f>
        <v>4393.1656035354026</v>
      </c>
      <c r="H32">
        <f>sumatera!I38</f>
        <v>14098.123592740143</v>
      </c>
      <c r="I32">
        <f>sumatera!J38</f>
        <v>17931.615048083142</v>
      </c>
      <c r="J32">
        <f>sumatera!K38</f>
        <v>3891.9828205715712</v>
      </c>
      <c r="K32">
        <f>sumatera!L38</f>
        <v>8510.3481819386961</v>
      </c>
      <c r="L32">
        <f>sumatera!M38</f>
        <v>91.412554153846145</v>
      </c>
      <c r="M32">
        <f>sumatera!N38</f>
        <v>23.443901931802522</v>
      </c>
      <c r="N32">
        <f>sumatera!O38</f>
        <v>2.5753701376805666E-3</v>
      </c>
      <c r="O32">
        <f>sumatera!P38</f>
        <v>37.595396873882649</v>
      </c>
      <c r="P32">
        <f>sumatera!Q38</f>
        <v>142739.50998964097</v>
      </c>
      <c r="Q32">
        <f>sumatera!R38</f>
        <v>164294</v>
      </c>
      <c r="R32" s="45">
        <f>proj_rukn!C32</f>
        <v>128006</v>
      </c>
    </row>
    <row r="33" spans="1:18" x14ac:dyDescent="0.25">
      <c r="A33" t="str">
        <f>sumatera!B39</f>
        <v>SUMATERA</v>
      </c>
      <c r="B33">
        <f>sumatera!C39</f>
        <v>2030</v>
      </c>
      <c r="C33">
        <f>sumatera!D39</f>
        <v>44570.578063664434</v>
      </c>
      <c r="D33">
        <f>sumatera!E39</f>
        <v>6501.2456157343377</v>
      </c>
      <c r="E33">
        <f>sumatera!F39</f>
        <v>30300.139746506589</v>
      </c>
      <c r="F33">
        <f>sumatera!G39</f>
        <v>18002.991976074969</v>
      </c>
      <c r="G33">
        <f>sumatera!H39</f>
        <v>4393.1897043785157</v>
      </c>
      <c r="H33">
        <f>sumatera!I39</f>
        <v>14098.134857353032</v>
      </c>
      <c r="I33">
        <f>sumatera!J39</f>
        <v>17931.635076722378</v>
      </c>
      <c r="J33">
        <f>sumatera!K39</f>
        <v>3891.9847546287228</v>
      </c>
      <c r="K33">
        <f>sumatera!L39</f>
        <v>8531.4297587331403</v>
      </c>
      <c r="L33">
        <f>sumatera!M39</f>
        <v>91.412554153846145</v>
      </c>
      <c r="M33">
        <f>sumatera!N39</f>
        <v>23.45425563694722</v>
      </c>
      <c r="N33">
        <f>sumatera!O39</f>
        <v>5.5333338749969712E-3</v>
      </c>
      <c r="O33">
        <f>sumatera!P39</f>
        <v>38.976663189905153</v>
      </c>
      <c r="P33">
        <f>sumatera!Q39</f>
        <v>148336.20189692077</v>
      </c>
      <c r="Q33">
        <f>sumatera!R39</f>
        <v>172978</v>
      </c>
      <c r="R33" s="45">
        <f>proj_rukn!C33</f>
        <v>135872</v>
      </c>
    </row>
    <row r="34" spans="1:18" x14ac:dyDescent="0.25">
      <c r="A34" t="str">
        <f>sumatera!B40</f>
        <v>SUMATERA</v>
      </c>
      <c r="B34">
        <f>sumatera!C40</f>
        <v>2031</v>
      </c>
      <c r="C34">
        <f>sumatera!D40</f>
        <v>47094.927890472689</v>
      </c>
      <c r="D34">
        <f>sumatera!E40</f>
        <v>9465.7334862376447</v>
      </c>
      <c r="E34">
        <f>sumatera!F40</f>
        <v>31022.823393962975</v>
      </c>
      <c r="F34">
        <f>sumatera!G40</f>
        <v>18063.487195404385</v>
      </c>
      <c r="G34">
        <f>sumatera!H40</f>
        <v>7200.1304594687253</v>
      </c>
      <c r="H34">
        <f>sumatera!I40</f>
        <v>14145.891555601431</v>
      </c>
      <c r="I34">
        <f>sumatera!J40</f>
        <v>18016.52888656349</v>
      </c>
      <c r="J34">
        <f>sumatera!K40</f>
        <v>9804.7344119412974</v>
      </c>
      <c r="K34">
        <f>sumatera!L40</f>
        <v>8554.3559135056785</v>
      </c>
      <c r="L34">
        <f>sumatera!M40</f>
        <v>106.53312331048573</v>
      </c>
      <c r="M34">
        <f>sumatera!N40</f>
        <v>29.020238353878245</v>
      </c>
      <c r="N34">
        <f>sumatera!O40</f>
        <v>19.891072952259353</v>
      </c>
      <c r="O34">
        <f>sumatera!P40</f>
        <v>43.896714010627221</v>
      </c>
      <c r="P34">
        <f>sumatera!Q40</f>
        <v>163524.05762777489</v>
      </c>
      <c r="Q34">
        <f>sumatera!R40</f>
        <v>183458</v>
      </c>
      <c r="R34" s="45">
        <f>proj_rukn!C34</f>
        <v>145019</v>
      </c>
    </row>
    <row r="35" spans="1:18" x14ac:dyDescent="0.25">
      <c r="A35" t="str">
        <f>sumatera!B41</f>
        <v>SUMATERA</v>
      </c>
      <c r="B35">
        <f>sumatera!C41</f>
        <v>2032</v>
      </c>
      <c r="C35">
        <f>sumatera!D41</f>
        <v>49973.954153260434</v>
      </c>
      <c r="D35">
        <f>sumatera!E41</f>
        <v>12335.461879164282</v>
      </c>
      <c r="E35">
        <f>sumatera!F41</f>
        <v>31550.582580048849</v>
      </c>
      <c r="F35">
        <f>sumatera!G41</f>
        <v>18354.869177006447</v>
      </c>
      <c r="G35">
        <f>sumatera!H41</f>
        <v>7384.3875417163126</v>
      </c>
      <c r="H35">
        <f>sumatera!I41</f>
        <v>14145.938177063539</v>
      </c>
      <c r="I35">
        <f>sumatera!J41</f>
        <v>18016.611769255702</v>
      </c>
      <c r="J35">
        <f>sumatera!K41</f>
        <v>9804.7424177703197</v>
      </c>
      <c r="K35">
        <f>sumatera!L41</f>
        <v>8554.378290881672</v>
      </c>
      <c r="L35">
        <f>sumatera!M41</f>
        <v>106.53312331048573</v>
      </c>
      <c r="M35">
        <f>sumatera!N41</f>
        <v>29.063103220743855</v>
      </c>
      <c r="N35">
        <f>sumatera!O41</f>
        <v>19.903191616463157</v>
      </c>
      <c r="O35">
        <f>sumatera!P41</f>
        <v>45.558148508823678</v>
      </c>
      <c r="P35">
        <f>sumatera!Q41</f>
        <v>170276.42540431523</v>
      </c>
      <c r="Q35">
        <f>sumatera!R41</f>
        <v>193824</v>
      </c>
      <c r="R35" s="45">
        <f>proj_rukn!C35</f>
        <v>154809</v>
      </c>
    </row>
    <row r="36" spans="1:18" x14ac:dyDescent="0.25">
      <c r="A36" t="str">
        <f>sumatera!B42</f>
        <v>SUMATERA</v>
      </c>
      <c r="B36">
        <f>sumatera!C42</f>
        <v>2033</v>
      </c>
      <c r="C36">
        <f>sumatera!D42</f>
        <v>52958.876092964609</v>
      </c>
      <c r="D36">
        <f>sumatera!E42</f>
        <v>15679.576010851248</v>
      </c>
      <c r="E36">
        <f>sumatera!F42</f>
        <v>32207.18333578953</v>
      </c>
      <c r="F36">
        <f>sumatera!G42</f>
        <v>18422.966567163032</v>
      </c>
      <c r="G36">
        <f>sumatera!H42</f>
        <v>16161.201131579826</v>
      </c>
      <c r="H36">
        <f>sumatera!I42</f>
        <v>14243.882331899678</v>
      </c>
      <c r="I36">
        <f>sumatera!J42</f>
        <v>18190.71833213908</v>
      </c>
      <c r="J36">
        <f>sumatera!K42</f>
        <v>9821.5691970027256</v>
      </c>
      <c r="K36">
        <f>sumatera!L42</f>
        <v>8601.3960765668089</v>
      </c>
      <c r="L36">
        <f>sumatera!M42</f>
        <v>106.53312331048573</v>
      </c>
      <c r="M36">
        <f>sumatera!N42</f>
        <v>31.232182149754909</v>
      </c>
      <c r="N36">
        <f>sumatera!O42</f>
        <v>49.784889579869144</v>
      </c>
      <c r="O36">
        <f>sumatera!P42</f>
        <v>49.55693279020052</v>
      </c>
      <c r="P36">
        <f>sumatera!Q42</f>
        <v>186474.91927099664</v>
      </c>
      <c r="Q36">
        <f>sumatera!R42</f>
        <v>203086</v>
      </c>
      <c r="R36" s="45">
        <f>proj_rukn!C36</f>
        <v>164318</v>
      </c>
    </row>
    <row r="37" spans="1:18" x14ac:dyDescent="0.25">
      <c r="A37" t="str">
        <f>sumatera!B43</f>
        <v>SUMATERA</v>
      </c>
      <c r="B37">
        <f>sumatera!C43</f>
        <v>2034</v>
      </c>
      <c r="C37">
        <f>sumatera!D43</f>
        <v>56595.144008958057</v>
      </c>
      <c r="D37">
        <f>sumatera!E43</f>
        <v>18423.588990070253</v>
      </c>
      <c r="E37">
        <f>sumatera!F43</f>
        <v>32817.544157021104</v>
      </c>
      <c r="F37">
        <f>sumatera!G43</f>
        <v>18740.102753040665</v>
      </c>
      <c r="G37">
        <f>sumatera!H43</f>
        <v>16161.202796819985</v>
      </c>
      <c r="H37">
        <f>sumatera!I43</f>
        <v>14243.883384956094</v>
      </c>
      <c r="I37">
        <f>sumatera!J43</f>
        <v>18190.719676056207</v>
      </c>
      <c r="J37">
        <f>sumatera!K43</f>
        <v>9821.5694976932318</v>
      </c>
      <c r="K37">
        <f>sumatera!L43</f>
        <v>8601.6485285940616</v>
      </c>
      <c r="L37">
        <f>sumatera!M43</f>
        <v>106.53312331048573</v>
      </c>
      <c r="M37">
        <f>sumatera!N43</f>
        <v>31.232310368697878</v>
      </c>
      <c r="N37">
        <f>sumatera!O43</f>
        <v>49.785142019003814</v>
      </c>
      <c r="O37">
        <f>sumatera!P43</f>
        <v>51.355124988368708</v>
      </c>
      <c r="P37">
        <f>sumatera!Q43</f>
        <v>193782.9543689079</v>
      </c>
      <c r="Q37">
        <f>sumatera!R43</f>
        <v>216115</v>
      </c>
      <c r="R37" s="45">
        <f>proj_rukn!C37</f>
        <v>175443</v>
      </c>
    </row>
    <row r="38" spans="1:18" x14ac:dyDescent="0.25">
      <c r="A38" t="str">
        <f>sumatera!B44</f>
        <v>SUMATERA</v>
      </c>
      <c r="B38">
        <f>sumatera!C44</f>
        <v>2035</v>
      </c>
      <c r="C38">
        <f>sumatera!D44</f>
        <v>58312.655635494404</v>
      </c>
      <c r="D38">
        <f>sumatera!E44</f>
        <v>22916.008938382511</v>
      </c>
      <c r="E38">
        <f>sumatera!F44</f>
        <v>36667.795890613066</v>
      </c>
      <c r="F38">
        <f>sumatera!G44</f>
        <v>18740.123608048121</v>
      </c>
      <c r="G38">
        <f>sumatera!H44</f>
        <v>16161.233008957011</v>
      </c>
      <c r="H38">
        <f>sumatera!I44</f>
        <v>14243.897521940398</v>
      </c>
      <c r="I38">
        <f>sumatera!J44</f>
        <v>18190.744814212907</v>
      </c>
      <c r="J38">
        <f>sumatera!K44</f>
        <v>9821.5719252566341</v>
      </c>
      <c r="K38">
        <f>sumatera!L44</f>
        <v>8628.1210386618295</v>
      </c>
      <c r="L38">
        <f>sumatera!M44</f>
        <v>106.53312331048573</v>
      </c>
      <c r="M38">
        <f>sumatera!N44</f>
        <v>31.245307874423943</v>
      </c>
      <c r="N38">
        <f>sumatera!O44</f>
        <v>49.788816751488959</v>
      </c>
      <c r="O38">
        <f>sumatera!P44</f>
        <v>53.842247855005951</v>
      </c>
      <c r="P38">
        <f>sumatera!Q44</f>
        <v>203869.71962950326</v>
      </c>
      <c r="Q38">
        <f>sumatera!R44</f>
        <v>228779</v>
      </c>
      <c r="R38" s="45">
        <f>proj_rukn!C38</f>
        <v>186529</v>
      </c>
    </row>
    <row r="39" spans="1:18" x14ac:dyDescent="0.25">
      <c r="A39" t="str">
        <f>sumatera!B45</f>
        <v>SUMATERA</v>
      </c>
      <c r="B39">
        <f>sumatera!C45</f>
        <v>2036</v>
      </c>
      <c r="C39">
        <f>sumatera!D45</f>
        <v>63289.906574528446</v>
      </c>
      <c r="D39">
        <f>sumatera!E45</f>
        <v>24004.508857638804</v>
      </c>
      <c r="E39">
        <f>sumatera!F45</f>
        <v>37600.696622814867</v>
      </c>
      <c r="F39">
        <f>sumatera!G45</f>
        <v>18740.123603050877</v>
      </c>
      <c r="G39">
        <f>sumatera!H45</f>
        <v>28335.653368340911</v>
      </c>
      <c r="H39">
        <f>sumatera!I45</f>
        <v>15352.412169451809</v>
      </c>
      <c r="I39">
        <f>sumatera!J45</f>
        <v>20161.255327917399</v>
      </c>
      <c r="J39">
        <f>sumatera!K45</f>
        <v>10012.016356476568</v>
      </c>
      <c r="K39">
        <f>sumatera!L45</f>
        <v>9160.2622873804794</v>
      </c>
      <c r="L39">
        <f>sumatera!M45</f>
        <v>457.50328522221525</v>
      </c>
      <c r="M39">
        <f>sumatera!N45</f>
        <v>35.823433146122298</v>
      </c>
      <c r="N39">
        <f>sumatera!O45</f>
        <v>511.37266839393709</v>
      </c>
      <c r="O39">
        <f>sumatera!P45</f>
        <v>59.84102339542828</v>
      </c>
      <c r="P39">
        <f>sumatera!Q45</f>
        <v>227661.53455436241</v>
      </c>
      <c r="Q39">
        <f>sumatera!R45</f>
        <v>250009</v>
      </c>
      <c r="R39" s="45">
        <f>proj_rukn!C39</f>
        <v>199012</v>
      </c>
    </row>
    <row r="40" spans="1:18" x14ac:dyDescent="0.25">
      <c r="A40" t="str">
        <f>sumatera!B46</f>
        <v>SUMATERA</v>
      </c>
      <c r="B40">
        <f>sumatera!C46</f>
        <v>2037</v>
      </c>
      <c r="C40">
        <f>sumatera!D46</f>
        <v>67530.196580849646</v>
      </c>
      <c r="D40">
        <f>sumatera!E46</f>
        <v>27949.314626989777</v>
      </c>
      <c r="E40">
        <f>sumatera!F46</f>
        <v>38362.075385455486</v>
      </c>
      <c r="F40">
        <f>sumatera!G46</f>
        <v>18740.124696243034</v>
      </c>
      <c r="G40">
        <f>sumatera!H46</f>
        <v>28335.658304457105</v>
      </c>
      <c r="H40">
        <f>sumatera!I46</f>
        <v>15352.414479505838</v>
      </c>
      <c r="I40">
        <f>sumatera!J46</f>
        <v>20161.263457222416</v>
      </c>
      <c r="J40">
        <f>sumatera!K46</f>
        <v>10014.596880540445</v>
      </c>
      <c r="K40">
        <f>sumatera!L46</f>
        <v>9160.2633956336067</v>
      </c>
      <c r="L40">
        <f>sumatera!M46</f>
        <v>457.50328522221525</v>
      </c>
      <c r="M40">
        <f>sumatera!N46</f>
        <v>35.825555600010752</v>
      </c>
      <c r="N40">
        <f>sumatera!O46</f>
        <v>511.37327227091475</v>
      </c>
      <c r="O40">
        <f>sumatera!P46</f>
        <v>62.043457654784056</v>
      </c>
      <c r="P40">
        <f>sumatera!Q46</f>
        <v>236610.60991999053</v>
      </c>
      <c r="Q40">
        <f>sumatera!R46</f>
        <v>280090</v>
      </c>
      <c r="R40" s="45">
        <f>proj_rukn!C40</f>
        <v>211866</v>
      </c>
    </row>
    <row r="41" spans="1:18" x14ac:dyDescent="0.25">
      <c r="A41" t="str">
        <f>sumatera!B47</f>
        <v>SUMATERA</v>
      </c>
      <c r="B41">
        <f>sumatera!C47</f>
        <v>2038</v>
      </c>
      <c r="C41">
        <f>sumatera!D47</f>
        <v>71206.761693783599</v>
      </c>
      <c r="D41">
        <f>sumatera!E47</f>
        <v>33092.701990484231</v>
      </c>
      <c r="E41">
        <f>sumatera!F47</f>
        <v>39621.355283635443</v>
      </c>
      <c r="F41">
        <f>sumatera!G47</f>
        <v>18780.729729251721</v>
      </c>
      <c r="G41">
        <f>sumatera!H47</f>
        <v>31090.546097984636</v>
      </c>
      <c r="H41">
        <f>sumatera!I47</f>
        <v>15410.815379932235</v>
      </c>
      <c r="I41">
        <f>sumatera!J47</f>
        <v>20265.078726326527</v>
      </c>
      <c r="J41">
        <f>sumatera!K47</f>
        <v>20190.852083963604</v>
      </c>
      <c r="K41">
        <f>sumatera!L47</f>
        <v>9188.2987119991958</v>
      </c>
      <c r="L41">
        <f>sumatera!M47</f>
        <v>457.50328522221525</v>
      </c>
      <c r="M41">
        <f>sumatera!N47</f>
        <v>44.873929762708961</v>
      </c>
      <c r="N41">
        <f>sumatera!O47</f>
        <v>529.19074581659561</v>
      </c>
      <c r="O41">
        <f>sumatera!P47</f>
        <v>69.802354389112125</v>
      </c>
      <c r="P41">
        <f>sumatera!Q47</f>
        <v>259878.70765816272</v>
      </c>
      <c r="Q41">
        <f>sumatera!R47</f>
        <v>305476</v>
      </c>
      <c r="R41" s="45">
        <f>proj_rukn!C41</f>
        <v>226751</v>
      </c>
    </row>
    <row r="42" spans="1:18" x14ac:dyDescent="0.25">
      <c r="A42" t="str">
        <f>Jawa!B28</f>
        <v>JAWA</v>
      </c>
      <c r="B42">
        <f>Jawa!C28</f>
        <v>2019</v>
      </c>
      <c r="C42">
        <f>Jawa!D28</f>
        <v>111748.58493333332</v>
      </c>
      <c r="D42">
        <f>Jawa!E28</f>
        <v>8659.4673168553854</v>
      </c>
      <c r="E42">
        <f>Jawa!F28</f>
        <v>27290.263987661539</v>
      </c>
      <c r="F42">
        <f>Jawa!G28</f>
        <v>165.55866313846153</v>
      </c>
      <c r="G42">
        <f>Jawa!H28</f>
        <v>7818.1140184615379</v>
      </c>
      <c r="H42">
        <f>Jawa!I28</f>
        <v>11539.290456000001</v>
      </c>
      <c r="I42">
        <f>Jawa!J28</f>
        <v>102.69577107692311</v>
      </c>
      <c r="J42">
        <f>Jawa!K28</f>
        <v>1.8395999999999999</v>
      </c>
      <c r="K42">
        <f>Jawa!L28</f>
        <v>0</v>
      </c>
      <c r="L42">
        <f>Jawa!M28</f>
        <v>19.980886153846154</v>
      </c>
      <c r="M42">
        <f>Jawa!N28</f>
        <v>0</v>
      </c>
      <c r="N42">
        <f>Jawa!O28</f>
        <v>0</v>
      </c>
      <c r="O42">
        <f>Jawa!P28</f>
        <v>0</v>
      </c>
      <c r="P42">
        <f>Jawa!Q28</f>
        <v>167345.79563268099</v>
      </c>
      <c r="Q42">
        <f>Jawa!R28</f>
        <v>202127</v>
      </c>
      <c r="R42" s="45">
        <f>proj_rukn!C42</f>
        <v>187575</v>
      </c>
    </row>
    <row r="43" spans="1:18" x14ac:dyDescent="0.25">
      <c r="A43" t="str">
        <f>Jawa!B29</f>
        <v>JAWA</v>
      </c>
      <c r="B43">
        <f>Jawa!C29</f>
        <v>2020</v>
      </c>
      <c r="C43">
        <f>Jawa!D29</f>
        <v>119242.17570683657</v>
      </c>
      <c r="D43">
        <f>Jawa!E29</f>
        <v>8659.4673168553854</v>
      </c>
      <c r="E43">
        <f>Jawa!F29</f>
        <v>30073.691688508923</v>
      </c>
      <c r="F43">
        <f>Jawa!G29</f>
        <v>165.55866313846153</v>
      </c>
      <c r="G43">
        <f>Jawa!H29</f>
        <v>7818.1140184615379</v>
      </c>
      <c r="H43">
        <f>Jawa!I29</f>
        <v>20859.597334176589</v>
      </c>
      <c r="I43">
        <f>Jawa!J29</f>
        <v>271.76230497700459</v>
      </c>
      <c r="J43">
        <f>Jawa!K29</f>
        <v>9441.5825470433319</v>
      </c>
      <c r="K43">
        <f>Jawa!L29</f>
        <v>46.349444568166923</v>
      </c>
      <c r="L43">
        <f>Jawa!M29</f>
        <v>19.980886153846154</v>
      </c>
      <c r="M43">
        <f>Jawa!N29</f>
        <v>16.740440143338652</v>
      </c>
      <c r="N43">
        <f>Jawa!O29</f>
        <v>0</v>
      </c>
      <c r="O43">
        <f>Jawa!P29</f>
        <v>50.269785711299363</v>
      </c>
      <c r="P43">
        <f>Jawa!Q29</f>
        <v>196615.02035086317</v>
      </c>
      <c r="Q43">
        <f>Jawa!R29</f>
        <v>218489</v>
      </c>
      <c r="R43" s="45">
        <f>proj_rukn!C43</f>
        <v>203080</v>
      </c>
    </row>
    <row r="44" spans="1:18" x14ac:dyDescent="0.25">
      <c r="A44" t="str">
        <f>Jawa!B30</f>
        <v>JAWA</v>
      </c>
      <c r="B44">
        <f>Jawa!C30</f>
        <v>2021</v>
      </c>
      <c r="C44">
        <f>Jawa!D30</f>
        <v>125322.70088733589</v>
      </c>
      <c r="D44">
        <f>Jawa!E30</f>
        <v>8659.4673168553854</v>
      </c>
      <c r="E44">
        <f>Jawa!F30</f>
        <v>37683.100603102983</v>
      </c>
      <c r="F44">
        <f>Jawa!G30</f>
        <v>165.55866313846153</v>
      </c>
      <c r="G44">
        <f>Jawa!H30</f>
        <v>7818.1140184615379</v>
      </c>
      <c r="H44">
        <f>Jawa!I30</f>
        <v>25519.751015088292</v>
      </c>
      <c r="I44">
        <f>Jawa!J30</f>
        <v>8799.4680534115814</v>
      </c>
      <c r="J44">
        <f>Jawa!K30</f>
        <v>10384.056434378837</v>
      </c>
      <c r="K44">
        <f>Jawa!L30</f>
        <v>5477.721578093764</v>
      </c>
      <c r="L44">
        <f>Jawa!M30</f>
        <v>19.980886153846154</v>
      </c>
      <c r="M44">
        <f>Jawa!N30</f>
        <v>23.929353297871842</v>
      </c>
      <c r="N44">
        <f>Jawa!O30</f>
        <v>0</v>
      </c>
      <c r="O44">
        <f>Jawa!P30</f>
        <v>59.723774888457555</v>
      </c>
      <c r="P44">
        <f>Jawa!Q30</f>
        <v>229873.84880931844</v>
      </c>
      <c r="Q44">
        <f>Jawa!R30</f>
        <v>234371</v>
      </c>
      <c r="R44" s="45">
        <f>proj_rukn!C44</f>
        <v>217964</v>
      </c>
    </row>
    <row r="45" spans="1:18" x14ac:dyDescent="0.25">
      <c r="A45" t="str">
        <f>Jawa!B31</f>
        <v>JAWA</v>
      </c>
      <c r="B45">
        <f>Jawa!C31</f>
        <v>2022</v>
      </c>
      <c r="C45">
        <f>Jawa!D31</f>
        <v>125322.70088733589</v>
      </c>
      <c r="D45">
        <f>Jawa!E31</f>
        <v>8659.4673168553854</v>
      </c>
      <c r="E45">
        <f>Jawa!F31</f>
        <v>54091.427585321246</v>
      </c>
      <c r="F45">
        <f>Jawa!G31</f>
        <v>229.38279863802785</v>
      </c>
      <c r="G45">
        <f>Jawa!H31</f>
        <v>7818.1140862126713</v>
      </c>
      <c r="H45">
        <f>Jawa!I31</f>
        <v>25519.751015088292</v>
      </c>
      <c r="I45">
        <f>Jawa!J31</f>
        <v>8799.4680534115814</v>
      </c>
      <c r="J45">
        <f>Jawa!K31</f>
        <v>10384.056434378837</v>
      </c>
      <c r="K45">
        <f>Jawa!L31</f>
        <v>5477.721578093764</v>
      </c>
      <c r="L45">
        <f>Jawa!M31</f>
        <v>19.980886153846154</v>
      </c>
      <c r="M45">
        <f>Jawa!N31</f>
        <v>23.92935329785994</v>
      </c>
      <c r="N45">
        <f>Jawa!O31</f>
        <v>0</v>
      </c>
      <c r="O45">
        <f>Jawa!P31</f>
        <v>63.776747250715104</v>
      </c>
      <c r="P45">
        <f>Jawa!Q31</f>
        <v>246345.99999478739</v>
      </c>
      <c r="Q45">
        <f>Jawa!R31</f>
        <v>246346</v>
      </c>
      <c r="R45" s="45">
        <f>proj_rukn!C45</f>
        <v>229142</v>
      </c>
    </row>
    <row r="46" spans="1:18" x14ac:dyDescent="0.25">
      <c r="A46" t="str">
        <f>Jawa!B32</f>
        <v>JAWA</v>
      </c>
      <c r="B46">
        <f>Jawa!C32</f>
        <v>2023</v>
      </c>
      <c r="C46">
        <f>Jawa!D32</f>
        <v>125322.70088733589</v>
      </c>
      <c r="D46">
        <f>Jawa!E32</f>
        <v>8659.4673168553854</v>
      </c>
      <c r="E46">
        <f>Jawa!F32</f>
        <v>65650.461979703061</v>
      </c>
      <c r="F46">
        <f>Jawa!G32</f>
        <v>235.3484125654816</v>
      </c>
      <c r="G46">
        <f>Jawa!H32</f>
        <v>7818.1140862126713</v>
      </c>
      <c r="H46">
        <f>Jawa!I32</f>
        <v>25519.751015088292</v>
      </c>
      <c r="I46">
        <f>Jawa!J32</f>
        <v>8799.4680534115814</v>
      </c>
      <c r="J46">
        <f>Jawa!K32</f>
        <v>10384.056434378837</v>
      </c>
      <c r="K46">
        <f>Jawa!L32</f>
        <v>5477.721578093764</v>
      </c>
      <c r="L46">
        <f>Jawa!M32</f>
        <v>19.980886153846154</v>
      </c>
      <c r="M46">
        <f>Jawa!N32</f>
        <v>23.92935329785994</v>
      </c>
      <c r="N46">
        <f>Jawa!O32</f>
        <v>0</v>
      </c>
      <c r="O46">
        <f>Jawa!P32</f>
        <v>66.622315195995654</v>
      </c>
      <c r="P46">
        <f>Jawa!Q32</f>
        <v>257911.00000309665</v>
      </c>
      <c r="Q46">
        <f>Jawa!R32</f>
        <v>257911</v>
      </c>
      <c r="R46" s="45">
        <f>proj_rukn!C46</f>
        <v>240179</v>
      </c>
    </row>
    <row r="47" spans="1:18" x14ac:dyDescent="0.25">
      <c r="A47" t="str">
        <f>Jawa!B33</f>
        <v>JAWA</v>
      </c>
      <c r="B47">
        <f>Jawa!C33</f>
        <v>2024</v>
      </c>
      <c r="C47">
        <f>Jawa!D33</f>
        <v>125322.70088733589</v>
      </c>
      <c r="D47">
        <f>Jawa!E33</f>
        <v>9986.0703121169408</v>
      </c>
      <c r="E47">
        <f>Jawa!F33</f>
        <v>77311.950241101309</v>
      </c>
      <c r="F47">
        <f>Jawa!G33</f>
        <v>242.26247761507003</v>
      </c>
      <c r="G47">
        <f>Jawa!H33</f>
        <v>7818.1140862126713</v>
      </c>
      <c r="H47">
        <f>Jawa!I33</f>
        <v>25519.751015088292</v>
      </c>
      <c r="I47">
        <f>Jawa!J33</f>
        <v>8799.4680534115814</v>
      </c>
      <c r="J47">
        <f>Jawa!K33</f>
        <v>10384.056434378837</v>
      </c>
      <c r="K47">
        <f>Jawa!L33</f>
        <v>5477.721578093764</v>
      </c>
      <c r="L47">
        <f>Jawa!M33</f>
        <v>19.980886153846154</v>
      </c>
      <c r="M47">
        <f>Jawa!N33</f>
        <v>23.92935329785994</v>
      </c>
      <c r="N47">
        <f>Jawa!O33</f>
        <v>0</v>
      </c>
      <c r="O47">
        <f>Jawa!P33</f>
        <v>69.819735910707152</v>
      </c>
      <c r="P47">
        <f>Jawa!Q33</f>
        <v>270906.00532480603</v>
      </c>
      <c r="Q47">
        <f>Jawa!R33</f>
        <v>270906</v>
      </c>
      <c r="R47" s="45">
        <f>proj_rukn!C47</f>
        <v>252553</v>
      </c>
    </row>
    <row r="48" spans="1:18" x14ac:dyDescent="0.25">
      <c r="A48" t="str">
        <f>Jawa!B34</f>
        <v>JAWA</v>
      </c>
      <c r="B48">
        <f>Jawa!C34</f>
        <v>2025</v>
      </c>
      <c r="C48">
        <f>Jawa!D34</f>
        <v>125322.70088733589</v>
      </c>
      <c r="D48">
        <f>Jawa!E34</f>
        <v>11247.204517772761</v>
      </c>
      <c r="E48">
        <f>Jawa!F34</f>
        <v>81282.845356092745</v>
      </c>
      <c r="F48">
        <f>Jawa!G34</f>
        <v>248.23356213709732</v>
      </c>
      <c r="G48">
        <f>Jawa!H34</f>
        <v>7818.1140862126713</v>
      </c>
      <c r="H48">
        <f>Jawa!I34</f>
        <v>27392.404977366466</v>
      </c>
      <c r="I48">
        <f>Jawa!J34</f>
        <v>8799.4680534115814</v>
      </c>
      <c r="J48">
        <f>Jawa!K34</f>
        <v>10384.056434378837</v>
      </c>
      <c r="K48">
        <f>Jawa!L34</f>
        <v>10709.093474763551</v>
      </c>
      <c r="L48">
        <f>Jawa!M34</f>
        <v>19.980886153846154</v>
      </c>
      <c r="M48">
        <f>Jawa!N34</f>
        <v>23.92935329785994</v>
      </c>
      <c r="N48">
        <f>Jawa!O34</f>
        <v>0</v>
      </c>
      <c r="O48">
        <f>Jawa!P34</f>
        <v>73.898214092639179</v>
      </c>
      <c r="P48">
        <f>Jawa!Q34</f>
        <v>283248.03158892324</v>
      </c>
      <c r="Q48">
        <f>Jawa!R34</f>
        <v>283248</v>
      </c>
      <c r="R48" s="45">
        <f>proj_rukn!C48</f>
        <v>264290</v>
      </c>
    </row>
    <row r="49" spans="1:18" x14ac:dyDescent="0.25">
      <c r="A49" t="str">
        <f>Jawa!B35</f>
        <v>JAWA</v>
      </c>
      <c r="B49">
        <f>Jawa!C35</f>
        <v>2026</v>
      </c>
      <c r="C49">
        <f>Jawa!D35</f>
        <v>125475.04843992632</v>
      </c>
      <c r="D49">
        <f>Jawa!E35</f>
        <v>11307.184701867223</v>
      </c>
      <c r="E49">
        <f>Jawa!F35</f>
        <v>81332.907872828378</v>
      </c>
      <c r="F49">
        <f>Jawa!G35</f>
        <v>248.23356213709732</v>
      </c>
      <c r="G49">
        <f>Jawa!H35</f>
        <v>8931.5631270002068</v>
      </c>
      <c r="H49">
        <f>Jawa!I35</f>
        <v>28506.304503321702</v>
      </c>
      <c r="I49">
        <f>Jawa!J35</f>
        <v>9976.6249997505784</v>
      </c>
      <c r="J49">
        <f>Jawa!K35</f>
        <v>10504.021250074604</v>
      </c>
      <c r="K49">
        <f>Jawa!L35</f>
        <v>11042.519546092948</v>
      </c>
      <c r="L49">
        <f>Jawa!M35</f>
        <v>240.68244631529535</v>
      </c>
      <c r="M49">
        <f>Jawa!N35</f>
        <v>23.92935329785994</v>
      </c>
      <c r="N49">
        <f>Jawa!O35</f>
        <v>54.04912166470961</v>
      </c>
      <c r="O49">
        <f>Jawa!P35</f>
        <v>75.069896627730728</v>
      </c>
      <c r="P49">
        <f>Jawa!Q35</f>
        <v>287643.06892427697</v>
      </c>
      <c r="Q49">
        <f>Jawa!R35</f>
        <v>287643</v>
      </c>
      <c r="R49" s="45">
        <f>proj_rukn!C49</f>
        <v>281902</v>
      </c>
    </row>
    <row r="50" spans="1:18" x14ac:dyDescent="0.25">
      <c r="A50" t="str">
        <f>Jawa!B36</f>
        <v>JAWA</v>
      </c>
      <c r="B50">
        <f>Jawa!C36</f>
        <v>2027</v>
      </c>
      <c r="C50">
        <f>Jawa!D36</f>
        <v>125475.04843992632</v>
      </c>
      <c r="D50">
        <f>Jawa!E36</f>
        <v>12321.726421957337</v>
      </c>
      <c r="E50">
        <f>Jawa!F36</f>
        <v>98274.74440090984</v>
      </c>
      <c r="F50">
        <f>Jawa!G36</f>
        <v>260.55641618119535</v>
      </c>
      <c r="G50">
        <f>Jawa!H36</f>
        <v>8931.5631270002068</v>
      </c>
      <c r="H50">
        <f>Jawa!I36</f>
        <v>29343.082196989249</v>
      </c>
      <c r="I50">
        <f>Jawa!J36</f>
        <v>9976.6249997505784</v>
      </c>
      <c r="J50">
        <f>Jawa!K36</f>
        <v>10504.021250074604</v>
      </c>
      <c r="K50">
        <f>Jawa!L36</f>
        <v>14161.971825932726</v>
      </c>
      <c r="L50">
        <f>Jawa!M36</f>
        <v>240.68244631529535</v>
      </c>
      <c r="M50">
        <f>Jawa!N36</f>
        <v>23.92935329785994</v>
      </c>
      <c r="N50">
        <f>Jawa!O36</f>
        <v>54.04912166470961</v>
      </c>
      <c r="O50">
        <f>Jawa!P36</f>
        <v>81.085701787089633</v>
      </c>
      <c r="P50">
        <f>Jawa!Q36</f>
        <v>309568</v>
      </c>
      <c r="Q50">
        <f>Jawa!R36</f>
        <v>309568</v>
      </c>
      <c r="R50" s="45">
        <f>proj_rukn!C50</f>
        <v>300547</v>
      </c>
    </row>
    <row r="51" spans="1:18" x14ac:dyDescent="0.25">
      <c r="A51" t="str">
        <f>Jawa!B37</f>
        <v>JAWA</v>
      </c>
      <c r="B51">
        <f>Jawa!C37</f>
        <v>2028</v>
      </c>
      <c r="C51">
        <f>Jawa!D37</f>
        <v>125475.04843992632</v>
      </c>
      <c r="D51">
        <f>Jawa!E37</f>
        <v>13953.971808618528</v>
      </c>
      <c r="E51">
        <f>Jawa!F37</f>
        <v>107684.96510264406</v>
      </c>
      <c r="F51">
        <f>Jawa!G37</f>
        <v>268.40669156103513</v>
      </c>
      <c r="G51">
        <f>Jawa!H37</f>
        <v>8931.5631270002068</v>
      </c>
      <c r="H51">
        <f>Jawa!I37</f>
        <v>29343.082196989249</v>
      </c>
      <c r="I51">
        <f>Jawa!J37</f>
        <v>9976.6249997505784</v>
      </c>
      <c r="J51">
        <f>Jawa!K37</f>
        <v>11619.414767682418</v>
      </c>
      <c r="K51">
        <f>Jawa!L37</f>
        <v>17831.261908900196</v>
      </c>
      <c r="L51">
        <f>Jawa!M37</f>
        <v>240.68244631529535</v>
      </c>
      <c r="M51">
        <f>Jawa!N37</f>
        <v>23.92935329785994</v>
      </c>
      <c r="N51">
        <f>Jawa!O37</f>
        <v>54.04912166470961</v>
      </c>
      <c r="O51">
        <f>Jawa!P37</f>
        <v>85.934677026759459</v>
      </c>
      <c r="P51">
        <f>Jawa!Q37</f>
        <v>325402.99996435054</v>
      </c>
      <c r="Q51">
        <f>Jawa!R37</f>
        <v>325403</v>
      </c>
      <c r="R51" s="45">
        <f>proj_rukn!C51</f>
        <v>319265</v>
      </c>
    </row>
    <row r="52" spans="1:18" x14ac:dyDescent="0.25">
      <c r="A52" t="str">
        <f>Jawa!B38</f>
        <v>JAWA</v>
      </c>
      <c r="B52">
        <f>Jawa!C38</f>
        <v>2029</v>
      </c>
      <c r="C52">
        <f>Jawa!D38</f>
        <v>125475.04843992632</v>
      </c>
      <c r="D52">
        <f>Jawa!E38</f>
        <v>15868.566577086887</v>
      </c>
      <c r="E52">
        <f>Jawa!F38</f>
        <v>116773.17799122949</v>
      </c>
      <c r="F52">
        <f>Jawa!G38</f>
        <v>275.90420934051463</v>
      </c>
      <c r="G52">
        <f>Jawa!H38</f>
        <v>8931.5631270002068</v>
      </c>
      <c r="H52">
        <f>Jawa!I38</f>
        <v>29343.082196989249</v>
      </c>
      <c r="I52">
        <f>Jawa!J38</f>
        <v>9976.6249997505784</v>
      </c>
      <c r="J52">
        <f>Jawa!K38</f>
        <v>12967.507974819953</v>
      </c>
      <c r="K52">
        <f>Jawa!L38</f>
        <v>21388.862979465466</v>
      </c>
      <c r="L52">
        <f>Jawa!M38</f>
        <v>240.68244631529535</v>
      </c>
      <c r="M52">
        <f>Jawa!N38</f>
        <v>23.92935329785994</v>
      </c>
      <c r="N52">
        <f>Jawa!O38</f>
        <v>54.04912166470961</v>
      </c>
      <c r="O52">
        <f>Jawa!P38</f>
        <v>90.827679041275317</v>
      </c>
      <c r="P52">
        <f>Jawa!Q38</f>
        <v>341318.9994168866</v>
      </c>
      <c r="Q52">
        <f>Jawa!R38</f>
        <v>341319</v>
      </c>
      <c r="R52" s="45">
        <f>proj_rukn!C52</f>
        <v>339231</v>
      </c>
    </row>
    <row r="53" spans="1:18" x14ac:dyDescent="0.25">
      <c r="A53" t="str">
        <f>Jawa!B39</f>
        <v>JAWA</v>
      </c>
      <c r="B53">
        <f>Jawa!C39</f>
        <v>2030</v>
      </c>
      <c r="C53">
        <f>Jawa!D39</f>
        <v>125475.04843992632</v>
      </c>
      <c r="D53">
        <f>Jawa!E39</f>
        <v>17890.253004961902</v>
      </c>
      <c r="E53">
        <f>Jawa!F39</f>
        <v>127835.64116528512</v>
      </c>
      <c r="F53">
        <f>Jawa!G39</f>
        <v>285.29020188256544</v>
      </c>
      <c r="G53">
        <f>Jawa!H39</f>
        <v>8931.5631270002068</v>
      </c>
      <c r="H53">
        <f>Jawa!I39</f>
        <v>29343.082196989249</v>
      </c>
      <c r="I53">
        <f>Jawa!J39</f>
        <v>9976.6249997505784</v>
      </c>
      <c r="J53">
        <f>Jawa!K39</f>
        <v>14555.141249961995</v>
      </c>
      <c r="K53">
        <f>Jawa!L39</f>
        <v>25521.694573251276</v>
      </c>
      <c r="L53">
        <f>Jawa!M39</f>
        <v>240.68244631529535</v>
      </c>
      <c r="M53">
        <f>Jawa!N39</f>
        <v>23.92935329785994</v>
      </c>
      <c r="N53">
        <f>Jawa!O39</f>
        <v>54.04912166470961</v>
      </c>
      <c r="O53">
        <f>Jawa!P39</f>
        <v>96.595979373863088</v>
      </c>
      <c r="P53">
        <f>Jawa!Q39</f>
        <v>360132.99988028716</v>
      </c>
      <c r="Q53">
        <f>Jawa!R39</f>
        <v>360133</v>
      </c>
      <c r="R53" s="45">
        <f>proj_rukn!C53</f>
        <v>359968</v>
      </c>
    </row>
    <row r="54" spans="1:18" x14ac:dyDescent="0.25">
      <c r="A54" t="str">
        <f>Jawa!B40</f>
        <v>JAWA</v>
      </c>
      <c r="B54">
        <f>Jawa!C40</f>
        <v>2031</v>
      </c>
      <c r="C54">
        <f>Jawa!D40</f>
        <v>125475.04843992632</v>
      </c>
      <c r="D54">
        <f>Jawa!E40</f>
        <v>20023.107949286517</v>
      </c>
      <c r="E54">
        <f>Jawa!F40</f>
        <v>143119.15216781228</v>
      </c>
      <c r="F54">
        <f>Jawa!G40</f>
        <v>298.79872675595084</v>
      </c>
      <c r="G54">
        <f>Jawa!H40</f>
        <v>8931.5631270002068</v>
      </c>
      <c r="H54">
        <f>Jawa!I40</f>
        <v>29343.082196989249</v>
      </c>
      <c r="I54">
        <f>Jawa!J40</f>
        <v>9976.6249997505784</v>
      </c>
      <c r="J54">
        <f>Jawa!K40</f>
        <v>17220.875102300186</v>
      </c>
      <c r="K54">
        <f>Jawa!L40</f>
        <v>30176.08636432164</v>
      </c>
      <c r="L54">
        <f>Jawa!M40</f>
        <v>240.68244631529535</v>
      </c>
      <c r="M54">
        <f>Jawa!N40</f>
        <v>23.92935329785994</v>
      </c>
      <c r="N54">
        <f>Jawa!O40</f>
        <v>54.04912166470961</v>
      </c>
      <c r="O54">
        <f>Jawa!P40</f>
        <v>104.14337267089721</v>
      </c>
      <c r="P54">
        <f>Jawa!Q40</f>
        <v>384882.99999542092</v>
      </c>
      <c r="Q54">
        <f>Jawa!R40</f>
        <v>384883</v>
      </c>
      <c r="R54" s="45">
        <f>proj_rukn!C54</f>
        <v>384123</v>
      </c>
    </row>
    <row r="55" spans="1:18" x14ac:dyDescent="0.25">
      <c r="A55" t="str">
        <f>Jawa!B41</f>
        <v>JAWA</v>
      </c>
      <c r="B55">
        <f>Jawa!C41</f>
        <v>2032</v>
      </c>
      <c r="C55">
        <f>Jawa!D41</f>
        <v>125475.05543726099</v>
      </c>
      <c r="D55">
        <f>Jawa!E41</f>
        <v>22276.218152999838</v>
      </c>
      <c r="E55">
        <f>Jawa!F41</f>
        <v>160071.81515451748</v>
      </c>
      <c r="F55">
        <f>Jawa!G41</f>
        <v>313.51681273669402</v>
      </c>
      <c r="G55">
        <f>Jawa!H41</f>
        <v>8931.5631270002068</v>
      </c>
      <c r="H55">
        <f>Jawa!I41</f>
        <v>29343.084789500968</v>
      </c>
      <c r="I55">
        <f>Jawa!J41</f>
        <v>9976.6249997505784</v>
      </c>
      <c r="J55">
        <f>Jawa!K41</f>
        <v>20234.875312201224</v>
      </c>
      <c r="K55">
        <f>Jawa!L41</f>
        <v>35298.62186459326</v>
      </c>
      <c r="L55">
        <f>Jawa!M41</f>
        <v>240.68244631529535</v>
      </c>
      <c r="M55">
        <f>Jawa!N41</f>
        <v>23.92935329785994</v>
      </c>
      <c r="N55">
        <f>Jawa!O41</f>
        <v>54.04912166470961</v>
      </c>
      <c r="O55">
        <f>Jawa!P41</f>
        <v>112.49479893501751</v>
      </c>
      <c r="P55">
        <f>Jawa!Q41</f>
        <v>412240.03657183913</v>
      </c>
      <c r="Q55">
        <f>Jawa!R41</f>
        <v>412240</v>
      </c>
      <c r="R55" s="45">
        <f>proj_rukn!C55</f>
        <v>409968</v>
      </c>
    </row>
    <row r="56" spans="1:18" x14ac:dyDescent="0.25">
      <c r="A56" t="str">
        <f>Jawa!B42</f>
        <v>JAWA</v>
      </c>
      <c r="B56">
        <f>Jawa!C42</f>
        <v>2033</v>
      </c>
      <c r="C56">
        <f>Jawa!D42</f>
        <v>125475.05543726099</v>
      </c>
      <c r="D56">
        <f>Jawa!E42</f>
        <v>24658.244403049179</v>
      </c>
      <c r="E56">
        <f>Jawa!F42</f>
        <v>176593.50259859647</v>
      </c>
      <c r="F56">
        <f>Jawa!G42</f>
        <v>327.6329740059137</v>
      </c>
      <c r="G56">
        <f>Jawa!H42</f>
        <v>8931.5631270002068</v>
      </c>
      <c r="H56">
        <f>Jawa!I42</f>
        <v>29343.084789500968</v>
      </c>
      <c r="I56">
        <f>Jawa!J42</f>
        <v>9976.6249997505784</v>
      </c>
      <c r="J56">
        <f>Jawa!K42</f>
        <v>21358.789399384186</v>
      </c>
      <c r="K56">
        <f>Jawa!L42</f>
        <v>42442.527184015882</v>
      </c>
      <c r="L56">
        <f>Jawa!M42</f>
        <v>240.68244631529535</v>
      </c>
      <c r="M56">
        <f>Jawa!N42</f>
        <v>23.92935329785994</v>
      </c>
      <c r="N56">
        <f>Jawa!O42</f>
        <v>54.04912166470961</v>
      </c>
      <c r="O56">
        <f>Jawa!P42</f>
        <v>120.83019787396043</v>
      </c>
      <c r="P56">
        <f>Jawa!Q42</f>
        <v>439425.68583384226</v>
      </c>
      <c r="Q56">
        <f>Jawa!R42</f>
        <v>439426</v>
      </c>
      <c r="R56" s="45">
        <f>proj_rukn!C56</f>
        <v>435072</v>
      </c>
    </row>
    <row r="57" spans="1:18" x14ac:dyDescent="0.25">
      <c r="A57" t="str">
        <f>Jawa!B43</f>
        <v>JAWA</v>
      </c>
      <c r="B57">
        <f>Jawa!C43</f>
        <v>2034</v>
      </c>
      <c r="C57">
        <f>Jawa!D43</f>
        <v>132172.28237726999</v>
      </c>
      <c r="D57">
        <f>Jawa!E43</f>
        <v>27175.117533954835</v>
      </c>
      <c r="E57">
        <f>Jawa!F43</f>
        <v>187653.58966174381</v>
      </c>
      <c r="F57">
        <f>Jawa!G43</f>
        <v>342.46762535557303</v>
      </c>
      <c r="G57">
        <f>Jawa!H43</f>
        <v>8931.5631270002068</v>
      </c>
      <c r="H57">
        <f>Jawa!I43</f>
        <v>29343.084789500968</v>
      </c>
      <c r="I57">
        <f>Jawa!J43</f>
        <v>9976.6249997505784</v>
      </c>
      <c r="J57">
        <f>Jawa!K43</f>
        <v>24219.196551894514</v>
      </c>
      <c r="K57">
        <f>Jawa!L43</f>
        <v>48563.449229655293</v>
      </c>
      <c r="L57">
        <f>Jawa!M43</f>
        <v>240.68244631529535</v>
      </c>
      <c r="M57">
        <f>Jawa!N43</f>
        <v>23.92935329785994</v>
      </c>
      <c r="N57">
        <f>Jawa!O43</f>
        <v>54.04912226653213</v>
      </c>
      <c r="O57">
        <f>Jawa!P43</f>
        <v>129.82061880220797</v>
      </c>
      <c r="P57">
        <f>Jawa!Q43</f>
        <v>468696.03681800561</v>
      </c>
      <c r="Q57">
        <f>Jawa!R43</f>
        <v>468696</v>
      </c>
      <c r="R57" s="45">
        <f>proj_rukn!C57</f>
        <v>464393</v>
      </c>
    </row>
    <row r="58" spans="1:18" x14ac:dyDescent="0.25">
      <c r="A58" t="str">
        <f>Jawa!B44</f>
        <v>JAWA</v>
      </c>
      <c r="B58">
        <f>Jawa!C44</f>
        <v>2035</v>
      </c>
      <c r="C58">
        <f>Jawa!D44</f>
        <v>139620.05045234339</v>
      </c>
      <c r="D58">
        <f>Jawa!E44</f>
        <v>29835.455618494936</v>
      </c>
      <c r="E58">
        <f>Jawa!F44</f>
        <v>198131.94789405467</v>
      </c>
      <c r="F58">
        <f>Jawa!G44</f>
        <v>357.06236379556037</v>
      </c>
      <c r="G58">
        <f>Jawa!H44</f>
        <v>8931.5631270002068</v>
      </c>
      <c r="H58">
        <f>Jawa!I44</f>
        <v>29343.084789500968</v>
      </c>
      <c r="I58">
        <f>Jawa!J44</f>
        <v>9976.6249997505784</v>
      </c>
      <c r="J58">
        <f>Jawa!K44</f>
        <v>27388.654048357126</v>
      </c>
      <c r="K58">
        <f>Jawa!L44</f>
        <v>54739.933019671102</v>
      </c>
      <c r="L58">
        <f>Jawa!M44</f>
        <v>240.68244631529535</v>
      </c>
      <c r="M58">
        <f>Jawa!N44</f>
        <v>23.92935329785994</v>
      </c>
      <c r="N58">
        <f>Jawa!O44</f>
        <v>54.049122821756264</v>
      </c>
      <c r="O58">
        <f>Jawa!P44</f>
        <v>139.05013450103209</v>
      </c>
      <c r="P58">
        <f>Jawa!Q44</f>
        <v>498643.03723540355</v>
      </c>
      <c r="Q58">
        <f>Jawa!R44</f>
        <v>498643</v>
      </c>
      <c r="R58" s="45">
        <f>proj_rukn!C58</f>
        <v>493655</v>
      </c>
    </row>
    <row r="59" spans="1:18" x14ac:dyDescent="0.25">
      <c r="A59" t="str">
        <f>Jawa!B45</f>
        <v>JAWA</v>
      </c>
      <c r="B59">
        <f>Jawa!C45</f>
        <v>2036</v>
      </c>
      <c r="C59">
        <f>Jawa!D45</f>
        <v>145169.38646969025</v>
      </c>
      <c r="D59">
        <f>Jawa!E45</f>
        <v>32652.139177104858</v>
      </c>
      <c r="E59">
        <f>Jawa!F45</f>
        <v>205464.69212053003</v>
      </c>
      <c r="F59">
        <f>Jawa!G45</f>
        <v>366.44655227589328</v>
      </c>
      <c r="G59">
        <f>Jawa!H45</f>
        <v>8931.5631270002068</v>
      </c>
      <c r="H59">
        <f>Jawa!I45</f>
        <v>29343.084789500968</v>
      </c>
      <c r="I59">
        <f>Jawa!J45</f>
        <v>9976.6249997505784</v>
      </c>
      <c r="J59">
        <f>Jawa!K45</f>
        <v>30483.338905535133</v>
      </c>
      <c r="K59">
        <f>Jawa!L45</f>
        <v>59486.100126676298</v>
      </c>
      <c r="L59">
        <f>Jawa!M45</f>
        <v>240.68244631529535</v>
      </c>
      <c r="M59">
        <f>Jawa!N45</f>
        <v>23.92935329785994</v>
      </c>
      <c r="N59">
        <f>Jawa!O45</f>
        <v>54.049122821756264</v>
      </c>
      <c r="O59">
        <f>Jawa!P45</f>
        <v>146.40571395898911</v>
      </c>
      <c r="P59">
        <f>Jawa!Q45</f>
        <v>522192.03719049919</v>
      </c>
      <c r="Q59">
        <f>Jawa!R45</f>
        <v>522192</v>
      </c>
      <c r="R59" s="45">
        <f>proj_rukn!C59</f>
        <v>526341</v>
      </c>
    </row>
    <row r="60" spans="1:18" x14ac:dyDescent="0.25">
      <c r="A60" t="str">
        <f>Jawa!B46</f>
        <v>JAWA</v>
      </c>
      <c r="B60">
        <f>Jawa!C46</f>
        <v>2037</v>
      </c>
      <c r="C60">
        <f>Jawa!D46</f>
        <v>148721.5055804248</v>
      </c>
      <c r="D60">
        <f>Jawa!E46</f>
        <v>35633.924962967991</v>
      </c>
      <c r="E60">
        <f>Jawa!F46</f>
        <v>209439.71030438491</v>
      </c>
      <c r="F60">
        <f>Jawa!G46</f>
        <v>370.57077330352359</v>
      </c>
      <c r="G60">
        <f>Jawa!H46</f>
        <v>8931.5631270002068</v>
      </c>
      <c r="H60">
        <f>Jawa!I46</f>
        <v>29343.084789500968</v>
      </c>
      <c r="I60">
        <f>Jawa!J46</f>
        <v>9976.6249997505784</v>
      </c>
      <c r="J60">
        <f>Jawa!K46</f>
        <v>33426.28271313123</v>
      </c>
      <c r="K60">
        <f>Jawa!L46</f>
        <v>62684.105216630109</v>
      </c>
      <c r="L60">
        <f>Jawa!M46</f>
        <v>240.68244631529535</v>
      </c>
      <c r="M60">
        <f>Jawa!N46</f>
        <v>23.92935329785994</v>
      </c>
      <c r="N60">
        <f>Jawa!O46</f>
        <v>54.049122821756264</v>
      </c>
      <c r="O60">
        <f>Jawa!P46</f>
        <v>151.72627627308907</v>
      </c>
      <c r="P60">
        <f>Jawa!Q46</f>
        <v>538846.03338952921</v>
      </c>
      <c r="Q60">
        <f>Jawa!R46</f>
        <v>538846</v>
      </c>
      <c r="R60" s="45">
        <f>proj_rukn!C60</f>
        <v>560085</v>
      </c>
    </row>
    <row r="61" spans="1:18" x14ac:dyDescent="0.25">
      <c r="A61" t="str">
        <f>Jawa!B47</f>
        <v>JAWA</v>
      </c>
      <c r="B61">
        <f>Jawa!C47</f>
        <v>2038</v>
      </c>
      <c r="C61">
        <f>Jawa!D47</f>
        <v>155971.77458477518</v>
      </c>
      <c r="D61">
        <f>Jawa!E47</f>
        <v>38776.511012185998</v>
      </c>
      <c r="E61">
        <f>Jawa!F47</f>
        <v>219448.46524111545</v>
      </c>
      <c r="F61">
        <f>Jawa!G47</f>
        <v>383.64361170557163</v>
      </c>
      <c r="G61">
        <f>Jawa!H47</f>
        <v>8931.5631270002068</v>
      </c>
      <c r="H61">
        <f>Jawa!I47</f>
        <v>29343.084789500968</v>
      </c>
      <c r="I61">
        <f>Jawa!J47</f>
        <v>11849.101716242336</v>
      </c>
      <c r="J61">
        <f>Jawa!K47</f>
        <v>37518.455722777551</v>
      </c>
      <c r="K61">
        <f>Jawa!L47</f>
        <v>66698.78941077659</v>
      </c>
      <c r="L61">
        <f>Jawa!M47</f>
        <v>240.68244643668532</v>
      </c>
      <c r="M61">
        <f>Jawa!N47</f>
        <v>23.92935329785994</v>
      </c>
      <c r="N61">
        <f>Jawa!O47</f>
        <v>54.049122821756264</v>
      </c>
      <c r="O61">
        <f>Jawa!P47</f>
        <v>160.81904154795478</v>
      </c>
      <c r="P61">
        <f>Jawa!Q47</f>
        <v>569240.05013863614</v>
      </c>
      <c r="Q61">
        <f>Jawa!R47</f>
        <v>569240</v>
      </c>
      <c r="R61" s="45">
        <f>proj_rukn!C61</f>
        <v>598885</v>
      </c>
    </row>
    <row r="62" spans="1:18" x14ac:dyDescent="0.25">
      <c r="A62" t="str">
        <f>bali_nt!B28</f>
        <v>BALI_NT</v>
      </c>
      <c r="B62">
        <f>bali_nt!C28</f>
        <v>2019</v>
      </c>
      <c r="C62">
        <f>bali_nt!D28</f>
        <v>2518.3558298666662</v>
      </c>
      <c r="D62">
        <f>bali_nt!E28</f>
        <v>1974.5776102799998</v>
      </c>
      <c r="E62">
        <f>bali_nt!F28</f>
        <v>0</v>
      </c>
      <c r="F62">
        <f>bali_nt!G28</f>
        <v>2908.6453329230771</v>
      </c>
      <c r="G62">
        <f>bali_nt!H28</f>
        <v>159.63280615384616</v>
      </c>
      <c r="H62">
        <f>bali_nt!I28</f>
        <v>32.406878769230765</v>
      </c>
      <c r="I62">
        <f>bali_nt!J28</f>
        <v>94.705033846153867</v>
      </c>
      <c r="J62">
        <f>bali_nt!K28</f>
        <v>7.5975479999999997</v>
      </c>
      <c r="K62">
        <f>bali_nt!L28</f>
        <v>0</v>
      </c>
      <c r="L62">
        <f>bali_nt!M28</f>
        <v>0</v>
      </c>
      <c r="M62">
        <f>bali_nt!N28</f>
        <v>0</v>
      </c>
      <c r="N62">
        <f>bali_nt!O28</f>
        <v>0</v>
      </c>
      <c r="O62">
        <f>bali_nt!P28</f>
        <v>0</v>
      </c>
      <c r="P62">
        <f>bali_nt!Q28</f>
        <v>7695.9210398389732</v>
      </c>
      <c r="Q62">
        <f>bali_nt!R28</f>
        <v>7544</v>
      </c>
      <c r="R62" s="45">
        <f>proj_rukn!C62</f>
        <v>8627</v>
      </c>
    </row>
    <row r="63" spans="1:18" x14ac:dyDescent="0.25">
      <c r="A63" t="str">
        <f>bali_nt!B29</f>
        <v>BALI_NT</v>
      </c>
      <c r="B63">
        <f>bali_nt!C29</f>
        <v>2020</v>
      </c>
      <c r="C63">
        <f>bali_nt!D29</f>
        <v>2555.4121038177236</v>
      </c>
      <c r="D63">
        <f>bali_nt!E29</f>
        <v>1974.5776102799998</v>
      </c>
      <c r="E63">
        <f>bali_nt!F29</f>
        <v>0</v>
      </c>
      <c r="F63">
        <f>bali_nt!G29</f>
        <v>2908.6453329230771</v>
      </c>
      <c r="G63">
        <f>bali_nt!H29</f>
        <v>159.63280615384616</v>
      </c>
      <c r="H63">
        <f>bali_nt!I29</f>
        <v>32.406878769230765</v>
      </c>
      <c r="I63">
        <f>bali_nt!J29</f>
        <v>94.705033846153867</v>
      </c>
      <c r="J63">
        <f>bali_nt!K29</f>
        <v>24.402527123057592</v>
      </c>
      <c r="K63">
        <f>bali_nt!L29</f>
        <v>0</v>
      </c>
      <c r="L63">
        <f>bali_nt!M29</f>
        <v>169.21770527177429</v>
      </c>
      <c r="M63">
        <f>bali_nt!N29</f>
        <v>0</v>
      </c>
      <c r="N63">
        <f>bali_nt!O29</f>
        <v>0</v>
      </c>
      <c r="O63">
        <f>bali_nt!P29</f>
        <v>1.9533290140790678</v>
      </c>
      <c r="P63">
        <f>bali_nt!Q29</f>
        <v>7918.9999981848632</v>
      </c>
      <c r="Q63">
        <f>bali_nt!R29</f>
        <v>7919</v>
      </c>
      <c r="R63" s="45">
        <f>proj_rukn!C63</f>
        <v>9253</v>
      </c>
    </row>
    <row r="64" spans="1:18" x14ac:dyDescent="0.25">
      <c r="A64" t="str">
        <f>bali_nt!B30</f>
        <v>BALI_NT</v>
      </c>
      <c r="B64">
        <f>bali_nt!C30</f>
        <v>2021</v>
      </c>
      <c r="C64">
        <f>bali_nt!D30</f>
        <v>2955.2968870798381</v>
      </c>
      <c r="D64">
        <f>bali_nt!E30</f>
        <v>1974.5776102799998</v>
      </c>
      <c r="E64">
        <f>bali_nt!F30</f>
        <v>0</v>
      </c>
      <c r="F64">
        <f>bali_nt!G30</f>
        <v>2908.6453329230771</v>
      </c>
      <c r="G64">
        <f>bali_nt!H30</f>
        <v>1076.6485906812895</v>
      </c>
      <c r="H64">
        <f>bali_nt!I30</f>
        <v>32.406878769230765</v>
      </c>
      <c r="I64">
        <f>bali_nt!J30</f>
        <v>94.705033846153867</v>
      </c>
      <c r="J64">
        <f>bali_nt!K30</f>
        <v>77.361055607877603</v>
      </c>
      <c r="K64">
        <f>bali_nt!L30</f>
        <v>0</v>
      </c>
      <c r="L64">
        <f>bali_nt!M30</f>
        <v>169.21770277416348</v>
      </c>
      <c r="M64">
        <f>bali_nt!N30</f>
        <v>-9.9999999996259286E-7</v>
      </c>
      <c r="N64">
        <f>bali_nt!O30</f>
        <v>0</v>
      </c>
      <c r="O64">
        <f>bali_nt!P30</f>
        <v>2.3009284376943229</v>
      </c>
      <c r="P64">
        <f>bali_nt!Q30</f>
        <v>9288.8590909616305</v>
      </c>
      <c r="Q64">
        <f>bali_nt!R30</f>
        <v>10148</v>
      </c>
      <c r="R64" s="45">
        <f>proj_rukn!C64</f>
        <v>11683</v>
      </c>
    </row>
    <row r="65" spans="1:18" x14ac:dyDescent="0.25">
      <c r="A65" t="str">
        <f>bali_nt!B31</f>
        <v>BALI_NT</v>
      </c>
      <c r="B65">
        <f>bali_nt!C31</f>
        <v>2022</v>
      </c>
      <c r="C65">
        <f>bali_nt!D31</f>
        <v>3227.4250615552132</v>
      </c>
      <c r="D65">
        <f>bali_nt!E31</f>
        <v>1974.5776102799998</v>
      </c>
      <c r="E65">
        <f>bali_nt!F31</f>
        <v>374.56125869526869</v>
      </c>
      <c r="F65">
        <f>bali_nt!G31</f>
        <v>2908.6453279258335</v>
      </c>
      <c r="G65">
        <f>bali_nt!H31</f>
        <v>1076.6485906812895</v>
      </c>
      <c r="H65">
        <f>bali_nt!I31</f>
        <v>364.08249467805393</v>
      </c>
      <c r="I65">
        <f>bali_nt!J31</f>
        <v>94.705033846153867</v>
      </c>
      <c r="J65">
        <f>bali_nt!K31</f>
        <v>101.13692206163732</v>
      </c>
      <c r="K65">
        <f>bali_nt!L31</f>
        <v>0</v>
      </c>
      <c r="L65">
        <f>bali_nt!M31</f>
        <v>169.21770027655276</v>
      </c>
      <c r="M65">
        <f>bali_nt!N31</f>
        <v>3.5267822873381449E-14</v>
      </c>
      <c r="N65">
        <f>bali_nt!O31</f>
        <v>0</v>
      </c>
      <c r="O65">
        <f>bali_nt!P31</f>
        <v>2.5522396696366352</v>
      </c>
      <c r="P65">
        <f>bali_nt!Q31</f>
        <v>10291.000000000002</v>
      </c>
      <c r="Q65">
        <f>bali_nt!R31</f>
        <v>10291</v>
      </c>
      <c r="R65" s="45">
        <f>proj_rukn!C65</f>
        <v>12115</v>
      </c>
    </row>
    <row r="66" spans="1:18" x14ac:dyDescent="0.25">
      <c r="A66" t="str">
        <f>bali_nt!B32</f>
        <v>BALI_NT</v>
      </c>
      <c r="B66">
        <f>bali_nt!C32</f>
        <v>2023</v>
      </c>
      <c r="C66">
        <f>bali_nt!D32</f>
        <v>3234.9085379905941</v>
      </c>
      <c r="D66">
        <f>bali_nt!E32</f>
        <v>1978.4871093972947</v>
      </c>
      <c r="E66">
        <f>bali_nt!F32</f>
        <v>378.83168775178228</v>
      </c>
      <c r="F66">
        <f>bali_nt!G32</f>
        <v>2915.1815874404692</v>
      </c>
      <c r="G66">
        <f>bali_nt!H32</f>
        <v>1086.6640565188095</v>
      </c>
      <c r="H66">
        <f>bali_nt!I32</f>
        <v>369.88877687413685</v>
      </c>
      <c r="I66">
        <f>bali_nt!J32</f>
        <v>94.708191396121919</v>
      </c>
      <c r="J66">
        <f>bali_nt!K32</f>
        <v>138.26838523526621</v>
      </c>
      <c r="K66">
        <f>bali_nt!L32</f>
        <v>1.6004015536699622E-4</v>
      </c>
      <c r="L66">
        <f>bali_nt!M32</f>
        <v>173.07163810426835</v>
      </c>
      <c r="M66">
        <f>bali_nt!N32</f>
        <v>1.6025110439297517E-4</v>
      </c>
      <c r="N66">
        <f>bali_nt!O32</f>
        <v>0</v>
      </c>
      <c r="O66">
        <f>bali_nt!P32</f>
        <v>2.5790742006978569</v>
      </c>
      <c r="P66">
        <f>bali_nt!Q32</f>
        <v>10370.010291000001</v>
      </c>
      <c r="Q66">
        <f>bali_nt!R32</f>
        <v>10370</v>
      </c>
      <c r="R66" s="45">
        <f>proj_rukn!C66</f>
        <v>12451</v>
      </c>
    </row>
    <row r="67" spans="1:18" x14ac:dyDescent="0.25">
      <c r="A67" t="str">
        <f>bali_nt!B33</f>
        <v>BALI_NT</v>
      </c>
      <c r="B67">
        <f>bali_nt!C33</f>
        <v>2024</v>
      </c>
      <c r="C67">
        <f>bali_nt!D33</f>
        <v>3234.9085379905941</v>
      </c>
      <c r="D67">
        <f>bali_nt!E33</f>
        <v>1978.4871093972947</v>
      </c>
      <c r="E67">
        <f>bali_nt!F33</f>
        <v>378.83168775178228</v>
      </c>
      <c r="F67">
        <f>bali_nt!G33</f>
        <v>2915.1815874404692</v>
      </c>
      <c r="G67">
        <f>bali_nt!H33</f>
        <v>1086.6640565188095</v>
      </c>
      <c r="H67">
        <f>bali_nt!I33</f>
        <v>369.88877243483842</v>
      </c>
      <c r="I67">
        <f>bali_nt!J33</f>
        <v>94.708191396121919</v>
      </c>
      <c r="J67">
        <f>bali_nt!K33</f>
        <v>138.26838523526621</v>
      </c>
      <c r="K67">
        <f>bali_nt!L33</f>
        <v>1.6004015536699622E-4</v>
      </c>
      <c r="L67">
        <f>bali_nt!M33</f>
        <v>398.0613515435669</v>
      </c>
      <c r="M67">
        <f>bali_nt!N33</f>
        <v>1.6025110439297517E-4</v>
      </c>
      <c r="N67">
        <f>bali_nt!O33</f>
        <v>0</v>
      </c>
      <c r="O67">
        <f>bali_nt!P33</f>
        <v>2.6344329126294097</v>
      </c>
      <c r="P67">
        <f>bali_nt!Q33</f>
        <v>10595.000000000002</v>
      </c>
      <c r="Q67">
        <f>bali_nt!R33</f>
        <v>10595</v>
      </c>
      <c r="R67" s="45">
        <f>proj_rukn!C67</f>
        <v>12894</v>
      </c>
    </row>
    <row r="68" spans="1:18" x14ac:dyDescent="0.25">
      <c r="A68" t="str">
        <f>bali_nt!B34</f>
        <v>BALI_NT</v>
      </c>
      <c r="B68">
        <f>bali_nt!C34</f>
        <v>2025</v>
      </c>
      <c r="C68">
        <f>bali_nt!D34</f>
        <v>3240.8999999999996</v>
      </c>
      <c r="D68">
        <f>bali_nt!E34</f>
        <v>1978.4871093972947</v>
      </c>
      <c r="E68">
        <f>bali_nt!F34</f>
        <v>398.1728906027061</v>
      </c>
      <c r="F68">
        <f>bali_nt!G34</f>
        <v>2915.1815874404692</v>
      </c>
      <c r="G68">
        <f>bali_nt!H34</f>
        <v>1086.6640565188095</v>
      </c>
      <c r="H68">
        <f>bali_nt!I34</f>
        <v>369.88877243483842</v>
      </c>
      <c r="I68">
        <f>bali_nt!J34</f>
        <v>94.708191396121919</v>
      </c>
      <c r="J68">
        <f>bali_nt!K34</f>
        <v>147.19243886626069</v>
      </c>
      <c r="K68">
        <f>bali_nt!L34</f>
        <v>1.6004015536699622E-4</v>
      </c>
      <c r="L68">
        <f>bali_nt!M34</f>
        <v>571.80463305224214</v>
      </c>
      <c r="M68">
        <f>bali_nt!N34</f>
        <v>1.6025110439297517E-4</v>
      </c>
      <c r="N68">
        <f>bali_nt!O34</f>
        <v>0</v>
      </c>
      <c r="O68">
        <f>bali_nt!P34</f>
        <v>2.6873883536749958</v>
      </c>
      <c r="P68">
        <f>bali_nt!Q34</f>
        <v>10803.000000000002</v>
      </c>
      <c r="Q68">
        <f>bali_nt!R34</f>
        <v>10803</v>
      </c>
      <c r="R68" s="45">
        <f>proj_rukn!C68</f>
        <v>13474</v>
      </c>
    </row>
    <row r="69" spans="1:18" x14ac:dyDescent="0.25">
      <c r="A69" t="str">
        <f>bali_nt!B35</f>
        <v>BALI_NT</v>
      </c>
      <c r="B69">
        <f>bali_nt!C35</f>
        <v>2026</v>
      </c>
      <c r="C69">
        <f>bali_nt!D35</f>
        <v>3251.4779997792148</v>
      </c>
      <c r="D69">
        <f>bali_nt!E35</f>
        <v>1978.4871093972947</v>
      </c>
      <c r="E69">
        <f>bali_nt!F35</f>
        <v>398.17288783521997</v>
      </c>
      <c r="F69">
        <f>bali_nt!G35</f>
        <v>2915.1815874404692</v>
      </c>
      <c r="G69">
        <f>bali_nt!H35</f>
        <v>1086.664050029671</v>
      </c>
      <c r="H69">
        <f>bali_nt!I35</f>
        <v>369.88877243483842</v>
      </c>
      <c r="I69">
        <f>bali_nt!J35</f>
        <v>94.708191396121919</v>
      </c>
      <c r="J69">
        <f>bali_nt!K35</f>
        <v>161.18424437258028</v>
      </c>
      <c r="K69">
        <f>bali_nt!L35</f>
        <v>1.6004700074764893E-4</v>
      </c>
      <c r="L69">
        <f>bali_nt!M35</f>
        <v>655.23483595600544</v>
      </c>
      <c r="M69">
        <f>bali_nt!N35</f>
        <v>1.6025769279790056E-4</v>
      </c>
      <c r="N69">
        <f>bali_nt!O35</f>
        <v>0</v>
      </c>
      <c r="O69">
        <f>bali_nt!P35</f>
        <v>2.7167479384129769</v>
      </c>
      <c r="P69">
        <f>bali_nt!Q35</f>
        <v>10910.999998946107</v>
      </c>
      <c r="Q69">
        <f>bali_nt!R35</f>
        <v>10911</v>
      </c>
      <c r="R69" s="45">
        <f>proj_rukn!C69</f>
        <v>14161</v>
      </c>
    </row>
    <row r="70" spans="1:18" x14ac:dyDescent="0.25">
      <c r="A70" t="str">
        <f>bali_nt!B36</f>
        <v>BALI_NT</v>
      </c>
      <c r="B70">
        <f>bali_nt!C36</f>
        <v>2027</v>
      </c>
      <c r="C70">
        <f>bali_nt!D36</f>
        <v>3282.64</v>
      </c>
      <c r="D70">
        <f>bali_nt!E36</f>
        <v>1978.4871093972947</v>
      </c>
      <c r="E70">
        <f>bali_nt!F36</f>
        <v>398.17288783521997</v>
      </c>
      <c r="F70">
        <f>bali_nt!G36</f>
        <v>2915.1815874404692</v>
      </c>
      <c r="G70">
        <f>bali_nt!H36</f>
        <v>1086.664050029671</v>
      </c>
      <c r="H70">
        <f>bali_nt!I36</f>
        <v>369.88877243483842</v>
      </c>
      <c r="I70">
        <f>bali_nt!J36</f>
        <v>94.708191396121919</v>
      </c>
      <c r="J70">
        <f>bali_nt!K36</f>
        <v>179.81102088680242</v>
      </c>
      <c r="K70">
        <f>bali_nt!L36</f>
        <v>1.6009228547207837E-4</v>
      </c>
      <c r="L70">
        <f>bali_nt!M36</f>
        <v>784.44606018600393</v>
      </c>
      <c r="M70">
        <f>bali_nt!N36</f>
        <v>1.6030129202488375E-4</v>
      </c>
      <c r="N70">
        <f>bali_nt!O36</f>
        <v>0</v>
      </c>
      <c r="O70">
        <f>bali_nt!P36</f>
        <v>2.7645000334551733</v>
      </c>
      <c r="P70">
        <f>bali_nt!Q36</f>
        <v>11089.999999999998</v>
      </c>
      <c r="Q70">
        <f>bali_nt!R36</f>
        <v>11090</v>
      </c>
      <c r="R70" s="45">
        <f>proj_rukn!C70</f>
        <v>14806</v>
      </c>
    </row>
    <row r="71" spans="1:18" x14ac:dyDescent="0.25">
      <c r="A71" t="str">
        <f>bali_nt!B37</f>
        <v>BALI_NT</v>
      </c>
      <c r="B71">
        <f>bali_nt!C37</f>
        <v>2028</v>
      </c>
      <c r="C71">
        <f>bali_nt!D37</f>
        <v>3352.482002166344</v>
      </c>
      <c r="D71">
        <f>bali_nt!E37</f>
        <v>1978.4871064079109</v>
      </c>
      <c r="E71">
        <f>bali_nt!F37</f>
        <v>631.61080453433465</v>
      </c>
      <c r="F71">
        <f>bali_nt!G37</f>
        <v>2915.1815874404692</v>
      </c>
      <c r="G71">
        <f>bali_nt!H37</f>
        <v>1086.664050029671</v>
      </c>
      <c r="H71">
        <f>bali_nt!I37</f>
        <v>369.88877243483842</v>
      </c>
      <c r="I71">
        <f>bali_nt!J37</f>
        <v>94.708191396121919</v>
      </c>
      <c r="J71">
        <f>bali_nt!K37</f>
        <v>189.53111093475391</v>
      </c>
      <c r="K71">
        <f>bali_nt!L37</f>
        <v>1.6021048797348382E-4</v>
      </c>
      <c r="L71">
        <f>bali_nt!M37</f>
        <v>784.44606018600393</v>
      </c>
      <c r="M71">
        <f>bali_nt!N37</f>
        <v>1.6041504829857769E-4</v>
      </c>
      <c r="N71">
        <f>bali_nt!O37</f>
        <v>0</v>
      </c>
      <c r="O71">
        <f>bali_nt!P37</f>
        <v>2.8434492379870782</v>
      </c>
      <c r="P71">
        <f>bali_nt!Q37</f>
        <v>11403.000006155982</v>
      </c>
      <c r="Q71">
        <f>bali_nt!R37</f>
        <v>11403</v>
      </c>
      <c r="R71" s="45">
        <f>proj_rukn!C71</f>
        <v>15543</v>
      </c>
    </row>
    <row r="72" spans="1:18" x14ac:dyDescent="0.25">
      <c r="A72" t="str">
        <f>bali_nt!B38</f>
        <v>BALI_NT</v>
      </c>
      <c r="B72">
        <f>bali_nt!C38</f>
        <v>2029</v>
      </c>
      <c r="C72">
        <f>bali_nt!D38</f>
        <v>3431.8760000000011</v>
      </c>
      <c r="D72">
        <f>bali_nt!E38</f>
        <v>1978.4871034185273</v>
      </c>
      <c r="E72">
        <f>bali_nt!F38</f>
        <v>631.61080453433465</v>
      </c>
      <c r="F72">
        <f>bali_nt!G38</f>
        <v>2915.1815874404692</v>
      </c>
      <c r="G72">
        <f>bali_nt!H38</f>
        <v>1086.664050029671</v>
      </c>
      <c r="H72">
        <f>bali_nt!I38</f>
        <v>369.88877243483842</v>
      </c>
      <c r="I72">
        <f>bali_nt!J38</f>
        <v>94.708191396121919</v>
      </c>
      <c r="J72">
        <f>bali_nt!K38</f>
        <v>220.33344132218357</v>
      </c>
      <c r="K72">
        <f>bali_nt!L38</f>
        <v>1.6035747219856651E-4</v>
      </c>
      <c r="L72">
        <f>bali_nt!M38</f>
        <v>1024.2497285099118</v>
      </c>
      <c r="M72">
        <f>bali_nt!N38</f>
        <v>1.6055647022848382E-4</v>
      </c>
      <c r="N72">
        <f>bali_nt!O38</f>
        <v>0</v>
      </c>
      <c r="O72">
        <f>bali_nt!P38</f>
        <v>2.9357003944790194</v>
      </c>
      <c r="P72">
        <f>bali_nt!Q38</f>
        <v>11753.000000000002</v>
      </c>
      <c r="Q72">
        <f>bali_nt!R38</f>
        <v>11753</v>
      </c>
      <c r="R72" s="45">
        <f>proj_rukn!C72</f>
        <v>16297</v>
      </c>
    </row>
    <row r="73" spans="1:18" x14ac:dyDescent="0.25">
      <c r="A73" t="str">
        <f>bali_nt!B39</f>
        <v>BALI_NT</v>
      </c>
      <c r="B73">
        <f>bali_nt!C39</f>
        <v>2030</v>
      </c>
      <c r="C73">
        <f>bali_nt!D39</f>
        <v>3775.911559569472</v>
      </c>
      <c r="D73">
        <f>bali_nt!E39</f>
        <v>1978.4871004291435</v>
      </c>
      <c r="E73">
        <f>bali_nt!F39</f>
        <v>1147.7898074415436</v>
      </c>
      <c r="F73">
        <f>bali_nt!G39</f>
        <v>2915.1815874404692</v>
      </c>
      <c r="G73">
        <f>bali_nt!H39</f>
        <v>1086.664050029671</v>
      </c>
      <c r="H73">
        <f>bali_nt!I39</f>
        <v>732.34977749701716</v>
      </c>
      <c r="I73">
        <f>bali_nt!J39</f>
        <v>94.708191396121919</v>
      </c>
      <c r="J73">
        <f>bali_nt!K39</f>
        <v>265.04256494330173</v>
      </c>
      <c r="K73">
        <f>bali_nt!L39</f>
        <v>1.6035747219856651E-4</v>
      </c>
      <c r="L73">
        <f>bali_nt!M39</f>
        <v>1024.2497285099118</v>
      </c>
      <c r="M73">
        <f>bali_nt!N39</f>
        <v>1.6055647022848382E-4</v>
      </c>
      <c r="N73">
        <f>bali_nt!O39</f>
        <v>0</v>
      </c>
      <c r="O73">
        <f>bali_nt!P39</f>
        <v>3.2564432899865188</v>
      </c>
      <c r="P73">
        <f>bali_nt!Q39</f>
        <v>13020.384688170594</v>
      </c>
      <c r="Q73">
        <f>bali_nt!R39</f>
        <v>14675</v>
      </c>
      <c r="R73" s="45">
        <f>proj_rukn!C73</f>
        <v>17109</v>
      </c>
    </row>
    <row r="74" spans="1:18" x14ac:dyDescent="0.25">
      <c r="A74" t="str">
        <f>bali_nt!B40</f>
        <v>BALI_NT</v>
      </c>
      <c r="B74">
        <f>bali_nt!C40</f>
        <v>2031</v>
      </c>
      <c r="C74">
        <f>bali_nt!D40</f>
        <v>4178.0991864808366</v>
      </c>
      <c r="D74">
        <f>bali_nt!E40</f>
        <v>1978.48709743976</v>
      </c>
      <c r="E74">
        <f>bali_nt!F40</f>
        <v>1613.5176198264044</v>
      </c>
      <c r="F74">
        <f>bali_nt!G40</f>
        <v>2915.181582443226</v>
      </c>
      <c r="G74">
        <f>bali_nt!H40</f>
        <v>1086.6640435405325</v>
      </c>
      <c r="H74">
        <f>bali_nt!I40</f>
        <v>1284.3053948734525</v>
      </c>
      <c r="I74">
        <f>bali_nt!J40</f>
        <v>94.708191396121919</v>
      </c>
      <c r="J74">
        <f>bali_nt!K40</f>
        <v>332.0756765231655</v>
      </c>
      <c r="K74">
        <f>bali_nt!L40</f>
        <v>1.6035747219856651E-4</v>
      </c>
      <c r="L74">
        <f>bali_nt!M40</f>
        <v>1024.2497285099118</v>
      </c>
      <c r="M74">
        <f>bali_nt!N40</f>
        <v>1.6055647022848382E-4</v>
      </c>
      <c r="N74">
        <f>bali_nt!O40</f>
        <v>0</v>
      </c>
      <c r="O74">
        <f>bali_nt!P40</f>
        <v>3.635644319313692</v>
      </c>
      <c r="P74">
        <f>bali_nt!Q40</f>
        <v>14507.288841947353</v>
      </c>
      <c r="Q74">
        <f>bali_nt!R40</f>
        <v>14966</v>
      </c>
      <c r="R74" s="45">
        <f>proj_rukn!C74</f>
        <v>18105</v>
      </c>
    </row>
    <row r="75" spans="1:18" x14ac:dyDescent="0.25">
      <c r="A75" t="str">
        <f>bali_nt!B41</f>
        <v>BALI_NT</v>
      </c>
      <c r="B75">
        <f>bali_nt!C41</f>
        <v>2032</v>
      </c>
      <c r="C75">
        <f>bali_nt!D41</f>
        <v>4366.3619987845468</v>
      </c>
      <c r="D75">
        <f>bali_nt!E41</f>
        <v>2518.5520227043417</v>
      </c>
      <c r="E75">
        <f>bali_nt!F41</f>
        <v>1613.5176198264044</v>
      </c>
      <c r="F75">
        <f>bali_nt!G41</f>
        <v>2915.1815774459837</v>
      </c>
      <c r="G75">
        <f>bali_nt!H41</f>
        <v>1086.6640435405325</v>
      </c>
      <c r="H75">
        <f>bali_nt!I41</f>
        <v>1284.3053948734525</v>
      </c>
      <c r="I75">
        <f>bali_nt!J41</f>
        <v>94.708191396121919</v>
      </c>
      <c r="J75">
        <f>bali_nt!K41</f>
        <v>351.5425458722957</v>
      </c>
      <c r="K75">
        <f>bali_nt!L41</f>
        <v>1.6035747219856651E-4</v>
      </c>
      <c r="L75">
        <f>bali_nt!M41</f>
        <v>1036.1662823642957</v>
      </c>
      <c r="M75">
        <f>bali_nt!N41</f>
        <v>1.6055647022848382E-4</v>
      </c>
      <c r="N75">
        <f>bali_nt!O41</f>
        <v>0</v>
      </c>
      <c r="O75">
        <f>bali_nt!P41</f>
        <v>3.8264476662176641</v>
      </c>
      <c r="P75">
        <f>bali_nt!Q41</f>
        <v>15266.999997721914</v>
      </c>
      <c r="Q75">
        <f>bali_nt!R41</f>
        <v>15267</v>
      </c>
      <c r="R75" s="45">
        <f>proj_rukn!C75</f>
        <v>19166</v>
      </c>
    </row>
    <row r="76" spans="1:18" x14ac:dyDescent="0.25">
      <c r="A76" t="str">
        <f>bali_nt!B42</f>
        <v>BALI_NT</v>
      </c>
      <c r="B76">
        <f>bali_nt!C42</f>
        <v>2033</v>
      </c>
      <c r="C76">
        <f>bali_nt!D42</f>
        <v>4420.1760010131184</v>
      </c>
      <c r="D76">
        <f>bali_nt!E42</f>
        <v>2636.9664024483964</v>
      </c>
      <c r="E76">
        <f>bali_nt!F42</f>
        <v>1613.5176198264044</v>
      </c>
      <c r="F76">
        <f>bali_nt!G42</f>
        <v>2915.1815774459837</v>
      </c>
      <c r="G76">
        <f>bali_nt!H42</f>
        <v>1086.6640435405325</v>
      </c>
      <c r="H76">
        <f>bali_nt!I42</f>
        <v>1284.3053948734525</v>
      </c>
      <c r="I76">
        <f>bali_nt!J42</f>
        <v>94.708191396121919</v>
      </c>
      <c r="J76">
        <f>bali_nt!K42</f>
        <v>381.07167754215158</v>
      </c>
      <c r="K76">
        <f>bali_nt!L42</f>
        <v>1.6035747219856651E-4</v>
      </c>
      <c r="L76">
        <f>bali_nt!M42</f>
        <v>1131.4087718680885</v>
      </c>
      <c r="M76">
        <f>bali_nt!N42</f>
        <v>1.6055647022848382E-4</v>
      </c>
      <c r="N76">
        <f>bali_nt!O42</f>
        <v>0</v>
      </c>
      <c r="O76">
        <f>bali_nt!P42</f>
        <v>3.9054046443199733</v>
      </c>
      <c r="P76">
        <f>bali_nt!Q42</f>
        <v>15564.000000868191</v>
      </c>
      <c r="Q76">
        <f>bali_nt!R42</f>
        <v>15564</v>
      </c>
      <c r="R76" s="45">
        <f>proj_rukn!C76</f>
        <v>20105</v>
      </c>
    </row>
    <row r="77" spans="1:18" x14ac:dyDescent="0.25">
      <c r="A77" t="str">
        <f>bali_nt!B43</f>
        <v>BALI_NT</v>
      </c>
      <c r="B77">
        <f>bali_nt!C43</f>
        <v>2034</v>
      </c>
      <c r="C77">
        <f>bali_nt!D43</f>
        <v>4626.7739986049655</v>
      </c>
      <c r="D77">
        <f>bali_nt!E43</f>
        <v>2712.1388649002752</v>
      </c>
      <c r="E77">
        <f>bali_nt!F43</f>
        <v>1906.7739599095873</v>
      </c>
      <c r="F77">
        <f>bali_nt!G43</f>
        <v>2915.1815724487401</v>
      </c>
      <c r="G77">
        <f>bali_nt!H43</f>
        <v>1086.664037051394</v>
      </c>
      <c r="H77">
        <f>bali_nt!I43</f>
        <v>1284.3053904341543</v>
      </c>
      <c r="I77">
        <f>bali_nt!J43</f>
        <v>94.708191396121919</v>
      </c>
      <c r="J77">
        <f>bali_nt!K43</f>
        <v>427.07814627414439</v>
      </c>
      <c r="K77">
        <f>bali_nt!L43</f>
        <v>1.6035747219856651E-4</v>
      </c>
      <c r="L77">
        <f>bali_nt!M43</f>
        <v>1353.3755114410903</v>
      </c>
      <c r="M77">
        <f>bali_nt!N43</f>
        <v>1.6064948556436266E-4</v>
      </c>
      <c r="N77">
        <f>bali_nt!O43</f>
        <v>0</v>
      </c>
      <c r="O77">
        <f>bali_nt!P43</f>
        <v>4.1219860370550663</v>
      </c>
      <c r="P77">
        <f>bali_nt!Q43</f>
        <v>16406.999993467431</v>
      </c>
      <c r="Q77">
        <f>bali_nt!R43</f>
        <v>16407</v>
      </c>
      <c r="R77" s="45">
        <f>proj_rukn!C77</f>
        <v>21293</v>
      </c>
    </row>
    <row r="78" spans="1:18" x14ac:dyDescent="0.25">
      <c r="A78" t="str">
        <f>bali_nt!B44</f>
        <v>BALI_NT</v>
      </c>
      <c r="B78">
        <f>bali_nt!C44</f>
        <v>2035</v>
      </c>
      <c r="C78">
        <f>bali_nt!D44</f>
        <v>4677.9599982374075</v>
      </c>
      <c r="D78">
        <f>bali_nt!E44</f>
        <v>2829.8547906437861</v>
      </c>
      <c r="E78">
        <f>bali_nt!F44</f>
        <v>1906.7739599095873</v>
      </c>
      <c r="F78">
        <f>bali_nt!G44</f>
        <v>2915.1815724487401</v>
      </c>
      <c r="G78">
        <f>bali_nt!H44</f>
        <v>1086.6640305622554</v>
      </c>
      <c r="H78">
        <f>bali_nt!I44</f>
        <v>1284.3053859948557</v>
      </c>
      <c r="I78">
        <f>bali_nt!J44</f>
        <v>94.708191396121919</v>
      </c>
      <c r="J78">
        <f>bali_nt!K44</f>
        <v>462.2772593881142</v>
      </c>
      <c r="K78">
        <f>bali_nt!L44</f>
        <v>1.6035747219856651E-4</v>
      </c>
      <c r="L78">
        <f>bali_nt!M44</f>
        <v>1449.2744883769599</v>
      </c>
      <c r="M78">
        <f>bali_nt!N44</f>
        <v>1.6064948556436266E-4</v>
      </c>
      <c r="N78">
        <f>bali_nt!O44</f>
        <v>0</v>
      </c>
      <c r="O78">
        <f>bali_nt!P44</f>
        <v>4.202810228664803</v>
      </c>
      <c r="P78">
        <f>bali_nt!Q44</f>
        <v>16706.999997964784</v>
      </c>
      <c r="Q78">
        <f>bali_nt!R44</f>
        <v>16707</v>
      </c>
      <c r="R78" s="45">
        <f>proj_rukn!C78</f>
        <v>22446</v>
      </c>
    </row>
    <row r="79" spans="1:18" x14ac:dyDescent="0.25">
      <c r="A79" t="str">
        <f>bali_nt!B45</f>
        <v>BALI_NT</v>
      </c>
      <c r="B79">
        <f>bali_nt!C45</f>
        <v>2036</v>
      </c>
      <c r="C79">
        <f>bali_nt!D45</f>
        <v>5270.0488193703686</v>
      </c>
      <c r="D79">
        <f>bali_nt!E45</f>
        <v>2829.8547876544026</v>
      </c>
      <c r="E79">
        <f>bali_nt!F45</f>
        <v>2299.9121584053237</v>
      </c>
      <c r="F79">
        <f>bali_nt!G45</f>
        <v>2915.1815674514969</v>
      </c>
      <c r="G79">
        <f>bali_nt!H45</f>
        <v>1428.969600106924</v>
      </c>
      <c r="H79">
        <f>bali_nt!I45</f>
        <v>2043.4172523820387</v>
      </c>
      <c r="I79">
        <f>bali_nt!J45</f>
        <v>94.708191396121919</v>
      </c>
      <c r="J79">
        <f>bali_nt!K45</f>
        <v>625.64296476976449</v>
      </c>
      <c r="K79">
        <f>bali_nt!L45</f>
        <v>1.6035747219856651E-4</v>
      </c>
      <c r="L79">
        <f>bali_nt!M45</f>
        <v>1449.2744883769599</v>
      </c>
      <c r="M79">
        <f>bali_nt!N45</f>
        <v>1.5763604556444326E-4</v>
      </c>
      <c r="N79">
        <f>bali_nt!O45</f>
        <v>0</v>
      </c>
      <c r="O79">
        <f>bali_nt!P45</f>
        <v>4.7889561743553717</v>
      </c>
      <c r="P79">
        <f>bali_nt!Q45</f>
        <v>18957.01014790692</v>
      </c>
      <c r="Q79">
        <f>bali_nt!R45</f>
        <v>19879</v>
      </c>
      <c r="R79" s="45">
        <f>proj_rukn!C79</f>
        <v>23676</v>
      </c>
    </row>
    <row r="80" spans="1:18" x14ac:dyDescent="0.25">
      <c r="A80" t="str">
        <f>bali_nt!B46</f>
        <v>BALI_NT</v>
      </c>
      <c r="B80">
        <f>bali_nt!C46</f>
        <v>2037</v>
      </c>
      <c r="C80">
        <f>bali_nt!D46</f>
        <v>5803.7107914762728</v>
      </c>
      <c r="D80">
        <f>bali_nt!E46</f>
        <v>2829.8547876544026</v>
      </c>
      <c r="E80">
        <f>bali_nt!F46</f>
        <v>2957.0336535604229</v>
      </c>
      <c r="F80">
        <f>bali_nt!G46</f>
        <v>2915.1815624542542</v>
      </c>
      <c r="G80">
        <f>bali_nt!H46</f>
        <v>1795.7964002488518</v>
      </c>
      <c r="H80">
        <f>bali_nt!I46</f>
        <v>2422.9731855756318</v>
      </c>
      <c r="I80">
        <f>bali_nt!J46</f>
        <v>94.708191396121919</v>
      </c>
      <c r="J80">
        <f>bali_nt!K46</f>
        <v>759.40427156113788</v>
      </c>
      <c r="K80">
        <f>bali_nt!L46</f>
        <v>1.6035747219856651E-4</v>
      </c>
      <c r="L80">
        <f>bali_nt!M46</f>
        <v>1449.2744883769599</v>
      </c>
      <c r="M80">
        <f>bali_nt!N46</f>
        <v>1.5763604556444326E-4</v>
      </c>
      <c r="N80">
        <f>bali_nt!O46</f>
        <v>0</v>
      </c>
      <c r="O80">
        <f>bali_nt!P46</f>
        <v>5.3251437168601479</v>
      </c>
      <c r="P80">
        <f>bali_nt!Q46</f>
        <v>21027.937650297572</v>
      </c>
      <c r="Q80">
        <f>bali_nt!R46</f>
        <v>22692</v>
      </c>
      <c r="R80" s="45">
        <f>proj_rukn!C80</f>
        <v>24979</v>
      </c>
    </row>
    <row r="81" spans="1:18" x14ac:dyDescent="0.25">
      <c r="A81" t="str">
        <f>bali_nt!B47</f>
        <v>BALI_NT</v>
      </c>
      <c r="B81">
        <f>bali_nt!C47</f>
        <v>2038</v>
      </c>
      <c r="C81">
        <f>bali_nt!D47</f>
        <v>6367.3119298821521</v>
      </c>
      <c r="D81">
        <f>bali_nt!E47</f>
        <v>2829.8547846650185</v>
      </c>
      <c r="E81">
        <f>bali_nt!F47</f>
        <v>3672.2396446000312</v>
      </c>
      <c r="F81">
        <f>bali_nt!G47</f>
        <v>2915.1815574570105</v>
      </c>
      <c r="G81">
        <f>bali_nt!H47</f>
        <v>2385.7718157934969</v>
      </c>
      <c r="H81">
        <f>bali_nt!I47</f>
        <v>2612.7511521724314</v>
      </c>
      <c r="I81">
        <f>bali_nt!J47</f>
        <v>94.708191396121919</v>
      </c>
      <c r="J81">
        <f>bali_nt!K47</f>
        <v>911.27083701714014</v>
      </c>
      <c r="K81">
        <f>bali_nt!L47</f>
        <v>1.6035747219856651E-4</v>
      </c>
      <c r="L81">
        <f>bali_nt!M47</f>
        <v>1449.2744883769599</v>
      </c>
      <c r="M81">
        <f>bali_nt!N47</f>
        <v>1.5763604556444326E-4</v>
      </c>
      <c r="N81">
        <f>bali_nt!O47</f>
        <v>0</v>
      </c>
      <c r="O81">
        <f>bali_nt!P47</f>
        <v>5.8992604237203965</v>
      </c>
      <c r="P81">
        <f>bali_nt!Q47</f>
        <v>23238.364719353875</v>
      </c>
      <c r="Q81">
        <f>bali_nt!R47</f>
        <v>24125</v>
      </c>
      <c r="R81" s="45">
        <f>proj_rukn!C81</f>
        <v>26504</v>
      </c>
    </row>
    <row r="82" spans="1:18" x14ac:dyDescent="0.25">
      <c r="A82" t="str">
        <f>kalimantan!B28</f>
        <v>KALIMANTAN</v>
      </c>
      <c r="B82">
        <f>kalimantan!C28</f>
        <v>2019</v>
      </c>
      <c r="C82">
        <f>kalimantan!D28</f>
        <v>11882.833906666667</v>
      </c>
      <c r="D82">
        <f>kalimantan!E28</f>
        <v>1599.4099568953845</v>
      </c>
      <c r="E82">
        <f>kalimantan!F28</f>
        <v>166.04916923076922</v>
      </c>
      <c r="F82">
        <f>kalimantan!G28</f>
        <v>8618.5952174769227</v>
      </c>
      <c r="G82">
        <f>kalimantan!H28</f>
        <v>0</v>
      </c>
      <c r="H82">
        <f>kalimantan!I28</f>
        <v>1173.1734044307691</v>
      </c>
      <c r="I82">
        <f>kalimantan!J28</f>
        <v>20.479963569230772</v>
      </c>
      <c r="J82">
        <f>kalimantan!K28</f>
        <v>1.1221559999999999</v>
      </c>
      <c r="K82">
        <f>kalimantan!L28</f>
        <v>0</v>
      </c>
      <c r="L82">
        <f>kalimantan!M28</f>
        <v>244.14145269230769</v>
      </c>
      <c r="M82">
        <f>kalimantan!N28</f>
        <v>0</v>
      </c>
      <c r="N82">
        <f>kalimantan!O28</f>
        <v>0</v>
      </c>
      <c r="O82">
        <f>kalimantan!P28</f>
        <v>0</v>
      </c>
      <c r="P82">
        <f>kalimantan!Q28</f>
        <v>23705.805226962057</v>
      </c>
      <c r="Q82">
        <f>kalimantan!R28</f>
        <v>14441</v>
      </c>
      <c r="R82" s="45">
        <f>proj_rukn!C82</f>
        <v>12494</v>
      </c>
    </row>
    <row r="83" spans="1:18" x14ac:dyDescent="0.25">
      <c r="A83" t="str">
        <f>kalimantan!B29</f>
        <v>KALIMANTAN</v>
      </c>
      <c r="B83">
        <f>kalimantan!C29</f>
        <v>2020</v>
      </c>
      <c r="C83">
        <f>kalimantan!D29</f>
        <v>12910.27526262046</v>
      </c>
      <c r="D83">
        <f>kalimantan!E29</f>
        <v>1599.4099539060007</v>
      </c>
      <c r="E83">
        <f>kalimantan!F29</f>
        <v>734.20279950164615</v>
      </c>
      <c r="F83">
        <f>kalimantan!G29</f>
        <v>8618.5952174769227</v>
      </c>
      <c r="G83">
        <f>kalimantan!H29</f>
        <v>0</v>
      </c>
      <c r="H83">
        <f>kalimantan!I29</f>
        <v>1266.2482522906157</v>
      </c>
      <c r="I83">
        <f>kalimantan!J29</f>
        <v>546.83004546666302</v>
      </c>
      <c r="J83">
        <f>kalimantan!K29</f>
        <v>1682.9380072918009</v>
      </c>
      <c r="K83">
        <f>kalimantan!L29</f>
        <v>0</v>
      </c>
      <c r="L83">
        <f>kalimantan!M29</f>
        <v>244.14145269230769</v>
      </c>
      <c r="M83">
        <f>kalimantan!N29</f>
        <v>0</v>
      </c>
      <c r="N83">
        <f>kalimantan!O29</f>
        <v>0</v>
      </c>
      <c r="O83">
        <f>kalimantan!P29</f>
        <v>7.1267524844823873</v>
      </c>
      <c r="P83">
        <f>kalimantan!Q29</f>
        <v>27602.640991246415</v>
      </c>
      <c r="Q83">
        <f>kalimantan!R29</f>
        <v>15363</v>
      </c>
      <c r="R83" s="45">
        <f>proj_rukn!C83</f>
        <v>13329</v>
      </c>
    </row>
    <row r="84" spans="1:18" x14ac:dyDescent="0.25">
      <c r="A84" t="str">
        <f>kalimantan!B30</f>
        <v>KALIMANTAN</v>
      </c>
      <c r="B84">
        <f>kalimantan!C30</f>
        <v>2021</v>
      </c>
      <c r="C84">
        <f>kalimantan!D30</f>
        <v>13497.910380108944</v>
      </c>
      <c r="D84">
        <f>kalimantan!E30</f>
        <v>1599.4099509166172</v>
      </c>
      <c r="E84">
        <f>kalimantan!F30</f>
        <v>2572.6344795467307</v>
      </c>
      <c r="F84">
        <f>kalimantan!G30</f>
        <v>8618.5952174769227</v>
      </c>
      <c r="G84">
        <f>kalimantan!H30</f>
        <v>0</v>
      </c>
      <c r="H84">
        <f>kalimantan!I30</f>
        <v>2191.3451030382475</v>
      </c>
      <c r="I84">
        <f>kalimantan!J30</f>
        <v>681.66091928366006</v>
      </c>
      <c r="J84">
        <f>kalimantan!K30</f>
        <v>1682.9380072918009</v>
      </c>
      <c r="K84">
        <f>kalimantan!L30</f>
        <v>0</v>
      </c>
      <c r="L84">
        <f>kalimantan!M30</f>
        <v>244.14145269230769</v>
      </c>
      <c r="M84">
        <f>kalimantan!N30</f>
        <v>0</v>
      </c>
      <c r="N84">
        <f>kalimantan!O30</f>
        <v>0</v>
      </c>
      <c r="O84">
        <f>kalimantan!P30</f>
        <v>7.9844813434424102</v>
      </c>
      <c r="P84">
        <f>kalimantan!Q30</f>
        <v>31088.635510355227</v>
      </c>
      <c r="Q84">
        <f>kalimantan!R30</f>
        <v>18197</v>
      </c>
      <c r="R84" s="45">
        <f>proj_rukn!C84</f>
        <v>15921</v>
      </c>
    </row>
    <row r="85" spans="1:18" x14ac:dyDescent="0.25">
      <c r="A85" t="str">
        <f>kalimantan!B31</f>
        <v>KALIMANTAN</v>
      </c>
      <c r="B85">
        <f>kalimantan!C31</f>
        <v>2022</v>
      </c>
      <c r="C85">
        <f>kalimantan!D31</f>
        <v>14047.605599228586</v>
      </c>
      <c r="D85">
        <f>kalimantan!E31</f>
        <v>1599.4099479272336</v>
      </c>
      <c r="E85">
        <f>kalimantan!F31</f>
        <v>4721.5311284657409</v>
      </c>
      <c r="F85">
        <f>kalimantan!G31</f>
        <v>8618.5952174769227</v>
      </c>
      <c r="G85">
        <f>kalimantan!H31</f>
        <v>0</v>
      </c>
      <c r="H85">
        <f>kalimantan!I31</f>
        <v>2287.6476652186434</v>
      </c>
      <c r="I85">
        <f>kalimantan!J31</f>
        <v>681.66091336459522</v>
      </c>
      <c r="J85">
        <f>kalimantan!K31</f>
        <v>2863.0849331818999</v>
      </c>
      <c r="K85">
        <f>kalimantan!L31</f>
        <v>0</v>
      </c>
      <c r="L85">
        <f>kalimantan!M31</f>
        <v>244.14145269230769</v>
      </c>
      <c r="M85">
        <f>kalimantan!N31</f>
        <v>0</v>
      </c>
      <c r="N85">
        <f>kalimantan!O31</f>
        <v>0</v>
      </c>
      <c r="O85">
        <f>kalimantan!P31</f>
        <v>9.1975427875312459</v>
      </c>
      <c r="P85">
        <f>kalimantan!Q31</f>
        <v>35063.676857555933</v>
      </c>
      <c r="Q85">
        <f>kalimantan!R31</f>
        <v>19061</v>
      </c>
      <c r="R85" s="45">
        <f>proj_rukn!C85</f>
        <v>16705</v>
      </c>
    </row>
    <row r="86" spans="1:18" x14ac:dyDescent="0.25">
      <c r="A86" t="str">
        <f>kalimantan!B32</f>
        <v>KALIMANTAN</v>
      </c>
      <c r="B86">
        <f>kalimantan!C32</f>
        <v>2023</v>
      </c>
      <c r="C86">
        <f>kalimantan!D32</f>
        <v>14047.605599228586</v>
      </c>
      <c r="D86">
        <f>kalimantan!E32</f>
        <v>2304.5127650885083</v>
      </c>
      <c r="E86">
        <f>kalimantan!F32</f>
        <v>5698.8960985170816</v>
      </c>
      <c r="F86">
        <f>kalimantan!G32</f>
        <v>8618.5952174769282</v>
      </c>
      <c r="G86">
        <f>kalimantan!H32</f>
        <v>590.51219051160001</v>
      </c>
      <c r="H86">
        <f>kalimantan!I32</f>
        <v>2596.6180357538306</v>
      </c>
      <c r="I86">
        <f>kalimantan!J32</f>
        <v>792.17683522990274</v>
      </c>
      <c r="J86">
        <f>kalimantan!K32</f>
        <v>2892.6079775853182</v>
      </c>
      <c r="K86">
        <f>kalimantan!L32</f>
        <v>25.599999495500587</v>
      </c>
      <c r="L86">
        <f>kalimantan!M32</f>
        <v>399.71072855422443</v>
      </c>
      <c r="M86">
        <f>kalimantan!N32</f>
        <v>0</v>
      </c>
      <c r="N86">
        <f>kalimantan!O32</f>
        <v>0</v>
      </c>
      <c r="O86">
        <f>kalimantan!P32</f>
        <v>9.9228415318351697</v>
      </c>
      <c r="P86">
        <f>kalimantan!Q32</f>
        <v>37966.835447441474</v>
      </c>
      <c r="Q86">
        <f>kalimantan!R32</f>
        <v>22010</v>
      </c>
      <c r="R86" s="45">
        <f>proj_rukn!C86</f>
        <v>19399</v>
      </c>
    </row>
    <row r="87" spans="1:18" x14ac:dyDescent="0.25">
      <c r="A87" t="str">
        <f>kalimantan!B33</f>
        <v>KALIMANTAN</v>
      </c>
      <c r="B87">
        <f>kalimantan!C33</f>
        <v>2024</v>
      </c>
      <c r="C87">
        <f>kalimantan!D33</f>
        <v>14047.605599228586</v>
      </c>
      <c r="D87">
        <f>kalimantan!E33</f>
        <v>2460.5207461677342</v>
      </c>
      <c r="E87">
        <f>kalimantan!F33</f>
        <v>6052.6319482266244</v>
      </c>
      <c r="F87">
        <f>kalimantan!G33</f>
        <v>8618.5952174769282</v>
      </c>
      <c r="G87">
        <f>kalimantan!H33</f>
        <v>858.65274651025561</v>
      </c>
      <c r="H87">
        <f>kalimantan!I33</f>
        <v>2596.6180357538306</v>
      </c>
      <c r="I87">
        <f>kalimantan!J33</f>
        <v>1399.1452832810546</v>
      </c>
      <c r="J87">
        <f>kalimantan!K33</f>
        <v>2970.7417690440857</v>
      </c>
      <c r="K87">
        <f>kalimantan!L33</f>
        <v>64.746803279382689</v>
      </c>
      <c r="L87">
        <f>kalimantan!M33</f>
        <v>453.30928139675649</v>
      </c>
      <c r="M87">
        <f>kalimantan!N33</f>
        <v>0</v>
      </c>
      <c r="N87">
        <f>kalimantan!O33</f>
        <v>0</v>
      </c>
      <c r="O87">
        <f>kalimantan!P33</f>
        <v>10.328983426787236</v>
      </c>
      <c r="P87">
        <f>kalimantan!Q33</f>
        <v>39522.567430365241</v>
      </c>
      <c r="Q87">
        <f>kalimantan!R33</f>
        <v>27410</v>
      </c>
      <c r="R87" s="45">
        <f>proj_rukn!C87</f>
        <v>24370</v>
      </c>
    </row>
    <row r="88" spans="1:18" x14ac:dyDescent="0.25">
      <c r="A88" t="str">
        <f>kalimantan!B34</f>
        <v>KALIMANTAN</v>
      </c>
      <c r="B88">
        <f>kalimantan!C34</f>
        <v>2025</v>
      </c>
      <c r="C88">
        <f>kalimantan!D34</f>
        <v>14047.605599228586</v>
      </c>
      <c r="D88">
        <f>kalimantan!E34</f>
        <v>2807.6253773175049</v>
      </c>
      <c r="E88">
        <f>kalimantan!F34</f>
        <v>6258.843930745099</v>
      </c>
      <c r="F88">
        <f>kalimantan!G34</f>
        <v>8618.5952174769282</v>
      </c>
      <c r="G88">
        <f>kalimantan!H34</f>
        <v>1019.8381343616508</v>
      </c>
      <c r="H88">
        <f>kalimantan!I34</f>
        <v>2825.8247369073206</v>
      </c>
      <c r="I88">
        <f>kalimantan!J34</f>
        <v>1627.7705299508698</v>
      </c>
      <c r="J88">
        <f>kalimantan!K34</f>
        <v>3130.2412573421893</v>
      </c>
      <c r="K88">
        <f>kalimantan!L34</f>
        <v>290.29097659050751</v>
      </c>
      <c r="L88">
        <f>kalimantan!M34</f>
        <v>584.62411915529594</v>
      </c>
      <c r="M88">
        <f>kalimantan!N34</f>
        <v>0</v>
      </c>
      <c r="N88">
        <f>kalimantan!O34</f>
        <v>0</v>
      </c>
      <c r="O88">
        <f>kalimantan!P34</f>
        <v>10.821159893122488</v>
      </c>
      <c r="P88">
        <f>kalimantan!Q34</f>
        <v>41211.259879075944</v>
      </c>
      <c r="Q88">
        <f>kalimantan!R34</f>
        <v>33090</v>
      </c>
      <c r="R88" s="45">
        <f>proj_rukn!C88</f>
        <v>29601</v>
      </c>
    </row>
    <row r="89" spans="1:18" x14ac:dyDescent="0.25">
      <c r="A89" t="str">
        <f>kalimantan!B35</f>
        <v>KALIMANTAN</v>
      </c>
      <c r="B89">
        <f>kalimantan!C35</f>
        <v>2026</v>
      </c>
      <c r="C89">
        <f>kalimantan!D35</f>
        <v>14047.605599228586</v>
      </c>
      <c r="D89">
        <f>kalimantan!E35</f>
        <v>2981.6328865830396</v>
      </c>
      <c r="E89">
        <f>kalimantan!F35</f>
        <v>6407.5611269142946</v>
      </c>
      <c r="F89">
        <f>kalimantan!G35</f>
        <v>8618.5952174769282</v>
      </c>
      <c r="G89">
        <f>kalimantan!H35</f>
        <v>1100.4307476946544</v>
      </c>
      <c r="H89">
        <f>kalimantan!I35</f>
        <v>2858.2059861407765</v>
      </c>
      <c r="I89">
        <f>kalimantan!J35</f>
        <v>1753.9972709587637</v>
      </c>
      <c r="J89">
        <f>kalimantan!K35</f>
        <v>3135.7701882843226</v>
      </c>
      <c r="K89">
        <f>kalimantan!L35</f>
        <v>307.78139383626973</v>
      </c>
      <c r="L89">
        <f>kalimantan!M35</f>
        <v>592.52427066639609</v>
      </c>
      <c r="M89">
        <f>kalimantan!N35</f>
        <v>0</v>
      </c>
      <c r="N89">
        <f>kalimantan!O35</f>
        <v>0</v>
      </c>
      <c r="O89">
        <f>kalimantan!P35</f>
        <v>10.971613184773849</v>
      </c>
      <c r="P89">
        <f>kalimantan!Q35</f>
        <v>41804.104687784027</v>
      </c>
      <c r="Q89">
        <f>kalimantan!R35</f>
        <v>38999</v>
      </c>
      <c r="R89" s="45">
        <f>proj_rukn!C89</f>
        <v>35042</v>
      </c>
    </row>
    <row r="90" spans="1:18" x14ac:dyDescent="0.25">
      <c r="A90" t="str">
        <f>kalimantan!B36</f>
        <v>KALIMANTAN</v>
      </c>
      <c r="B90">
        <f>kalimantan!C36</f>
        <v>2027</v>
      </c>
      <c r="C90">
        <f>kalimantan!D36</f>
        <v>14047.605599228586</v>
      </c>
      <c r="D90">
        <f>kalimantan!E36</f>
        <v>2981.6328865830396</v>
      </c>
      <c r="E90">
        <f>kalimantan!F36</f>
        <v>9996.0302179773626</v>
      </c>
      <c r="F90">
        <f>kalimantan!G36</f>
        <v>8924.25564983607</v>
      </c>
      <c r="G90">
        <f>kalimantan!H36</f>
        <v>1100.4307476946544</v>
      </c>
      <c r="H90">
        <f>kalimantan!I36</f>
        <v>2858.2059861407765</v>
      </c>
      <c r="I90">
        <f>kalimantan!J36</f>
        <v>1753.9972709587637</v>
      </c>
      <c r="J90">
        <f>kalimantan!K36</f>
        <v>3135.7701882843226</v>
      </c>
      <c r="K90">
        <f>kalimantan!L36</f>
        <v>1688.5470969366049</v>
      </c>
      <c r="L90">
        <f>kalimantan!M36</f>
        <v>592.52427066639609</v>
      </c>
      <c r="M90">
        <f>kalimantan!N36</f>
        <v>0</v>
      </c>
      <c r="N90">
        <f>kalimantan!O36</f>
        <v>0</v>
      </c>
      <c r="O90">
        <f>kalimantan!P36</f>
        <v>12.544452853175365</v>
      </c>
      <c r="P90">
        <f>kalimantan!Q36</f>
        <v>47078.999914306587</v>
      </c>
      <c r="Q90">
        <f>kalimantan!R36</f>
        <v>47079</v>
      </c>
      <c r="R90" s="45">
        <f>proj_rukn!C90</f>
        <v>42519</v>
      </c>
    </row>
    <row r="91" spans="1:18" x14ac:dyDescent="0.25">
      <c r="A91" t="str">
        <f>kalimantan!B37</f>
        <v>KALIMANTAN</v>
      </c>
      <c r="B91">
        <f>kalimantan!C37</f>
        <v>2028</v>
      </c>
      <c r="C91">
        <f>kalimantan!D37</f>
        <v>14294.881149091274</v>
      </c>
      <c r="D91">
        <f>kalimantan!E37</f>
        <v>2981.6328865830396</v>
      </c>
      <c r="E91">
        <f>kalimantan!F37</f>
        <v>9996.0302179773626</v>
      </c>
      <c r="F91">
        <f>kalimantan!G37</f>
        <v>9699.6585403252575</v>
      </c>
      <c r="G91">
        <f>kalimantan!H37</f>
        <v>1100.4307476946544</v>
      </c>
      <c r="H91">
        <f>kalimantan!I37</f>
        <v>2858.2059861407765</v>
      </c>
      <c r="I91">
        <f>kalimantan!J37</f>
        <v>1753.9972709587637</v>
      </c>
      <c r="J91">
        <f>kalimantan!K37</f>
        <v>3135.7701882843226</v>
      </c>
      <c r="K91">
        <f>kalimantan!L37</f>
        <v>2208.9134415582002</v>
      </c>
      <c r="L91">
        <f>kalimantan!M37</f>
        <v>592.52427066639609</v>
      </c>
      <c r="M91">
        <f>kalimantan!N37</f>
        <v>0</v>
      </c>
      <c r="N91">
        <f>kalimantan!O37</f>
        <v>0</v>
      </c>
      <c r="O91">
        <f>kalimantan!P37</f>
        <v>13.02773951799019</v>
      </c>
      <c r="P91">
        <f>kalimantan!Q37</f>
        <v>48622.04469928005</v>
      </c>
      <c r="Q91">
        <f>kalimantan!R37</f>
        <v>48622</v>
      </c>
      <c r="R91" s="45">
        <f>proj_rukn!C91</f>
        <v>43968</v>
      </c>
    </row>
    <row r="92" spans="1:18" x14ac:dyDescent="0.25">
      <c r="A92" t="str">
        <f>kalimantan!B38</f>
        <v>KALIMANTAN</v>
      </c>
      <c r="B92">
        <f>kalimantan!C38</f>
        <v>2029</v>
      </c>
      <c r="C92">
        <f>kalimantan!D38</f>
        <v>14294.881149091274</v>
      </c>
      <c r="D92">
        <f>kalimantan!E38</f>
        <v>2981.6328865830396</v>
      </c>
      <c r="E92">
        <f>kalimantan!F38</f>
        <v>9996.0302179773626</v>
      </c>
      <c r="F92">
        <f>kalimantan!G38</f>
        <v>9699.6585403252575</v>
      </c>
      <c r="G92">
        <f>kalimantan!H38</f>
        <v>1100.4307412055159</v>
      </c>
      <c r="H92">
        <f>kalimantan!I38</f>
        <v>2858.6350425622318</v>
      </c>
      <c r="I92">
        <f>kalimantan!J38</f>
        <v>1812.0529230939896</v>
      </c>
      <c r="J92">
        <f>kalimantan!K38</f>
        <v>3155.152853115002</v>
      </c>
      <c r="K92">
        <f>kalimantan!L38</f>
        <v>2218.8738689599941</v>
      </c>
      <c r="L92">
        <f>kalimantan!M38</f>
        <v>710.16250806368885</v>
      </c>
      <c r="M92">
        <f>kalimantan!N38</f>
        <v>0</v>
      </c>
      <c r="N92">
        <f>kalimantan!O38</f>
        <v>0</v>
      </c>
      <c r="O92">
        <f>kalimantan!P38</f>
        <v>13.084137518817204</v>
      </c>
      <c r="P92">
        <f>kalimantan!Q38</f>
        <v>48827.510730977345</v>
      </c>
      <c r="Q92">
        <f>kalimantan!R38</f>
        <v>46241</v>
      </c>
      <c r="R92" s="45">
        <f>proj_rukn!C92</f>
        <v>45507</v>
      </c>
    </row>
    <row r="93" spans="1:18" x14ac:dyDescent="0.25">
      <c r="A93" t="str">
        <f>kalimantan!B39</f>
        <v>KALIMANTAN</v>
      </c>
      <c r="B93">
        <f>kalimantan!C39</f>
        <v>2030</v>
      </c>
      <c r="C93">
        <f>kalimantan!D39</f>
        <v>14294.881149091274</v>
      </c>
      <c r="D93">
        <f>kalimantan!E39</f>
        <v>2981.6328865830396</v>
      </c>
      <c r="E93">
        <f>kalimantan!F39</f>
        <v>9996.0302179773626</v>
      </c>
      <c r="F93">
        <f>kalimantan!G39</f>
        <v>9699.6585403252575</v>
      </c>
      <c r="G93">
        <f>kalimantan!H39</f>
        <v>1140.7270108989874</v>
      </c>
      <c r="H93">
        <f>kalimantan!I39</f>
        <v>2975.239221846693</v>
      </c>
      <c r="I93">
        <f>kalimantan!J39</f>
        <v>1817.1277602402163</v>
      </c>
      <c r="J93">
        <f>kalimantan!K39</f>
        <v>3166.926293115002</v>
      </c>
      <c r="K93">
        <f>kalimantan!L39</f>
        <v>2252.3505530953353</v>
      </c>
      <c r="L93">
        <f>kalimantan!M39</f>
        <v>710.16250806368885</v>
      </c>
      <c r="M93">
        <f>kalimantan!N39</f>
        <v>0</v>
      </c>
      <c r="N93">
        <f>kalimantan!O39</f>
        <v>0</v>
      </c>
      <c r="O93">
        <f>kalimantan!P39</f>
        <v>13.144135981533667</v>
      </c>
      <c r="P93">
        <f>kalimantan!Q39</f>
        <v>49034.736141236855</v>
      </c>
      <c r="Q93">
        <f>kalimantan!R39</f>
        <v>46979</v>
      </c>
      <c r="R93" s="45">
        <f>proj_rukn!C93</f>
        <v>47065</v>
      </c>
    </row>
    <row r="94" spans="1:18" x14ac:dyDescent="0.25">
      <c r="A94" t="str">
        <f>kalimantan!B40</f>
        <v>KALIMANTAN</v>
      </c>
      <c r="B94">
        <f>kalimantan!C40</f>
        <v>2031</v>
      </c>
      <c r="C94">
        <f>kalimantan!D40</f>
        <v>14294.881149091274</v>
      </c>
      <c r="D94">
        <f>kalimantan!E40</f>
        <v>2981.6328865830396</v>
      </c>
      <c r="E94">
        <f>kalimantan!F40</f>
        <v>9996.0302179773626</v>
      </c>
      <c r="F94">
        <f>kalimantan!G40</f>
        <v>9776.4325605607683</v>
      </c>
      <c r="G94">
        <f>kalimantan!H40</f>
        <v>1140.7270108989874</v>
      </c>
      <c r="H94">
        <f>kalimantan!I40</f>
        <v>2975.239221846693</v>
      </c>
      <c r="I94">
        <f>kalimantan!J40</f>
        <v>1817.1277602402163</v>
      </c>
      <c r="J94">
        <f>kalimantan!K40</f>
        <v>3166.926293115002</v>
      </c>
      <c r="K94">
        <f>kalimantan!L40</f>
        <v>2486.8404075627586</v>
      </c>
      <c r="L94">
        <f>kalimantan!M40</f>
        <v>710.16250806368885</v>
      </c>
      <c r="M94">
        <f>kalimantan!N40</f>
        <v>0</v>
      </c>
      <c r="N94">
        <f>kalimantan!O40</f>
        <v>0</v>
      </c>
      <c r="O94">
        <f>kalimantan!P40</f>
        <v>13.26741640814819</v>
      </c>
      <c r="P94">
        <f>kalimantan!Q40</f>
        <v>49346.00001593979</v>
      </c>
      <c r="Q94">
        <f>kalimantan!R40</f>
        <v>49346</v>
      </c>
      <c r="R94" s="45">
        <f>proj_rukn!C94</f>
        <v>48942</v>
      </c>
    </row>
    <row r="95" spans="1:18" x14ac:dyDescent="0.25">
      <c r="A95" t="str">
        <f>kalimantan!B41</f>
        <v>KALIMANTAN</v>
      </c>
      <c r="B95">
        <f>kalimantan!C41</f>
        <v>2032</v>
      </c>
      <c r="C95">
        <f>kalimantan!D41</f>
        <v>14729.000041660207</v>
      </c>
      <c r="D95">
        <f>kalimantan!E41</f>
        <v>2981.6328865830396</v>
      </c>
      <c r="E95">
        <f>kalimantan!F41</f>
        <v>10006.667143878989</v>
      </c>
      <c r="F95">
        <f>kalimantan!G41</f>
        <v>10784.100082529576</v>
      </c>
      <c r="G95">
        <f>kalimantan!H41</f>
        <v>1140.7270108989874</v>
      </c>
      <c r="H95">
        <f>kalimantan!I41</f>
        <v>2975.239221846693</v>
      </c>
      <c r="I95">
        <f>kalimantan!J41</f>
        <v>1817.1277602402163</v>
      </c>
      <c r="J95">
        <f>kalimantan!K41</f>
        <v>3166.926293115002</v>
      </c>
      <c r="K95">
        <f>kalimantan!L41</f>
        <v>3188.4172038124702</v>
      </c>
      <c r="L95">
        <f>kalimantan!M41</f>
        <v>710.16250806368885</v>
      </c>
      <c r="M95">
        <f>kalimantan!N41</f>
        <v>0</v>
      </c>
      <c r="N95">
        <f>kalimantan!O41</f>
        <v>0</v>
      </c>
      <c r="O95">
        <f>kalimantan!P41</f>
        <v>13.937113053473002</v>
      </c>
      <c r="P95">
        <f>kalimantan!Q41</f>
        <v>51500.000152628869</v>
      </c>
      <c r="Q95">
        <f>kalimantan!R41</f>
        <v>51500</v>
      </c>
      <c r="R95" s="45">
        <f>proj_rukn!C95</f>
        <v>50960</v>
      </c>
    </row>
    <row r="96" spans="1:18" x14ac:dyDescent="0.25">
      <c r="A96" t="str">
        <f>kalimantan!B42</f>
        <v>KALIMANTAN</v>
      </c>
      <c r="B96">
        <f>kalimantan!C42</f>
        <v>2033</v>
      </c>
      <c r="C96">
        <f>kalimantan!D42</f>
        <v>15241.143389692579</v>
      </c>
      <c r="D96">
        <f>kalimantan!E42</f>
        <v>2981.6328865830396</v>
      </c>
      <c r="E96">
        <f>kalimantan!F42</f>
        <v>10799.796138181835</v>
      </c>
      <c r="F96">
        <f>kalimantan!G42</f>
        <v>10926.39970870278</v>
      </c>
      <c r="G96">
        <f>kalimantan!H42</f>
        <v>1140.7270108989874</v>
      </c>
      <c r="H96">
        <f>kalimantan!I42</f>
        <v>2975.239221846693</v>
      </c>
      <c r="I96">
        <f>kalimantan!J42</f>
        <v>1817.1277602402163</v>
      </c>
      <c r="J96">
        <f>kalimantan!K42</f>
        <v>3166.926293115002</v>
      </c>
      <c r="K96">
        <f>kalimantan!L42</f>
        <v>3906.8470969326058</v>
      </c>
      <c r="L96">
        <f>kalimantan!M42</f>
        <v>710.16250806368885</v>
      </c>
      <c r="M96">
        <f>kalimantan!N42</f>
        <v>0</v>
      </c>
      <c r="N96">
        <f>kalimantan!O42</f>
        <v>0</v>
      </c>
      <c r="O96">
        <f>kalimantan!P42</f>
        <v>14.613118679633596</v>
      </c>
      <c r="P96">
        <f>kalimantan!Q42</f>
        <v>53666.002014257429</v>
      </c>
      <c r="Q96">
        <f>kalimantan!R42</f>
        <v>53666</v>
      </c>
      <c r="R96" s="45">
        <f>proj_rukn!C96</f>
        <v>52868</v>
      </c>
    </row>
    <row r="97" spans="1:18" x14ac:dyDescent="0.25">
      <c r="A97" t="str">
        <f>kalimantan!B43</f>
        <v>KALIMANTAN</v>
      </c>
      <c r="B97">
        <f>kalimantan!C43</f>
        <v>2034</v>
      </c>
      <c r="C97">
        <f>kalimantan!D43</f>
        <v>16573.732820484056</v>
      </c>
      <c r="D97">
        <f>kalimantan!E43</f>
        <v>2981.6328835936561</v>
      </c>
      <c r="E97">
        <f>kalimantan!F43</f>
        <v>12381.394628102445</v>
      </c>
      <c r="F97">
        <f>kalimantan!G43</f>
        <v>10926.39970870278</v>
      </c>
      <c r="G97">
        <f>kalimantan!H43</f>
        <v>1140.7270108989874</v>
      </c>
      <c r="H97">
        <f>kalimantan!I43</f>
        <v>3018.8001019525668</v>
      </c>
      <c r="I97">
        <f>kalimantan!J43</f>
        <v>3960.6299455676767</v>
      </c>
      <c r="J97">
        <f>kalimantan!K43</f>
        <v>3166.926293115002</v>
      </c>
      <c r="K97">
        <f>kalimantan!L43</f>
        <v>3911.6963150752881</v>
      </c>
      <c r="L97">
        <f>kalimantan!M43</f>
        <v>710.16250806368885</v>
      </c>
      <c r="M97">
        <f>kalimantan!N43</f>
        <v>0</v>
      </c>
      <c r="N97">
        <f>kalimantan!O43</f>
        <v>0</v>
      </c>
      <c r="O97">
        <f>kalimantan!P43</f>
        <v>15.870440123402945</v>
      </c>
      <c r="P97">
        <f>kalimantan!Q43</f>
        <v>58772.102215556151</v>
      </c>
      <c r="Q97">
        <f>kalimantan!R43</f>
        <v>58995</v>
      </c>
      <c r="R97" s="45">
        <f>proj_rukn!C97</f>
        <v>55183</v>
      </c>
    </row>
    <row r="98" spans="1:18" x14ac:dyDescent="0.25">
      <c r="A98" t="str">
        <f>kalimantan!B44</f>
        <v>KALIMANTAN</v>
      </c>
      <c r="B98">
        <f>kalimantan!C44</f>
        <v>2035</v>
      </c>
      <c r="C98">
        <f>kalimantan!D44</f>
        <v>17527.71995634837</v>
      </c>
      <c r="D98">
        <f>kalimantan!E44</f>
        <v>2981.6328835936561</v>
      </c>
      <c r="E98">
        <f>kalimantan!F44</f>
        <v>13939.669978933223</v>
      </c>
      <c r="F98">
        <f>kalimantan!G44</f>
        <v>11749.039113571071</v>
      </c>
      <c r="G98">
        <f>kalimantan!H44</f>
        <v>1140.7270108989874</v>
      </c>
      <c r="H98">
        <f>kalimantan!I44</f>
        <v>3018.8001019525668</v>
      </c>
      <c r="I98">
        <f>kalimantan!J44</f>
        <v>3960.6299455676767</v>
      </c>
      <c r="J98">
        <f>kalimantan!K44</f>
        <v>3166.926293115002</v>
      </c>
      <c r="K98">
        <f>kalimantan!L44</f>
        <v>4403.6920866212786</v>
      </c>
      <c r="L98">
        <f>kalimantan!M44</f>
        <v>710.16250806368885</v>
      </c>
      <c r="M98">
        <f>kalimantan!N44</f>
        <v>0</v>
      </c>
      <c r="N98">
        <f>kalimantan!O44</f>
        <v>0</v>
      </c>
      <c r="O98">
        <f>kalimantan!P44</f>
        <v>16.910019296839451</v>
      </c>
      <c r="P98">
        <f>kalimantan!Q44</f>
        <v>62598.99987866552</v>
      </c>
      <c r="Q98">
        <f>kalimantan!R44</f>
        <v>62599</v>
      </c>
      <c r="R98" s="45">
        <f>proj_rukn!C98</f>
        <v>57442</v>
      </c>
    </row>
    <row r="99" spans="1:18" x14ac:dyDescent="0.25">
      <c r="A99" t="str">
        <f>kalimantan!B45</f>
        <v>KALIMANTAN</v>
      </c>
      <c r="B99">
        <f>kalimantan!C45</f>
        <v>2036</v>
      </c>
      <c r="C99">
        <f>kalimantan!D45</f>
        <v>17922.108987008945</v>
      </c>
      <c r="D99">
        <f>kalimantan!E45</f>
        <v>2981.6328835936561</v>
      </c>
      <c r="E99">
        <f>kalimantan!F45</f>
        <v>14463.413044149524</v>
      </c>
      <c r="F99">
        <f>kalimantan!G45</f>
        <v>12003.949744149189</v>
      </c>
      <c r="G99">
        <f>kalimantan!H45</f>
        <v>1140.7270108989874</v>
      </c>
      <c r="H99">
        <f>kalimantan!I45</f>
        <v>3018.8001019525668</v>
      </c>
      <c r="I99">
        <f>kalimantan!J45</f>
        <v>3960.6299455676767</v>
      </c>
      <c r="J99">
        <f>kalimantan!K45</f>
        <v>3166.926293115002</v>
      </c>
      <c r="K99">
        <f>kalimantan!L45</f>
        <v>5099.6677253608686</v>
      </c>
      <c r="L99">
        <f>kalimantan!M45</f>
        <v>710.16250806368885</v>
      </c>
      <c r="M99">
        <f>kalimantan!N45</f>
        <v>0</v>
      </c>
      <c r="N99">
        <f>kalimantan!O45</f>
        <v>0</v>
      </c>
      <c r="O99">
        <f>kalimantan!P45</f>
        <v>17.508480826500818</v>
      </c>
      <c r="P99">
        <f>kalimantan!Q45</f>
        <v>64468.018243860104</v>
      </c>
      <c r="Q99">
        <f>kalimantan!R45</f>
        <v>64468</v>
      </c>
      <c r="R99" s="45">
        <f>proj_rukn!C99</f>
        <v>60024</v>
      </c>
    </row>
    <row r="100" spans="1:18" x14ac:dyDescent="0.25">
      <c r="A100" t="str">
        <f>kalimantan!B46</f>
        <v>KALIMANTAN</v>
      </c>
      <c r="B100">
        <f>kalimantan!C46</f>
        <v>2037</v>
      </c>
      <c r="C100">
        <f>kalimantan!D46</f>
        <v>18308.736026109578</v>
      </c>
      <c r="D100">
        <f>kalimantan!E46</f>
        <v>3599.6308817343447</v>
      </c>
      <c r="E100">
        <f>kalimantan!F46</f>
        <v>14619.10108284377</v>
      </c>
      <c r="F100">
        <f>kalimantan!G46</f>
        <v>12003.949744149189</v>
      </c>
      <c r="G100">
        <f>kalimantan!H46</f>
        <v>1144.7566495438075</v>
      </c>
      <c r="H100">
        <f>kalimantan!I46</f>
        <v>3121.3220159083821</v>
      </c>
      <c r="I100">
        <f>kalimantan!J46</f>
        <v>4010.796197586074</v>
      </c>
      <c r="J100">
        <f>kalimantan!K46</f>
        <v>3286.8174099166126</v>
      </c>
      <c r="K100">
        <f>kalimantan!L46</f>
        <v>5465.8456728304745</v>
      </c>
      <c r="L100">
        <f>kalimantan!M46</f>
        <v>775.04439290443929</v>
      </c>
      <c r="M100">
        <f>kalimantan!N46</f>
        <v>0</v>
      </c>
      <c r="N100">
        <f>kalimantan!O46</f>
        <v>0</v>
      </c>
      <c r="O100">
        <f>kalimantan!P46</f>
        <v>18.064888626016934</v>
      </c>
      <c r="P100">
        <f>kalimantan!Q46</f>
        <v>66336.00007352668</v>
      </c>
      <c r="Q100">
        <f>kalimantan!R46</f>
        <v>66336</v>
      </c>
      <c r="R100" s="45">
        <f>proj_rukn!C100</f>
        <v>62642</v>
      </c>
    </row>
    <row r="101" spans="1:18" x14ac:dyDescent="0.25">
      <c r="A101" t="str">
        <f>kalimantan!B47</f>
        <v>KALIMANTAN</v>
      </c>
      <c r="B101">
        <f>kalimantan!C47</f>
        <v>2038</v>
      </c>
      <c r="C101">
        <f>kalimantan!D47</f>
        <v>18893.943923548777</v>
      </c>
      <c r="D101">
        <f>kalimantan!E47</f>
        <v>3599.6308817343447</v>
      </c>
      <c r="E101">
        <f>kalimantan!F47</f>
        <v>15694.257911567987</v>
      </c>
      <c r="F101">
        <f>kalimantan!G47</f>
        <v>12039.717593839632</v>
      </c>
      <c r="G101">
        <f>kalimantan!H47</f>
        <v>1144.7566495438075</v>
      </c>
      <c r="H101">
        <f>kalimantan!I47</f>
        <v>3121.3220159083821</v>
      </c>
      <c r="I101">
        <f>kalimantan!J47</f>
        <v>4010.796197586074</v>
      </c>
      <c r="J101">
        <f>kalimantan!K47</f>
        <v>3286.8174099166126</v>
      </c>
      <c r="K101">
        <f>kalimantan!L47</f>
        <v>6389.7129493645534</v>
      </c>
      <c r="L101">
        <f>kalimantan!M47</f>
        <v>775.04439290443929</v>
      </c>
      <c r="M101">
        <f>kalimantan!N47</f>
        <v>0</v>
      </c>
      <c r="N101">
        <f>kalimantan!O47</f>
        <v>0</v>
      </c>
      <c r="O101">
        <f>kalimantan!P47</f>
        <v>18.893509186471437</v>
      </c>
      <c r="P101">
        <f>kalimantan!Q47</f>
        <v>68955.999925914613</v>
      </c>
      <c r="Q101">
        <f>kalimantan!R47</f>
        <v>68956</v>
      </c>
      <c r="R101" s="45">
        <f>proj_rukn!C101</f>
        <v>65632</v>
      </c>
    </row>
    <row r="102" spans="1:18" x14ac:dyDescent="0.25">
      <c r="A102" t="str">
        <f>sulawesi!B28</f>
        <v>SULAWESI</v>
      </c>
      <c r="B102">
        <f>sulawesi!C28</f>
        <v>2019</v>
      </c>
      <c r="C102">
        <f>sulawesi!D28</f>
        <v>13749.755373333333</v>
      </c>
      <c r="D102">
        <f>sulawesi!E28</f>
        <v>863.09485964307692</v>
      </c>
      <c r="E102">
        <f>sulawesi!F28</f>
        <v>871.75813846153835</v>
      </c>
      <c r="F102">
        <f>sulawesi!G28</f>
        <v>4477.1799899076923</v>
      </c>
      <c r="G102">
        <f>sulawesi!H28</f>
        <v>519.13107692307688</v>
      </c>
      <c r="H102">
        <f>sulawesi!I28</f>
        <v>3680.0452456615385</v>
      </c>
      <c r="I102">
        <f>sulawesi!J28</f>
        <v>370.23749169230769</v>
      </c>
      <c r="J102">
        <f>sulawesi!K28</f>
        <v>7.7999039999999997</v>
      </c>
      <c r="K102">
        <f>sulawesi!L28</f>
        <v>0</v>
      </c>
      <c r="L102">
        <f>sulawesi!M28</f>
        <v>1.2488053846153846</v>
      </c>
      <c r="M102">
        <f>sulawesi!N28</f>
        <v>0</v>
      </c>
      <c r="N102">
        <f>sulawesi!O28</f>
        <v>0</v>
      </c>
      <c r="O102">
        <f>sulawesi!P28</f>
        <v>0</v>
      </c>
      <c r="P102">
        <f>sulawesi!Q28</f>
        <v>24540.250885007179</v>
      </c>
      <c r="Q102">
        <f>sulawesi!R28</f>
        <v>23609</v>
      </c>
      <c r="R102" s="45">
        <f>proj_rukn!C102</f>
        <v>20696</v>
      </c>
    </row>
    <row r="103" spans="1:18" x14ac:dyDescent="0.25">
      <c r="A103" t="str">
        <f>sulawesi!B29</f>
        <v>SULAWESI</v>
      </c>
      <c r="B103">
        <f>sulawesi!C29</f>
        <v>2020</v>
      </c>
      <c r="C103">
        <f>sulawesi!D29</f>
        <v>13749.755373333333</v>
      </c>
      <c r="D103">
        <f>sulawesi!E29</f>
        <v>880.64670916884199</v>
      </c>
      <c r="E103">
        <f>sulawesi!F29</f>
        <v>1381.1391948069945</v>
      </c>
      <c r="F103">
        <f>sulawesi!G29</f>
        <v>4477.1799899076923</v>
      </c>
      <c r="G103">
        <f>sulawesi!H29</f>
        <v>519.13107692307688</v>
      </c>
      <c r="H103">
        <f>sulawesi!I29</f>
        <v>3680.0452456615385</v>
      </c>
      <c r="I103">
        <f>sulawesi!J29</f>
        <v>370.23749169230769</v>
      </c>
      <c r="J103">
        <f>sulawesi!K29</f>
        <v>244.61615711490828</v>
      </c>
      <c r="K103">
        <f>sulawesi!L29</f>
        <v>0</v>
      </c>
      <c r="L103">
        <f>sulawesi!M29</f>
        <v>1.2488053846153846</v>
      </c>
      <c r="M103">
        <f>sulawesi!N29</f>
        <v>0</v>
      </c>
      <c r="N103">
        <f>sulawesi!O29</f>
        <v>0</v>
      </c>
      <c r="O103">
        <f>sulawesi!P29</f>
        <v>6.2747589485087181</v>
      </c>
      <c r="P103">
        <f>sulawesi!Q29</f>
        <v>25304.000043993306</v>
      </c>
      <c r="Q103">
        <f>sulawesi!R29</f>
        <v>25304</v>
      </c>
      <c r="R103" s="45">
        <f>proj_rukn!C103</f>
        <v>22221</v>
      </c>
    </row>
    <row r="104" spans="1:18" x14ac:dyDescent="0.25">
      <c r="A104" t="str">
        <f>sulawesi!B30</f>
        <v>SULAWESI</v>
      </c>
      <c r="B104">
        <f>sulawesi!C30</f>
        <v>2021</v>
      </c>
      <c r="C104">
        <f>sulawesi!D30</f>
        <v>13749.755368484186</v>
      </c>
      <c r="D104">
        <f>sulawesi!E30</f>
        <v>880.64670617945831</v>
      </c>
      <c r="E104">
        <f>sulawesi!F30</f>
        <v>4262.6503089801008</v>
      </c>
      <c r="F104">
        <f>sulawesi!G30</f>
        <v>4477.1799899076923</v>
      </c>
      <c r="G104">
        <f>sulawesi!H30</f>
        <v>519.13107692307688</v>
      </c>
      <c r="H104">
        <f>sulawesi!I30</f>
        <v>3680.0452456615385</v>
      </c>
      <c r="I104">
        <f>sulawesi!J30</f>
        <v>370.23749169230769</v>
      </c>
      <c r="J104">
        <f>sulawesi!K30</f>
        <v>257.53598837064834</v>
      </c>
      <c r="K104">
        <f>sulawesi!L30</f>
        <v>0</v>
      </c>
      <c r="L104">
        <f>sulawesi!M30</f>
        <v>1.2488053846153846</v>
      </c>
      <c r="M104">
        <f>sulawesi!N30</f>
        <v>0</v>
      </c>
      <c r="N104">
        <f>sulawesi!O30</f>
        <v>0</v>
      </c>
      <c r="O104">
        <f>sulawesi!P30</f>
        <v>6.9895063295827118</v>
      </c>
      <c r="P104">
        <f>sulawesi!Q30</f>
        <v>28198.43098158362</v>
      </c>
      <c r="Q104">
        <f>sulawesi!R30</f>
        <v>37157</v>
      </c>
      <c r="R104" s="45">
        <f>proj_rukn!C104</f>
        <v>32796</v>
      </c>
    </row>
    <row r="105" spans="1:18" x14ac:dyDescent="0.25">
      <c r="A105" t="str">
        <f>sulawesi!B31</f>
        <v>SULAWESI</v>
      </c>
      <c r="B105">
        <f>sulawesi!C31</f>
        <v>2022</v>
      </c>
      <c r="C105">
        <f>sulawesi!D31</f>
        <v>14310.294963489043</v>
      </c>
      <c r="D105">
        <f>sulawesi!E31</f>
        <v>880.64670319007473</v>
      </c>
      <c r="E105">
        <f>sulawesi!F31</f>
        <v>5979.2937759873839</v>
      </c>
      <c r="F105">
        <f>sulawesi!G31</f>
        <v>4477.1799899076923</v>
      </c>
      <c r="G105">
        <f>sulawesi!H31</f>
        <v>519.13107692307688</v>
      </c>
      <c r="H105">
        <f>sulawesi!I31</f>
        <v>3680.0452456615385</v>
      </c>
      <c r="I105">
        <f>sulawesi!J31</f>
        <v>370.23748577324312</v>
      </c>
      <c r="J105">
        <f>sulawesi!K31</f>
        <v>3050.304496079666</v>
      </c>
      <c r="K105">
        <f>sulawesi!L31</f>
        <v>0</v>
      </c>
      <c r="L105">
        <f>sulawesi!M31</f>
        <v>1.2488053846153846</v>
      </c>
      <c r="M105">
        <f>sulawesi!N31</f>
        <v>0</v>
      </c>
      <c r="N105">
        <f>sulawesi!O31</f>
        <v>0</v>
      </c>
      <c r="O105">
        <f>sulawesi!P31</f>
        <v>8.7930916955005625</v>
      </c>
      <c r="P105">
        <f>sulawesi!Q31</f>
        <v>33268.382542396343</v>
      </c>
      <c r="Q105">
        <f>sulawesi!R31</f>
        <v>38986</v>
      </c>
      <c r="R105" s="45">
        <f>proj_rukn!C105</f>
        <v>34358</v>
      </c>
    </row>
    <row r="106" spans="1:18" x14ac:dyDescent="0.25">
      <c r="A106" t="str">
        <f>sulawesi!B32</f>
        <v>SULAWESI</v>
      </c>
      <c r="B106">
        <f>sulawesi!C32</f>
        <v>2023</v>
      </c>
      <c r="C106">
        <f>sulawesi!D32</f>
        <v>15099.123566724837</v>
      </c>
      <c r="D106">
        <f>sulawesi!E32</f>
        <v>880.64670319007473</v>
      </c>
      <c r="E106">
        <f>sulawesi!F32</f>
        <v>7348.8946209037458</v>
      </c>
      <c r="F106">
        <f>sulawesi!G32</f>
        <v>4477.1799899076923</v>
      </c>
      <c r="G106">
        <f>sulawesi!H32</f>
        <v>519.13107043393848</v>
      </c>
      <c r="H106">
        <f>sulawesi!I32</f>
        <v>4589.2135661453176</v>
      </c>
      <c r="I106">
        <f>sulawesi!J32</f>
        <v>370.2374798541785</v>
      </c>
      <c r="J106">
        <f>sulawesi!K32</f>
        <v>5025.7894519402062</v>
      </c>
      <c r="K106">
        <f>sulawesi!L32</f>
        <v>728.10825417469005</v>
      </c>
      <c r="L106">
        <f>sulawesi!M32</f>
        <v>1.2488053846153846</v>
      </c>
      <c r="M106">
        <f>sulawesi!N32</f>
        <v>0</v>
      </c>
      <c r="N106">
        <f>sulawesi!O32</f>
        <v>0</v>
      </c>
      <c r="O106">
        <f>sulawesi!P32</f>
        <v>10.751459523868542</v>
      </c>
      <c r="P106">
        <f>sulawesi!Q32</f>
        <v>39039.57350865929</v>
      </c>
      <c r="Q106">
        <f>sulawesi!R32</f>
        <v>41321</v>
      </c>
      <c r="R106" s="45">
        <f>proj_rukn!C106</f>
        <v>36525</v>
      </c>
    </row>
    <row r="107" spans="1:18" x14ac:dyDescent="0.25">
      <c r="A107" t="str">
        <f>sulawesi!B33</f>
        <v>SULAWESI</v>
      </c>
      <c r="B107">
        <f>sulawesi!C33</f>
        <v>2024</v>
      </c>
      <c r="C107">
        <f>sulawesi!D33</f>
        <v>15330.304385153504</v>
      </c>
      <c r="D107">
        <f>sulawesi!E33</f>
        <v>880.64670319007473</v>
      </c>
      <c r="E107">
        <f>sulawesi!F33</f>
        <v>10289.216828467506</v>
      </c>
      <c r="F107">
        <f>sulawesi!G33</f>
        <v>4477.1799899076923</v>
      </c>
      <c r="G107">
        <f>sulawesi!H33</f>
        <v>519.13107043393848</v>
      </c>
      <c r="H107">
        <f>sulawesi!I33</f>
        <v>4589.2135661453176</v>
      </c>
      <c r="I107">
        <f>sulawesi!J33</f>
        <v>370.2374798541785</v>
      </c>
      <c r="J107">
        <f>sulawesi!K33</f>
        <v>5025.7894519402062</v>
      </c>
      <c r="K107">
        <f>sulawesi!L33</f>
        <v>3162.031907823201</v>
      </c>
      <c r="L107">
        <f>sulawesi!M33</f>
        <v>1.2488053846153846</v>
      </c>
      <c r="M107">
        <f>sulawesi!N33</f>
        <v>0</v>
      </c>
      <c r="N107">
        <f>sulawesi!O33</f>
        <v>0</v>
      </c>
      <c r="O107">
        <f>sulawesi!P33</f>
        <v>12.615341762299856</v>
      </c>
      <c r="P107">
        <f>sulawesi!Q33</f>
        <v>44645.000188300233</v>
      </c>
      <c r="Q107">
        <f>sulawesi!R33</f>
        <v>44645</v>
      </c>
      <c r="R107" s="45">
        <f>proj_rukn!C107</f>
        <v>39633</v>
      </c>
    </row>
    <row r="108" spans="1:18" x14ac:dyDescent="0.25">
      <c r="A108" t="str">
        <f>sulawesi!B34</f>
        <v>SULAWESI</v>
      </c>
      <c r="B108">
        <f>sulawesi!C34</f>
        <v>2025</v>
      </c>
      <c r="C108">
        <f>sulawesi!D34</f>
        <v>15330.304385153504</v>
      </c>
      <c r="D108">
        <f>sulawesi!E34</f>
        <v>880.64670319007473</v>
      </c>
      <c r="E108">
        <f>sulawesi!F34</f>
        <v>14024.108537283686</v>
      </c>
      <c r="F108">
        <f>sulawesi!G34</f>
        <v>4477.1799899076923</v>
      </c>
      <c r="G108">
        <f>sulawesi!H34</f>
        <v>519.13107043393848</v>
      </c>
      <c r="H108">
        <f>sulawesi!I34</f>
        <v>4589.2135661453176</v>
      </c>
      <c r="I108">
        <f>sulawesi!J34</f>
        <v>370.2374798541785</v>
      </c>
      <c r="J108">
        <f>sulawesi!K34</f>
        <v>5025.7894519402062</v>
      </c>
      <c r="K108">
        <f>sulawesi!L34</f>
        <v>3352.1399878481207</v>
      </c>
      <c r="L108">
        <f>sulawesi!M34</f>
        <v>1.2488053846153846</v>
      </c>
      <c r="M108">
        <f>sulawesi!N34</f>
        <v>0</v>
      </c>
      <c r="N108">
        <f>sulawesi!O34</f>
        <v>0</v>
      </c>
      <c r="O108">
        <f>sulawesi!P34</f>
        <v>13.618944073165521</v>
      </c>
      <c r="P108">
        <f>sulawesi!Q34</f>
        <v>48569.999977141342</v>
      </c>
      <c r="Q108">
        <f>sulawesi!R34</f>
        <v>48570</v>
      </c>
      <c r="R108" s="45">
        <f>proj_rukn!C108</f>
        <v>43224</v>
      </c>
    </row>
    <row r="109" spans="1:18" x14ac:dyDescent="0.25">
      <c r="A109" t="str">
        <f>sulawesi!B35</f>
        <v>SULAWESI</v>
      </c>
      <c r="B109">
        <f>sulawesi!C35</f>
        <v>2026</v>
      </c>
      <c r="C109">
        <f>sulawesi!D35</f>
        <v>15427.161983263137</v>
      </c>
      <c r="D109">
        <f>sulawesi!E35</f>
        <v>880.64670319007473</v>
      </c>
      <c r="E109">
        <f>sulawesi!F35</f>
        <v>15914.418524901845</v>
      </c>
      <c r="F109">
        <f>sulawesi!G35</f>
        <v>5689.0123677784868</v>
      </c>
      <c r="G109">
        <f>sulawesi!H35</f>
        <v>519.13107043393848</v>
      </c>
      <c r="H109">
        <f>sulawesi!I35</f>
        <v>4589.2135661453176</v>
      </c>
      <c r="I109">
        <f>sulawesi!J35</f>
        <v>370.2374798541785</v>
      </c>
      <c r="J109">
        <f>sulawesi!K35</f>
        <v>5025.7894519402062</v>
      </c>
      <c r="K109">
        <f>sulawesi!L35</f>
        <v>3352.1399878481207</v>
      </c>
      <c r="L109">
        <f>sulawesi!M35</f>
        <v>1.2488053846153846</v>
      </c>
      <c r="M109">
        <f>sulawesi!N35</f>
        <v>0</v>
      </c>
      <c r="N109">
        <f>sulawesi!O35</f>
        <v>0</v>
      </c>
      <c r="O109">
        <f>sulawesi!P35</f>
        <v>14.406057929354843</v>
      </c>
      <c r="P109">
        <f>sulawesi!Q35</f>
        <v>51768.99994073993</v>
      </c>
      <c r="Q109">
        <f>sulawesi!R35</f>
        <v>51769</v>
      </c>
      <c r="R109" s="45">
        <f>proj_rukn!C109</f>
        <v>46148</v>
      </c>
    </row>
    <row r="110" spans="1:18" x14ac:dyDescent="0.25">
      <c r="A110" t="str">
        <f>sulawesi!B36</f>
        <v>SULAWESI</v>
      </c>
      <c r="B110">
        <f>sulawesi!C36</f>
        <v>2027</v>
      </c>
      <c r="C110">
        <f>sulawesi!D36</f>
        <v>16504.664003578706</v>
      </c>
      <c r="D110">
        <f>sulawesi!E36</f>
        <v>880.64670319007473</v>
      </c>
      <c r="E110">
        <f>sulawesi!F36</f>
        <v>17556.322871995893</v>
      </c>
      <c r="F110">
        <f>sulawesi!G36</f>
        <v>5689.0123677784868</v>
      </c>
      <c r="G110">
        <f>sulawesi!H36</f>
        <v>519.13107043393848</v>
      </c>
      <c r="H110">
        <f>sulawesi!I36</f>
        <v>4589.2135661453176</v>
      </c>
      <c r="I110">
        <f>sulawesi!J36</f>
        <v>370.2374798541785</v>
      </c>
      <c r="J110">
        <f>sulawesi!K36</f>
        <v>5025.7894519402062</v>
      </c>
      <c r="K110">
        <f>sulawesi!L36</f>
        <v>4622.7337151193706</v>
      </c>
      <c r="L110">
        <f>sulawesi!M36</f>
        <v>1.2488053846153846</v>
      </c>
      <c r="M110">
        <f>sulawesi!N36</f>
        <v>0</v>
      </c>
      <c r="N110">
        <f>sulawesi!O36</f>
        <v>0</v>
      </c>
      <c r="O110">
        <f>sulawesi!P36</f>
        <v>15.64081064202429</v>
      </c>
      <c r="P110">
        <f>sulawesi!Q36</f>
        <v>55759.000035420788</v>
      </c>
      <c r="Q110">
        <f>sulawesi!R36</f>
        <v>55759</v>
      </c>
      <c r="R110" s="45">
        <f>proj_rukn!C110</f>
        <v>49818</v>
      </c>
    </row>
    <row r="111" spans="1:18" x14ac:dyDescent="0.25">
      <c r="A111" t="str">
        <f>sulawesi!B37</f>
        <v>SULAWESI</v>
      </c>
      <c r="B111">
        <f>sulawesi!C37</f>
        <v>2028</v>
      </c>
      <c r="C111">
        <f>sulawesi!D37</f>
        <v>16937.633974160541</v>
      </c>
      <c r="D111">
        <f>sulawesi!E37</f>
        <v>880.64670319007473</v>
      </c>
      <c r="E111">
        <f>sulawesi!F37</f>
        <v>17556.322871995893</v>
      </c>
      <c r="F111">
        <f>sulawesi!G37</f>
        <v>7108.0422737284762</v>
      </c>
      <c r="G111">
        <f>sulawesi!H37</f>
        <v>519.13107043393848</v>
      </c>
      <c r="H111">
        <f>sulawesi!I37</f>
        <v>4589.2135661453176</v>
      </c>
      <c r="I111">
        <f>sulawesi!J37</f>
        <v>370.2374798541785</v>
      </c>
      <c r="J111">
        <f>sulawesi!K37</f>
        <v>5025.7894519402062</v>
      </c>
      <c r="K111">
        <f>sulawesi!L37</f>
        <v>4622.7337151193706</v>
      </c>
      <c r="L111">
        <f>sulawesi!M37</f>
        <v>1.2488053846153846</v>
      </c>
      <c r="M111">
        <f>sulawesi!N37</f>
        <v>0</v>
      </c>
      <c r="N111">
        <f>sulawesi!O37</f>
        <v>0</v>
      </c>
      <c r="O111">
        <f>sulawesi!P37</f>
        <v>16.096495162520284</v>
      </c>
      <c r="P111">
        <f>sulawesi!Q37</f>
        <v>57610.999911952618</v>
      </c>
      <c r="Q111">
        <f>sulawesi!R37</f>
        <v>57611</v>
      </c>
      <c r="R111" s="45">
        <f>proj_rukn!C111</f>
        <v>51490</v>
      </c>
    </row>
    <row r="112" spans="1:18" x14ac:dyDescent="0.25">
      <c r="A112" t="str">
        <f>sulawesi!B38</f>
        <v>SULAWESI</v>
      </c>
      <c r="B112">
        <f>sulawesi!C38</f>
        <v>2029</v>
      </c>
      <c r="C112">
        <f>sulawesi!D38</f>
        <v>16937.633974160541</v>
      </c>
      <c r="D112">
        <f>sulawesi!E38</f>
        <v>880.64670319007473</v>
      </c>
      <c r="E112">
        <f>sulawesi!F38</f>
        <v>17556.322871995893</v>
      </c>
      <c r="F112">
        <f>sulawesi!G38</f>
        <v>7108.0422737284762</v>
      </c>
      <c r="G112">
        <f>sulawesi!H38</f>
        <v>519.13107043393848</v>
      </c>
      <c r="H112">
        <f>sulawesi!I38</f>
        <v>4589.2135661453176</v>
      </c>
      <c r="I112">
        <f>sulawesi!J38</f>
        <v>370.2374798541785</v>
      </c>
      <c r="J112">
        <f>sulawesi!K38</f>
        <v>5025.7894519402062</v>
      </c>
      <c r="K112">
        <f>sulawesi!L38</f>
        <v>4622.7337151193706</v>
      </c>
      <c r="L112">
        <f>sulawesi!M38</f>
        <v>1.2488053846153846</v>
      </c>
      <c r="M112">
        <f>sulawesi!N38</f>
        <v>0</v>
      </c>
      <c r="N112">
        <f>sulawesi!O38</f>
        <v>0</v>
      </c>
      <c r="O112">
        <f>sulawesi!P38</f>
        <v>16.096495162520284</v>
      </c>
      <c r="P112">
        <f>sulawesi!Q38</f>
        <v>57610.999911952618</v>
      </c>
      <c r="Q112">
        <f>sulawesi!R38</f>
        <v>49430</v>
      </c>
      <c r="R112" s="45">
        <f>proj_rukn!C112</f>
        <v>53290</v>
      </c>
    </row>
    <row r="113" spans="1:18" x14ac:dyDescent="0.25">
      <c r="A113" t="str">
        <f>sulawesi!B39</f>
        <v>SULAWESI</v>
      </c>
      <c r="B113">
        <f>sulawesi!C39</f>
        <v>2030</v>
      </c>
      <c r="C113">
        <f>sulawesi!D39</f>
        <v>16937.633974160541</v>
      </c>
      <c r="D113">
        <f>sulawesi!E39</f>
        <v>880.64670319007473</v>
      </c>
      <c r="E113">
        <f>sulawesi!F39</f>
        <v>17556.322871995893</v>
      </c>
      <c r="F113">
        <f>sulawesi!G39</f>
        <v>7108.0422737284762</v>
      </c>
      <c r="G113">
        <f>sulawesi!H39</f>
        <v>519.13107043393848</v>
      </c>
      <c r="H113">
        <f>sulawesi!I39</f>
        <v>4589.2135661453176</v>
      </c>
      <c r="I113">
        <f>sulawesi!J39</f>
        <v>370.2374798541785</v>
      </c>
      <c r="J113">
        <f>sulawesi!K39</f>
        <v>5025.7894519402062</v>
      </c>
      <c r="K113">
        <f>sulawesi!L39</f>
        <v>4622.7337151193706</v>
      </c>
      <c r="L113">
        <f>sulawesi!M39</f>
        <v>1.2488053846153846</v>
      </c>
      <c r="M113">
        <f>sulawesi!N39</f>
        <v>0</v>
      </c>
      <c r="N113">
        <f>sulawesi!O39</f>
        <v>0</v>
      </c>
      <c r="O113">
        <f>sulawesi!P39</f>
        <v>16.096495162520284</v>
      </c>
      <c r="P113">
        <f>sulawesi!Q39</f>
        <v>57610.999911952618</v>
      </c>
      <c r="Q113">
        <f>sulawesi!R39</f>
        <v>48107</v>
      </c>
      <c r="R113" s="45">
        <f>proj_rukn!C113</f>
        <v>55184</v>
      </c>
    </row>
    <row r="114" spans="1:18" x14ac:dyDescent="0.25">
      <c r="A114" t="str">
        <f>sulawesi!B40</f>
        <v>SULAWESI</v>
      </c>
      <c r="B114">
        <f>sulawesi!C40</f>
        <v>2031</v>
      </c>
      <c r="C114">
        <f>sulawesi!D40</f>
        <v>16937.633974160541</v>
      </c>
      <c r="D114">
        <f>sulawesi!E40</f>
        <v>880.64670319007473</v>
      </c>
      <c r="E114">
        <f>sulawesi!F40</f>
        <v>17556.322871995893</v>
      </c>
      <c r="F114">
        <f>sulawesi!G40</f>
        <v>7108.0422737284762</v>
      </c>
      <c r="G114">
        <f>sulawesi!H40</f>
        <v>519.13107043393848</v>
      </c>
      <c r="H114">
        <f>sulawesi!I40</f>
        <v>4589.2135661453176</v>
      </c>
      <c r="I114">
        <f>sulawesi!J40</f>
        <v>370.2374798541785</v>
      </c>
      <c r="J114">
        <f>sulawesi!K40</f>
        <v>5025.7894519402062</v>
      </c>
      <c r="K114">
        <f>sulawesi!L40</f>
        <v>4622.7337151193706</v>
      </c>
      <c r="L114">
        <f>sulawesi!M40</f>
        <v>1.2488053846153846</v>
      </c>
      <c r="M114">
        <f>sulawesi!N40</f>
        <v>0</v>
      </c>
      <c r="N114">
        <f>sulawesi!O40</f>
        <v>0</v>
      </c>
      <c r="O114">
        <f>sulawesi!P40</f>
        <v>16.096495162520284</v>
      </c>
      <c r="P114">
        <f>sulawesi!Q40</f>
        <v>57610.999911952618</v>
      </c>
      <c r="Q114">
        <f>sulawesi!R40</f>
        <v>53463</v>
      </c>
      <c r="R114" s="45">
        <f>proj_rukn!C114</f>
        <v>57463</v>
      </c>
    </row>
    <row r="115" spans="1:18" x14ac:dyDescent="0.25">
      <c r="A115" t="str">
        <f>sulawesi!B41</f>
        <v>SULAWESI</v>
      </c>
      <c r="B115">
        <f>sulawesi!C41</f>
        <v>2032</v>
      </c>
      <c r="C115">
        <f>sulawesi!D41</f>
        <v>16937.633974160541</v>
      </c>
      <c r="D115">
        <f>sulawesi!E41</f>
        <v>880.64670319007473</v>
      </c>
      <c r="E115">
        <f>sulawesi!F41</f>
        <v>17556.322871995893</v>
      </c>
      <c r="F115">
        <f>sulawesi!G41</f>
        <v>7108.0422737284762</v>
      </c>
      <c r="G115">
        <f>sulawesi!H41</f>
        <v>519.13107043393848</v>
      </c>
      <c r="H115">
        <f>sulawesi!I41</f>
        <v>4589.2135661453176</v>
      </c>
      <c r="I115">
        <f>sulawesi!J41</f>
        <v>370.2374798541785</v>
      </c>
      <c r="J115">
        <f>sulawesi!K41</f>
        <v>5025.7894519402062</v>
      </c>
      <c r="K115">
        <f>sulawesi!L41</f>
        <v>4622.7337151193706</v>
      </c>
      <c r="L115">
        <f>sulawesi!M41</f>
        <v>1.2488053846153846</v>
      </c>
      <c r="M115">
        <f>sulawesi!N41</f>
        <v>0</v>
      </c>
      <c r="N115">
        <f>sulawesi!O41</f>
        <v>0</v>
      </c>
      <c r="O115">
        <f>sulawesi!P41</f>
        <v>16.096495162520284</v>
      </c>
      <c r="P115">
        <f>sulawesi!Q41</f>
        <v>57610.999911952618</v>
      </c>
      <c r="Q115">
        <f>sulawesi!R41</f>
        <v>52763</v>
      </c>
      <c r="R115" s="45">
        <f>proj_rukn!C115</f>
        <v>59961</v>
      </c>
    </row>
    <row r="116" spans="1:18" x14ac:dyDescent="0.25">
      <c r="A116" t="str">
        <f>sulawesi!B42</f>
        <v>SULAWESI</v>
      </c>
      <c r="B116">
        <f>sulawesi!C42</f>
        <v>2033</v>
      </c>
      <c r="C116">
        <f>sulawesi!D42</f>
        <v>16937.633974160541</v>
      </c>
      <c r="D116">
        <f>sulawesi!E42</f>
        <v>880.64670319007473</v>
      </c>
      <c r="E116">
        <f>sulawesi!F42</f>
        <v>17556.322871995893</v>
      </c>
      <c r="F116">
        <f>sulawesi!G42</f>
        <v>7108.0422737284762</v>
      </c>
      <c r="G116">
        <f>sulawesi!H42</f>
        <v>519.13107043393848</v>
      </c>
      <c r="H116">
        <f>sulawesi!I42</f>
        <v>4589.2135661453176</v>
      </c>
      <c r="I116">
        <f>sulawesi!J42</f>
        <v>370.2374798541785</v>
      </c>
      <c r="J116">
        <f>sulawesi!K42</f>
        <v>5025.7894519402062</v>
      </c>
      <c r="K116">
        <f>sulawesi!L42</f>
        <v>4622.7337151193706</v>
      </c>
      <c r="L116">
        <f>sulawesi!M42</f>
        <v>1.2488053846153846</v>
      </c>
      <c r="M116">
        <f>sulawesi!N42</f>
        <v>0</v>
      </c>
      <c r="N116">
        <f>sulawesi!O42</f>
        <v>0</v>
      </c>
      <c r="O116">
        <f>sulawesi!P42</f>
        <v>16.096495162520284</v>
      </c>
      <c r="P116">
        <f>sulawesi!Q42</f>
        <v>57610.999911952618</v>
      </c>
      <c r="Q116">
        <f>sulawesi!R42</f>
        <v>52681</v>
      </c>
      <c r="R116" s="45">
        <f>proj_rukn!C116</f>
        <v>62425</v>
      </c>
    </row>
    <row r="117" spans="1:18" x14ac:dyDescent="0.25">
      <c r="A117" t="str">
        <f>sulawesi!B43</f>
        <v>SULAWESI</v>
      </c>
      <c r="B117">
        <f>sulawesi!C43</f>
        <v>2034</v>
      </c>
      <c r="C117">
        <f>sulawesi!D43</f>
        <v>16937.633974160541</v>
      </c>
      <c r="D117">
        <f>sulawesi!E43</f>
        <v>880.64670319007473</v>
      </c>
      <c r="E117">
        <f>sulawesi!F43</f>
        <v>17556.322871995893</v>
      </c>
      <c r="F117">
        <f>sulawesi!G43</f>
        <v>7108.0422737284762</v>
      </c>
      <c r="G117">
        <f>sulawesi!H43</f>
        <v>519.13107043393848</v>
      </c>
      <c r="H117">
        <f>sulawesi!I43</f>
        <v>4589.2135661453176</v>
      </c>
      <c r="I117">
        <f>sulawesi!J43</f>
        <v>370.2374798541785</v>
      </c>
      <c r="J117">
        <f>sulawesi!K43</f>
        <v>5025.7894519402062</v>
      </c>
      <c r="K117">
        <f>sulawesi!L43</f>
        <v>4622.7337151193706</v>
      </c>
      <c r="L117">
        <f>sulawesi!M43</f>
        <v>1.2488053846153846</v>
      </c>
      <c r="M117">
        <f>sulawesi!N43</f>
        <v>0</v>
      </c>
      <c r="N117">
        <f>sulawesi!O43</f>
        <v>0</v>
      </c>
      <c r="O117">
        <f>sulawesi!P43</f>
        <v>16.096495162520284</v>
      </c>
      <c r="P117">
        <f>sulawesi!Q43</f>
        <v>57610.999911952618</v>
      </c>
      <c r="Q117">
        <f>sulawesi!R43</f>
        <v>55625</v>
      </c>
      <c r="R117" s="45">
        <f>proj_rukn!C117</f>
        <v>65397</v>
      </c>
    </row>
    <row r="118" spans="1:18" x14ac:dyDescent="0.25">
      <c r="A118" t="str">
        <f>sulawesi!B44</f>
        <v>SULAWESI</v>
      </c>
      <c r="B118">
        <f>sulawesi!C44</f>
        <v>2035</v>
      </c>
      <c r="C118">
        <f>sulawesi!D44</f>
        <v>16937.633974160541</v>
      </c>
      <c r="D118">
        <f>sulawesi!E44</f>
        <v>880.64670319007473</v>
      </c>
      <c r="E118">
        <f>sulawesi!F44</f>
        <v>17556.322871995893</v>
      </c>
      <c r="F118">
        <f>sulawesi!G44</f>
        <v>7144.0423598241423</v>
      </c>
      <c r="G118">
        <f>sulawesi!H44</f>
        <v>519.13107043393848</v>
      </c>
      <c r="H118">
        <f>sulawesi!I44</f>
        <v>4589.2135661453176</v>
      </c>
      <c r="I118">
        <f>sulawesi!J44</f>
        <v>370.2374798541785</v>
      </c>
      <c r="J118">
        <f>sulawesi!K44</f>
        <v>5025.7894519402062</v>
      </c>
      <c r="K118">
        <f>sulawesi!L44</f>
        <v>4622.7337151193706</v>
      </c>
      <c r="L118">
        <f>sulawesi!M44</f>
        <v>1.2488053846153846</v>
      </c>
      <c r="M118">
        <f>sulawesi!N44</f>
        <v>0</v>
      </c>
      <c r="N118">
        <f>sulawesi!O44</f>
        <v>0</v>
      </c>
      <c r="O118">
        <f>sulawesi!P44</f>
        <v>16.10535298274921</v>
      </c>
      <c r="P118">
        <f>sulawesi!Q44</f>
        <v>57646.999998048283</v>
      </c>
      <c r="Q118">
        <f>sulawesi!R44</f>
        <v>57647</v>
      </c>
      <c r="R118" s="45">
        <f>proj_rukn!C118</f>
        <v>68446</v>
      </c>
    </row>
    <row r="119" spans="1:18" x14ac:dyDescent="0.25">
      <c r="A119" t="str">
        <f>sulawesi!B45</f>
        <v>SULAWESI</v>
      </c>
      <c r="B119">
        <f>sulawesi!C45</f>
        <v>2036</v>
      </c>
      <c r="C119">
        <f>sulawesi!D45</f>
        <v>16937.633974160541</v>
      </c>
      <c r="D119">
        <f>sulawesi!E45</f>
        <v>880.64670319007473</v>
      </c>
      <c r="E119">
        <f>sulawesi!F45</f>
        <v>18543.846772568835</v>
      </c>
      <c r="F119">
        <f>sulawesi!G45</f>
        <v>7772.9003410638579</v>
      </c>
      <c r="G119">
        <f>sulawesi!H45</f>
        <v>519.13107043393848</v>
      </c>
      <c r="H119">
        <f>sulawesi!I45</f>
        <v>4589.2135661453176</v>
      </c>
      <c r="I119">
        <f>sulawesi!J45</f>
        <v>370.2374798541785</v>
      </c>
      <c r="J119">
        <f>sulawesi!K45</f>
        <v>5025.7894519402062</v>
      </c>
      <c r="K119">
        <f>sulawesi!L45</f>
        <v>5423.3526640098698</v>
      </c>
      <c r="L119">
        <f>sulawesi!M45</f>
        <v>1.2488053846153846</v>
      </c>
      <c r="M119">
        <f>sulawesi!N45</f>
        <v>0</v>
      </c>
      <c r="N119">
        <f>sulawesi!O45</f>
        <v>0</v>
      </c>
      <c r="O119">
        <f>sulawesi!P45</f>
        <v>16.859483203088285</v>
      </c>
      <c r="P119">
        <f>sulawesi!Q45</f>
        <v>60064.000828751443</v>
      </c>
      <c r="Q119">
        <f>sulawesi!R45</f>
        <v>60064</v>
      </c>
      <c r="R119" s="45">
        <f>proj_rukn!C119</f>
        <v>71899</v>
      </c>
    </row>
    <row r="120" spans="1:18" x14ac:dyDescent="0.25">
      <c r="A120" t="str">
        <f>sulawesi!B46</f>
        <v>SULAWESI</v>
      </c>
      <c r="B120">
        <f>sulawesi!C46</f>
        <v>2037</v>
      </c>
      <c r="C120">
        <f>sulawesi!D46</f>
        <v>17910.192004443343</v>
      </c>
      <c r="D120">
        <f>sulawesi!E46</f>
        <v>880.64670319007473</v>
      </c>
      <c r="E120">
        <f>sulawesi!F46</f>
        <v>20604.100744437419</v>
      </c>
      <c r="F120">
        <f>sulawesi!G46</f>
        <v>8080.0477067583715</v>
      </c>
      <c r="G120">
        <f>sulawesi!H46</f>
        <v>519.13107043393848</v>
      </c>
      <c r="H120">
        <f>sulawesi!I46</f>
        <v>4589.2135661453176</v>
      </c>
      <c r="I120">
        <f>sulawesi!J46</f>
        <v>370.2374798541785</v>
      </c>
      <c r="J120">
        <f>sulawesi!K46</f>
        <v>5025.7894519402062</v>
      </c>
      <c r="K120">
        <f>sulawesi!L46</f>
        <v>6911.3924988659437</v>
      </c>
      <c r="L120">
        <f>sulawesi!M46</f>
        <v>1.2488053846153846</v>
      </c>
      <c r="M120">
        <f>sulawesi!N46</f>
        <v>0</v>
      </c>
      <c r="N120">
        <f>sulawesi!O46</f>
        <v>0</v>
      </c>
      <c r="O120">
        <f>sulawesi!P46</f>
        <v>18.343725611693795</v>
      </c>
      <c r="P120">
        <f>sulawesi!Q46</f>
        <v>64892.000031453405</v>
      </c>
      <c r="Q120">
        <f>sulawesi!R46</f>
        <v>64892</v>
      </c>
      <c r="R120" s="45">
        <f>proj_rukn!C120</f>
        <v>75580</v>
      </c>
    </row>
    <row r="121" spans="1:18" x14ac:dyDescent="0.25">
      <c r="A121" t="str">
        <f>sulawesi!B47</f>
        <v>SULAWESI</v>
      </c>
      <c r="B121">
        <f>sulawesi!C47</f>
        <v>2038</v>
      </c>
      <c r="C121">
        <f>sulawesi!D47</f>
        <v>19306.862049986074</v>
      </c>
      <c r="D121">
        <f>sulawesi!E47</f>
        <v>880.64670319007473</v>
      </c>
      <c r="E121">
        <f>sulawesi!F47</f>
        <v>22435.887361593435</v>
      </c>
      <c r="F121">
        <f>sulawesi!G47</f>
        <v>8080.0477067583715</v>
      </c>
      <c r="G121">
        <f>sulawesi!H47</f>
        <v>519.13107043393848</v>
      </c>
      <c r="H121">
        <f>sulawesi!I47</f>
        <v>4589.2135661453176</v>
      </c>
      <c r="I121">
        <f>sulawesi!J47</f>
        <v>370.2374798541785</v>
      </c>
      <c r="J121">
        <f>sulawesi!K47</f>
        <v>5025.7894519402062</v>
      </c>
      <c r="K121">
        <f>sulawesi!L47</f>
        <v>9253.9360877204435</v>
      </c>
      <c r="L121">
        <f>sulawesi!M47</f>
        <v>1.2488053846153846</v>
      </c>
      <c r="M121">
        <f>sulawesi!N47</f>
        <v>0</v>
      </c>
      <c r="N121">
        <f>sulawesi!O47</f>
        <v>0</v>
      </c>
      <c r="O121">
        <f>sulawesi!P47</f>
        <v>20.180940718528753</v>
      </c>
      <c r="P121">
        <f>sulawesi!Q47</f>
        <v>70463.000283006651</v>
      </c>
      <c r="Q121">
        <f>sulawesi!R47</f>
        <v>70463</v>
      </c>
      <c r="R121" s="45">
        <f>proj_rukn!C121</f>
        <v>79906</v>
      </c>
    </row>
    <row r="122" spans="1:18" x14ac:dyDescent="0.25">
      <c r="A122" t="str">
        <f>maluku_papua!B28</f>
        <v>MALUKU_PAPUA</v>
      </c>
      <c r="B122">
        <f>maluku_papua!C28</f>
        <v>2019</v>
      </c>
      <c r="C122">
        <f>maluku_papua!D28</f>
        <v>1352.91192</v>
      </c>
      <c r="D122">
        <f>maluku_papua!E28</f>
        <v>11.957534769230767</v>
      </c>
      <c r="E122">
        <f>maluku_papua!F28</f>
        <v>0</v>
      </c>
      <c r="F122">
        <f>maluku_papua!G28</f>
        <v>4462.8379022769232</v>
      </c>
      <c r="G122">
        <f>maluku_papua!H28</f>
        <v>0</v>
      </c>
      <c r="H122">
        <f>maluku_papua!I28</f>
        <v>132.24670116923076</v>
      </c>
      <c r="I122">
        <f>maluku_papua!J28</f>
        <v>0</v>
      </c>
      <c r="J122">
        <f>maluku_papua!K28</f>
        <v>11.791836000000002</v>
      </c>
      <c r="K122">
        <f>maluku_papua!L28</f>
        <v>0</v>
      </c>
      <c r="L122">
        <f>maluku_papua!M28</f>
        <v>0</v>
      </c>
      <c r="M122">
        <f>maluku_papua!N28</f>
        <v>0</v>
      </c>
      <c r="N122">
        <f>maluku_papua!O28</f>
        <v>0</v>
      </c>
      <c r="O122">
        <f>maluku_papua!P28</f>
        <v>0</v>
      </c>
      <c r="P122">
        <f>maluku_papua!Q28</f>
        <v>5971.7458942153853</v>
      </c>
      <c r="Q122">
        <f>maluku_papua!R28</f>
        <v>8971</v>
      </c>
      <c r="R122" s="45">
        <f>proj_rukn!C122</f>
        <v>7765</v>
      </c>
    </row>
    <row r="123" spans="1:18" x14ac:dyDescent="0.25">
      <c r="A123" t="str">
        <f>maluku_papua!B29</f>
        <v>MALUKU_PAPUA</v>
      </c>
      <c r="B123">
        <f>maluku_papua!C29</f>
        <v>2020</v>
      </c>
      <c r="C123">
        <f>maluku_papua!D29</f>
        <v>1352.91192</v>
      </c>
      <c r="D123">
        <f>maluku_papua!E29</f>
        <v>11.957531779847084</v>
      </c>
      <c r="E123">
        <f>maluku_papua!F29</f>
        <v>679.88586475070099</v>
      </c>
      <c r="F123">
        <f>maluku_papua!G29</f>
        <v>4462.8379022769232</v>
      </c>
      <c r="G123">
        <f>maluku_papua!H29</f>
        <v>0</v>
      </c>
      <c r="H123">
        <f>maluku_papua!I29</f>
        <v>132.24670116923076</v>
      </c>
      <c r="I123">
        <f>maluku_papua!J29</f>
        <v>0</v>
      </c>
      <c r="J123">
        <f>maluku_papua!K29</f>
        <v>11.791834160400001</v>
      </c>
      <c r="K123">
        <f>maluku_papua!L29</f>
        <v>0</v>
      </c>
      <c r="L123">
        <f>maluku_papua!M29</f>
        <v>0</v>
      </c>
      <c r="M123">
        <f>maluku_papua!N29</f>
        <v>-9.9999999999918511E-7</v>
      </c>
      <c r="N123">
        <f>maluku_papua!O29</f>
        <v>0</v>
      </c>
      <c r="O123">
        <f>maluku_papua!P29</f>
        <v>1.6389819238479777</v>
      </c>
      <c r="P123">
        <f>maluku_papua!Q29</f>
        <v>6651.6317531371014</v>
      </c>
      <c r="Q123">
        <f>maluku_papua!R29</f>
        <v>11551</v>
      </c>
      <c r="R123" s="45">
        <f>proj_rukn!C123</f>
        <v>9798</v>
      </c>
    </row>
    <row r="124" spans="1:18" x14ac:dyDescent="0.25">
      <c r="A124" t="str">
        <f>maluku_papua!B30</f>
        <v>MALUKU_PAPUA</v>
      </c>
      <c r="B124">
        <f>maluku_papua!C30</f>
        <v>2021</v>
      </c>
      <c r="C124">
        <f>maluku_papua!D30</f>
        <v>1352.91192</v>
      </c>
      <c r="D124">
        <f>maluku_papua!E30</f>
        <v>11.957528790463392</v>
      </c>
      <c r="E124">
        <f>maluku_papua!F30</f>
        <v>1405.3240818153029</v>
      </c>
      <c r="F124">
        <f>maluku_papua!G30</f>
        <v>4462.8379022769232</v>
      </c>
      <c r="G124">
        <f>maluku_papua!H30</f>
        <v>-2.1832167652023721E-14</v>
      </c>
      <c r="H124">
        <f>maluku_papua!I30</f>
        <v>132.24894493911538</v>
      </c>
      <c r="I124">
        <f>maluku_papua!J30</f>
        <v>446.95332908982277</v>
      </c>
      <c r="J124">
        <f>maluku_papua!K30</f>
        <v>626.48923510315547</v>
      </c>
      <c r="K124">
        <f>maluku_papua!L30</f>
        <v>114.27578487423514</v>
      </c>
      <c r="L124">
        <f>maluku_papua!M30</f>
        <v>0</v>
      </c>
      <c r="M124">
        <f>maluku_papua!N30</f>
        <v>0.72813189352989238</v>
      </c>
      <c r="N124">
        <f>maluku_papua!O30</f>
        <v>0</v>
      </c>
      <c r="O124">
        <f>maluku_papua!P30</f>
        <v>2.2522977783779417</v>
      </c>
      <c r="P124">
        <f>maluku_papua!Q30</f>
        <v>8553.7268587825474</v>
      </c>
      <c r="Q124">
        <f>maluku_papua!R30</f>
        <v>16244</v>
      </c>
      <c r="R124" s="45">
        <f>proj_rukn!C124</f>
        <v>13786</v>
      </c>
    </row>
    <row r="125" spans="1:18" x14ac:dyDescent="0.25">
      <c r="A125" t="str">
        <f>maluku_papua!B31</f>
        <v>MALUKU_PAPUA</v>
      </c>
      <c r="B125">
        <f>maluku_papua!C31</f>
        <v>2022</v>
      </c>
      <c r="C125">
        <f>maluku_papua!D31</f>
        <v>1446.8110852999639</v>
      </c>
      <c r="D125">
        <f>maluku_papua!E31</f>
        <v>11.95752580107971</v>
      </c>
      <c r="E125">
        <f>maluku_papua!F31</f>
        <v>1951.8922900079785</v>
      </c>
      <c r="F125">
        <f>maluku_papua!G31</f>
        <v>4462.8379022769232</v>
      </c>
      <c r="G125">
        <f>maluku_papua!H31</f>
        <v>0</v>
      </c>
      <c r="H125">
        <f>maluku_papua!I31</f>
        <v>219.10088702831135</v>
      </c>
      <c r="I125">
        <f>maluku_papua!J31</f>
        <v>633.19440066564994</v>
      </c>
      <c r="J125">
        <f>maluku_papua!K31</f>
        <v>641.41050908794716</v>
      </c>
      <c r="K125">
        <f>maluku_papua!L31</f>
        <v>155.96914288189063</v>
      </c>
      <c r="L125">
        <f>maluku_papua!M31</f>
        <v>0</v>
      </c>
      <c r="M125">
        <f>maluku_papua!N31</f>
        <v>0.83769469948186648</v>
      </c>
      <c r="N125">
        <f>maluku_papua!O31</f>
        <v>0</v>
      </c>
      <c r="O125">
        <f>maluku_papua!P31</f>
        <v>2.5023317607012863</v>
      </c>
      <c r="P125">
        <f>maluku_papua!Q31</f>
        <v>9524.0114377492264</v>
      </c>
      <c r="Q125">
        <f>maluku_papua!R31</f>
        <v>17453</v>
      </c>
      <c r="R125" s="45">
        <f>proj_rukn!C125</f>
        <v>15018</v>
      </c>
    </row>
    <row r="126" spans="1:18" x14ac:dyDescent="0.25">
      <c r="A126" t="str">
        <f>maluku_papua!B32</f>
        <v>MALUKU_PAPUA</v>
      </c>
      <c r="B126">
        <f>maluku_papua!C32</f>
        <v>2023</v>
      </c>
      <c r="C126">
        <f>maluku_papua!D32</f>
        <v>1700.1090107728662</v>
      </c>
      <c r="D126">
        <f>maluku_papua!E32</f>
        <v>11.95752580107971</v>
      </c>
      <c r="E126">
        <f>maluku_papua!F32</f>
        <v>2164.1716796087644</v>
      </c>
      <c r="F126">
        <f>maluku_papua!G32</f>
        <v>4462.8379022769232</v>
      </c>
      <c r="G126">
        <f>maluku_papua!H32</f>
        <v>-2.1832171774409277E-14</v>
      </c>
      <c r="H126">
        <f>maluku_papua!I32</f>
        <v>221.4910782935371</v>
      </c>
      <c r="I126">
        <f>maluku_papua!J32</f>
        <v>633.21492864578624</v>
      </c>
      <c r="J126">
        <f>maluku_papua!K32</f>
        <v>653.17276426389981</v>
      </c>
      <c r="K126">
        <f>maluku_papua!L32</f>
        <v>475.38508473974741</v>
      </c>
      <c r="L126">
        <f>maluku_papua!M32</f>
        <v>0</v>
      </c>
      <c r="M126">
        <f>maluku_papua!N32</f>
        <v>0.85398797743155919</v>
      </c>
      <c r="N126">
        <f>maluku_papua!O32</f>
        <v>0</v>
      </c>
      <c r="O126">
        <f>maluku_papua!P32</f>
        <v>2.7649213497590015</v>
      </c>
      <c r="P126">
        <f>maluku_papua!Q32</f>
        <v>10323.193962380035</v>
      </c>
      <c r="Q126">
        <f>maluku_papua!R32</f>
        <v>18185</v>
      </c>
      <c r="R126" s="45">
        <f>proj_rukn!C126</f>
        <v>15788</v>
      </c>
    </row>
    <row r="127" spans="1:18" x14ac:dyDescent="0.25">
      <c r="A127" t="str">
        <f>maluku_papua!B33</f>
        <v>MALUKU_PAPUA</v>
      </c>
      <c r="B127">
        <f>maluku_papua!C33</f>
        <v>2024</v>
      </c>
      <c r="C127">
        <f>maluku_papua!D33</f>
        <v>1965.5144984204978</v>
      </c>
      <c r="D127">
        <f>maluku_papua!E33</f>
        <v>11.957522811696016</v>
      </c>
      <c r="E127">
        <f>maluku_papua!F33</f>
        <v>2402.4555627483333</v>
      </c>
      <c r="F127">
        <f>maluku_papua!G33</f>
        <v>4462.8379022769232</v>
      </c>
      <c r="G127">
        <f>maluku_papua!H33</f>
        <v>-9.9999999494995479E-7</v>
      </c>
      <c r="H127">
        <f>maluku_papua!I33</f>
        <v>280.44314625060116</v>
      </c>
      <c r="I127">
        <f>maluku_papua!J33</f>
        <v>931.64535865247694</v>
      </c>
      <c r="J127">
        <f>maluku_papua!K33</f>
        <v>653.17276426389981</v>
      </c>
      <c r="K127">
        <f>maluku_papua!L33</f>
        <v>500.10053041079567</v>
      </c>
      <c r="L127">
        <f>maluku_papua!M33</f>
        <v>0</v>
      </c>
      <c r="M127">
        <f>maluku_papua!N33</f>
        <v>0.85398797743155919</v>
      </c>
      <c r="N127">
        <f>maluku_papua!O33</f>
        <v>0</v>
      </c>
      <c r="O127">
        <f>maluku_papua!P33</f>
        <v>2.9877908800361563</v>
      </c>
      <c r="P127">
        <f>maluku_papua!Q33</f>
        <v>11208.981272812653</v>
      </c>
      <c r="Q127">
        <f>maluku_papua!R33</f>
        <v>19719</v>
      </c>
      <c r="R127" s="45">
        <f>proj_rukn!C127</f>
        <v>17243</v>
      </c>
    </row>
    <row r="128" spans="1:18" x14ac:dyDescent="0.25">
      <c r="A128" t="str">
        <f>maluku_papua!B34</f>
        <v>MALUKU_PAPUA</v>
      </c>
      <c r="B128">
        <f>maluku_papua!C34</f>
        <v>2025</v>
      </c>
      <c r="C128">
        <f>maluku_papua!D34</f>
        <v>2243.0508368023193</v>
      </c>
      <c r="D128">
        <f>maluku_papua!E34</f>
        <v>11.95751982231233</v>
      </c>
      <c r="E128">
        <f>maluku_papua!F34</f>
        <v>2670.395013757427</v>
      </c>
      <c r="F128">
        <f>maluku_papua!G34</f>
        <v>4462.8379022769232</v>
      </c>
      <c r="G128">
        <f>maluku_papua!H34</f>
        <v>-9.9999999494995479E-7</v>
      </c>
      <c r="H128">
        <f>maluku_papua!I34</f>
        <v>543.03501866956913</v>
      </c>
      <c r="I128">
        <f>maluku_papua!J34</f>
        <v>969.6791587096609</v>
      </c>
      <c r="J128">
        <f>maluku_papua!K34</f>
        <v>696.94285221268274</v>
      </c>
      <c r="K128">
        <f>maluku_papua!L34</f>
        <v>593.77084722817551</v>
      </c>
      <c r="L128">
        <f>maluku_papua!M34</f>
        <v>0</v>
      </c>
      <c r="M128">
        <f>maluku_papua!N34</f>
        <v>0.85403305108910432</v>
      </c>
      <c r="N128">
        <f>maluku_papua!O34</f>
        <v>0</v>
      </c>
      <c r="O128">
        <f>maluku_papua!P34</f>
        <v>3.2571598537184228</v>
      </c>
      <c r="P128">
        <f>maluku_papua!Q34</f>
        <v>12192.523181530159</v>
      </c>
      <c r="Q128">
        <f>maluku_papua!R34</f>
        <v>21647</v>
      </c>
      <c r="R128" s="45">
        <f>proj_rukn!C128</f>
        <v>18758</v>
      </c>
    </row>
    <row r="129" spans="1:18" x14ac:dyDescent="0.25">
      <c r="A129" t="str">
        <f>maluku_papua!B35</f>
        <v>MALUKU_PAPUA</v>
      </c>
      <c r="B129">
        <f>maluku_papua!C35</f>
        <v>2026</v>
      </c>
      <c r="C129">
        <f>maluku_papua!D35</f>
        <v>2563.0610137735753</v>
      </c>
      <c r="D129">
        <f>maluku_papua!E35</f>
        <v>11.95751982231233</v>
      </c>
      <c r="E129">
        <f>maluku_papua!F35</f>
        <v>2898.4388218028198</v>
      </c>
      <c r="F129">
        <f>maluku_papua!G35</f>
        <v>4462.8379022769232</v>
      </c>
      <c r="G129">
        <f>maluku_papua!H35</f>
        <v>0</v>
      </c>
      <c r="H129">
        <f>maluku_papua!I35</f>
        <v>608.84564012110798</v>
      </c>
      <c r="I129">
        <f>maluku_papua!J35</f>
        <v>1081.675619049885</v>
      </c>
      <c r="J129">
        <f>maluku_papua!K35</f>
        <v>706.24983862901661</v>
      </c>
      <c r="K129">
        <f>maluku_papua!L35</f>
        <v>624.04990815647659</v>
      </c>
      <c r="L129">
        <f>maluku_papua!M35</f>
        <v>0</v>
      </c>
      <c r="M129">
        <f>maluku_papua!N35</f>
        <v>1.0152669484241608</v>
      </c>
      <c r="N129">
        <f>maluku_papua!O35</f>
        <v>0</v>
      </c>
      <c r="O129">
        <f>maluku_papua!P35</f>
        <v>3.4534526427537644</v>
      </c>
      <c r="P129">
        <f>maluku_papua!Q35</f>
        <v>12958.131530580542</v>
      </c>
      <c r="Q129">
        <f>maluku_papua!R35</f>
        <v>23380</v>
      </c>
      <c r="R129" s="45">
        <f>proj_rukn!C129</f>
        <v>20342</v>
      </c>
    </row>
    <row r="130" spans="1:18" x14ac:dyDescent="0.25">
      <c r="A130" t="str">
        <f>maluku_papua!B36</f>
        <v>MALUKU_PAPUA</v>
      </c>
      <c r="B130">
        <f>maluku_papua!C36</f>
        <v>2027</v>
      </c>
      <c r="C130">
        <f>maluku_papua!D36</f>
        <v>2902.3796518261056</v>
      </c>
      <c r="D130">
        <f>maluku_papua!E36</f>
        <v>11.957516832928636</v>
      </c>
      <c r="E130">
        <f>maluku_papua!F36</f>
        <v>3146.9269572882527</v>
      </c>
      <c r="F130">
        <f>maluku_papua!G36</f>
        <v>4462.8379022769232</v>
      </c>
      <c r="G130">
        <f>maluku_papua!H36</f>
        <v>-2.1832245118518983E-14</v>
      </c>
      <c r="H130">
        <f>maluku_papua!I36</f>
        <v>704.58065797839697</v>
      </c>
      <c r="I130">
        <f>maluku_papua!J36</f>
        <v>1181.8667332884609</v>
      </c>
      <c r="J130">
        <f>maluku_papua!K36</f>
        <v>706.28143678275489</v>
      </c>
      <c r="K130">
        <f>maluku_papua!L36</f>
        <v>663.97064663273841</v>
      </c>
      <c r="L130">
        <f>maluku_papua!M36</f>
        <v>0</v>
      </c>
      <c r="M130">
        <f>maluku_papua!N36</f>
        <v>1.4169727666093934</v>
      </c>
      <c r="N130">
        <f>maluku_papua!O36</f>
        <v>0</v>
      </c>
      <c r="O130">
        <f>maluku_papua!P36</f>
        <v>3.6642549131370434</v>
      </c>
      <c r="P130">
        <f>maluku_papua!Q36</f>
        <v>13782.218475673169</v>
      </c>
      <c r="Q130">
        <f>maluku_papua!R36</f>
        <v>25698</v>
      </c>
      <c r="R130" s="45">
        <f>proj_rukn!C130</f>
        <v>22547</v>
      </c>
    </row>
    <row r="131" spans="1:18" x14ac:dyDescent="0.25">
      <c r="A131" t="str">
        <f>maluku_papua!B37</f>
        <v>MALUKU_PAPUA</v>
      </c>
      <c r="B131">
        <f>maluku_papua!C37</f>
        <v>2028</v>
      </c>
      <c r="C131">
        <f>maluku_papua!D37</f>
        <v>3262.0833812446995</v>
      </c>
      <c r="D131">
        <f>maluku_papua!E37</f>
        <v>11.957513843544945</v>
      </c>
      <c r="E131">
        <f>maluku_papua!F37</f>
        <v>3417.7549645232848</v>
      </c>
      <c r="F131">
        <f>maluku_papua!G37</f>
        <v>4462.8379022769232</v>
      </c>
      <c r="G131">
        <f>maluku_papua!H37</f>
        <v>-2.1832245118518983E-14</v>
      </c>
      <c r="H131">
        <f>maluku_papua!I37</f>
        <v>704.5806712032969</v>
      </c>
      <c r="I131">
        <f>maluku_papua!J37</f>
        <v>1181.8667480004947</v>
      </c>
      <c r="J131">
        <f>maluku_papua!K37</f>
        <v>771.06109706322002</v>
      </c>
      <c r="K131">
        <f>maluku_papua!L37</f>
        <v>855.69513645593338</v>
      </c>
      <c r="L131">
        <f>maluku_papua!M37</f>
        <v>0</v>
      </c>
      <c r="M131">
        <f>maluku_papua!N37</f>
        <v>1.5915230553194772</v>
      </c>
      <c r="N131">
        <f>maluku_papua!O37</f>
        <v>0</v>
      </c>
      <c r="O131">
        <f>maluku_papua!P37</f>
        <v>3.9336654465778014</v>
      </c>
      <c r="P131">
        <f>maluku_papua!Q37</f>
        <v>14669.42893766672</v>
      </c>
      <c r="Q131">
        <f>maluku_papua!R37</f>
        <v>26027</v>
      </c>
      <c r="R131" s="45">
        <f>proj_rukn!C131</f>
        <v>22887</v>
      </c>
    </row>
    <row r="132" spans="1:18" x14ac:dyDescent="0.25">
      <c r="A132" t="str">
        <f>maluku_papua!B38</f>
        <v>MALUKU_PAPUA</v>
      </c>
      <c r="B132">
        <f>maluku_papua!C38</f>
        <v>2029</v>
      </c>
      <c r="C132">
        <f>maluku_papua!D38</f>
        <v>3643.3018067237426</v>
      </c>
      <c r="D132">
        <f>maluku_papua!E38</f>
        <v>11.957513843544945</v>
      </c>
      <c r="E132">
        <f>maluku_papua!F38</f>
        <v>3712.9918050187457</v>
      </c>
      <c r="F132">
        <f>maluku_papua!G38</f>
        <v>4462.8379022769232</v>
      </c>
      <c r="G132">
        <f>maluku_papua!H38</f>
        <v>0</v>
      </c>
      <c r="H132">
        <f>maluku_papua!I38</f>
        <v>784.20723647541274</v>
      </c>
      <c r="I132">
        <f>maluku_papua!J38</f>
        <v>1329.2517102343559</v>
      </c>
      <c r="J132">
        <f>maluku_papua!K38</f>
        <v>784.74477207215898</v>
      </c>
      <c r="K132">
        <f>maluku_papua!L38</f>
        <v>893.90310051623931</v>
      </c>
      <c r="L132">
        <f>maluku_papua!M38</f>
        <v>0</v>
      </c>
      <c r="M132">
        <f>maluku_papua!N38</f>
        <v>1.5915641739996373</v>
      </c>
      <c r="N132">
        <f>maluku_papua!O38</f>
        <v>0</v>
      </c>
      <c r="O132">
        <f>maluku_papua!P38</f>
        <v>4.1790645625822229</v>
      </c>
      <c r="P132">
        <f>maluku_papua!Q38</f>
        <v>15624.787411335123</v>
      </c>
      <c r="Q132">
        <f>maluku_papua!R38</f>
        <v>26322</v>
      </c>
      <c r="R132" s="45">
        <f>proj_rukn!C132</f>
        <v>23247</v>
      </c>
    </row>
    <row r="133" spans="1:18" x14ac:dyDescent="0.25">
      <c r="A133" t="str">
        <f>maluku_papua!B39</f>
        <v>MALUKU_PAPUA</v>
      </c>
      <c r="B133">
        <f>maluku_papua!C39</f>
        <v>2030</v>
      </c>
      <c r="C133">
        <f>maluku_papua!D39</f>
        <v>4047.2180272096161</v>
      </c>
      <c r="D133">
        <f>maluku_papua!E39</f>
        <v>11.957513843544945</v>
      </c>
      <c r="E133">
        <f>maluku_papua!F39</f>
        <v>4034.8988252585118</v>
      </c>
      <c r="F133">
        <f>maluku_papua!G39</f>
        <v>4462.8379022769232</v>
      </c>
      <c r="G133">
        <f>maluku_papua!H39</f>
        <v>-9.9999999040832126E-7</v>
      </c>
      <c r="H133">
        <f>maluku_papua!I39</f>
        <v>784.20723647541274</v>
      </c>
      <c r="I133">
        <f>maluku_papua!J39</f>
        <v>1609.7663474583617</v>
      </c>
      <c r="J133">
        <f>maluku_papua!K39</f>
        <v>807.16498844247224</v>
      </c>
      <c r="K133">
        <f>maluku_papua!L39</f>
        <v>893.90310205402363</v>
      </c>
      <c r="L133">
        <f>maluku_papua!M39</f>
        <v>0</v>
      </c>
      <c r="M133">
        <f>maluku_papua!N39</f>
        <v>1.7758531517302305</v>
      </c>
      <c r="N133">
        <f>maluku_papua!O39</f>
        <v>0</v>
      </c>
      <c r="O133">
        <f>maluku_papua!P39</f>
        <v>4.436737043688626</v>
      </c>
      <c r="P133">
        <f>maluku_papua!Q39</f>
        <v>16653.729795170599</v>
      </c>
      <c r="Q133">
        <f>maluku_papua!R39</f>
        <v>26862</v>
      </c>
      <c r="R133" s="45">
        <f>proj_rukn!C133</f>
        <v>23609</v>
      </c>
    </row>
    <row r="134" spans="1:18" x14ac:dyDescent="0.25">
      <c r="A134" t="str">
        <f>maluku_papua!B40</f>
        <v>MALUKU_PAPUA</v>
      </c>
      <c r="B134">
        <f>maluku_papua!C40</f>
        <v>2031</v>
      </c>
      <c r="C134">
        <f>maluku_papua!D40</f>
        <v>4475.0700430955512</v>
      </c>
      <c r="D134">
        <f>maluku_papua!E40</f>
        <v>11.957513843544945</v>
      </c>
      <c r="E134">
        <f>maluku_papua!F40</f>
        <v>4385.9479044508917</v>
      </c>
      <c r="F134">
        <f>maluku_papua!G40</f>
        <v>4462.8379022769232</v>
      </c>
      <c r="G134">
        <f>maluku_papua!H40</f>
        <v>0</v>
      </c>
      <c r="H134">
        <f>maluku_papua!I40</f>
        <v>895.46167686240199</v>
      </c>
      <c r="I134">
        <f>maluku_papua!J40</f>
        <v>1758.9877179739603</v>
      </c>
      <c r="J134">
        <f>maluku_papua!K40</f>
        <v>807.16498844247224</v>
      </c>
      <c r="K134">
        <f>maluku_papua!L40</f>
        <v>962.93460067797594</v>
      </c>
      <c r="L134">
        <f>maluku_papua!M40</f>
        <v>0</v>
      </c>
      <c r="M134">
        <f>maluku_papua!N40</f>
        <v>1.7758531517302305</v>
      </c>
      <c r="N134">
        <f>maluku_papua!O40</f>
        <v>0</v>
      </c>
      <c r="O134">
        <f>maluku_papua!P40</f>
        <v>4.7232071429768601</v>
      </c>
      <c r="P134">
        <f>maluku_papua!Q40</f>
        <v>17762.138200775451</v>
      </c>
      <c r="Q134">
        <f>maluku_papua!R40</f>
        <v>27264</v>
      </c>
      <c r="R134" s="45">
        <f>proj_rukn!C134</f>
        <v>24061</v>
      </c>
    </row>
    <row r="135" spans="1:18" x14ac:dyDescent="0.25">
      <c r="A135" t="str">
        <f>maluku_papua!B41</f>
        <v>MALUKU_PAPUA</v>
      </c>
      <c r="B135">
        <f>maluku_papua!C41</f>
        <v>2032</v>
      </c>
      <c r="C135">
        <f>maluku_papua!D41</f>
        <v>4928.1521118588007</v>
      </c>
      <c r="D135">
        <f>maluku_papua!E41</f>
        <v>11.957513843544945</v>
      </c>
      <c r="E135">
        <f>maluku_papua!F41</f>
        <v>4768.8411930021502</v>
      </c>
      <c r="F135">
        <f>maluku_papua!G41</f>
        <v>4462.8379022769232</v>
      </c>
      <c r="G135">
        <f>maluku_papua!H41</f>
        <v>-2.1832171430877143E-14</v>
      </c>
      <c r="H135">
        <f>maluku_papua!I41</f>
        <v>895.4732622889718</v>
      </c>
      <c r="I135">
        <f>maluku_papua!J41</f>
        <v>2083.1034210958765</v>
      </c>
      <c r="J135">
        <f>maluku_papua!K41</f>
        <v>808.78454962155672</v>
      </c>
      <c r="K135">
        <f>maluku_papua!L41</f>
        <v>995.30222698101772</v>
      </c>
      <c r="L135">
        <f>maluku_papua!M41</f>
        <v>0</v>
      </c>
      <c r="M135">
        <f>maluku_papua!N41</f>
        <v>1.9265236450102301</v>
      </c>
      <c r="N135">
        <f>maluku_papua!O41</f>
        <v>0</v>
      </c>
      <c r="O135">
        <f>maluku_papua!P41</f>
        <v>5.0238478580219601</v>
      </c>
      <c r="P135">
        <f>maluku_papua!Q41</f>
        <v>18956.37870461385</v>
      </c>
      <c r="Q135">
        <f>maluku_papua!R41</f>
        <v>27712</v>
      </c>
      <c r="R135" s="45">
        <f>proj_rukn!C135</f>
        <v>24553</v>
      </c>
    </row>
    <row r="136" spans="1:18" x14ac:dyDescent="0.25">
      <c r="A136" t="str">
        <f>maluku_papua!B42</f>
        <v>MALUKU_PAPUA</v>
      </c>
      <c r="B136">
        <f>maluku_papua!C42</f>
        <v>2033</v>
      </c>
      <c r="C136">
        <f>maluku_papua!D42</f>
        <v>5407.8159147031611</v>
      </c>
      <c r="D136">
        <f>maluku_papua!E42</f>
        <v>11.957513843544945</v>
      </c>
      <c r="E136">
        <f>maluku_papua!F42</f>
        <v>5186.5328452481208</v>
      </c>
      <c r="F136">
        <f>maluku_papua!G42</f>
        <v>4462.8379022769232</v>
      </c>
      <c r="G136">
        <f>maluku_papua!H42</f>
        <v>-9.9999999494995437E-7</v>
      </c>
      <c r="H136">
        <f>maluku_papua!I42</f>
        <v>924.22331182273183</v>
      </c>
      <c r="I136">
        <f>maluku_papua!J42</f>
        <v>2416.4200910123677</v>
      </c>
      <c r="J136">
        <f>maluku_papua!K42</f>
        <v>808.8766953255091</v>
      </c>
      <c r="K136">
        <f>maluku_papua!L42</f>
        <v>1022.5849359091612</v>
      </c>
      <c r="L136">
        <f>maluku_papua!M42</f>
        <v>0</v>
      </c>
      <c r="M136">
        <f>maluku_papua!N42</f>
        <v>2.093314003685995</v>
      </c>
      <c r="N136">
        <f>maluku_papua!O42</f>
        <v>0</v>
      </c>
      <c r="O136">
        <f>maluku_papua!P42</f>
        <v>5.345989638471095</v>
      </c>
      <c r="P136">
        <f>maluku_papua!Q42</f>
        <v>20243.342523145209</v>
      </c>
      <c r="Q136">
        <f>maluku_papua!R42</f>
        <v>28120</v>
      </c>
      <c r="R136" s="45">
        <f>proj_rukn!C136</f>
        <v>25000</v>
      </c>
    </row>
    <row r="137" spans="1:18" x14ac:dyDescent="0.25">
      <c r="A137" t="str">
        <f>maluku_papua!B43</f>
        <v>MALUKU_PAPUA</v>
      </c>
      <c r="B137">
        <f>maluku_papua!C43</f>
        <v>2034</v>
      </c>
      <c r="C137">
        <f>maluku_papua!D43</f>
        <v>5915.4715689489321</v>
      </c>
      <c r="D137">
        <f>maluku_papua!E43</f>
        <v>11.957510854161255</v>
      </c>
      <c r="E137">
        <f>maluku_papua!F43</f>
        <v>5642.2527762079908</v>
      </c>
      <c r="F137">
        <f>maluku_papua!G43</f>
        <v>4462.8379022769232</v>
      </c>
      <c r="G137">
        <f>maluku_papua!H43</f>
        <v>0</v>
      </c>
      <c r="H137">
        <f>maluku_papua!I43</f>
        <v>1052.0973129668996</v>
      </c>
      <c r="I137">
        <f>maluku_papua!J43</f>
        <v>2547.9499762334713</v>
      </c>
      <c r="J137">
        <f>maluku_papua!K43</f>
        <v>809.6065070226</v>
      </c>
      <c r="K137">
        <f>maluku_papua!L43</f>
        <v>1186.0732317468621</v>
      </c>
      <c r="L137">
        <f>maluku_papua!M43</f>
        <v>0</v>
      </c>
      <c r="M137">
        <f>maluku_papua!N43</f>
        <v>2.243983211306253</v>
      </c>
      <c r="N137">
        <f>maluku_papua!O43</f>
        <v>0</v>
      </c>
      <c r="O137">
        <f>maluku_papua!P43</f>
        <v>5.7200281778375164</v>
      </c>
      <c r="P137">
        <f>maluku_papua!Q43</f>
        <v>21630.490769469143</v>
      </c>
      <c r="Q137">
        <f>maluku_papua!R43</f>
        <v>28697</v>
      </c>
      <c r="R137" s="45">
        <f>proj_rukn!C137</f>
        <v>25570</v>
      </c>
    </row>
    <row r="138" spans="1:18" x14ac:dyDescent="0.25">
      <c r="A138" t="str">
        <f>maluku_papua!B44</f>
        <v>MALUKU_PAPUA</v>
      </c>
      <c r="B138">
        <f>maluku_papua!C44</f>
        <v>2035</v>
      </c>
      <c r="C138">
        <f>maluku_papua!D44</f>
        <v>6467.3083107453958</v>
      </c>
      <c r="D138">
        <f>maluku_papua!E44</f>
        <v>11.95750786477757</v>
      </c>
      <c r="E138">
        <f>maluku_papua!F44</f>
        <v>6103.8731874737259</v>
      </c>
      <c r="F138">
        <f>maluku_papua!G44</f>
        <v>4462.8379022769232</v>
      </c>
      <c r="G138">
        <f>maluku_papua!H44</f>
        <v>-9.999999846448086E-7</v>
      </c>
      <c r="H138">
        <f>maluku_papua!I44</f>
        <v>1088.8736074321596</v>
      </c>
      <c r="I138">
        <f>maluku_papua!J44</f>
        <v>2964.6316148960377</v>
      </c>
      <c r="J138">
        <f>maluku_papua!K44</f>
        <v>809.6065070226</v>
      </c>
      <c r="K138">
        <f>maluku_papua!L44</f>
        <v>1186.0732317468621</v>
      </c>
      <c r="L138">
        <f>maluku_papua!M44</f>
        <v>0</v>
      </c>
      <c r="M138">
        <f>maluku_papua!N44</f>
        <v>2.3678307620673333</v>
      </c>
      <c r="N138">
        <f>maluku_papua!O44</f>
        <v>0</v>
      </c>
      <c r="O138">
        <f>maluku_papua!P44</f>
        <v>6.0810177293488508</v>
      </c>
      <c r="P138">
        <f>maluku_papua!Q44</f>
        <v>23097.529699220551</v>
      </c>
      <c r="Q138">
        <f>maluku_papua!R44</f>
        <v>29236</v>
      </c>
      <c r="R138" s="45">
        <f>proj_rukn!C138</f>
        <v>26114</v>
      </c>
    </row>
    <row r="139" spans="1:18" x14ac:dyDescent="0.25">
      <c r="A139" t="str">
        <f>maluku_papua!B45</f>
        <v>MALUKU_PAPUA</v>
      </c>
      <c r="B139">
        <f>maluku_papua!C45</f>
        <v>2036</v>
      </c>
      <c r="C139">
        <f>maluku_papua!D45</f>
        <v>6979.5810583349967</v>
      </c>
      <c r="D139">
        <f>maluku_papua!E45</f>
        <v>11.95750786477757</v>
      </c>
      <c r="E139">
        <f>maluku_papua!F45</f>
        <v>6781.8361397730941</v>
      </c>
      <c r="F139">
        <f>maluku_papua!G45</f>
        <v>4462.8379022769232</v>
      </c>
      <c r="G139">
        <f>maluku_papua!H45</f>
        <v>-2.1832171430877143E-14</v>
      </c>
      <c r="H139">
        <f>maluku_papua!I45</f>
        <v>1088.8736089121401</v>
      </c>
      <c r="I139">
        <f>maluku_papua!J45</f>
        <v>3238.5437758942785</v>
      </c>
      <c r="J139">
        <f>maluku_papua!K45</f>
        <v>809.60651128348127</v>
      </c>
      <c r="K139">
        <f>maluku_papua!L45</f>
        <v>1730.4655247676446</v>
      </c>
      <c r="L139">
        <f>maluku_papua!M45</f>
        <v>0</v>
      </c>
      <c r="M139">
        <f>maluku_papua!N45</f>
        <v>2.7046615734102999</v>
      </c>
      <c r="N139">
        <f>maluku_papua!O45</f>
        <v>0</v>
      </c>
      <c r="O139">
        <f>maluku_papua!P45</f>
        <v>6.6837737566398827</v>
      </c>
      <c r="P139">
        <f>maluku_papua!Q45</f>
        <v>25106.406690680749</v>
      </c>
      <c r="Q139">
        <f>maluku_papua!R45</f>
        <v>29865</v>
      </c>
      <c r="R139" s="45">
        <f>proj_rukn!C139</f>
        <v>26747</v>
      </c>
    </row>
    <row r="140" spans="1:18" x14ac:dyDescent="0.25">
      <c r="A140" t="str">
        <f>maluku_papua!B46</f>
        <v>MALUKU_PAPUA</v>
      </c>
      <c r="B140">
        <f>maluku_papua!C46</f>
        <v>2037</v>
      </c>
      <c r="C140">
        <f>maluku_papua!D46</f>
        <v>7529.9247445375313</v>
      </c>
      <c r="D140">
        <f>maluku_papua!E46</f>
        <v>11.95750786477757</v>
      </c>
      <c r="E140">
        <f>maluku_papua!F46</f>
        <v>7496.1413248780955</v>
      </c>
      <c r="F140">
        <f>maluku_papua!G46</f>
        <v>4462.8379022769232</v>
      </c>
      <c r="G140">
        <f>maluku_papua!H46</f>
        <v>0</v>
      </c>
      <c r="H140">
        <f>maluku_papua!I46</f>
        <v>1089.3078785835271</v>
      </c>
      <c r="I140">
        <f>maluku_papua!J46</f>
        <v>3248.0142874015896</v>
      </c>
      <c r="J140">
        <f>maluku_papua!K46</f>
        <v>907.91039188354262</v>
      </c>
      <c r="K140">
        <f>maluku_papua!L46</f>
        <v>2533.537651448526</v>
      </c>
      <c r="L140">
        <f>maluku_papua!M46</f>
        <v>0</v>
      </c>
      <c r="M140">
        <f>maluku_papua!N46</f>
        <v>2.7046712263137489</v>
      </c>
      <c r="N140">
        <f>maluku_papua!O46</f>
        <v>0</v>
      </c>
      <c r="O140">
        <f>maluku_papua!P46</f>
        <v>7.3986521764265838</v>
      </c>
      <c r="P140">
        <f>maluku_papua!Q46</f>
        <v>27282.336360100828</v>
      </c>
      <c r="Q140">
        <f>maluku_papua!R46</f>
        <v>30507</v>
      </c>
      <c r="R140" s="45">
        <f>proj_rukn!C140</f>
        <v>27382</v>
      </c>
    </row>
    <row r="141" spans="1:18" x14ac:dyDescent="0.25">
      <c r="A141" t="str">
        <f>maluku_papua!B47</f>
        <v>MALUKU_PAPUA</v>
      </c>
      <c r="B141">
        <f>maluku_papua!C47</f>
        <v>2038</v>
      </c>
      <c r="C141">
        <f>maluku_papua!D47</f>
        <v>8111.7107736874368</v>
      </c>
      <c r="D141">
        <f>maluku_papua!E47</f>
        <v>11.957504875393882</v>
      </c>
      <c r="E141">
        <f>maluku_papua!F47</f>
        <v>8271.4610033457811</v>
      </c>
      <c r="F141">
        <f>maluku_papua!G47</f>
        <v>4462.8379022769232</v>
      </c>
      <c r="G141">
        <f>maluku_papua!H47</f>
        <v>0</v>
      </c>
      <c r="H141">
        <f>maluku_papua!I47</f>
        <v>1315.1132576153541</v>
      </c>
      <c r="I141">
        <f>maluku_papua!J47</f>
        <v>3716.850100790889</v>
      </c>
      <c r="J141">
        <f>maluku_papua!K47</f>
        <v>1069.3530396270312</v>
      </c>
      <c r="K141">
        <f>maluku_papua!L47</f>
        <v>2641.9358517927549</v>
      </c>
      <c r="L141">
        <f>maluku_papua!M47</f>
        <v>0</v>
      </c>
      <c r="M141">
        <f>maluku_papua!N47</f>
        <v>3.5644082915806719</v>
      </c>
      <c r="N141">
        <f>maluku_papua!O47</f>
        <v>0</v>
      </c>
      <c r="O141">
        <f>maluku_papua!P47</f>
        <v>8.0239949181602075</v>
      </c>
      <c r="P141">
        <f>maluku_papua!Q47</f>
        <v>29604.783842303146</v>
      </c>
      <c r="Q141">
        <f>maluku_papua!R47</f>
        <v>31317</v>
      </c>
      <c r="R141" s="45">
        <f>proj_rukn!C141</f>
        <v>28155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E250-DBEA-48BE-8895-877849AC87E6}">
  <dimension ref="A1:P141"/>
  <sheetViews>
    <sheetView workbookViewId="0">
      <selection activeCell="C2" sqref="C2"/>
    </sheetView>
  </sheetViews>
  <sheetFormatPr defaultRowHeight="15" x14ac:dyDescent="0.25"/>
  <cols>
    <col min="1" max="1" width="16.28515625" customWidth="1"/>
  </cols>
  <sheetData>
    <row r="1" spans="1:16" x14ac:dyDescent="0.25">
      <c r="A1" t="str">
        <f>indonesia!U51</f>
        <v>region</v>
      </c>
      <c r="B1" t="str">
        <f>indonesia!V51</f>
        <v>year</v>
      </c>
      <c r="C1" t="str">
        <f>indonesia!W51</f>
        <v>coal</v>
      </c>
      <c r="D1" t="str">
        <f>indonesia!X51</f>
        <v>ocgt</v>
      </c>
      <c r="E1" t="str">
        <f>indonesia!Y51</f>
        <v>ccgt</v>
      </c>
      <c r="F1" t="str">
        <f>indonesia!Z51</f>
        <v>reciprocating</v>
      </c>
      <c r="G1" t="str">
        <f>indonesia!AA51</f>
        <v>geothermal</v>
      </c>
      <c r="H1" t="str">
        <f>indonesia!AB51</f>
        <v>lhydro</v>
      </c>
      <c r="I1" t="str">
        <f>indonesia!AC51</f>
        <v>mhydro</v>
      </c>
      <c r="J1" t="str">
        <f>indonesia!AD51</f>
        <v>solar</v>
      </c>
      <c r="K1" t="str">
        <f>indonesia!AE51</f>
        <v>wind</v>
      </c>
      <c r="L1" t="str">
        <f>indonesia!AF51</f>
        <v>biomass</v>
      </c>
      <c r="M1" t="str">
        <f>indonesia!AG51</f>
        <v>ocean</v>
      </c>
      <c r="N1" t="str">
        <f>indonesia!AH51</f>
        <v>waste</v>
      </c>
      <c r="O1" t="str">
        <f>indonesia!AI51</f>
        <v>storage</v>
      </c>
      <c r="P1" t="str">
        <f>indonesia!AJ51</f>
        <v>total</v>
      </c>
    </row>
    <row r="2" spans="1:16" x14ac:dyDescent="0.25">
      <c r="A2" t="str">
        <f>indonesia!U52</f>
        <v>INDONESIA</v>
      </c>
      <c r="B2">
        <f>indonesia!V52</f>
        <v>2019</v>
      </c>
      <c r="C2">
        <f>SUM(C22,C42,C62,C82,C102,C122)</f>
        <v>51380936.683510177</v>
      </c>
      <c r="D2">
        <f t="shared" ref="D2:P2" si="0">SUM(D22,D42,D62,D82,D102,D122)</f>
        <v>5137869.0520159295</v>
      </c>
      <c r="E2">
        <f t="shared" si="0"/>
        <v>1765564.5787477416</v>
      </c>
      <c r="F2">
        <f t="shared" si="0"/>
        <v>19374161.159621924</v>
      </c>
      <c r="G2">
        <f t="shared" si="0"/>
        <v>378.37966560015872</v>
      </c>
      <c r="H2">
        <f t="shared" si="0"/>
        <v>98.298776404551162</v>
      </c>
      <c r="I2">
        <f t="shared" si="0"/>
        <v>0.87386188694909572</v>
      </c>
      <c r="J2">
        <f t="shared" si="0"/>
        <v>1.0800000000000001E-2</v>
      </c>
      <c r="K2">
        <f t="shared" si="0"/>
        <v>0</v>
      </c>
      <c r="L2">
        <f t="shared" si="0"/>
        <v>439469.34642198298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78098478.383421645</v>
      </c>
    </row>
    <row r="3" spans="1:16" x14ac:dyDescent="0.25">
      <c r="A3" t="str">
        <f>indonesia!U53</f>
        <v>INDONESIA</v>
      </c>
      <c r="B3">
        <f>indonesia!V53</f>
        <v>2020</v>
      </c>
      <c r="C3">
        <f t="shared" ref="C3:P18" si="1">SUM(C23,C43,C63,C83,C103,C123)</f>
        <v>53689817.819857575</v>
      </c>
      <c r="D3">
        <f t="shared" si="1"/>
        <v>5148870.6131655565</v>
      </c>
      <c r="E3">
        <f t="shared" si="1"/>
        <v>3477105.873440539</v>
      </c>
      <c r="F3">
        <f t="shared" si="1"/>
        <v>19374161.159621924</v>
      </c>
      <c r="G3">
        <f t="shared" si="1"/>
        <v>378.37966560015872</v>
      </c>
      <c r="H3">
        <f t="shared" si="1"/>
        <v>4537.6564388626693</v>
      </c>
      <c r="I3">
        <f t="shared" si="1"/>
        <v>75.529103975814934</v>
      </c>
      <c r="J3">
        <f t="shared" si="1"/>
        <v>5797.4785003530969</v>
      </c>
      <c r="K3">
        <f t="shared" si="1"/>
        <v>20.16493681361839</v>
      </c>
      <c r="L3">
        <f t="shared" si="1"/>
        <v>660268.97516911721</v>
      </c>
      <c r="M3">
        <f t="shared" si="1"/>
        <v>27.592046619844403</v>
      </c>
      <c r="N3">
        <f t="shared" si="1"/>
        <v>0</v>
      </c>
      <c r="O3">
        <f t="shared" si="1"/>
        <v>12.267483410697702</v>
      </c>
      <c r="P3">
        <f t="shared" si="1"/>
        <v>82361073.509430349</v>
      </c>
    </row>
    <row r="4" spans="1:16" x14ac:dyDescent="0.25">
      <c r="A4" t="str">
        <f>indonesia!U54</f>
        <v>INDONESIA</v>
      </c>
      <c r="B4">
        <f>indonesia!V54</f>
        <v>2021</v>
      </c>
      <c r="C4">
        <f t="shared" si="1"/>
        <v>55344425.177076206</v>
      </c>
      <c r="D4">
        <f t="shared" si="1"/>
        <v>5148870.6075442862</v>
      </c>
      <c r="E4">
        <f t="shared" si="1"/>
        <v>7340470.0850216923</v>
      </c>
      <c r="F4">
        <f t="shared" si="1"/>
        <v>19374161.161476243</v>
      </c>
      <c r="G4">
        <f t="shared" si="1"/>
        <v>436.05995844693496</v>
      </c>
      <c r="H4">
        <f t="shared" si="1"/>
        <v>2397.3738317309949</v>
      </c>
      <c r="I4">
        <f t="shared" si="1"/>
        <v>3767.9183852570759</v>
      </c>
      <c r="J4">
        <f t="shared" si="1"/>
        <v>634.25532149365165</v>
      </c>
      <c r="K4">
        <f t="shared" si="1"/>
        <v>2363.7646486630192</v>
      </c>
      <c r="L4">
        <f t="shared" si="1"/>
        <v>660268.97191017016</v>
      </c>
      <c r="M4">
        <f t="shared" si="1"/>
        <v>12.590588648505403</v>
      </c>
      <c r="N4">
        <f t="shared" si="1"/>
        <v>0</v>
      </c>
      <c r="O4">
        <f t="shared" si="1"/>
        <v>2.4201491012050718</v>
      </c>
      <c r="P4">
        <f t="shared" si="1"/>
        <v>87877810.385911942</v>
      </c>
    </row>
    <row r="5" spans="1:16" x14ac:dyDescent="0.25">
      <c r="A5" t="str">
        <f>indonesia!U55</f>
        <v>INDONESIA</v>
      </c>
      <c r="B5">
        <f>indonesia!V55</f>
        <v>2022</v>
      </c>
      <c r="C5">
        <f t="shared" si="1"/>
        <v>57269661.510624684</v>
      </c>
      <c r="D5">
        <f t="shared" si="1"/>
        <v>5148870.6019230159</v>
      </c>
      <c r="E5">
        <f t="shared" si="1"/>
        <v>11204735.718390815</v>
      </c>
      <c r="F5">
        <f t="shared" si="1"/>
        <v>19471872.352777522</v>
      </c>
      <c r="G5">
        <f t="shared" si="1"/>
        <v>436.05999921020282</v>
      </c>
      <c r="H5">
        <f t="shared" si="1"/>
        <v>217.39294183617886</v>
      </c>
      <c r="I5">
        <f t="shared" si="1"/>
        <v>74.876693330855687</v>
      </c>
      <c r="J5">
        <f t="shared" si="1"/>
        <v>60.963149321206487</v>
      </c>
      <c r="K5">
        <f t="shared" si="1"/>
        <v>91.545637351618524</v>
      </c>
      <c r="L5">
        <f t="shared" si="1"/>
        <v>660268.96865122335</v>
      </c>
      <c r="M5">
        <f t="shared" si="1"/>
        <v>1.0601073446457225</v>
      </c>
      <c r="N5">
        <f t="shared" si="1"/>
        <v>0</v>
      </c>
      <c r="O5">
        <f t="shared" si="1"/>
        <v>1.1233865630524484</v>
      </c>
      <c r="P5">
        <f t="shared" si="1"/>
        <v>93756292.174282223</v>
      </c>
    </row>
    <row r="6" spans="1:16" x14ac:dyDescent="0.25">
      <c r="A6" t="str">
        <f>indonesia!U56</f>
        <v>INDONESIA</v>
      </c>
      <c r="B6">
        <f>indonesia!V56</f>
        <v>2023</v>
      </c>
      <c r="C6">
        <f t="shared" si="1"/>
        <v>58768762.281575248</v>
      </c>
      <c r="D6">
        <f t="shared" si="1"/>
        <v>5593282.1722797547</v>
      </c>
      <c r="E6">
        <f t="shared" si="1"/>
        <v>14523003.138265248</v>
      </c>
      <c r="F6">
        <f t="shared" si="1"/>
        <v>19475708.373172387</v>
      </c>
      <c r="G6">
        <f t="shared" si="1"/>
        <v>473.83314813750616</v>
      </c>
      <c r="H6">
        <f t="shared" si="1"/>
        <v>217.39294183617886</v>
      </c>
      <c r="I6">
        <f t="shared" si="1"/>
        <v>74.876693330855687</v>
      </c>
      <c r="J6">
        <f t="shared" si="1"/>
        <v>60.963149321206487</v>
      </c>
      <c r="K6">
        <f t="shared" si="1"/>
        <v>91.545637351618524</v>
      </c>
      <c r="L6">
        <f t="shared" si="1"/>
        <v>868288.4920209056</v>
      </c>
      <c r="M6">
        <f t="shared" si="1"/>
        <v>1.0601073446648233</v>
      </c>
      <c r="N6">
        <f t="shared" si="1"/>
        <v>0</v>
      </c>
      <c r="O6">
        <f t="shared" si="1"/>
        <v>0.83785586677368074</v>
      </c>
      <c r="P6">
        <f t="shared" si="1"/>
        <v>99229964.966846734</v>
      </c>
    </row>
    <row r="7" spans="1:16" x14ac:dyDescent="0.25">
      <c r="A7" t="str">
        <f>indonesia!U57</f>
        <v>INDONESIA</v>
      </c>
      <c r="B7">
        <f>indonesia!V57</f>
        <v>2024</v>
      </c>
      <c r="C7">
        <f t="shared" si="1"/>
        <v>60136265.740229264</v>
      </c>
      <c r="D7">
        <f t="shared" si="1"/>
        <v>5691401.0153683973</v>
      </c>
      <c r="E7">
        <f t="shared" si="1"/>
        <v>17297282.50982685</v>
      </c>
      <c r="F7">
        <f t="shared" si="1"/>
        <v>20202038.418554697</v>
      </c>
      <c r="G7">
        <f t="shared" si="1"/>
        <v>490.69918904692162</v>
      </c>
      <c r="H7">
        <f t="shared" si="1"/>
        <v>217.39294183617886</v>
      </c>
      <c r="I7">
        <f t="shared" si="1"/>
        <v>74.876693330855687</v>
      </c>
      <c r="J7">
        <f t="shared" si="1"/>
        <v>60.963149321206487</v>
      </c>
      <c r="K7">
        <f t="shared" si="1"/>
        <v>91.545637351618524</v>
      </c>
      <c r="L7">
        <f t="shared" si="1"/>
        <v>1231797.651240052</v>
      </c>
      <c r="M7">
        <f t="shared" si="1"/>
        <v>1.0601073446648233</v>
      </c>
      <c r="N7">
        <f t="shared" si="1"/>
        <v>0</v>
      </c>
      <c r="O7">
        <f t="shared" si="1"/>
        <v>0.93011964459055219</v>
      </c>
      <c r="P7">
        <f t="shared" si="1"/>
        <v>104559722.80305712</v>
      </c>
    </row>
    <row r="8" spans="1:16" x14ac:dyDescent="0.25">
      <c r="A8" t="str">
        <f>indonesia!U58</f>
        <v>INDONESIA</v>
      </c>
      <c r="B8">
        <f>indonesia!V58</f>
        <v>2025</v>
      </c>
      <c r="C8">
        <f t="shared" si="1"/>
        <v>61005055.555778511</v>
      </c>
      <c r="D8">
        <f t="shared" si="1"/>
        <v>5908961.0721193207</v>
      </c>
      <c r="E8">
        <f t="shared" si="1"/>
        <v>19134875.075530171</v>
      </c>
      <c r="F8">
        <f t="shared" si="1"/>
        <v>22635385.907982524</v>
      </c>
      <c r="G8">
        <f t="shared" si="1"/>
        <v>500.83774994277439</v>
      </c>
      <c r="H8">
        <f t="shared" si="1"/>
        <v>1109.3572113859143</v>
      </c>
      <c r="I8">
        <f t="shared" si="1"/>
        <v>74.876693330855687</v>
      </c>
      <c r="J8">
        <f t="shared" si="1"/>
        <v>60.963149321206487</v>
      </c>
      <c r="K8">
        <f t="shared" si="1"/>
        <v>2367.5229382174107</v>
      </c>
      <c r="L8">
        <f t="shared" si="1"/>
        <v>1629845.3577275076</v>
      </c>
      <c r="M8">
        <f t="shared" si="1"/>
        <v>1.0601073446648233</v>
      </c>
      <c r="N8">
        <f t="shared" si="1"/>
        <v>0</v>
      </c>
      <c r="O8">
        <f t="shared" si="1"/>
        <v>1.1523181688540598</v>
      </c>
      <c r="P8">
        <f t="shared" si="1"/>
        <v>110318238.73930576</v>
      </c>
    </row>
    <row r="9" spans="1:16" x14ac:dyDescent="0.25">
      <c r="A9" t="str">
        <f>indonesia!U59</f>
        <v>INDONESIA</v>
      </c>
      <c r="B9">
        <f>indonesia!V59</f>
        <v>2026</v>
      </c>
      <c r="C9">
        <f t="shared" si="1"/>
        <v>64877959.446803883</v>
      </c>
      <c r="D9">
        <f t="shared" si="1"/>
        <v>6017739.3274565618</v>
      </c>
      <c r="E9">
        <f t="shared" si="1"/>
        <v>20002796.060052499</v>
      </c>
      <c r="F9">
        <f t="shared" si="1"/>
        <v>23348293.53956604</v>
      </c>
      <c r="G9">
        <f t="shared" si="1"/>
        <v>1175.827956765005</v>
      </c>
      <c r="H9">
        <f t="shared" si="1"/>
        <v>763.90711784820678</v>
      </c>
      <c r="I9">
        <f t="shared" si="1"/>
        <v>594.6775952495384</v>
      </c>
      <c r="J9">
        <f t="shared" si="1"/>
        <v>134.64017083299058</v>
      </c>
      <c r="K9">
        <f t="shared" si="1"/>
        <v>324.03559831543629</v>
      </c>
      <c r="L9">
        <f t="shared" si="1"/>
        <v>1749179.02178889</v>
      </c>
      <c r="M9">
        <f t="shared" si="1"/>
        <v>1.0601073446648233</v>
      </c>
      <c r="N9">
        <f t="shared" si="1"/>
        <v>122.68244371369775</v>
      </c>
      <c r="O9">
        <f t="shared" si="1"/>
        <v>0.45213740740324837</v>
      </c>
      <c r="P9">
        <f t="shared" si="1"/>
        <v>115999084.67879535</v>
      </c>
    </row>
    <row r="10" spans="1:16" x14ac:dyDescent="0.25">
      <c r="A10" t="str">
        <f>indonesia!U60</f>
        <v>INDONESIA</v>
      </c>
      <c r="B10">
        <f>indonesia!V60</f>
        <v>2027</v>
      </c>
      <c r="C10">
        <f t="shared" si="1"/>
        <v>69931155.992904782</v>
      </c>
      <c r="D10">
        <f t="shared" si="1"/>
        <v>6017978.9972974928</v>
      </c>
      <c r="E10">
        <f t="shared" si="1"/>
        <v>22106673.575066406</v>
      </c>
      <c r="F10">
        <f t="shared" si="1"/>
        <v>23528111.557956554</v>
      </c>
      <c r="G10">
        <f t="shared" si="1"/>
        <v>514.36171123401289</v>
      </c>
      <c r="H10">
        <f t="shared" si="1"/>
        <v>641.40003128522358</v>
      </c>
      <c r="I10">
        <f t="shared" si="1"/>
        <v>84.893391969717015</v>
      </c>
      <c r="J10">
        <f t="shared" si="1"/>
        <v>61.667443738207069</v>
      </c>
      <c r="K10">
        <f t="shared" si="1"/>
        <v>1541.7053597378979</v>
      </c>
      <c r="L10">
        <f t="shared" si="1"/>
        <v>1917617.5154139106</v>
      </c>
      <c r="M10">
        <f t="shared" si="1"/>
        <v>1.0601073446648233</v>
      </c>
      <c r="N10">
        <f t="shared" si="1"/>
        <v>5.0620374241199935</v>
      </c>
      <c r="O10">
        <f t="shared" si="1"/>
        <v>1.6368981663682196</v>
      </c>
      <c r="P10">
        <f t="shared" si="1"/>
        <v>123504389.42562005</v>
      </c>
    </row>
    <row r="11" spans="1:16" x14ac:dyDescent="0.25">
      <c r="A11" t="str">
        <f>indonesia!U61</f>
        <v>INDONESIA</v>
      </c>
      <c r="B11">
        <f>indonesia!V61</f>
        <v>2028</v>
      </c>
      <c r="C11">
        <f t="shared" si="1"/>
        <v>73836272.606377065</v>
      </c>
      <c r="D11">
        <f t="shared" si="1"/>
        <v>6018141.4304832909</v>
      </c>
      <c r="E11">
        <f t="shared" si="1"/>
        <v>23380866.97387331</v>
      </c>
      <c r="F11">
        <f t="shared" si="1"/>
        <v>24819067.051474966</v>
      </c>
      <c r="G11">
        <f t="shared" si="1"/>
        <v>514.36171123401289</v>
      </c>
      <c r="H11">
        <f t="shared" si="1"/>
        <v>249.96242939724578</v>
      </c>
      <c r="I11">
        <f t="shared" si="1"/>
        <v>84.893391969717015</v>
      </c>
      <c r="J11">
        <f t="shared" si="1"/>
        <v>746.69222966629241</v>
      </c>
      <c r="K11">
        <f t="shared" si="1"/>
        <v>1833.0529431213042</v>
      </c>
      <c r="L11">
        <f t="shared" si="1"/>
        <v>1917617.5154139106</v>
      </c>
      <c r="M11">
        <f t="shared" si="1"/>
        <v>1.0601073446648233</v>
      </c>
      <c r="N11">
        <f t="shared" si="1"/>
        <v>5.0620374241199935</v>
      </c>
      <c r="O11">
        <f t="shared" si="1"/>
        <v>1.3656836921009228</v>
      </c>
      <c r="P11">
        <f t="shared" si="1"/>
        <v>129975402.02815641</v>
      </c>
    </row>
    <row r="12" spans="1:16" x14ac:dyDescent="0.25">
      <c r="A12" t="str">
        <f>indonesia!U62</f>
        <v>INDONESIA</v>
      </c>
      <c r="B12">
        <f>indonesia!V62</f>
        <v>2029</v>
      </c>
      <c r="C12">
        <f t="shared" si="1"/>
        <v>74263917.886730194</v>
      </c>
      <c r="D12">
        <f t="shared" si="1"/>
        <v>6345969.8047097456</v>
      </c>
      <c r="E12">
        <f t="shared" si="1"/>
        <v>23665761.329626724</v>
      </c>
      <c r="F12">
        <f t="shared" si="1"/>
        <v>24819067.007364128</v>
      </c>
      <c r="G12">
        <f t="shared" si="1"/>
        <v>514.3617108258461</v>
      </c>
      <c r="H12">
        <f t="shared" si="1"/>
        <v>249.96242939724578</v>
      </c>
      <c r="I12">
        <f t="shared" si="1"/>
        <v>84.893391969717015</v>
      </c>
      <c r="J12">
        <f t="shared" si="1"/>
        <v>896.15426446779691</v>
      </c>
      <c r="K12">
        <f t="shared" si="1"/>
        <v>1845.7836510432028</v>
      </c>
      <c r="L12">
        <f t="shared" si="1"/>
        <v>2384016.9383061775</v>
      </c>
      <c r="M12">
        <f t="shared" si="1"/>
        <v>1.0601073446648233</v>
      </c>
      <c r="N12">
        <f t="shared" si="1"/>
        <v>5.0620374241199935</v>
      </c>
      <c r="O12">
        <f t="shared" si="1"/>
        <v>1.3873337551050391</v>
      </c>
      <c r="P12">
        <f t="shared" si="1"/>
        <v>131482331.63166319</v>
      </c>
    </row>
    <row r="13" spans="1:16" x14ac:dyDescent="0.25">
      <c r="A13" t="str">
        <f>indonesia!U63</f>
        <v>INDONESIA</v>
      </c>
      <c r="B13">
        <f>indonesia!V63</f>
        <v>2030</v>
      </c>
      <c r="C13">
        <f t="shared" si="1"/>
        <v>77642089.350905001</v>
      </c>
      <c r="D13">
        <f t="shared" si="1"/>
        <v>7744140.5623295698</v>
      </c>
      <c r="E13">
        <f t="shared" si="1"/>
        <v>24161627.909066737</v>
      </c>
      <c r="F13">
        <f t="shared" si="1"/>
        <v>24819071.089212164</v>
      </c>
      <c r="G13">
        <f t="shared" si="1"/>
        <v>516.89786206969723</v>
      </c>
      <c r="H13">
        <f t="shared" si="1"/>
        <v>249.96242939724578</v>
      </c>
      <c r="I13">
        <f t="shared" si="1"/>
        <v>84.893391969717015</v>
      </c>
      <c r="J13">
        <f t="shared" si="1"/>
        <v>1051.1834966207507</v>
      </c>
      <c r="K13">
        <f t="shared" si="1"/>
        <v>2155.5011709297069</v>
      </c>
      <c r="L13">
        <f t="shared" si="1"/>
        <v>2384016.9383061775</v>
      </c>
      <c r="M13">
        <f t="shared" si="1"/>
        <v>1.0601073446648233</v>
      </c>
      <c r="N13">
        <f t="shared" si="1"/>
        <v>6.0935963220746299</v>
      </c>
      <c r="O13">
        <f t="shared" si="1"/>
        <v>1.61194047649167</v>
      </c>
      <c r="P13">
        <f t="shared" si="1"/>
        <v>136755013.0538148</v>
      </c>
    </row>
    <row r="14" spans="1:16" x14ac:dyDescent="0.25">
      <c r="A14" t="str">
        <f>indonesia!U64</f>
        <v>INDONESIA</v>
      </c>
      <c r="B14">
        <f>indonesia!V64</f>
        <v>2031</v>
      </c>
      <c r="C14">
        <f t="shared" si="1"/>
        <v>80756397.06936872</v>
      </c>
      <c r="D14">
        <f t="shared" si="1"/>
        <v>9602335.7169778328</v>
      </c>
      <c r="E14">
        <f t="shared" si="1"/>
        <v>24752741.961044397</v>
      </c>
      <c r="F14">
        <f t="shared" si="1"/>
        <v>24899825.465333629</v>
      </c>
      <c r="G14">
        <f t="shared" si="1"/>
        <v>693.45443521960465</v>
      </c>
      <c r="H14">
        <f t="shared" si="1"/>
        <v>249.96242939724578</v>
      </c>
      <c r="I14">
        <f t="shared" si="1"/>
        <v>84.893391969717015</v>
      </c>
      <c r="J14">
        <f t="shared" si="1"/>
        <v>1722.6253706627949</v>
      </c>
      <c r="K14">
        <f t="shared" si="1"/>
        <v>2451.4821657979692</v>
      </c>
      <c r="L14">
        <f t="shared" si="1"/>
        <v>2403746.6471499973</v>
      </c>
      <c r="M14">
        <f t="shared" si="1"/>
        <v>1.0601073446648233</v>
      </c>
      <c r="N14">
        <f t="shared" si="1"/>
        <v>6940.9674337492397</v>
      </c>
      <c r="O14">
        <f t="shared" si="1"/>
        <v>2.0590715376932884</v>
      </c>
      <c r="P14">
        <f t="shared" si="1"/>
        <v>142427193.36428025</v>
      </c>
    </row>
    <row r="15" spans="1:16" x14ac:dyDescent="0.25">
      <c r="A15" t="str">
        <f>indonesia!U65</f>
        <v>INDONESIA</v>
      </c>
      <c r="B15">
        <f>indonesia!V65</f>
        <v>2032</v>
      </c>
      <c r="C15">
        <f t="shared" si="1"/>
        <v>84427854.710765556</v>
      </c>
      <c r="D15">
        <f t="shared" si="1"/>
        <v>11739653.106791707</v>
      </c>
      <c r="E15">
        <f t="shared" si="1"/>
        <v>25106355.887151819</v>
      </c>
      <c r="F15">
        <f t="shared" si="1"/>
        <v>25664039.556586094</v>
      </c>
      <c r="G15">
        <f t="shared" si="1"/>
        <v>705.04420569297793</v>
      </c>
      <c r="H15">
        <f t="shared" si="1"/>
        <v>249.96366423713982</v>
      </c>
      <c r="I15">
        <f t="shared" si="1"/>
        <v>84.893391969717015</v>
      </c>
      <c r="J15">
        <f t="shared" si="1"/>
        <v>1952.1650838503147</v>
      </c>
      <c r="K15">
        <f t="shared" si="1"/>
        <v>2732.9401135162461</v>
      </c>
      <c r="L15">
        <f t="shared" si="1"/>
        <v>2419295.6741431677</v>
      </c>
      <c r="M15">
        <f t="shared" si="1"/>
        <v>1.0601073446648233</v>
      </c>
      <c r="N15">
        <f t="shared" si="1"/>
        <v>6945.1936910670865</v>
      </c>
      <c r="O15">
        <f t="shared" si="1"/>
        <v>2.2722572943249784</v>
      </c>
      <c r="P15">
        <f t="shared" si="1"/>
        <v>149369872.46795332</v>
      </c>
    </row>
    <row r="16" spans="1:16" x14ac:dyDescent="0.25">
      <c r="A16" t="str">
        <f>indonesia!U66</f>
        <v>INDONESIA</v>
      </c>
      <c r="B16">
        <f>indonesia!V66</f>
        <v>2033</v>
      </c>
      <c r="C16">
        <f t="shared" si="1"/>
        <v>88169922.103391513</v>
      </c>
      <c r="D16">
        <f t="shared" si="1"/>
        <v>13910028.188504254</v>
      </c>
      <c r="E16">
        <f t="shared" si="1"/>
        <v>25822071.510539934</v>
      </c>
      <c r="F16">
        <f t="shared" si="1"/>
        <v>25787813.303813864</v>
      </c>
      <c r="G16">
        <f t="shared" si="1"/>
        <v>1257.1057804324928</v>
      </c>
      <c r="H16">
        <f t="shared" si="1"/>
        <v>249.96245148185582</v>
      </c>
      <c r="I16">
        <f t="shared" si="1"/>
        <v>84.893391969717015</v>
      </c>
      <c r="J16">
        <f t="shared" si="1"/>
        <v>809.05348394818554</v>
      </c>
      <c r="K16">
        <f t="shared" si="1"/>
        <v>3697.9733388779896</v>
      </c>
      <c r="L16">
        <f t="shared" si="1"/>
        <v>2543570.5323184133</v>
      </c>
      <c r="M16">
        <f t="shared" si="1"/>
        <v>1.0601073446648233</v>
      </c>
      <c r="N16">
        <f t="shared" si="1"/>
        <v>17366.123140361124</v>
      </c>
      <c r="O16">
        <f t="shared" si="1"/>
        <v>2.2871297218940119</v>
      </c>
      <c r="P16">
        <f t="shared" si="1"/>
        <v>156256874.09739211</v>
      </c>
    </row>
    <row r="17" spans="1:16" x14ac:dyDescent="0.25">
      <c r="A17" t="str">
        <f>indonesia!U67</f>
        <v>INDONESIA</v>
      </c>
      <c r="B17">
        <f>indonesia!V67</f>
        <v>2034</v>
      </c>
      <c r="C17">
        <f t="shared" si="1"/>
        <v>93448385.545309275</v>
      </c>
      <c r="D17">
        <f t="shared" si="1"/>
        <v>15677155.881995717</v>
      </c>
      <c r="E17">
        <f t="shared" si="1"/>
        <v>26947974.243310023</v>
      </c>
      <c r="F17">
        <f t="shared" si="1"/>
        <v>25974380.520057693</v>
      </c>
      <c r="G17">
        <f t="shared" si="1"/>
        <v>1257.1058848308321</v>
      </c>
      <c r="H17">
        <f t="shared" si="1"/>
        <v>249.96245148185582</v>
      </c>
      <c r="I17">
        <f t="shared" si="1"/>
        <v>84.893391969717015</v>
      </c>
      <c r="J17">
        <f t="shared" si="1"/>
        <v>1882.1281400410523</v>
      </c>
      <c r="K17">
        <f t="shared" si="1"/>
        <v>3372.3024756827353</v>
      </c>
      <c r="L17">
        <f t="shared" si="1"/>
        <v>2833198.4622871908</v>
      </c>
      <c r="M17">
        <f t="shared" si="1"/>
        <v>1.0601073446648233</v>
      </c>
      <c r="N17">
        <f t="shared" si="1"/>
        <v>17366.211177223569</v>
      </c>
      <c r="O17">
        <f t="shared" si="1"/>
        <v>2.4657242361478695</v>
      </c>
      <c r="P17">
        <f t="shared" si="1"/>
        <v>164905310.78231269</v>
      </c>
    </row>
    <row r="18" spans="1:16" x14ac:dyDescent="0.25">
      <c r="A18" t="str">
        <f>indonesia!U68</f>
        <v>INDONESIA</v>
      </c>
      <c r="B18">
        <f>indonesia!V68</f>
        <v>2035</v>
      </c>
      <c r="C18">
        <f t="shared" si="1"/>
        <v>96488841.60206461</v>
      </c>
      <c r="D18">
        <f t="shared" si="1"/>
        <v>18566861.178283069</v>
      </c>
      <c r="E18">
        <f t="shared" si="1"/>
        <v>29197632.109476559</v>
      </c>
      <c r="F18">
        <f t="shared" si="1"/>
        <v>26479519.186734892</v>
      </c>
      <c r="G18">
        <f t="shared" si="1"/>
        <v>1257.1077847031843</v>
      </c>
      <c r="H18">
        <f t="shared" si="1"/>
        <v>249.96245148185582</v>
      </c>
      <c r="I18">
        <f t="shared" si="1"/>
        <v>84.893391969717015</v>
      </c>
      <c r="J18">
        <f t="shared" si="1"/>
        <v>2088.7260286279202</v>
      </c>
      <c r="K18">
        <f t="shared" si="1"/>
        <v>3498.7703780056167</v>
      </c>
      <c r="L18">
        <f t="shared" si="1"/>
        <v>2958329.9222054211</v>
      </c>
      <c r="M18">
        <f t="shared" si="1"/>
        <v>1.0601073446648233</v>
      </c>
      <c r="N18">
        <f t="shared" si="1"/>
        <v>17367.492701662624</v>
      </c>
      <c r="O18">
        <f t="shared" si="1"/>
        <v>2.5442920536388249</v>
      </c>
      <c r="P18">
        <f t="shared" si="1"/>
        <v>173715734.55590039</v>
      </c>
    </row>
    <row r="19" spans="1:16" x14ac:dyDescent="0.25">
      <c r="A19" t="str">
        <f>indonesia!U69</f>
        <v>INDONESIA</v>
      </c>
      <c r="B19">
        <f>indonesia!V69</f>
        <v>2036</v>
      </c>
      <c r="C19">
        <f t="shared" ref="C19:P21" si="2">SUM(C39,C59,C79,C99,C119,C139)</f>
        <v>102500814.04434</v>
      </c>
      <c r="D19">
        <f t="shared" si="2"/>
        <v>19249196.20094708</v>
      </c>
      <c r="E19">
        <f t="shared" si="2"/>
        <v>30544161.642601654</v>
      </c>
      <c r="F19">
        <f t="shared" si="2"/>
        <v>26999427.91545745</v>
      </c>
      <c r="G19">
        <f t="shared" si="2"/>
        <v>2044.4098456956913</v>
      </c>
      <c r="H19">
        <f t="shared" si="2"/>
        <v>249.96245148185582</v>
      </c>
      <c r="I19">
        <f t="shared" si="2"/>
        <v>84.893391969717015</v>
      </c>
      <c r="J19">
        <f t="shared" si="2"/>
        <v>2061.4114021319665</v>
      </c>
      <c r="K19">
        <f t="shared" si="2"/>
        <v>2979.715852113568</v>
      </c>
      <c r="L19">
        <f t="shared" si="2"/>
        <v>3416284.8467623466</v>
      </c>
      <c r="M19">
        <f t="shared" si="2"/>
        <v>1.0601073446648233</v>
      </c>
      <c r="N19">
        <f t="shared" si="2"/>
        <v>178340.0304320782</v>
      </c>
      <c r="O19">
        <f t="shared" si="2"/>
        <v>2.1077484694241688</v>
      </c>
      <c r="P19">
        <f t="shared" si="2"/>
        <v>182895648.24133983</v>
      </c>
    </row>
    <row r="20" spans="1:16" x14ac:dyDescent="0.25">
      <c r="A20" t="str">
        <f>indonesia!U70</f>
        <v>INDONESIA</v>
      </c>
      <c r="B20">
        <f>indonesia!V70</f>
        <v>2037</v>
      </c>
      <c r="C20">
        <f t="shared" si="2"/>
        <v>108705366.71196154</v>
      </c>
      <c r="D20">
        <f t="shared" si="2"/>
        <v>22109241.236946348</v>
      </c>
      <c r="E20">
        <f t="shared" si="2"/>
        <v>32210040.541473113</v>
      </c>
      <c r="F20">
        <f t="shared" si="2"/>
        <v>27180118.516095422</v>
      </c>
      <c r="G20">
        <f t="shared" si="2"/>
        <v>2067.7370261770861</v>
      </c>
      <c r="H20">
        <f t="shared" si="2"/>
        <v>249.96245148185582</v>
      </c>
      <c r="I20">
        <f t="shared" si="2"/>
        <v>84.893391969717015</v>
      </c>
      <c r="J20">
        <f t="shared" si="2"/>
        <v>1986.3872439670834</v>
      </c>
      <c r="K20">
        <f t="shared" si="2"/>
        <v>2385.4871975571837</v>
      </c>
      <c r="L20">
        <f t="shared" si="2"/>
        <v>3500944.4044737793</v>
      </c>
      <c r="M20">
        <f t="shared" si="2"/>
        <v>1.0601073446648233</v>
      </c>
      <c r="N20">
        <f t="shared" si="2"/>
        <v>178340.24102785447</v>
      </c>
      <c r="O20">
        <f t="shared" si="2"/>
        <v>1.6276810730018185</v>
      </c>
      <c r="P20">
        <f t="shared" si="2"/>
        <v>193890828.80707765</v>
      </c>
    </row>
    <row r="21" spans="1:16" x14ac:dyDescent="0.25">
      <c r="A21" t="str">
        <f>indonesia!U71</f>
        <v>INDONESIA</v>
      </c>
      <c r="B21">
        <f>indonesia!V71</f>
        <v>2038</v>
      </c>
      <c r="C21">
        <f t="shared" si="2"/>
        <v>115023427.41924334</v>
      </c>
      <c r="D21">
        <f t="shared" si="2"/>
        <v>25333198.402188841</v>
      </c>
      <c r="E21">
        <f t="shared" si="2"/>
        <v>34379472.228770748</v>
      </c>
      <c r="F21">
        <f t="shared" si="2"/>
        <v>27225049.125243332</v>
      </c>
      <c r="G21">
        <f t="shared" si="2"/>
        <v>2278.1289220277263</v>
      </c>
      <c r="H21">
        <f t="shared" si="2"/>
        <v>249.96245148185582</v>
      </c>
      <c r="I21">
        <f t="shared" si="2"/>
        <v>911.72883568960174</v>
      </c>
      <c r="J21">
        <f t="shared" si="2"/>
        <v>2709.469949771817</v>
      </c>
      <c r="K21">
        <f t="shared" si="2"/>
        <v>2794.2404089206198</v>
      </c>
      <c r="L21">
        <f t="shared" si="2"/>
        <v>3500944.4044738696</v>
      </c>
      <c r="M21">
        <f t="shared" si="2"/>
        <v>1.0601073446648233</v>
      </c>
      <c r="N21">
        <f t="shared" si="2"/>
        <v>184553.89846497821</v>
      </c>
      <c r="O21">
        <f t="shared" si="2"/>
        <v>2.5601895882016832</v>
      </c>
      <c r="P21">
        <f t="shared" si="2"/>
        <v>205655592.6292499</v>
      </c>
    </row>
    <row r="22" spans="1:16" x14ac:dyDescent="0.25">
      <c r="A22" t="str">
        <f>sumatera!U52</f>
        <v>SUMATERA</v>
      </c>
      <c r="B22">
        <f>sumatera!V52</f>
        <v>2019</v>
      </c>
      <c r="C22">
        <f>sumatera!W52</f>
        <v>23987675.68852837</v>
      </c>
      <c r="D22">
        <f>sumatera!X52</f>
        <v>2349128.9924380886</v>
      </c>
      <c r="E22">
        <f>sumatera!Y52</f>
        <v>1367604.5405620558</v>
      </c>
      <c r="F22">
        <f>sumatera!Z52</f>
        <v>7333539.7195172906</v>
      </c>
      <c r="G22">
        <f>sumatera!AA52</f>
        <v>276.3289298492308</v>
      </c>
      <c r="H22">
        <f>sumatera!AB52</f>
        <v>0</v>
      </c>
      <c r="I22">
        <f>sumatera!AC52</f>
        <v>0</v>
      </c>
      <c r="J22">
        <f>sumatera!AD52</f>
        <v>0</v>
      </c>
      <c r="K22">
        <f>sumatera!AE52</f>
        <v>0</v>
      </c>
      <c r="L22">
        <f>sumatera!AF52</f>
        <v>119277.45969359402</v>
      </c>
      <c r="M22">
        <f>sumatera!AG52</f>
        <v>0</v>
      </c>
      <c r="N22">
        <f>sumatera!AH52</f>
        <v>0</v>
      </c>
      <c r="O22">
        <f>sumatera!AI52</f>
        <v>0</v>
      </c>
      <c r="P22">
        <f>sumatera!AJ52</f>
        <v>35157502.729669251</v>
      </c>
    </row>
    <row r="23" spans="1:16" x14ac:dyDescent="0.25">
      <c r="A23" t="str">
        <f>sumatera!U53</f>
        <v>SUMATERA</v>
      </c>
      <c r="B23">
        <f>sumatera!V53</f>
        <v>2020</v>
      </c>
      <c r="C23">
        <f>sumatera!W53</f>
        <v>25305890.971729942</v>
      </c>
      <c r="D23">
        <f>sumatera!X53</f>
        <v>2349128.9924380886</v>
      </c>
      <c r="E23">
        <f>sumatera!Y53</f>
        <v>2404941.9122975343</v>
      </c>
      <c r="F23">
        <f>sumatera!Z53</f>
        <v>7333539.7195172906</v>
      </c>
      <c r="G23">
        <f>sumatera!AA53</f>
        <v>276.3289298492308</v>
      </c>
      <c r="H23">
        <f>sumatera!AB53</f>
        <v>0</v>
      </c>
      <c r="I23">
        <f>sumatera!AC53</f>
        <v>0</v>
      </c>
      <c r="J23">
        <f>sumatera!AD53</f>
        <v>0</v>
      </c>
      <c r="K23">
        <f>sumatera!AE53</f>
        <v>0</v>
      </c>
      <c r="L23">
        <f>sumatera!AF53</f>
        <v>119277.45969359402</v>
      </c>
      <c r="M23">
        <f>sumatera!AG53</f>
        <v>0</v>
      </c>
      <c r="N23">
        <f>sumatera!AH53</f>
        <v>0</v>
      </c>
      <c r="O23">
        <f>sumatera!AI53</f>
        <v>0</v>
      </c>
      <c r="P23">
        <f>sumatera!AJ53</f>
        <v>37513055.384606302</v>
      </c>
    </row>
    <row r="24" spans="1:16" x14ac:dyDescent="0.25">
      <c r="A24" t="str">
        <f>sumatera!U54</f>
        <v>SUMATERA</v>
      </c>
      <c r="B24">
        <f>sumatera!V54</f>
        <v>2021</v>
      </c>
      <c r="C24">
        <f>sumatera!W54</f>
        <v>26044030.555051494</v>
      </c>
      <c r="D24">
        <f>sumatera!X54</f>
        <v>2349128.9924380886</v>
      </c>
      <c r="E24">
        <f>sumatera!Y54</f>
        <v>4180185.2054642132</v>
      </c>
      <c r="F24">
        <f>sumatera!Z54</f>
        <v>7333539.7213716097</v>
      </c>
      <c r="G24">
        <f>sumatera!AA54</f>
        <v>276.3289298492308</v>
      </c>
      <c r="H24">
        <f>sumatera!AB54</f>
        <v>0</v>
      </c>
      <c r="I24">
        <f>sumatera!AC54</f>
        <v>0</v>
      </c>
      <c r="J24">
        <f>sumatera!AD54</f>
        <v>0</v>
      </c>
      <c r="K24">
        <f>sumatera!AE54</f>
        <v>0</v>
      </c>
      <c r="L24">
        <f>sumatera!AF54</f>
        <v>119277.45969359402</v>
      </c>
      <c r="M24">
        <f>sumatera!AG54</f>
        <v>0</v>
      </c>
      <c r="N24">
        <f>sumatera!AH54</f>
        <v>0</v>
      </c>
      <c r="O24">
        <f>sumatera!AI54</f>
        <v>0</v>
      </c>
      <c r="P24">
        <f>sumatera!AJ54</f>
        <v>40026438.262948848</v>
      </c>
    </row>
    <row r="25" spans="1:16" x14ac:dyDescent="0.25">
      <c r="A25" t="str">
        <f>sumatera!U55</f>
        <v>SUMATERA</v>
      </c>
      <c r="B25">
        <f>sumatera!V55</f>
        <v>2022</v>
      </c>
      <c r="C25">
        <f>sumatera!W55</f>
        <v>26600518.814173602</v>
      </c>
      <c r="D25">
        <f>sumatera!X55</f>
        <v>2349128.9924380886</v>
      </c>
      <c r="E25">
        <f>sumatera!Y55</f>
        <v>6207767.8513303911</v>
      </c>
      <c r="F25">
        <f>sumatera!Z55</f>
        <v>7431240.682039272</v>
      </c>
      <c r="G25">
        <f>sumatera!AA55</f>
        <v>276.3289298492308</v>
      </c>
      <c r="H25">
        <f>sumatera!AB55</f>
        <v>0</v>
      </c>
      <c r="I25">
        <f>sumatera!AC55</f>
        <v>0</v>
      </c>
      <c r="J25">
        <f>sumatera!AD55</f>
        <v>0</v>
      </c>
      <c r="K25">
        <f>sumatera!AE55</f>
        <v>0</v>
      </c>
      <c r="L25">
        <f>sumatera!AF55</f>
        <v>119277.45969359402</v>
      </c>
      <c r="M25">
        <f>sumatera!AG55</f>
        <v>0</v>
      </c>
      <c r="N25">
        <f>sumatera!AH55</f>
        <v>0</v>
      </c>
      <c r="O25">
        <f>sumatera!AI55</f>
        <v>0</v>
      </c>
      <c r="P25">
        <f>sumatera!AJ55</f>
        <v>42708210.128604792</v>
      </c>
    </row>
    <row r="26" spans="1:16" x14ac:dyDescent="0.25">
      <c r="A26" t="str">
        <f>sumatera!U56</f>
        <v>SUMATERA</v>
      </c>
      <c r="B26">
        <f>sumatera!V56</f>
        <v>2023</v>
      </c>
      <c r="C26">
        <f>sumatera!W56</f>
        <v>27125132.701589651</v>
      </c>
      <c r="D26">
        <f>sumatera!X56</f>
        <v>2349128.9924380886</v>
      </c>
      <c r="E26">
        <f>sumatera!Y56</f>
        <v>8544628.4552020878</v>
      </c>
      <c r="F26">
        <f>sumatera!Z56</f>
        <v>7431240.682039272</v>
      </c>
      <c r="G26">
        <f>sumatera!AA56</f>
        <v>276.3289298492308</v>
      </c>
      <c r="H26">
        <f>sumatera!AB56</f>
        <v>0</v>
      </c>
      <c r="I26">
        <f>sumatera!AC56</f>
        <v>0</v>
      </c>
      <c r="J26">
        <f>sumatera!AD56</f>
        <v>0</v>
      </c>
      <c r="K26">
        <f>sumatera!AE56</f>
        <v>0</v>
      </c>
      <c r="L26">
        <f>sumatera!AF56</f>
        <v>119277.45969359402</v>
      </c>
      <c r="M26">
        <f>sumatera!AG56</f>
        <v>0</v>
      </c>
      <c r="N26">
        <f>sumatera!AH56</f>
        <v>0</v>
      </c>
      <c r="O26">
        <f>sumatera!AI56</f>
        <v>0</v>
      </c>
      <c r="P26">
        <f>sumatera!AJ56</f>
        <v>45569684.619892545</v>
      </c>
    </row>
    <row r="27" spans="1:16" x14ac:dyDescent="0.25">
      <c r="A27" t="str">
        <f>sumatera!U57</f>
        <v>SUMATERA</v>
      </c>
      <c r="B27">
        <f>sumatera!V57</f>
        <v>2024</v>
      </c>
      <c r="C27">
        <f>sumatera!W57</f>
        <v>28031591.734749835</v>
      </c>
      <c r="D27">
        <f>sumatera!X57</f>
        <v>2349128.9924380886</v>
      </c>
      <c r="E27">
        <f>sumatera!Y57</f>
        <v>9965032.654888615</v>
      </c>
      <c r="F27">
        <f>sumatera!Z57</f>
        <v>8157570.5658854144</v>
      </c>
      <c r="G27">
        <f>sumatera!AA57</f>
        <v>276.3289298492308</v>
      </c>
      <c r="H27">
        <f>sumatera!AB57</f>
        <v>0</v>
      </c>
      <c r="I27">
        <f>sumatera!AC57</f>
        <v>0</v>
      </c>
      <c r="J27">
        <f>sumatera!AD57</f>
        <v>0</v>
      </c>
      <c r="K27">
        <f>sumatera!AE57</f>
        <v>0</v>
      </c>
      <c r="L27">
        <f>sumatera!AF57</f>
        <v>119277.45969359402</v>
      </c>
      <c r="M27">
        <f>sumatera!AG57</f>
        <v>0</v>
      </c>
      <c r="N27">
        <f>sumatera!AH57</f>
        <v>0</v>
      </c>
      <c r="O27">
        <f>sumatera!AI57</f>
        <v>0</v>
      </c>
      <c r="P27">
        <f>sumatera!AJ57</f>
        <v>48622877.736585401</v>
      </c>
    </row>
    <row r="28" spans="1:16" x14ac:dyDescent="0.25">
      <c r="A28" t="str">
        <f>sumatera!U58</f>
        <v>SUMATERA</v>
      </c>
      <c r="B28">
        <f>sumatera!V58</f>
        <v>2025</v>
      </c>
      <c r="C28">
        <f>sumatera!W58</f>
        <v>28637146.518959321</v>
      </c>
      <c r="D28">
        <f>sumatera!X58</f>
        <v>2349128.9924380886</v>
      </c>
      <c r="E28">
        <f>sumatera!Y58</f>
        <v>10183897.881189039</v>
      </c>
      <c r="F28">
        <f>sumatera!Z58</f>
        <v>10590918.195545344</v>
      </c>
      <c r="G28">
        <f>sumatera!AA58</f>
        <v>276.3289298492308</v>
      </c>
      <c r="H28">
        <f>sumatera!AB58</f>
        <v>0</v>
      </c>
      <c r="I28">
        <f>sumatera!AC58</f>
        <v>0</v>
      </c>
      <c r="J28">
        <f>sumatera!AD58</f>
        <v>0</v>
      </c>
      <c r="K28">
        <f>sumatera!AE58</f>
        <v>0</v>
      </c>
      <c r="L28">
        <f>sumatera!AF58</f>
        <v>119277.45969359402</v>
      </c>
      <c r="M28">
        <f>sumatera!AG58</f>
        <v>0</v>
      </c>
      <c r="N28">
        <f>sumatera!AH58</f>
        <v>0</v>
      </c>
      <c r="O28">
        <f>sumatera!AI58</f>
        <v>0</v>
      </c>
      <c r="P28">
        <f>sumatera!AJ58</f>
        <v>51880645.376755238</v>
      </c>
    </row>
    <row r="29" spans="1:16" x14ac:dyDescent="0.25">
      <c r="A29" t="str">
        <f>sumatera!U59</f>
        <v>SUMATERA</v>
      </c>
      <c r="B29">
        <f>sumatera!V59</f>
        <v>2026</v>
      </c>
      <c r="C29">
        <f>sumatera!W59</f>
        <v>32113150.044565044</v>
      </c>
      <c r="D29">
        <f>sumatera!X59</f>
        <v>2349130.2184462519</v>
      </c>
      <c r="E29">
        <f>sumatera!Y59</f>
        <v>10183898.82191742</v>
      </c>
      <c r="F29">
        <f>sumatera!Z59</f>
        <v>10590921.593671504</v>
      </c>
      <c r="G29">
        <f>sumatera!AA59</f>
        <v>276.33011687054369</v>
      </c>
      <c r="H29">
        <f>sumatera!AB59</f>
        <v>0</v>
      </c>
      <c r="I29">
        <f>sumatera!AC59</f>
        <v>0</v>
      </c>
      <c r="J29">
        <f>sumatera!AD59</f>
        <v>0</v>
      </c>
      <c r="K29">
        <f>sumatera!AE59</f>
        <v>0</v>
      </c>
      <c r="L29">
        <f>sumatera!AF59</f>
        <v>119277.45969359402</v>
      </c>
      <c r="M29">
        <f>sumatera!AG59</f>
        <v>0</v>
      </c>
      <c r="N29">
        <f>sumatera!AH59</f>
        <v>0.89813338396814513</v>
      </c>
      <c r="O29">
        <f>sumatera!AI59</f>
        <v>0</v>
      </c>
      <c r="P29">
        <f>sumatera!AJ59</f>
        <v>55356655.366544068</v>
      </c>
    </row>
    <row r="30" spans="1:16" x14ac:dyDescent="0.25">
      <c r="A30" t="str">
        <f>sumatera!U60</f>
        <v>SUMATERA</v>
      </c>
      <c r="B30">
        <f>sumatera!V60</f>
        <v>2027</v>
      </c>
      <c r="C30">
        <f>sumatera!W60</f>
        <v>35822046.008918092</v>
      </c>
      <c r="D30">
        <f>sumatera!X60</f>
        <v>2349130.2165724952</v>
      </c>
      <c r="E30">
        <f>sumatera!Y60</f>
        <v>10183898.82191742</v>
      </c>
      <c r="F30">
        <f>sumatera!Z60</f>
        <v>10590921.59073169</v>
      </c>
      <c r="G30">
        <f>sumatera!AA60</f>
        <v>276.33011646237685</v>
      </c>
      <c r="H30">
        <f>sumatera!AB60</f>
        <v>0</v>
      </c>
      <c r="I30">
        <f>sumatera!AC60</f>
        <v>0</v>
      </c>
      <c r="J30">
        <f>sumatera!AD60</f>
        <v>0</v>
      </c>
      <c r="K30">
        <f>sumatera!AE60</f>
        <v>0</v>
      </c>
      <c r="L30">
        <f>sumatera!AF60</f>
        <v>119277.45969359402</v>
      </c>
      <c r="M30">
        <f>sumatera!AG60</f>
        <v>0</v>
      </c>
      <c r="N30">
        <f>sumatera!AH60</f>
        <v>0.89813338396814513</v>
      </c>
      <c r="O30">
        <f>sumatera!AI60</f>
        <v>0</v>
      </c>
      <c r="P30">
        <f>sumatera!AJ60</f>
        <v>59065551.326083139</v>
      </c>
    </row>
    <row r="31" spans="1:16" x14ac:dyDescent="0.25">
      <c r="A31" t="str">
        <f>sumatera!U61</f>
        <v>SUMATERA</v>
      </c>
      <c r="B31">
        <f>sumatera!V61</f>
        <v>2028</v>
      </c>
      <c r="C31">
        <f>sumatera!W61</f>
        <v>38696801.809075132</v>
      </c>
      <c r="D31">
        <f>sumatera!X61</f>
        <v>2349130.2146987384</v>
      </c>
      <c r="E31">
        <f>sumatera!Y61</f>
        <v>11266534.962481862</v>
      </c>
      <c r="F31">
        <f>sumatera!Z61</f>
        <v>10590921.59073169</v>
      </c>
      <c r="G31">
        <f>sumatera!AA61</f>
        <v>276.33011646237685</v>
      </c>
      <c r="H31">
        <f>sumatera!AB61</f>
        <v>0</v>
      </c>
      <c r="I31">
        <f>sumatera!AC61</f>
        <v>0</v>
      </c>
      <c r="J31">
        <f>sumatera!AD61</f>
        <v>0</v>
      </c>
      <c r="K31">
        <f>sumatera!AE61</f>
        <v>0</v>
      </c>
      <c r="L31">
        <f>sumatera!AF61</f>
        <v>119277.45969359402</v>
      </c>
      <c r="M31">
        <f>sumatera!AG61</f>
        <v>0</v>
      </c>
      <c r="N31">
        <f>sumatera!AH61</f>
        <v>0.89813338396814513</v>
      </c>
      <c r="O31">
        <f>sumatera!AI61</f>
        <v>0</v>
      </c>
      <c r="P31">
        <f>sumatera!AJ61</f>
        <v>63022943.264930867</v>
      </c>
    </row>
    <row r="32" spans="1:16" x14ac:dyDescent="0.25">
      <c r="A32" t="str">
        <f>sumatera!U62</f>
        <v>SUMATERA</v>
      </c>
      <c r="B32">
        <f>sumatera!V62</f>
        <v>2029</v>
      </c>
      <c r="C32">
        <f>sumatera!W62</f>
        <v>38696801.809075132</v>
      </c>
      <c r="D32">
        <f>sumatera!X62</f>
        <v>2676875.5454868055</v>
      </c>
      <c r="E32">
        <f>sumatera!Y62</f>
        <v>11438282.20758559</v>
      </c>
      <c r="F32">
        <f>sumatera!Z62</f>
        <v>10590921.59073169</v>
      </c>
      <c r="G32">
        <f>sumatera!AA62</f>
        <v>276.33011646237685</v>
      </c>
      <c r="H32">
        <f>sumatera!AB62</f>
        <v>0</v>
      </c>
      <c r="I32">
        <f>sumatera!AC62</f>
        <v>0</v>
      </c>
      <c r="J32">
        <f>sumatera!AD62</f>
        <v>0</v>
      </c>
      <c r="K32">
        <f>sumatera!AE62</f>
        <v>0</v>
      </c>
      <c r="L32">
        <f>sumatera!AF62</f>
        <v>119277.45969359402</v>
      </c>
      <c r="M32">
        <f>sumatera!AG62</f>
        <v>0</v>
      </c>
      <c r="N32">
        <f>sumatera!AH62</f>
        <v>0.89813338396814513</v>
      </c>
      <c r="O32">
        <f>sumatera!AI62</f>
        <v>0</v>
      </c>
      <c r="P32">
        <f>sumatera!AJ62</f>
        <v>63522435.840822659</v>
      </c>
    </row>
    <row r="33" spans="1:16" x14ac:dyDescent="0.25">
      <c r="A33" t="str">
        <f>sumatera!U63</f>
        <v>SUMATERA</v>
      </c>
      <c r="B33">
        <f>sumatera!V63</f>
        <v>2030</v>
      </c>
      <c r="C33">
        <f>sumatera!W63</f>
        <v>41380554.20749402</v>
      </c>
      <c r="D33">
        <f>sumatera!X63</f>
        <v>4075005.0556642115</v>
      </c>
      <c r="E33">
        <f>sumatera!Y63</f>
        <v>11612398.70010688</v>
      </c>
      <c r="F33">
        <f>sumatera!Z63</f>
        <v>10590925.357890433</v>
      </c>
      <c r="G33">
        <f>sumatera!AA63</f>
        <v>276.33163240540864</v>
      </c>
      <c r="H33">
        <f>sumatera!AB63</f>
        <v>0</v>
      </c>
      <c r="I33">
        <f>sumatera!AC63</f>
        <v>0</v>
      </c>
      <c r="J33">
        <f>sumatera!AD63</f>
        <v>0</v>
      </c>
      <c r="K33">
        <f>sumatera!AE63</f>
        <v>0</v>
      </c>
      <c r="L33">
        <f>sumatera!AF63</f>
        <v>119277.45969359402</v>
      </c>
      <c r="M33">
        <f>sumatera!AG63</f>
        <v>0</v>
      </c>
      <c r="N33">
        <f>sumatera!AH63</f>
        <v>1.9296922819227811</v>
      </c>
      <c r="O33">
        <f>sumatera!AI63</f>
        <v>0</v>
      </c>
      <c r="P33">
        <f>sumatera!AJ63</f>
        <v>67778439.042173833</v>
      </c>
    </row>
    <row r="34" spans="1:16" x14ac:dyDescent="0.25">
      <c r="A34" t="str">
        <f>sumatera!U64</f>
        <v>SUMATERA</v>
      </c>
      <c r="B34">
        <f>sumatera!V64</f>
        <v>2031</v>
      </c>
      <c r="C34">
        <f>sumatera!W64</f>
        <v>43724230.223939404</v>
      </c>
      <c r="D34">
        <f>sumatera!X64</f>
        <v>5933157.1350933323</v>
      </c>
      <c r="E34">
        <f>sumatera!Y64</f>
        <v>11889364.110778907</v>
      </c>
      <c r="F34">
        <f>sumatera!Z64</f>
        <v>10626513.906353852</v>
      </c>
      <c r="G34">
        <f>sumatera!AA64</f>
        <v>452.88820590058282</v>
      </c>
      <c r="H34">
        <f>sumatera!AB64</f>
        <v>0</v>
      </c>
      <c r="I34">
        <f>sumatera!AC64</f>
        <v>0</v>
      </c>
      <c r="J34">
        <f>sumatera!AD64</f>
        <v>0</v>
      </c>
      <c r="K34">
        <f>sumatera!AE64</f>
        <v>0</v>
      </c>
      <c r="L34">
        <f>sumatera!AF64</f>
        <v>139007.16853741367</v>
      </c>
      <c r="M34">
        <f>sumatera!AG64</f>
        <v>0</v>
      </c>
      <c r="N34">
        <f>sumatera!AH64</f>
        <v>6936.8035297090883</v>
      </c>
      <c r="O34">
        <f>sumatera!AI64</f>
        <v>0</v>
      </c>
      <c r="P34">
        <f>sumatera!AJ64</f>
        <v>72319662.236438513</v>
      </c>
    </row>
    <row r="35" spans="1:16" x14ac:dyDescent="0.25">
      <c r="A35" t="str">
        <f>sumatera!U65</f>
        <v>SUMATERA</v>
      </c>
      <c r="B35">
        <f>sumatera!V65</f>
        <v>2032</v>
      </c>
      <c r="C35">
        <f>sumatera!W65</f>
        <v>46397197.627725698</v>
      </c>
      <c r="D35">
        <f>sumatera!X65</f>
        <v>7731913.6197363567</v>
      </c>
      <c r="E35">
        <f>sumatera!Y65</f>
        <v>12091625.557021236</v>
      </c>
      <c r="F35">
        <f>sumatera!Z65</f>
        <v>10797930.125495804</v>
      </c>
      <c r="G35">
        <f>sumatera!AA65</f>
        <v>464.4779763739561</v>
      </c>
      <c r="H35">
        <f>sumatera!AB65</f>
        <v>0</v>
      </c>
      <c r="I35">
        <f>sumatera!AC65</f>
        <v>0</v>
      </c>
      <c r="J35">
        <f>sumatera!AD65</f>
        <v>0</v>
      </c>
      <c r="K35">
        <f>sumatera!AE65</f>
        <v>0</v>
      </c>
      <c r="L35">
        <f>sumatera!AF65</f>
        <v>139007.16853741367</v>
      </c>
      <c r="M35">
        <f>sumatera!AG65</f>
        <v>0</v>
      </c>
      <c r="N35">
        <f>sumatera!AH65</f>
        <v>6941.0297870269351</v>
      </c>
      <c r="O35">
        <f>sumatera!AI65</f>
        <v>0</v>
      </c>
      <c r="P35">
        <f>sumatera!AJ65</f>
        <v>77165079.60627991</v>
      </c>
    </row>
    <row r="36" spans="1:16" x14ac:dyDescent="0.25">
      <c r="A36" t="str">
        <f>sumatera!U66</f>
        <v>SUMATERA</v>
      </c>
      <c r="B36">
        <f>sumatera!V66</f>
        <v>2033</v>
      </c>
      <c r="C36">
        <f>sumatera!W66</f>
        <v>49168481.499221258</v>
      </c>
      <c r="D36">
        <f>sumatera!X66</f>
        <v>9828016.8588389885</v>
      </c>
      <c r="E36">
        <f>sumatera!Y66</f>
        <v>12343264.982655613</v>
      </c>
      <c r="F36">
        <f>sumatera!Z66</f>
        <v>10837990.931898091</v>
      </c>
      <c r="G36">
        <f>sumatera!AA66</f>
        <v>1016.5395511763711</v>
      </c>
      <c r="H36">
        <f>sumatera!AB66</f>
        <v>0</v>
      </c>
      <c r="I36">
        <f>sumatera!AC66</f>
        <v>0</v>
      </c>
      <c r="J36">
        <f>sumatera!AD66</f>
        <v>0</v>
      </c>
      <c r="K36">
        <f>sumatera!AE66</f>
        <v>0</v>
      </c>
      <c r="L36">
        <f>sumatera!AF66</f>
        <v>139007.16853741367</v>
      </c>
      <c r="M36">
        <f>sumatera!AG66</f>
        <v>0</v>
      </c>
      <c r="N36">
        <f>sumatera!AH66</f>
        <v>17361.95923632097</v>
      </c>
      <c r="O36">
        <f>sumatera!AI66</f>
        <v>0</v>
      </c>
      <c r="P36">
        <f>sumatera!AJ66</f>
        <v>82335139.939938858</v>
      </c>
    </row>
    <row r="37" spans="1:16" x14ac:dyDescent="0.25">
      <c r="A37" t="str">
        <f>sumatera!U67</f>
        <v>SUMATERA</v>
      </c>
      <c r="B37">
        <f>sumatera!V67</f>
        <v>2034</v>
      </c>
      <c r="C37">
        <f>sumatera!W67</f>
        <v>52544492.943268634</v>
      </c>
      <c r="D37">
        <f>sumatera!X67</f>
        <v>11547974.452205908</v>
      </c>
      <c r="E37">
        <f>sumatera!Y67</f>
        <v>12577183.151560521</v>
      </c>
      <c r="F37">
        <f>sumatera!Z67</f>
        <v>11024558.013490958</v>
      </c>
      <c r="G37">
        <f>sumatera!AA67</f>
        <v>1016.5396559199771</v>
      </c>
      <c r="H37">
        <f>sumatera!AB67</f>
        <v>0</v>
      </c>
      <c r="I37">
        <f>sumatera!AC67</f>
        <v>0</v>
      </c>
      <c r="J37">
        <f>sumatera!AD67</f>
        <v>0</v>
      </c>
      <c r="K37">
        <f>sumatera!AE67</f>
        <v>0</v>
      </c>
      <c r="L37">
        <f>sumatera!AF67</f>
        <v>139007.16853741367</v>
      </c>
      <c r="M37">
        <f>sumatera!AG67</f>
        <v>0</v>
      </c>
      <c r="N37">
        <f>sumatera!AH67</f>
        <v>17362.047271827381</v>
      </c>
      <c r="O37">
        <f>sumatera!AI67</f>
        <v>0</v>
      </c>
      <c r="P37">
        <f>sumatera!AJ67</f>
        <v>87851594.315991178</v>
      </c>
    </row>
    <row r="38" spans="1:16" x14ac:dyDescent="0.25">
      <c r="A38" t="str">
        <f>sumatera!U68</f>
        <v>SUMATERA</v>
      </c>
      <c r="B38">
        <f>sumatera!V68</f>
        <v>2035</v>
      </c>
      <c r="C38">
        <f>sumatera!W68</f>
        <v>54139078.11697606</v>
      </c>
      <c r="D38">
        <f>sumatera!X68</f>
        <v>14363840.069901293</v>
      </c>
      <c r="E38">
        <f>sumatera!Y68</f>
        <v>14052775.627380783</v>
      </c>
      <c r="F38">
        <f>sumatera!Z68</f>
        <v>11024570.282219822</v>
      </c>
      <c r="G38">
        <f>sumatera!AA68</f>
        <v>1016.541556263396</v>
      </c>
      <c r="H38">
        <f>sumatera!AB68</f>
        <v>0</v>
      </c>
      <c r="I38">
        <f>sumatera!AC68</f>
        <v>0</v>
      </c>
      <c r="J38">
        <f>sumatera!AD68</f>
        <v>0</v>
      </c>
      <c r="K38">
        <f>sumatera!AE68</f>
        <v>0</v>
      </c>
      <c r="L38">
        <f>sumatera!AF68</f>
        <v>139007.16853741367</v>
      </c>
      <c r="M38">
        <f>sumatera!AG68</f>
        <v>0</v>
      </c>
      <c r="N38">
        <f>sumatera!AH68</f>
        <v>17363.32879632507</v>
      </c>
      <c r="O38">
        <f>sumatera!AI68</f>
        <v>0</v>
      </c>
      <c r="P38">
        <f>sumatera!AJ68</f>
        <v>93737651.135367975</v>
      </c>
    </row>
    <row r="39" spans="1:16" x14ac:dyDescent="0.25">
      <c r="A39" t="str">
        <f>sumatera!U69</f>
        <v>SUMATERA</v>
      </c>
      <c r="B39">
        <f>sumatera!V69</f>
        <v>2036</v>
      </c>
      <c r="C39">
        <f>sumatera!W69</f>
        <v>58760095.19224944</v>
      </c>
      <c r="D39">
        <f>sumatera!X69</f>
        <v>15046115.888449715</v>
      </c>
      <c r="E39">
        <f>sumatera!Y69</f>
        <v>14410305.834851129</v>
      </c>
      <c r="F39">
        <f>sumatera!Z69</f>
        <v>11024570.279280007</v>
      </c>
      <c r="G39">
        <f>sumatera!AA69</f>
        <v>1782.3125968686434</v>
      </c>
      <c r="H39">
        <f>sumatera!AB69</f>
        <v>0</v>
      </c>
      <c r="I39">
        <f>sumatera!AC69</f>
        <v>0</v>
      </c>
      <c r="J39">
        <f>sumatera!AD69</f>
        <v>0</v>
      </c>
      <c r="K39">
        <f>sumatera!AE69</f>
        <v>0</v>
      </c>
      <c r="L39">
        <f>sumatera!AF69</f>
        <v>596962.09309433924</v>
      </c>
      <c r="M39">
        <f>sumatera!AG69</f>
        <v>0</v>
      </c>
      <c r="N39">
        <f>sumatera!AH69</f>
        <v>178335.86652794891</v>
      </c>
      <c r="O39">
        <f>sumatera!AI69</f>
        <v>0</v>
      </c>
      <c r="P39">
        <f>sumatera!AJ69</f>
        <v>100018167.46704945</v>
      </c>
    </row>
    <row r="40" spans="1:16" x14ac:dyDescent="0.25">
      <c r="A40" t="str">
        <f>sumatera!U70</f>
        <v>SUMATERA</v>
      </c>
      <c r="B40">
        <f>sumatera!V70</f>
        <v>2037</v>
      </c>
      <c r="C40">
        <f>sumatera!W70</f>
        <v>62696897.407635458</v>
      </c>
      <c r="D40">
        <f>sumatera!X70</f>
        <v>17518734.891616359</v>
      </c>
      <c r="E40">
        <f>sumatera!Y70</f>
        <v>14702100.982581304</v>
      </c>
      <c r="F40">
        <f>sumatera!Z70</f>
        <v>11024570.922390694</v>
      </c>
      <c r="G40">
        <f>sumatera!AA70</f>
        <v>1782.3129073503519</v>
      </c>
      <c r="H40">
        <f>sumatera!AB70</f>
        <v>0</v>
      </c>
      <c r="I40">
        <f>sumatera!AC70</f>
        <v>0</v>
      </c>
      <c r="J40">
        <f>sumatera!AD70</f>
        <v>0</v>
      </c>
      <c r="K40">
        <f>sumatera!AE70</f>
        <v>0</v>
      </c>
      <c r="L40">
        <f>sumatera!AF70</f>
        <v>596962.09309433924</v>
      </c>
      <c r="M40">
        <f>sumatera!AG70</f>
        <v>0</v>
      </c>
      <c r="N40">
        <f>sumatera!AH70</f>
        <v>178336.07712372518</v>
      </c>
      <c r="O40">
        <f>sumatera!AI70</f>
        <v>0</v>
      </c>
      <c r="P40">
        <f>sumatera!AJ70</f>
        <v>106719384.68734924</v>
      </c>
    </row>
    <row r="41" spans="1:16" x14ac:dyDescent="0.25">
      <c r="A41" t="str">
        <f>sumatera!U71</f>
        <v>SUMATERA</v>
      </c>
      <c r="B41">
        <f>sumatera!V71</f>
        <v>2038</v>
      </c>
      <c r="C41">
        <f>sumatera!W71</f>
        <v>66110321.880969219</v>
      </c>
      <c r="D41">
        <f>sumatera!X71</f>
        <v>20742629.318670996</v>
      </c>
      <c r="E41">
        <f>sumatera!Y71</f>
        <v>15184714.606644927</v>
      </c>
      <c r="F41">
        <f>sumatera!Z71</f>
        <v>11048458.33367884</v>
      </c>
      <c r="G41">
        <f>sumatera!AA71</f>
        <v>1955.5953495632336</v>
      </c>
      <c r="H41">
        <f>sumatera!AB71</f>
        <v>0</v>
      </c>
      <c r="I41">
        <f>sumatera!AC71</f>
        <v>0</v>
      </c>
      <c r="J41">
        <f>sumatera!AD71</f>
        <v>0</v>
      </c>
      <c r="K41">
        <f>sumatera!AE71</f>
        <v>0</v>
      </c>
      <c r="L41">
        <f>sumatera!AF71</f>
        <v>596962.09309433924</v>
      </c>
      <c r="M41">
        <f>sumatera!AG71</f>
        <v>0</v>
      </c>
      <c r="N41">
        <f>sumatera!AH71</f>
        <v>184549.73456084891</v>
      </c>
      <c r="O41">
        <f>sumatera!AI71</f>
        <v>0</v>
      </c>
      <c r="P41">
        <f>sumatera!AJ71</f>
        <v>113869591.56296873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3423.1170396264861</v>
      </c>
      <c r="D43">
        <f>Jawa!AR53</f>
        <v>65.179729584915194</v>
      </c>
      <c r="E43">
        <f>Jawa!AS53</f>
        <v>904.86370647876288</v>
      </c>
      <c r="F43">
        <f>Jawa!AT53</f>
        <v>0.26257266057359091</v>
      </c>
      <c r="G43">
        <f>Jawa!AU53</f>
        <v>59.356487505389453</v>
      </c>
      <c r="H43">
        <f>Jawa!AV53</f>
        <v>4537.6564388626693</v>
      </c>
      <c r="I43">
        <f>Jawa!AW53</f>
        <v>75.529103975814934</v>
      </c>
      <c r="J43">
        <f>Jawa!AX53</f>
        <v>5797.4785003530969</v>
      </c>
      <c r="K43">
        <f>Jawa!AY53</f>
        <v>20.16493681361839</v>
      </c>
      <c r="L43">
        <f>Jawa!AZ53</f>
        <v>0.34533779840644813</v>
      </c>
      <c r="M43">
        <f>Jawa!BA53</f>
        <v>27.592046619844403</v>
      </c>
      <c r="N43">
        <f>Jawa!BB53</f>
        <v>0</v>
      </c>
      <c r="O43">
        <f>Jawa!BC53</f>
        <v>12.267483410697702</v>
      </c>
      <c r="P43">
        <f>Jawa!BD53</f>
        <v>14923.813383690278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3050.1776536366219</v>
      </c>
      <c r="D44">
        <f>Jawa!AR54</f>
        <v>65.179729584915194</v>
      </c>
      <c r="E44">
        <f>Jawa!AS54</f>
        <v>2106.8468940145444</v>
      </c>
      <c r="F44">
        <f>Jawa!AT54</f>
        <v>0.26257266057359091</v>
      </c>
      <c r="G44">
        <f>Jawa!AU54</f>
        <v>59.356487505389453</v>
      </c>
      <c r="H44">
        <f>Jawa!AV54</f>
        <v>2397.3738317309949</v>
      </c>
      <c r="I44">
        <f>Jawa!AW54</f>
        <v>3767.9183852570759</v>
      </c>
      <c r="J44">
        <f>Jawa!AX54</f>
        <v>634.25532149365165</v>
      </c>
      <c r="K44">
        <f>Jawa!AY54</f>
        <v>2363.7646486630192</v>
      </c>
      <c r="L44">
        <f>Jawa!AZ54</f>
        <v>0.34533779840644813</v>
      </c>
      <c r="M44">
        <f>Jawa!BA54</f>
        <v>12.590588648505403</v>
      </c>
      <c r="N44">
        <f>Jawa!BB54</f>
        <v>0</v>
      </c>
      <c r="O44">
        <f>Jawa!BC54</f>
        <v>2.4201491012050718</v>
      </c>
      <c r="P44">
        <f>Jawa!BD54</f>
        <v>14460.491600094902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1195.7439261801962</v>
      </c>
      <c r="D45">
        <f>Jawa!AR55</f>
        <v>65.179729584915194</v>
      </c>
      <c r="E45">
        <f>Jawa!AS55</f>
        <v>4319.2310816140935</v>
      </c>
      <c r="F45">
        <f>Jawa!AT55</f>
        <v>10.496146091097176</v>
      </c>
      <c r="G45">
        <f>Jawa!AU55</f>
        <v>59.356528268657314</v>
      </c>
      <c r="H45">
        <f>Jawa!AV55</f>
        <v>217.39294183617886</v>
      </c>
      <c r="I45">
        <f>Jawa!AW55</f>
        <v>74.876693330855687</v>
      </c>
      <c r="J45">
        <f>Jawa!AX55</f>
        <v>60.963149321206487</v>
      </c>
      <c r="K45">
        <f>Jawa!AY55</f>
        <v>91.545637351618524</v>
      </c>
      <c r="L45">
        <f>Jawa!AZ55</f>
        <v>0.34533779840644813</v>
      </c>
      <c r="M45">
        <f>Jawa!BA55</f>
        <v>1.0601073446457225</v>
      </c>
      <c r="N45">
        <f>Jawa!BB55</f>
        <v>0</v>
      </c>
      <c r="O45">
        <f>Jawa!BC55</f>
        <v>1.1233865630524484</v>
      </c>
      <c r="P45">
        <f>Jawa!BD55</f>
        <v>6097.3146652849227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1195.7439261801962</v>
      </c>
      <c r="D46">
        <f>Jawa!AR56</f>
        <v>65.179729584915194</v>
      </c>
      <c r="E46">
        <f>Jawa!AS56</f>
        <v>3269.6669931422634</v>
      </c>
      <c r="F46">
        <f>Jawa!AT56</f>
        <v>1.3203240529716802</v>
      </c>
      <c r="G46">
        <f>Jawa!AU56</f>
        <v>59.356488019767895</v>
      </c>
      <c r="H46">
        <f>Jawa!AV56</f>
        <v>217.39294183617886</v>
      </c>
      <c r="I46">
        <f>Jawa!AW56</f>
        <v>74.876693330855687</v>
      </c>
      <c r="J46">
        <f>Jawa!AX56</f>
        <v>60.963149321206487</v>
      </c>
      <c r="K46">
        <f>Jawa!AY56</f>
        <v>91.545637351618524</v>
      </c>
      <c r="L46">
        <f>Jawa!AZ56</f>
        <v>0.34533779840644813</v>
      </c>
      <c r="M46">
        <f>Jawa!BA56</f>
        <v>1.0601073446648233</v>
      </c>
      <c r="N46">
        <f>Jawa!BB56</f>
        <v>0</v>
      </c>
      <c r="O46">
        <f>Jawa!BC56</f>
        <v>0.83785586677368074</v>
      </c>
      <c r="P46">
        <f>Jawa!BD56</f>
        <v>5038.2891838298183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1195.7439261801965</v>
      </c>
      <c r="D47">
        <f>Jawa!AR57</f>
        <v>397.63894412030635</v>
      </c>
      <c r="E47">
        <f>Jawa!AS57</f>
        <v>3389.9288133032264</v>
      </c>
      <c r="F47">
        <f>Jawa!AT57</f>
        <v>1.4818602193775328</v>
      </c>
      <c r="G47">
        <f>Jawa!AU57</f>
        <v>59.356488019767895</v>
      </c>
      <c r="H47">
        <f>Jawa!AV57</f>
        <v>217.39294183617886</v>
      </c>
      <c r="I47">
        <f>Jawa!AW57</f>
        <v>74.876693330855687</v>
      </c>
      <c r="J47">
        <f>Jawa!AX57</f>
        <v>60.963149321206487</v>
      </c>
      <c r="K47">
        <f>Jawa!AY57</f>
        <v>91.545637351618524</v>
      </c>
      <c r="L47">
        <f>Jawa!AZ57</f>
        <v>0.34533779840644813</v>
      </c>
      <c r="M47">
        <f>Jawa!BA57</f>
        <v>1.0601073446648233</v>
      </c>
      <c r="N47">
        <f>Jawa!BB57</f>
        <v>0</v>
      </c>
      <c r="O47">
        <f>Jawa!BC57</f>
        <v>0.93011964459055219</v>
      </c>
      <c r="P47">
        <f>Jawa!BD57</f>
        <v>5491.264018470396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1195.7439261801962</v>
      </c>
      <c r="D48">
        <f>Jawa!AR58</f>
        <v>391.21717671805612</v>
      </c>
      <c r="E48">
        <f>Jawa!AS58</f>
        <v>1607.0895675306331</v>
      </c>
      <c r="F48">
        <f>Jawa!AT58</f>
        <v>1.341628117069777</v>
      </c>
      <c r="G48">
        <f>Jawa!AU58</f>
        <v>59.356488019767895</v>
      </c>
      <c r="H48">
        <f>Jawa!AV58</f>
        <v>1109.3572113859143</v>
      </c>
      <c r="I48">
        <f>Jawa!AW58</f>
        <v>74.876693330855687</v>
      </c>
      <c r="J48">
        <f>Jawa!AX58</f>
        <v>60.963149321206487</v>
      </c>
      <c r="K48">
        <f>Jawa!AY58</f>
        <v>2367.5229382174107</v>
      </c>
      <c r="L48">
        <f>Jawa!AZ58</f>
        <v>0.34533779840644813</v>
      </c>
      <c r="M48">
        <f>Jawa!BA58</f>
        <v>1.0601073446648233</v>
      </c>
      <c r="N48">
        <f>Jawa!BB58</f>
        <v>0</v>
      </c>
      <c r="O48">
        <f>Jawa!BC58</f>
        <v>1.1523181688540598</v>
      </c>
      <c r="P48">
        <f>Jawa!BD58</f>
        <v>6870.0265421330359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1243.6603581205532</v>
      </c>
      <c r="D49">
        <f>Jawa!AR59</f>
        <v>99.689202796387093</v>
      </c>
      <c r="E49">
        <f>Jawa!AS59</f>
        <v>681.89282074312132</v>
      </c>
      <c r="F49">
        <f>Jawa!AT59</f>
        <v>0.39369336293496188</v>
      </c>
      <c r="G49">
        <f>Jawa!AU59</f>
        <v>729.27623278730641</v>
      </c>
      <c r="H49">
        <f>Jawa!AV59</f>
        <v>763.90711784820678</v>
      </c>
      <c r="I49">
        <f>Jawa!AW59</f>
        <v>594.6775952495384</v>
      </c>
      <c r="J49">
        <f>Jawa!AX59</f>
        <v>134.64017083299058</v>
      </c>
      <c r="K49">
        <f>Jawa!AY59</f>
        <v>324.03559831543629</v>
      </c>
      <c r="L49">
        <f>Jawa!AZ59</f>
        <v>163.80604629468473</v>
      </c>
      <c r="M49">
        <f>Jawa!BA59</f>
        <v>1.0601073446648233</v>
      </c>
      <c r="N49">
        <f>Jawa!BB59</f>
        <v>121.78431032972961</v>
      </c>
      <c r="O49">
        <f>Jawa!BC59</f>
        <v>0.45213740740324837</v>
      </c>
      <c r="P49">
        <f>Jawa!BD59</f>
        <v>4859.2753914329578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1197.1975228501417</v>
      </c>
      <c r="D50">
        <f>Jawa!AR60</f>
        <v>339.3627912408482</v>
      </c>
      <c r="E50">
        <f>Jawa!AS60</f>
        <v>4809.1905714599907</v>
      </c>
      <c r="F50">
        <f>Jawa!AT60</f>
        <v>2.3695420093260755</v>
      </c>
      <c r="G50">
        <f>Jawa!AU60</f>
        <v>67.80998766448127</v>
      </c>
      <c r="H50">
        <f>Jawa!AV60</f>
        <v>641.40003128522358</v>
      </c>
      <c r="I50">
        <f>Jawa!AW60</f>
        <v>84.893391969717015</v>
      </c>
      <c r="J50">
        <f>Jawa!AX60</f>
        <v>61.667443738207069</v>
      </c>
      <c r="K50">
        <f>Jawa!AY60</f>
        <v>1541.7053597378979</v>
      </c>
      <c r="L50">
        <f>Jawa!AZ60</f>
        <v>4.1598128073815666</v>
      </c>
      <c r="M50">
        <f>Jawa!BA60</f>
        <v>1.0601073446648233</v>
      </c>
      <c r="N50">
        <f>Jawa!BB60</f>
        <v>4.1639040401518486</v>
      </c>
      <c r="O50">
        <f>Jawa!BC60</f>
        <v>1.6368981663682196</v>
      </c>
      <c r="P50">
        <f>Jawa!BD60</f>
        <v>8756.6173643144011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1197.1975228501417</v>
      </c>
      <c r="D51">
        <f>Jawa!AR61</f>
        <v>501.80159830954869</v>
      </c>
      <c r="E51">
        <f>Jawa!AS61</f>
        <v>3108.6946058331382</v>
      </c>
      <c r="F51">
        <f>Jawa!AT61</f>
        <v>1.6719517322941222</v>
      </c>
      <c r="G51">
        <f>Jawa!AU61</f>
        <v>67.80998766448127</v>
      </c>
      <c r="H51">
        <f>Jawa!AV61</f>
        <v>249.96242939724578</v>
      </c>
      <c r="I51">
        <f>Jawa!AW61</f>
        <v>84.893391969717015</v>
      </c>
      <c r="J51">
        <f>Jawa!AX61</f>
        <v>746.69222966629241</v>
      </c>
      <c r="K51">
        <f>Jawa!AY61</f>
        <v>1833.0529431213042</v>
      </c>
      <c r="L51">
        <f>Jawa!AZ61</f>
        <v>4.1598128073815666</v>
      </c>
      <c r="M51">
        <f>Jawa!BA61</f>
        <v>1.0601073446648233</v>
      </c>
      <c r="N51">
        <f>Jawa!BB61</f>
        <v>4.1639040401518486</v>
      </c>
      <c r="O51">
        <f>Jawa!BC61</f>
        <v>1.3656836921009228</v>
      </c>
      <c r="P51">
        <f>Jawa!BD61</f>
        <v>7802.5261684284633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1197.1975228501417</v>
      </c>
      <c r="D52">
        <f>Jawa!AR62</f>
        <v>584.8469104547645</v>
      </c>
      <c r="E52">
        <f>Jawa!AS62</f>
        <v>3107.5514363778384</v>
      </c>
      <c r="F52">
        <f>Jawa!AT62</f>
        <v>1.6278408913684863</v>
      </c>
      <c r="G52">
        <f>Jawa!AU62</f>
        <v>67.80998766448127</v>
      </c>
      <c r="H52">
        <f>Jawa!AV62</f>
        <v>249.96242939724578</v>
      </c>
      <c r="I52">
        <f>Jawa!AW62</f>
        <v>84.893391969717015</v>
      </c>
      <c r="J52">
        <f>Jawa!AX62</f>
        <v>896.15426446779691</v>
      </c>
      <c r="K52">
        <f>Jawa!AY62</f>
        <v>1845.7836510432028</v>
      </c>
      <c r="L52">
        <f>Jawa!AZ62</f>
        <v>4.1598128073815666</v>
      </c>
      <c r="M52">
        <f>Jawa!BA62</f>
        <v>1.0601073446648233</v>
      </c>
      <c r="N52">
        <f>Jawa!BB62</f>
        <v>4.1639040401518486</v>
      </c>
      <c r="O52">
        <f>Jawa!BC62</f>
        <v>1.3873337551050391</v>
      </c>
      <c r="P52">
        <f>Jawa!BD62</f>
        <v>8046.5985930638599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1197.1975228501417</v>
      </c>
      <c r="D53">
        <f>Jawa!AR63</f>
        <v>626.09622663002801</v>
      </c>
      <c r="E53">
        <f>Jawa!AS63</f>
        <v>3664.7617812664712</v>
      </c>
      <c r="F53">
        <f>Jawa!AT63</f>
        <v>1.9425301865557563</v>
      </c>
      <c r="G53">
        <f>Jawa!AU63</f>
        <v>67.80998766448127</v>
      </c>
      <c r="H53">
        <f>Jawa!AV63</f>
        <v>249.96242939724578</v>
      </c>
      <c r="I53">
        <f>Jawa!AW63</f>
        <v>84.893391969717015</v>
      </c>
      <c r="J53">
        <f>Jawa!AX63</f>
        <v>1051.1834966207507</v>
      </c>
      <c r="K53">
        <f>Jawa!AY63</f>
        <v>2155.5011709297069</v>
      </c>
      <c r="L53">
        <f>Jawa!AZ63</f>
        <v>4.1598128073815666</v>
      </c>
      <c r="M53">
        <f>Jawa!BA63</f>
        <v>1.0601073446648233</v>
      </c>
      <c r="N53">
        <f>Jawa!BB63</f>
        <v>4.1639040401518486</v>
      </c>
      <c r="O53">
        <f>Jawa!BC63</f>
        <v>1.61194047649167</v>
      </c>
      <c r="P53">
        <f>Jawa!BD63</f>
        <v>9110.3443021837902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1197.1975228501417</v>
      </c>
      <c r="D54">
        <f>Jawa!AR64</f>
        <v>669.17331952650022</v>
      </c>
      <c r="E54">
        <f>Jawa!AS64</f>
        <v>4787.1598623158079</v>
      </c>
      <c r="F54">
        <f>Jawa!AT64</f>
        <v>2.6184237588437065</v>
      </c>
      <c r="G54">
        <f>Jawa!AU64</f>
        <v>67.80998766448127</v>
      </c>
      <c r="H54">
        <f>Jawa!AV64</f>
        <v>249.96242939724578</v>
      </c>
      <c r="I54">
        <f>Jawa!AW64</f>
        <v>84.893391969717015</v>
      </c>
      <c r="J54">
        <f>Jawa!AX64</f>
        <v>1722.6253706627949</v>
      </c>
      <c r="K54">
        <f>Jawa!AY64</f>
        <v>2451.4821657979692</v>
      </c>
      <c r="L54">
        <f>Jawa!AZ64</f>
        <v>4.1598128073815666</v>
      </c>
      <c r="M54">
        <f>Jawa!BA64</f>
        <v>1.0601073446648233</v>
      </c>
      <c r="N54">
        <f>Jawa!BB64</f>
        <v>4.1639040401518486</v>
      </c>
      <c r="O54">
        <f>Jawa!BC64</f>
        <v>2.0590715376932884</v>
      </c>
      <c r="P54">
        <f>Jawa!BD64</f>
        <v>11244.365369673393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1197.1997236554955</v>
      </c>
      <c r="D55">
        <f>Jawa!AR65</f>
        <v>715.36440023541093</v>
      </c>
      <c r="E55">
        <f>Jawa!AS65</f>
        <v>5320.8715964012517</v>
      </c>
      <c r="F55">
        <f>Jawa!AT65</f>
        <v>2.8337892503142039</v>
      </c>
      <c r="G55">
        <f>Jawa!AU65</f>
        <v>67.80998766448127</v>
      </c>
      <c r="H55">
        <f>Jawa!AV65</f>
        <v>249.96366423713982</v>
      </c>
      <c r="I55">
        <f>Jawa!AW65</f>
        <v>84.893391969717015</v>
      </c>
      <c r="J55">
        <f>Jawa!AX65</f>
        <v>1952.1650838503147</v>
      </c>
      <c r="K55">
        <f>Jawa!AY65</f>
        <v>2732.9401135162461</v>
      </c>
      <c r="L55">
        <f>Jawa!AZ65</f>
        <v>4.1598128073815666</v>
      </c>
      <c r="M55">
        <f>Jawa!BA65</f>
        <v>1.0601073446648233</v>
      </c>
      <c r="N55">
        <f>Jawa!BB65</f>
        <v>4.1639040401518486</v>
      </c>
      <c r="O55">
        <f>Jawa!BC65</f>
        <v>2.2722572943249784</v>
      </c>
      <c r="P55">
        <f>Jawa!BD65</f>
        <v>12335.697832266895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1197.1975896139472</v>
      </c>
      <c r="D56">
        <f>Jawa!AR66</f>
        <v>764.63111599956187</v>
      </c>
      <c r="E56">
        <f>Jawa!AS66</f>
        <v>5355.2457916465755</v>
      </c>
      <c r="F56">
        <f>Jawa!AT66</f>
        <v>2.7606191171516712</v>
      </c>
      <c r="G56">
        <f>Jawa!AU66</f>
        <v>67.80998766448127</v>
      </c>
      <c r="H56">
        <f>Jawa!AV66</f>
        <v>249.96245148185582</v>
      </c>
      <c r="I56">
        <f>Jawa!AW66</f>
        <v>84.893391969717015</v>
      </c>
      <c r="J56">
        <f>Jawa!AX66</f>
        <v>809.05348394818554</v>
      </c>
      <c r="K56">
        <f>Jawa!AY66</f>
        <v>3697.9733388779896</v>
      </c>
      <c r="L56">
        <f>Jawa!AZ66</f>
        <v>4.1598128073815666</v>
      </c>
      <c r="M56">
        <f>Jawa!BA66</f>
        <v>1.0601073446648233</v>
      </c>
      <c r="N56">
        <f>Jawa!BB66</f>
        <v>4.1639040401518486</v>
      </c>
      <c r="O56">
        <f>Jawa!BC66</f>
        <v>2.2871297218940119</v>
      </c>
      <c r="P56">
        <f>Jawa!BD66</f>
        <v>12241.198724233558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3303.6129103956205</v>
      </c>
      <c r="D57">
        <f>Jawa!AR67</f>
        <v>816.35450467194903</v>
      </c>
      <c r="E57">
        <f>Jawa!AS67</f>
        <v>4157.0206950477386</v>
      </c>
      <c r="F57">
        <f>Jawa!AT67</f>
        <v>2.8982098902625744</v>
      </c>
      <c r="G57">
        <f>Jawa!AU67</f>
        <v>67.80998766448127</v>
      </c>
      <c r="H57">
        <f>Jawa!AV67</f>
        <v>249.96245148185582</v>
      </c>
      <c r="I57">
        <f>Jawa!AW67</f>
        <v>84.893391969717015</v>
      </c>
      <c r="J57">
        <f>Jawa!AX67</f>
        <v>1882.1281400410523</v>
      </c>
      <c r="K57">
        <f>Jawa!AY67</f>
        <v>3372.3024756827353</v>
      </c>
      <c r="L57">
        <f>Jawa!AZ67</f>
        <v>4.1598128073815666</v>
      </c>
      <c r="M57">
        <f>Jawa!BA67</f>
        <v>1.0601073446648233</v>
      </c>
      <c r="N57">
        <f>Jawa!BB67</f>
        <v>4.1639053961875954</v>
      </c>
      <c r="O57">
        <f>Jawa!BC67</f>
        <v>2.4657242361478695</v>
      </c>
      <c r="P57">
        <f>Jawa!BD67</f>
        <v>13948.832316629796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3603.5738826435627</v>
      </c>
      <c r="D58">
        <f>Jawa!AR68</f>
        <v>871.25265482462635</v>
      </c>
      <c r="E58">
        <f>Jawa!AS68</f>
        <v>4106.0169139578375</v>
      </c>
      <c r="F58">
        <f>Jawa!AT68</f>
        <v>2.8832696651856216</v>
      </c>
      <c r="G58">
        <f>Jawa!AU68</f>
        <v>67.80998766448127</v>
      </c>
      <c r="H58">
        <f>Jawa!AV68</f>
        <v>249.96245148185582</v>
      </c>
      <c r="I58">
        <f>Jawa!AW68</f>
        <v>84.893391969717015</v>
      </c>
      <c r="J58">
        <f>Jawa!AX68</f>
        <v>2088.7260286279202</v>
      </c>
      <c r="K58">
        <f>Jawa!AY68</f>
        <v>3498.7703780056167</v>
      </c>
      <c r="L58">
        <f>Jawa!AZ68</f>
        <v>4.1598128073815666</v>
      </c>
      <c r="M58">
        <f>Jawa!BA68</f>
        <v>1.0601073446648233</v>
      </c>
      <c r="N58">
        <f>Jawa!BB68</f>
        <v>4.1639053375553265</v>
      </c>
      <c r="O58">
        <f>Jawa!BC68</f>
        <v>2.5442920536388249</v>
      </c>
      <c r="P58">
        <f>Jawa!BD68</f>
        <v>14585.817076384043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3077.5395732481074</v>
      </c>
      <c r="D59">
        <f>Jawa!AR69</f>
        <v>930.45864416956306</v>
      </c>
      <c r="E59">
        <f>Jawa!AS69</f>
        <v>3423.8291796891194</v>
      </c>
      <c r="F59">
        <f>Jawa!AT69</f>
        <v>2.0709560994465832</v>
      </c>
      <c r="G59">
        <f>Jawa!AU69</f>
        <v>67.80998766448127</v>
      </c>
      <c r="H59">
        <f>Jawa!AV69</f>
        <v>249.96245148185582</v>
      </c>
      <c r="I59">
        <f>Jawa!AW69</f>
        <v>84.893391969717015</v>
      </c>
      <c r="J59">
        <f>Jawa!AX69</f>
        <v>2061.4114021319665</v>
      </c>
      <c r="K59">
        <f>Jawa!AY69</f>
        <v>2979.715852113568</v>
      </c>
      <c r="L59">
        <f>Jawa!AZ69</f>
        <v>4.1598128073815666</v>
      </c>
      <c r="M59">
        <f>Jawa!BA69</f>
        <v>1.0601073446648233</v>
      </c>
      <c r="N59">
        <f>Jawa!BB69</f>
        <v>4.1639041292898602</v>
      </c>
      <c r="O59">
        <f>Jawa!BC69</f>
        <v>2.1077484694241688</v>
      </c>
      <c r="P59">
        <f>Jawa!BD69</f>
        <v>12889.183011318584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2502.3218547450347</v>
      </c>
      <c r="D60">
        <f>Jawa!AR70</f>
        <v>993.03596932173059</v>
      </c>
      <c r="E60">
        <f>Jawa!AS70</f>
        <v>2663.9040003233094</v>
      </c>
      <c r="F60">
        <f>Jawa!AT70</f>
        <v>1.2424550980484352</v>
      </c>
      <c r="G60">
        <f>Jawa!AU70</f>
        <v>67.80998766448127</v>
      </c>
      <c r="H60">
        <f>Jawa!AV70</f>
        <v>249.96245148185582</v>
      </c>
      <c r="I60">
        <f>Jawa!AW70</f>
        <v>84.893391969717015</v>
      </c>
      <c r="J60">
        <f>Jawa!AX70</f>
        <v>1986.3872439670834</v>
      </c>
      <c r="K60">
        <f>Jawa!AY70</f>
        <v>2385.4871975571837</v>
      </c>
      <c r="L60">
        <f>Jawa!AZ70</f>
        <v>4.1598128073815666</v>
      </c>
      <c r="M60">
        <f>Jawa!BA70</f>
        <v>1.0601073446648233</v>
      </c>
      <c r="N60">
        <f>Jawa!BB70</f>
        <v>4.1639041292898602</v>
      </c>
      <c r="O60">
        <f>Jawa!BC70</f>
        <v>1.6276810730018185</v>
      </c>
      <c r="P60">
        <f>Jawa!BD70</f>
        <v>10946.056057482783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3699.3577971836248</v>
      </c>
      <c r="D61">
        <f>Jawa!AR71</f>
        <v>1055.7779046946432</v>
      </c>
      <c r="E61">
        <f>Jawa!AS71</f>
        <v>4170.7750582787221</v>
      </c>
      <c r="F61">
        <f>Jawa!AT71</f>
        <v>2.683818956862055</v>
      </c>
      <c r="G61">
        <f>Jawa!AU71</f>
        <v>67.80998766448127</v>
      </c>
      <c r="H61">
        <f>Jawa!AV71</f>
        <v>249.96245148185582</v>
      </c>
      <c r="I61">
        <f>Jawa!AW71</f>
        <v>911.72883568960174</v>
      </c>
      <c r="J61">
        <f>Jawa!AX71</f>
        <v>2709.469949771817</v>
      </c>
      <c r="K61">
        <f>Jawa!AY71</f>
        <v>2794.2404089206198</v>
      </c>
      <c r="L61">
        <f>Jawa!AZ71</f>
        <v>4.1598128972880231</v>
      </c>
      <c r="M61">
        <f>Jawa!BA71</f>
        <v>1.0601073446648233</v>
      </c>
      <c r="N61">
        <f>Jawa!BB71</f>
        <v>4.1639041292898602</v>
      </c>
      <c r="O61">
        <f>Jawa!BC71</f>
        <v>2.5601895882016832</v>
      </c>
      <c r="P61">
        <f>Jawa!BD71</f>
        <v>15673.750226601671</v>
      </c>
    </row>
    <row r="62" spans="1:16" x14ac:dyDescent="0.25">
      <c r="A62" t="str">
        <f>bali_nt!U52</f>
        <v>BALI_NT</v>
      </c>
      <c r="B62">
        <f>bali_nt!V52</f>
        <v>2019</v>
      </c>
      <c r="C62">
        <f>bali_nt!W52</f>
        <v>2338111.0243331748</v>
      </c>
      <c r="D62">
        <f>bali_nt!X52</f>
        <v>1237672.6277220473</v>
      </c>
      <c r="E62">
        <f>bali_nt!Y52</f>
        <v>0</v>
      </c>
      <c r="F62">
        <f>bali_nt!Z52</f>
        <v>1711118.1105064782</v>
      </c>
      <c r="G62">
        <f>bali_nt!AA52</f>
        <v>10.040903507076925</v>
      </c>
      <c r="H62">
        <f>bali_nt!AB52</f>
        <v>0</v>
      </c>
      <c r="I62">
        <f>bali_nt!AC52</f>
        <v>0</v>
      </c>
      <c r="J62">
        <f>bali_nt!AD52</f>
        <v>0</v>
      </c>
      <c r="K62">
        <f>bali_nt!AE52</f>
        <v>0</v>
      </c>
      <c r="L62">
        <f>bali_nt!AF52</f>
        <v>0</v>
      </c>
      <c r="M62">
        <f>bali_nt!AG52</f>
        <v>0</v>
      </c>
      <c r="N62">
        <f>bali_nt!AH52</f>
        <v>0</v>
      </c>
      <c r="O62">
        <f>bali_nt!AI52</f>
        <v>0</v>
      </c>
      <c r="P62">
        <f>bali_nt!AJ52</f>
        <v>5286911.8034652071</v>
      </c>
    </row>
    <row r="63" spans="1:16" x14ac:dyDescent="0.25">
      <c r="A63" t="str">
        <f>bali_nt!U53</f>
        <v>BALI_NT</v>
      </c>
      <c r="B63">
        <f>bali_nt!V53</f>
        <v>2020</v>
      </c>
      <c r="C63">
        <f>bali_nt!W53</f>
        <v>2372515.0913113765</v>
      </c>
      <c r="D63">
        <f>bali_nt!X53</f>
        <v>1237672.6277220473</v>
      </c>
      <c r="E63">
        <f>bali_nt!Y53</f>
        <v>0</v>
      </c>
      <c r="F63">
        <f>bali_nt!Z53</f>
        <v>1711118.1105064782</v>
      </c>
      <c r="G63">
        <f>bali_nt!AA53</f>
        <v>10.040903507076925</v>
      </c>
      <c r="H63">
        <f>bali_nt!AB53</f>
        <v>0</v>
      </c>
      <c r="I63">
        <f>bali_nt!AC53</f>
        <v>0</v>
      </c>
      <c r="J63">
        <f>bali_nt!AD53</f>
        <v>0</v>
      </c>
      <c r="K63">
        <f>bali_nt!AE53</f>
        <v>0</v>
      </c>
      <c r="L63">
        <f>bali_nt!AF53</f>
        <v>220799.62874713424</v>
      </c>
      <c r="M63">
        <f>bali_nt!AG53</f>
        <v>0</v>
      </c>
      <c r="N63">
        <f>bali_nt!AH53</f>
        <v>0</v>
      </c>
      <c r="O63">
        <f>bali_nt!AI53</f>
        <v>0</v>
      </c>
      <c r="P63">
        <f>bali_nt!AJ53</f>
        <v>5542115.4991905438</v>
      </c>
    </row>
    <row r="64" spans="1:16" x14ac:dyDescent="0.25">
      <c r="A64" t="str">
        <f>bali_nt!U54</f>
        <v>BALI_NT</v>
      </c>
      <c r="B64">
        <f>bali_nt!V54</f>
        <v>2021</v>
      </c>
      <c r="C64">
        <f>bali_nt!W54</f>
        <v>2743779.1553962892</v>
      </c>
      <c r="D64">
        <f>bali_nt!X54</f>
        <v>1237672.6277220473</v>
      </c>
      <c r="E64">
        <f>bali_nt!Y54</f>
        <v>0</v>
      </c>
      <c r="F64">
        <f>bali_nt!Z54</f>
        <v>1711118.1105064782</v>
      </c>
      <c r="G64">
        <f>bali_nt!AA54</f>
        <v>67.721196353853117</v>
      </c>
      <c r="H64">
        <f>bali_nt!AB54</f>
        <v>0</v>
      </c>
      <c r="I64">
        <f>bali_nt!AC54</f>
        <v>0</v>
      </c>
      <c r="J64">
        <f>bali_nt!AD54</f>
        <v>0</v>
      </c>
      <c r="K64">
        <f>bali_nt!AE54</f>
        <v>0</v>
      </c>
      <c r="L64">
        <f>bali_nt!AF54</f>
        <v>220799.62548818719</v>
      </c>
      <c r="M64">
        <f>bali_nt!AG54</f>
        <v>0</v>
      </c>
      <c r="N64">
        <f>bali_nt!AH54</f>
        <v>0</v>
      </c>
      <c r="O64">
        <f>bali_nt!AI54</f>
        <v>0</v>
      </c>
      <c r="P64">
        <f>bali_nt!AJ54</f>
        <v>5913437.2403093548</v>
      </c>
    </row>
    <row r="65" spans="1:16" x14ac:dyDescent="0.25">
      <c r="A65" t="str">
        <f>bali_nt!U55</f>
        <v>BALI_NT</v>
      </c>
      <c r="B65">
        <f>bali_nt!V55</f>
        <v>2022</v>
      </c>
      <c r="C65">
        <f>bali_nt!W55</f>
        <v>2996430.4595633517</v>
      </c>
      <c r="D65">
        <f>bali_nt!X55</f>
        <v>1237672.6277220473</v>
      </c>
      <c r="E65">
        <f>bali_nt!Y55</f>
        <v>143548.99713242444</v>
      </c>
      <c r="F65">
        <f>bali_nt!Z55</f>
        <v>1711118.1075666645</v>
      </c>
      <c r="G65">
        <f>bali_nt!AA55</f>
        <v>67.721196353853117</v>
      </c>
      <c r="H65">
        <f>bali_nt!AB55</f>
        <v>0</v>
      </c>
      <c r="I65">
        <f>bali_nt!AC55</f>
        <v>0</v>
      </c>
      <c r="J65">
        <f>bali_nt!AD55</f>
        <v>0</v>
      </c>
      <c r="K65">
        <f>bali_nt!AE55</f>
        <v>0</v>
      </c>
      <c r="L65">
        <f>bali_nt!AF55</f>
        <v>220799.62222924028</v>
      </c>
      <c r="M65">
        <f>bali_nt!AG55</f>
        <v>0</v>
      </c>
      <c r="N65">
        <f>bali_nt!AH55</f>
        <v>0</v>
      </c>
      <c r="O65">
        <f>bali_nt!AI55</f>
        <v>0</v>
      </c>
      <c r="P65">
        <f>bali_nt!AJ55</f>
        <v>6309637.535410081</v>
      </c>
    </row>
    <row r="66" spans="1:16" x14ac:dyDescent="0.25">
      <c r="A66" t="str">
        <f>bali_nt!U56</f>
        <v>BALI_NT</v>
      </c>
      <c r="B66">
        <f>bali_nt!V56</f>
        <v>2023</v>
      </c>
      <c r="C66">
        <f>bali_nt!W56</f>
        <v>3003378.3255266882</v>
      </c>
      <c r="D66">
        <f>bali_nt!X56</f>
        <v>1240123.1163837176</v>
      </c>
      <c r="E66">
        <f>bali_nt!Y56</f>
        <v>145185.62076649451</v>
      </c>
      <c r="F66">
        <f>bali_nt!Z56</f>
        <v>1714963.3037835655</v>
      </c>
      <c r="G66">
        <f>bali_nt!AA56</f>
        <v>68.351169155033119</v>
      </c>
      <c r="H66">
        <f>bali_nt!AB56</f>
        <v>0</v>
      </c>
      <c r="I66">
        <f>bali_nt!AC56</f>
        <v>0</v>
      </c>
      <c r="J66">
        <f>bali_nt!AD56</f>
        <v>0</v>
      </c>
      <c r="K66">
        <f>bali_nt!AE56</f>
        <v>0</v>
      </c>
      <c r="L66">
        <f>bali_nt!AF56</f>
        <v>225828.33976330367</v>
      </c>
      <c r="M66">
        <f>bali_nt!AG56</f>
        <v>0</v>
      </c>
      <c r="N66">
        <f>bali_nt!AH56</f>
        <v>0</v>
      </c>
      <c r="O66">
        <f>bali_nt!AI56</f>
        <v>0</v>
      </c>
      <c r="P66">
        <f>bali_nt!AJ56</f>
        <v>6329547.0573929241</v>
      </c>
    </row>
    <row r="67" spans="1:16" x14ac:dyDescent="0.25">
      <c r="A67" t="str">
        <f>bali_nt!U57</f>
        <v>BALI_NT</v>
      </c>
      <c r="B67">
        <f>bali_nt!V57</f>
        <v>2024</v>
      </c>
      <c r="C67">
        <f>bali_nt!W57</f>
        <v>3003378.3255266882</v>
      </c>
      <c r="D67">
        <f>bali_nt!X57</f>
        <v>1240123.1163837176</v>
      </c>
      <c r="E67">
        <f>bali_nt!Y57</f>
        <v>145185.62076649451</v>
      </c>
      <c r="F67">
        <f>bali_nt!Z57</f>
        <v>1714963.3037835655</v>
      </c>
      <c r="G67">
        <f>bali_nt!AA57</f>
        <v>68.351169155033119</v>
      </c>
      <c r="H67">
        <f>bali_nt!AB57</f>
        <v>0</v>
      </c>
      <c r="I67">
        <f>bali_nt!AC57</f>
        <v>0</v>
      </c>
      <c r="J67">
        <f>bali_nt!AD57</f>
        <v>0</v>
      </c>
      <c r="K67">
        <f>bali_nt!AE57</f>
        <v>0</v>
      </c>
      <c r="L67">
        <f>bali_nt!AF57</f>
        <v>519400.72404505359</v>
      </c>
      <c r="M67">
        <f>bali_nt!AG57</f>
        <v>0</v>
      </c>
      <c r="N67">
        <f>bali_nt!AH57</f>
        <v>0</v>
      </c>
      <c r="O67">
        <f>bali_nt!AI57</f>
        <v>0</v>
      </c>
      <c r="P67">
        <f>bali_nt!AJ57</f>
        <v>6623119.4416746739</v>
      </c>
    </row>
    <row r="68" spans="1:16" x14ac:dyDescent="0.25">
      <c r="A68" t="str">
        <f>bali_nt!U58</f>
        <v>BALI_NT</v>
      </c>
      <c r="B68">
        <f>bali_nt!V58</f>
        <v>2025</v>
      </c>
      <c r="C68">
        <f>bali_nt!W58</f>
        <v>3008940.9641379314</v>
      </c>
      <c r="D68">
        <f>bali_nt!X58</f>
        <v>1240123.1163837176</v>
      </c>
      <c r="E68">
        <f>bali_nt!Y58</f>
        <v>152598.0538682417</v>
      </c>
      <c r="F68">
        <f>bali_nt!Z58</f>
        <v>1714963.3037835655</v>
      </c>
      <c r="G68">
        <f>bali_nt!AA58</f>
        <v>68.351169155033119</v>
      </c>
      <c r="H68">
        <f>bali_nt!AB58</f>
        <v>0</v>
      </c>
      <c r="I68">
        <f>bali_nt!AC58</f>
        <v>0</v>
      </c>
      <c r="J68">
        <f>bali_nt!AD58</f>
        <v>0</v>
      </c>
      <c r="K68">
        <f>bali_nt!AE58</f>
        <v>0</v>
      </c>
      <c r="L68">
        <f>bali_nt!AF58</f>
        <v>746105.44145516038</v>
      </c>
      <c r="M68">
        <f>bali_nt!AG58</f>
        <v>0</v>
      </c>
      <c r="N68">
        <f>bali_nt!AH58</f>
        <v>0</v>
      </c>
      <c r="O68">
        <f>bali_nt!AI58</f>
        <v>0</v>
      </c>
      <c r="P68">
        <f>bali_nt!AJ58</f>
        <v>6862799.2307977714</v>
      </c>
    </row>
    <row r="69" spans="1:16" x14ac:dyDescent="0.25">
      <c r="A69" t="str">
        <f>bali_nt!U59</f>
        <v>BALI_NT</v>
      </c>
      <c r="B69">
        <f>bali_nt!V59</f>
        <v>2026</v>
      </c>
      <c r="C69">
        <f>bali_nt!W59</f>
        <v>3018761.8709398448</v>
      </c>
      <c r="D69">
        <f>bali_nt!X59</f>
        <v>1240123.1163837176</v>
      </c>
      <c r="E69">
        <f>bali_nt!Y59</f>
        <v>152598.05280761447</v>
      </c>
      <c r="F69">
        <f>bali_nt!Z59</f>
        <v>1714963.3037835655</v>
      </c>
      <c r="G69">
        <f>bali_nt!AA59</f>
        <v>68.351168746866307</v>
      </c>
      <c r="H69">
        <f>bali_nt!AB59</f>
        <v>0</v>
      </c>
      <c r="I69">
        <f>bali_nt!AC59</f>
        <v>0</v>
      </c>
      <c r="J69">
        <f>bali_nt!AD59</f>
        <v>0</v>
      </c>
      <c r="K69">
        <f>bali_nt!AE59</f>
        <v>0</v>
      </c>
      <c r="L69">
        <f>bali_nt!AF59</f>
        <v>854967.32324148517</v>
      </c>
      <c r="M69">
        <f>bali_nt!AG59</f>
        <v>0</v>
      </c>
      <c r="N69">
        <f>bali_nt!AH59</f>
        <v>0</v>
      </c>
      <c r="O69">
        <f>bali_nt!AI59</f>
        <v>0</v>
      </c>
      <c r="P69">
        <f>bali_nt!AJ59</f>
        <v>6981482.0183249749</v>
      </c>
    </row>
    <row r="70" spans="1:16" x14ac:dyDescent="0.25">
      <c r="A70" t="str">
        <f>bali_nt!U60</f>
        <v>BALI_NT</v>
      </c>
      <c r="B70">
        <f>bali_nt!V60</f>
        <v>2027</v>
      </c>
      <c r="C70">
        <f>bali_nt!W60</f>
        <v>3047693.5315862065</v>
      </c>
      <c r="D70">
        <f>bali_nt!X60</f>
        <v>1240123.1163837176</v>
      </c>
      <c r="E70">
        <f>bali_nt!Y60</f>
        <v>152598.05280761447</v>
      </c>
      <c r="F70">
        <f>bali_nt!Z60</f>
        <v>1714963.3037835655</v>
      </c>
      <c r="G70">
        <f>bali_nt!AA60</f>
        <v>68.351168746866307</v>
      </c>
      <c r="H70">
        <f>bali_nt!AB60</f>
        <v>0</v>
      </c>
      <c r="I70">
        <f>bali_nt!AC60</f>
        <v>0</v>
      </c>
      <c r="J70">
        <f>bali_nt!AD60</f>
        <v>0</v>
      </c>
      <c r="K70">
        <f>bali_nt!AE60</f>
        <v>0</v>
      </c>
      <c r="L70">
        <f>bali_nt!AF60</f>
        <v>1023565.4630999933</v>
      </c>
      <c r="M70">
        <f>bali_nt!AG60</f>
        <v>0</v>
      </c>
      <c r="N70">
        <f>bali_nt!AH60</f>
        <v>0</v>
      </c>
      <c r="O70">
        <f>bali_nt!AI60</f>
        <v>0</v>
      </c>
      <c r="P70">
        <f>bali_nt!AJ60</f>
        <v>7179011.8188298438</v>
      </c>
    </row>
    <row r="71" spans="1:16" x14ac:dyDescent="0.25">
      <c r="A71" t="str">
        <f>bali_nt!U61</f>
        <v>BALI_NT</v>
      </c>
      <c r="B71">
        <f>bali_nt!V61</f>
        <v>2028</v>
      </c>
      <c r="C71">
        <f>bali_nt!W61</f>
        <v>3112536.7730733627</v>
      </c>
      <c r="D71">
        <f>bali_nt!X61</f>
        <v>1240123.1145099606</v>
      </c>
      <c r="E71">
        <f>bali_nt!Y61</f>
        <v>242062.13393433575</v>
      </c>
      <c r="F71">
        <f>bali_nt!Z61</f>
        <v>1714963.3037835655</v>
      </c>
      <c r="G71">
        <f>bali_nt!AA61</f>
        <v>68.351168746866307</v>
      </c>
      <c r="H71">
        <f>bali_nt!AB61</f>
        <v>0</v>
      </c>
      <c r="I71">
        <f>bali_nt!AC61</f>
        <v>0</v>
      </c>
      <c r="J71">
        <f>bali_nt!AD61</f>
        <v>0</v>
      </c>
      <c r="K71">
        <f>bali_nt!AE61</f>
        <v>0</v>
      </c>
      <c r="L71">
        <f>bali_nt!AF61</f>
        <v>1023565.4630999933</v>
      </c>
      <c r="M71">
        <f>bali_nt!AG61</f>
        <v>0</v>
      </c>
      <c r="N71">
        <f>bali_nt!AH61</f>
        <v>0</v>
      </c>
      <c r="O71">
        <f>bali_nt!AI61</f>
        <v>0</v>
      </c>
      <c r="P71">
        <f>bali_nt!AJ61</f>
        <v>7333319.1395699643</v>
      </c>
    </row>
    <row r="72" spans="1:16" x14ac:dyDescent="0.25">
      <c r="A72" t="str">
        <f>bali_nt!U62</f>
        <v>BALI_NT</v>
      </c>
      <c r="B72">
        <f>bali_nt!V62</f>
        <v>2029</v>
      </c>
      <c r="C72">
        <f>bali_nt!W62</f>
        <v>3186248.3508413802</v>
      </c>
      <c r="D72">
        <f>bali_nt!X62</f>
        <v>1240123.1126362039</v>
      </c>
      <c r="E72">
        <f>bali_nt!Y62</f>
        <v>242062.13393433575</v>
      </c>
      <c r="F72">
        <f>bali_nt!Z62</f>
        <v>1714963.3037835655</v>
      </c>
      <c r="G72">
        <f>bali_nt!AA62</f>
        <v>68.351168746866307</v>
      </c>
      <c r="H72">
        <f>bali_nt!AB62</f>
        <v>0</v>
      </c>
      <c r="I72">
        <f>bali_nt!AC62</f>
        <v>0</v>
      </c>
      <c r="J72">
        <f>bali_nt!AD62</f>
        <v>0</v>
      </c>
      <c r="K72">
        <f>bali_nt!AE62</f>
        <v>0</v>
      </c>
      <c r="L72">
        <f>bali_nt!AF62</f>
        <v>1336467.4780107911</v>
      </c>
      <c r="M72">
        <f>bali_nt!AG62</f>
        <v>0</v>
      </c>
      <c r="N72">
        <f>bali_nt!AH62</f>
        <v>0</v>
      </c>
      <c r="O72">
        <f>bali_nt!AI62</f>
        <v>0</v>
      </c>
      <c r="P72">
        <f>bali_nt!AJ62</f>
        <v>7719932.7303750236</v>
      </c>
    </row>
    <row r="73" spans="1:16" x14ac:dyDescent="0.25">
      <c r="A73" t="str">
        <f>bali_nt!U63</f>
        <v>BALI_NT</v>
      </c>
      <c r="B73">
        <f>bali_nt!V63</f>
        <v>2030</v>
      </c>
      <c r="C73">
        <f>bali_nt!W63</f>
        <v>3505660.4549818025</v>
      </c>
      <c r="D73">
        <f>bali_nt!X63</f>
        <v>1240123.1107624469</v>
      </c>
      <c r="E73">
        <f>bali_nt!Y63</f>
        <v>439885.52460279688</v>
      </c>
      <c r="F73">
        <f>bali_nt!Z63</f>
        <v>1714963.3037835655</v>
      </c>
      <c r="G73">
        <f>bali_nt!AA63</f>
        <v>68.351168746866307</v>
      </c>
      <c r="H73">
        <f>bali_nt!AB63</f>
        <v>0</v>
      </c>
      <c r="I73">
        <f>bali_nt!AC63</f>
        <v>0</v>
      </c>
      <c r="J73">
        <f>bali_nt!AD63</f>
        <v>0</v>
      </c>
      <c r="K73">
        <f>bali_nt!AE63</f>
        <v>0</v>
      </c>
      <c r="L73">
        <f>bali_nt!AF63</f>
        <v>1336467.4780107911</v>
      </c>
      <c r="M73">
        <f>bali_nt!AG63</f>
        <v>0</v>
      </c>
      <c r="N73">
        <f>bali_nt!AH63</f>
        <v>0</v>
      </c>
      <c r="O73">
        <f>bali_nt!AI63</f>
        <v>0</v>
      </c>
      <c r="P73">
        <f>bali_nt!AJ63</f>
        <v>8237168.2233101502</v>
      </c>
    </row>
    <row r="74" spans="1:16" x14ac:dyDescent="0.25">
      <c r="A74" t="str">
        <f>bali_nt!U64</f>
        <v>BALI_NT</v>
      </c>
      <c r="B74">
        <f>bali_nt!V64</f>
        <v>2031</v>
      </c>
      <c r="C74">
        <f>bali_nt!W64</f>
        <v>3879062.5426374017</v>
      </c>
      <c r="D74">
        <f>bali_nt!X64</f>
        <v>1240123.1088886901</v>
      </c>
      <c r="E74">
        <f>bali_nt!Y64</f>
        <v>618373.71272295597</v>
      </c>
      <c r="F74">
        <f>bali_nt!Z64</f>
        <v>1714963.3008437529</v>
      </c>
      <c r="G74">
        <f>bali_nt!AA64</f>
        <v>68.35116833869948</v>
      </c>
      <c r="H74">
        <f>bali_nt!AB64</f>
        <v>0</v>
      </c>
      <c r="I74">
        <f>bali_nt!AC64</f>
        <v>0</v>
      </c>
      <c r="J74">
        <f>bali_nt!AD64</f>
        <v>0</v>
      </c>
      <c r="K74">
        <f>bali_nt!AE64</f>
        <v>0</v>
      </c>
      <c r="L74">
        <f>bali_nt!AF64</f>
        <v>1336467.4780107911</v>
      </c>
      <c r="M74">
        <f>bali_nt!AG64</f>
        <v>0</v>
      </c>
      <c r="N74">
        <f>bali_nt!AH64</f>
        <v>0</v>
      </c>
      <c r="O74">
        <f>bali_nt!AI64</f>
        <v>0</v>
      </c>
      <c r="P74">
        <f>bali_nt!AJ64</f>
        <v>8789058.4942719303</v>
      </c>
    </row>
    <row r="75" spans="1:16" x14ac:dyDescent="0.25">
      <c r="A75" t="str">
        <f>bali_nt!U65</f>
        <v>BALI_NT</v>
      </c>
      <c r="B75">
        <f>bali_nt!V65</f>
        <v>2032</v>
      </c>
      <c r="C75">
        <f>bali_nt!W65</f>
        <v>4053850.9310370567</v>
      </c>
      <c r="D75">
        <f>bali_nt!X65</f>
        <v>1578637.8229788302</v>
      </c>
      <c r="E75">
        <f>bali_nt!Y65</f>
        <v>618373.71272295597</v>
      </c>
      <c r="F75">
        <f>bali_nt!Z65</f>
        <v>1714963.2979039403</v>
      </c>
      <c r="G75">
        <f>bali_nt!AA65</f>
        <v>68.35116833869948</v>
      </c>
      <c r="H75">
        <f>bali_nt!AB65</f>
        <v>0</v>
      </c>
      <c r="I75">
        <f>bali_nt!AC65</f>
        <v>0</v>
      </c>
      <c r="J75">
        <f>bali_nt!AD65</f>
        <v>0</v>
      </c>
      <c r="K75">
        <f>bali_nt!AE65</f>
        <v>0</v>
      </c>
      <c r="L75">
        <f>bali_nt!AF65</f>
        <v>1352016.5050039617</v>
      </c>
      <c r="M75">
        <f>bali_nt!AG65</f>
        <v>0</v>
      </c>
      <c r="N75">
        <f>bali_nt!AH65</f>
        <v>0</v>
      </c>
      <c r="O75">
        <f>bali_nt!AI65</f>
        <v>0</v>
      </c>
      <c r="P75">
        <f>bali_nt!AJ65</f>
        <v>9317910.6208150834</v>
      </c>
    </row>
    <row r="76" spans="1:16" x14ac:dyDescent="0.25">
      <c r="A76" t="str">
        <f>bali_nt!U66</f>
        <v>BALI_NT</v>
      </c>
      <c r="B76">
        <f>bali_nt!V66</f>
        <v>2033</v>
      </c>
      <c r="C76">
        <f>bali_nt!W66</f>
        <v>4103813.335230262</v>
      </c>
      <c r="D76">
        <f>bali_nt!X66</f>
        <v>1652860.398872982</v>
      </c>
      <c r="E76">
        <f>bali_nt!Y66</f>
        <v>618373.71272295597</v>
      </c>
      <c r="F76">
        <f>bali_nt!Z66</f>
        <v>1714963.2979039403</v>
      </c>
      <c r="G76">
        <f>bali_nt!AA66</f>
        <v>68.35116833869948</v>
      </c>
      <c r="H76">
        <f>bali_nt!AB66</f>
        <v>0</v>
      </c>
      <c r="I76">
        <f>bali_nt!AC66</f>
        <v>0</v>
      </c>
      <c r="J76">
        <f>bali_nt!AD66</f>
        <v>0</v>
      </c>
      <c r="K76">
        <f>bali_nt!AE66</f>
        <v>0</v>
      </c>
      <c r="L76">
        <f>bali_nt!AF66</f>
        <v>1476291.3631792073</v>
      </c>
      <c r="M76">
        <f>bali_nt!AG66</f>
        <v>0</v>
      </c>
      <c r="N76">
        <f>bali_nt!AH66</f>
        <v>0</v>
      </c>
      <c r="O76">
        <f>bali_nt!AI66</f>
        <v>0</v>
      </c>
      <c r="P76">
        <f>bali_nt!AJ66</f>
        <v>9566370.4590776861</v>
      </c>
    </row>
    <row r="77" spans="1:16" x14ac:dyDescent="0.25">
      <c r="A77" t="str">
        <f>bali_nt!U67</f>
        <v>BALI_NT</v>
      </c>
      <c r="B77">
        <f>bali_nt!V67</f>
        <v>2034</v>
      </c>
      <c r="C77">
        <f>bali_nt!W67</f>
        <v>4295624.615449639</v>
      </c>
      <c r="D77">
        <f>bali_nt!X67</f>
        <v>1699978.7793563707</v>
      </c>
      <c r="E77">
        <f>bali_nt!Y67</f>
        <v>730762.9482469497</v>
      </c>
      <c r="F77">
        <f>bali_nt!Z67</f>
        <v>1714963.294964127</v>
      </c>
      <c r="G77">
        <f>bali_nt!AA67</f>
        <v>68.351167930532682</v>
      </c>
      <c r="H77">
        <f>bali_nt!AB67</f>
        <v>0</v>
      </c>
      <c r="I77">
        <f>bali_nt!AC67</f>
        <v>0</v>
      </c>
      <c r="J77">
        <f>bali_nt!AD67</f>
        <v>0</v>
      </c>
      <c r="K77">
        <f>bali_nt!AE67</f>
        <v>0</v>
      </c>
      <c r="L77">
        <f>bali_nt!AF67</f>
        <v>1765919.2931479849</v>
      </c>
      <c r="M77">
        <f>bali_nt!AG67</f>
        <v>0</v>
      </c>
      <c r="N77">
        <f>bali_nt!AH67</f>
        <v>0</v>
      </c>
      <c r="O77">
        <f>bali_nt!AI67</f>
        <v>0</v>
      </c>
      <c r="P77">
        <f>bali_nt!AJ67</f>
        <v>10207317.282333001</v>
      </c>
    </row>
    <row r="78" spans="1:16" x14ac:dyDescent="0.25">
      <c r="A78" t="str">
        <f>bali_nt!U68</f>
        <v>BALI_NT</v>
      </c>
      <c r="B78">
        <f>bali_nt!V68</f>
        <v>2035</v>
      </c>
      <c r="C78">
        <f>bali_nt!W68</f>
        <v>4343147.1095359745</v>
      </c>
      <c r="D78">
        <f>bali_nt!X68</f>
        <v>1773763.561671939</v>
      </c>
      <c r="E78">
        <f>bali_nt!Y68</f>
        <v>730762.9482469497</v>
      </c>
      <c r="F78">
        <f>bali_nt!Z68</f>
        <v>1714963.294964127</v>
      </c>
      <c r="G78">
        <f>bali_nt!AA68</f>
        <v>68.35116752236587</v>
      </c>
      <c r="H78">
        <f>bali_nt!AB68</f>
        <v>0</v>
      </c>
      <c r="I78">
        <f>bali_nt!AC68</f>
        <v>0</v>
      </c>
      <c r="J78">
        <f>bali_nt!AD68</f>
        <v>0</v>
      </c>
      <c r="K78">
        <f>bali_nt!AE68</f>
        <v>0</v>
      </c>
      <c r="L78">
        <f>bali_nt!AF68</f>
        <v>1891050.7530662152</v>
      </c>
      <c r="M78">
        <f>bali_nt!AG68</f>
        <v>0</v>
      </c>
      <c r="N78">
        <f>bali_nt!AH68</f>
        <v>0</v>
      </c>
      <c r="O78">
        <f>bali_nt!AI68</f>
        <v>0</v>
      </c>
      <c r="P78">
        <f>bali_nt!AJ68</f>
        <v>10453756.018652728</v>
      </c>
    </row>
    <row r="79" spans="1:16" x14ac:dyDescent="0.25">
      <c r="A79" t="str">
        <f>bali_nt!U69</f>
        <v>BALI_NT</v>
      </c>
      <c r="B79">
        <f>bali_nt!V69</f>
        <v>2036</v>
      </c>
      <c r="C79">
        <f>bali_nt!W69</f>
        <v>4892858.704560536</v>
      </c>
      <c r="D79">
        <f>bali_nt!X69</f>
        <v>1773763.559798182</v>
      </c>
      <c r="E79">
        <f>bali_nt!Y69</f>
        <v>881431.47794244718</v>
      </c>
      <c r="F79">
        <f>bali_nt!Z69</f>
        <v>1714963.2920243142</v>
      </c>
      <c r="G79">
        <f>bali_nt!AA69</f>
        <v>89.882187846725515</v>
      </c>
      <c r="H79">
        <f>bali_nt!AB69</f>
        <v>0</v>
      </c>
      <c r="I79">
        <f>bali_nt!AC69</f>
        <v>0</v>
      </c>
      <c r="J79">
        <f>bali_nt!AD69</f>
        <v>0</v>
      </c>
      <c r="K79">
        <f>bali_nt!AE69</f>
        <v>0</v>
      </c>
      <c r="L79">
        <f>bali_nt!AF69</f>
        <v>1891050.7530662152</v>
      </c>
      <c r="M79">
        <f>bali_nt!AG69</f>
        <v>0</v>
      </c>
      <c r="N79">
        <f>bali_nt!AH69</f>
        <v>0</v>
      </c>
      <c r="O79">
        <f>bali_nt!AI69</f>
        <v>0</v>
      </c>
      <c r="P79">
        <f>bali_nt!AJ69</f>
        <v>11154157.669579541</v>
      </c>
    </row>
    <row r="80" spans="1:16" x14ac:dyDescent="0.25">
      <c r="A80" t="str">
        <f>bali_nt!U70</f>
        <v>BALI_NT</v>
      </c>
      <c r="B80">
        <f>bali_nt!V70</f>
        <v>2037</v>
      </c>
      <c r="C80">
        <f>bali_nt!W70</f>
        <v>5388325.2011732338</v>
      </c>
      <c r="D80">
        <f>bali_nt!X70</f>
        <v>1773763.559798182</v>
      </c>
      <c r="E80">
        <f>bali_nt!Y70</f>
        <v>1133270.4747256599</v>
      </c>
      <c r="F80">
        <f>bali_nt!Z70</f>
        <v>1714963.2890845011</v>
      </c>
      <c r="G80">
        <f>bali_nt!AA70</f>
        <v>112.95559357565277</v>
      </c>
      <c r="H80">
        <f>bali_nt!AB70</f>
        <v>0</v>
      </c>
      <c r="I80">
        <f>bali_nt!AC70</f>
        <v>0</v>
      </c>
      <c r="J80">
        <f>bali_nt!AD70</f>
        <v>0</v>
      </c>
      <c r="K80">
        <f>bali_nt!AE70</f>
        <v>0</v>
      </c>
      <c r="L80">
        <f>bali_nt!AF70</f>
        <v>1891050.7530662152</v>
      </c>
      <c r="M80">
        <f>bali_nt!AG70</f>
        <v>0</v>
      </c>
      <c r="N80">
        <f>bali_nt!AH70</f>
        <v>0</v>
      </c>
      <c r="O80">
        <f>bali_nt!AI70</f>
        <v>0</v>
      </c>
      <c r="P80">
        <f>bali_nt!AJ70</f>
        <v>11901486.233441368</v>
      </c>
    </row>
    <row r="81" spans="1:16" x14ac:dyDescent="0.25">
      <c r="A81" t="str">
        <f>bali_nt!U71</f>
        <v>BALI_NT</v>
      </c>
      <c r="B81">
        <f>bali_nt!V71</f>
        <v>2038</v>
      </c>
      <c r="C81">
        <f>bali_nt!W71</f>
        <v>5911588.0456868624</v>
      </c>
      <c r="D81">
        <f>bali_nt!X71</f>
        <v>1773763.5579244252</v>
      </c>
      <c r="E81">
        <f>bali_nt!Y71</f>
        <v>1407370.1056230566</v>
      </c>
      <c r="F81">
        <f>bali_nt!Z71</f>
        <v>1714963.286144688</v>
      </c>
      <c r="G81">
        <f>bali_nt!AA71</f>
        <v>150.06504721341096</v>
      </c>
      <c r="H81">
        <f>bali_nt!AB71</f>
        <v>0</v>
      </c>
      <c r="I81">
        <f>bali_nt!AC71</f>
        <v>0</v>
      </c>
      <c r="J81">
        <f>bali_nt!AD71</f>
        <v>0</v>
      </c>
      <c r="K81">
        <f>bali_nt!AE71</f>
        <v>0</v>
      </c>
      <c r="L81">
        <f>bali_nt!AF71</f>
        <v>1891050.7530662152</v>
      </c>
      <c r="M81">
        <f>bali_nt!AG71</f>
        <v>0</v>
      </c>
      <c r="N81">
        <f>bali_nt!AH71</f>
        <v>0</v>
      </c>
      <c r="O81">
        <f>bali_nt!AI71</f>
        <v>0</v>
      </c>
      <c r="P81">
        <f>bali_nt!AJ71</f>
        <v>12698885.813492462</v>
      </c>
    </row>
    <row r="82" spans="1:16" x14ac:dyDescent="0.25">
      <c r="A82" t="str">
        <f>kalimantan!U52</f>
        <v>KALIMANTAN</v>
      </c>
      <c r="B82">
        <f>kalimantan!V52</f>
        <v>2019</v>
      </c>
      <c r="C82">
        <f>kalimantan!W52</f>
        <v>11032350.801264001</v>
      </c>
      <c r="D82">
        <f>kalimantan!X52</f>
        <v>1002516.1400846698</v>
      </c>
      <c r="E82">
        <f>kalimantan!Y52</f>
        <v>63637.632468395605</v>
      </c>
      <c r="F82">
        <f>kalimantan!Z52</f>
        <v>5070207.1499823155</v>
      </c>
      <c r="G82">
        <f>kalimantan!AA52</f>
        <v>0</v>
      </c>
      <c r="H82">
        <f>kalimantan!AB52</f>
        <v>0</v>
      </c>
      <c r="I82">
        <f>kalimantan!AC52</f>
        <v>0</v>
      </c>
      <c r="J82">
        <f>kalimantan!AD52</f>
        <v>0</v>
      </c>
      <c r="K82">
        <f>kalimantan!AE52</f>
        <v>0</v>
      </c>
      <c r="L82">
        <f>kalimantan!AF52</f>
        <v>318562.06789750868</v>
      </c>
      <c r="M82">
        <f>kalimantan!AG52</f>
        <v>0</v>
      </c>
      <c r="N82">
        <f>kalimantan!AH52</f>
        <v>0</v>
      </c>
      <c r="O82">
        <f>kalimantan!AI52</f>
        <v>0</v>
      </c>
      <c r="P82">
        <f>kalimantan!AJ52</f>
        <v>17487273.791696891</v>
      </c>
    </row>
    <row r="83" spans="1:16" x14ac:dyDescent="0.25">
      <c r="A83" t="str">
        <f>kalimantan!U53</f>
        <v>KALIMANTAN</v>
      </c>
      <c r="B83">
        <f>kalimantan!V53</f>
        <v>2020</v>
      </c>
      <c r="C83">
        <f>kalimantan!W53</f>
        <v>11986255.699341323</v>
      </c>
      <c r="D83">
        <f>kalimantan!X53</f>
        <v>1002516.1382109129</v>
      </c>
      <c r="E83">
        <f>kalimantan!Y53</f>
        <v>281380.07632557943</v>
      </c>
      <c r="F83">
        <f>kalimantan!Z53</f>
        <v>5070207.1499823155</v>
      </c>
      <c r="G83">
        <f>kalimantan!AA53</f>
        <v>0</v>
      </c>
      <c r="H83">
        <f>kalimantan!AB53</f>
        <v>0</v>
      </c>
      <c r="I83">
        <f>kalimantan!AC53</f>
        <v>0</v>
      </c>
      <c r="J83">
        <f>kalimantan!AD53</f>
        <v>0</v>
      </c>
      <c r="K83">
        <f>kalimantan!AE53</f>
        <v>0</v>
      </c>
      <c r="L83">
        <f>kalimantan!AF53</f>
        <v>318562.06789750868</v>
      </c>
      <c r="M83">
        <f>kalimantan!AG53</f>
        <v>0</v>
      </c>
      <c r="N83">
        <f>kalimantan!AH53</f>
        <v>0</v>
      </c>
      <c r="O83">
        <f>kalimantan!AI53</f>
        <v>0</v>
      </c>
      <c r="P83">
        <f>kalimantan!AJ53</f>
        <v>18658921.131757639</v>
      </c>
    </row>
    <row r="84" spans="1:16" x14ac:dyDescent="0.25">
      <c r="A84" t="str">
        <f>kalimantan!U54</f>
        <v>KALIMANTAN</v>
      </c>
      <c r="B84">
        <f>kalimantan!V54</f>
        <v>2021</v>
      </c>
      <c r="C84">
        <f>kalimantan!W54</f>
        <v>12531832.353041559</v>
      </c>
      <c r="D84">
        <f>kalimantan!X54</f>
        <v>1002516.1363371562</v>
      </c>
      <c r="E84">
        <f>kalimantan!Y54</f>
        <v>985951.13870994363</v>
      </c>
      <c r="F84">
        <f>kalimantan!Z54</f>
        <v>5070207.1499823155</v>
      </c>
      <c r="G84">
        <f>kalimantan!AA54</f>
        <v>0</v>
      </c>
      <c r="H84">
        <f>kalimantan!AB54</f>
        <v>0</v>
      </c>
      <c r="I84">
        <f>kalimantan!AC54</f>
        <v>0</v>
      </c>
      <c r="J84">
        <f>kalimantan!AD54</f>
        <v>0</v>
      </c>
      <c r="K84">
        <f>kalimantan!AE54</f>
        <v>0</v>
      </c>
      <c r="L84">
        <f>kalimantan!AF54</f>
        <v>318562.06789750868</v>
      </c>
      <c r="M84">
        <f>kalimantan!AG54</f>
        <v>0</v>
      </c>
      <c r="N84">
        <f>kalimantan!AH54</f>
        <v>0</v>
      </c>
      <c r="O84">
        <f>kalimantan!AI54</f>
        <v>0</v>
      </c>
      <c r="P84">
        <f>kalimantan!AJ54</f>
        <v>19909068.845968485</v>
      </c>
    </row>
    <row r="85" spans="1:16" x14ac:dyDescent="0.25">
      <c r="A85" t="str">
        <f>kalimantan!U55</f>
        <v>KALIMANTAN</v>
      </c>
      <c r="B85">
        <f>kalimantan!V55</f>
        <v>2022</v>
      </c>
      <c r="C85">
        <f>kalimantan!W55</f>
        <v>13042184.558478281</v>
      </c>
      <c r="D85">
        <f>kalimantan!X55</f>
        <v>1002516.1344633992</v>
      </c>
      <c r="E85">
        <f>kalimantan!Y55</f>
        <v>1809506.5698510874</v>
      </c>
      <c r="F85">
        <f>kalimantan!Z55</f>
        <v>5070207.1499823155</v>
      </c>
      <c r="G85">
        <f>kalimantan!AA55</f>
        <v>0</v>
      </c>
      <c r="H85">
        <f>kalimantan!AB55</f>
        <v>0</v>
      </c>
      <c r="I85">
        <f>kalimantan!AC55</f>
        <v>0</v>
      </c>
      <c r="J85">
        <f>kalimantan!AD55</f>
        <v>0</v>
      </c>
      <c r="K85">
        <f>kalimantan!AE55</f>
        <v>0</v>
      </c>
      <c r="L85">
        <f>kalimantan!AF55</f>
        <v>318562.06789750868</v>
      </c>
      <c r="M85">
        <f>kalimantan!AG55</f>
        <v>0</v>
      </c>
      <c r="N85">
        <f>kalimantan!AH55</f>
        <v>0</v>
      </c>
      <c r="O85">
        <f>kalimantan!AI55</f>
        <v>0</v>
      </c>
      <c r="P85">
        <f>kalimantan!AJ55</f>
        <v>21242976.480672594</v>
      </c>
    </row>
    <row r="86" spans="1:16" x14ac:dyDescent="0.25">
      <c r="A86" t="str">
        <f>kalimantan!U56</f>
        <v>KALIMANTAN</v>
      </c>
      <c r="B86">
        <f>kalimantan!V56</f>
        <v>2023</v>
      </c>
      <c r="C86">
        <f>kalimantan!W56</f>
        <v>13042184.558478281</v>
      </c>
      <c r="D86">
        <f>kalimantan!X56</f>
        <v>1444477.2161584683</v>
      </c>
      <c r="E86">
        <f>kalimantan!Y56</f>
        <v>2184077.5059162495</v>
      </c>
      <c r="F86">
        <f>kalimantan!Z56</f>
        <v>5070207.1499823183</v>
      </c>
      <c r="G86">
        <f>kalimantan!AA56</f>
        <v>37.143216783179639</v>
      </c>
      <c r="H86">
        <f>kalimantan!AB56</f>
        <v>0</v>
      </c>
      <c r="I86">
        <f>kalimantan!AC56</f>
        <v>0</v>
      </c>
      <c r="J86">
        <f>kalimantan!AD56</f>
        <v>0</v>
      </c>
      <c r="K86">
        <f>kalimantan!AE56</f>
        <v>0</v>
      </c>
      <c r="L86">
        <f>kalimantan!AF56</f>
        <v>521552.87373312761</v>
      </c>
      <c r="M86">
        <f>kalimantan!AG56</f>
        <v>0</v>
      </c>
      <c r="N86">
        <f>kalimantan!AH56</f>
        <v>0</v>
      </c>
      <c r="O86">
        <f>kalimantan!AI56</f>
        <v>0</v>
      </c>
      <c r="P86">
        <f>kalimantan!AJ56</f>
        <v>22262536.447485227</v>
      </c>
    </row>
    <row r="87" spans="1:16" x14ac:dyDescent="0.25">
      <c r="A87" t="str">
        <f>kalimantan!U57</f>
        <v>KALIMANTAN</v>
      </c>
      <c r="B87">
        <f>kalimantan!V57</f>
        <v>2024</v>
      </c>
      <c r="C87">
        <f>kalimantan!W57</f>
        <v>13042184.558478281</v>
      </c>
      <c r="D87">
        <f>kalimantan!X57</f>
        <v>1542263.6019063327</v>
      </c>
      <c r="E87">
        <f>kalimantan!Y57</f>
        <v>2319645.254306647</v>
      </c>
      <c r="F87">
        <f>kalimantan!Z57</f>
        <v>5070207.1499823183</v>
      </c>
      <c r="G87">
        <f>kalimantan!AA57</f>
        <v>54.009257755495078</v>
      </c>
      <c r="H87">
        <f>kalimantan!AB57</f>
        <v>0</v>
      </c>
      <c r="I87">
        <f>kalimantan!AC57</f>
        <v>0</v>
      </c>
      <c r="J87">
        <f>kalimantan!AD57</f>
        <v>0</v>
      </c>
      <c r="K87">
        <f>kalimantan!AE57</f>
        <v>0</v>
      </c>
      <c r="L87">
        <f>kalimantan!AF57</f>
        <v>591489.64867052389</v>
      </c>
      <c r="M87">
        <f>kalimantan!AG57</f>
        <v>0</v>
      </c>
      <c r="N87">
        <f>kalimantan!AH57</f>
        <v>0</v>
      </c>
      <c r="O87">
        <f>kalimantan!AI57</f>
        <v>0</v>
      </c>
      <c r="P87">
        <f>kalimantan!AJ57</f>
        <v>22565844.222601861</v>
      </c>
    </row>
    <row r="88" spans="1:16" x14ac:dyDescent="0.25">
      <c r="A88" t="str">
        <f>kalimantan!U58</f>
        <v>KALIMANTAN</v>
      </c>
      <c r="B88">
        <f>kalimantan!V58</f>
        <v>2025</v>
      </c>
      <c r="C88">
        <f>kalimantan!W58</f>
        <v>13042184.558478281</v>
      </c>
      <c r="D88">
        <f>kalimantan!X58</f>
        <v>1759830.0822984155</v>
      </c>
      <c r="E88">
        <f>kalimantan!Y58</f>
        <v>2398675.1128412136</v>
      </c>
      <c r="F88">
        <f>kalimantan!Z58</f>
        <v>5070207.1499823183</v>
      </c>
      <c r="G88">
        <f>kalimantan!AA58</f>
        <v>64.147818651347833</v>
      </c>
      <c r="H88">
        <f>kalimantan!AB58</f>
        <v>0</v>
      </c>
      <c r="I88">
        <f>kalimantan!AC58</f>
        <v>0</v>
      </c>
      <c r="J88">
        <f>kalimantan!AD58</f>
        <v>0</v>
      </c>
      <c r="K88">
        <f>kalimantan!AE58</f>
        <v>0</v>
      </c>
      <c r="L88">
        <f>kalimantan!AF58</f>
        <v>762832.63774787297</v>
      </c>
      <c r="M88">
        <f>kalimantan!AG58</f>
        <v>0</v>
      </c>
      <c r="N88">
        <f>kalimantan!AH58</f>
        <v>0</v>
      </c>
      <c r="O88">
        <f>kalimantan!AI58</f>
        <v>0</v>
      </c>
      <c r="P88">
        <f>kalimantan!AJ58</f>
        <v>23033793.689166751</v>
      </c>
    </row>
    <row r="89" spans="1:16" x14ac:dyDescent="0.25">
      <c r="A89" t="str">
        <f>kalimantan!U59</f>
        <v>KALIMANTAN</v>
      </c>
      <c r="B89">
        <f>kalimantan!V59</f>
        <v>2026</v>
      </c>
      <c r="C89">
        <f>kalimantan!W59</f>
        <v>13042184.558478281</v>
      </c>
      <c r="D89">
        <f>kalimantan!X59</f>
        <v>1868898.6396014146</v>
      </c>
      <c r="E89">
        <f>kalimantan!Y59</f>
        <v>2455670.3409136455</v>
      </c>
      <c r="F89">
        <f>kalimantan!Z59</f>
        <v>5070207.1499823183</v>
      </c>
      <c r="G89">
        <f>kalimantan!AA59</f>
        <v>69.21709402999376</v>
      </c>
      <c r="H89">
        <f>kalimantan!AB59</f>
        <v>0</v>
      </c>
      <c r="I89">
        <f>kalimantan!AC59</f>
        <v>0</v>
      </c>
      <c r="J89">
        <f>kalimantan!AD59</f>
        <v>0</v>
      </c>
      <c r="K89">
        <f>kalimantan!AE59</f>
        <v>0</v>
      </c>
      <c r="L89">
        <f>kalimantan!AF59</f>
        <v>773140.95931443397</v>
      </c>
      <c r="M89">
        <f>kalimantan!AG59</f>
        <v>0</v>
      </c>
      <c r="N89">
        <f>kalimantan!AH59</f>
        <v>0</v>
      </c>
      <c r="O89">
        <f>kalimantan!AI59</f>
        <v>0</v>
      </c>
      <c r="P89">
        <f>kalimantan!AJ59</f>
        <v>23210170.865384124</v>
      </c>
    </row>
    <row r="90" spans="1:16" x14ac:dyDescent="0.25">
      <c r="A90" t="str">
        <f>kalimantan!U60</f>
        <v>KALIMANTAN</v>
      </c>
      <c r="B90">
        <f>kalimantan!V60</f>
        <v>2027</v>
      </c>
      <c r="C90">
        <f>kalimantan!W60</f>
        <v>13042184.558478281</v>
      </c>
      <c r="D90">
        <f>kalimantan!X60</f>
        <v>1868898.6396014146</v>
      </c>
      <c r="E90">
        <f>kalimantan!Y60</f>
        <v>3830935.7409103182</v>
      </c>
      <c r="F90">
        <f>kalimantan!Z60</f>
        <v>5250023.1954639964</v>
      </c>
      <c r="G90">
        <f>kalimantan!AA60</f>
        <v>69.21709402999376</v>
      </c>
      <c r="H90">
        <f>kalimantan!AB60</f>
        <v>0</v>
      </c>
      <c r="I90">
        <f>kalimantan!AC60</f>
        <v>0</v>
      </c>
      <c r="J90">
        <f>kalimantan!AD60</f>
        <v>0</v>
      </c>
      <c r="K90">
        <f>kalimantan!AE60</f>
        <v>0</v>
      </c>
      <c r="L90">
        <f>kalimantan!AF60</f>
        <v>773140.95931443397</v>
      </c>
      <c r="M90">
        <f>kalimantan!AG60</f>
        <v>0</v>
      </c>
      <c r="N90">
        <f>kalimantan!AH60</f>
        <v>0</v>
      </c>
      <c r="O90">
        <f>kalimantan!AI60</f>
        <v>0</v>
      </c>
      <c r="P90">
        <f>kalimantan!AJ60</f>
        <v>24765252.310862478</v>
      </c>
    </row>
    <row r="91" spans="1:16" x14ac:dyDescent="0.25">
      <c r="A91" t="str">
        <f>kalimantan!U61</f>
        <v>KALIMANTAN</v>
      </c>
      <c r="B91">
        <f>kalimantan!V61</f>
        <v>2028</v>
      </c>
      <c r="C91">
        <f>kalimantan!W61</f>
        <v>13271762.000365281</v>
      </c>
      <c r="D91">
        <f>kalimantan!X61</f>
        <v>1868898.6396014146</v>
      </c>
      <c r="E91">
        <f>kalimantan!Y61</f>
        <v>3830935.7409103182</v>
      </c>
      <c r="F91">
        <f>kalimantan!Z61</f>
        <v>5706182.6019880408</v>
      </c>
      <c r="G91">
        <f>kalimantan!AA61</f>
        <v>69.21709402999376</v>
      </c>
      <c r="H91">
        <f>kalimantan!AB61</f>
        <v>0</v>
      </c>
      <c r="I91">
        <f>kalimantan!AC61</f>
        <v>0</v>
      </c>
      <c r="J91">
        <f>kalimantan!AD61</f>
        <v>0</v>
      </c>
      <c r="K91">
        <f>kalimantan!AE61</f>
        <v>0</v>
      </c>
      <c r="L91">
        <f>kalimantan!AF61</f>
        <v>773140.95931443397</v>
      </c>
      <c r="M91">
        <f>kalimantan!AG61</f>
        <v>0</v>
      </c>
      <c r="N91">
        <f>kalimantan!AH61</f>
        <v>0</v>
      </c>
      <c r="O91">
        <f>kalimantan!AI61</f>
        <v>0</v>
      </c>
      <c r="P91">
        <f>kalimantan!AJ61</f>
        <v>25450989.15927352</v>
      </c>
    </row>
    <row r="92" spans="1:16" x14ac:dyDescent="0.25">
      <c r="A92" t="str">
        <f>kalimantan!U62</f>
        <v>KALIMANTAN</v>
      </c>
      <c r="B92">
        <f>kalimantan!V62</f>
        <v>2029</v>
      </c>
      <c r="C92">
        <f>kalimantan!W62</f>
        <v>13271762.000365281</v>
      </c>
      <c r="D92">
        <f>kalimantan!X62</f>
        <v>1868898.6396014146</v>
      </c>
      <c r="E92">
        <f>kalimantan!Y62</f>
        <v>3830935.7409103182</v>
      </c>
      <c r="F92">
        <f>kalimantan!Z62</f>
        <v>5706182.6019880408</v>
      </c>
      <c r="G92">
        <f>kalimantan!AA62</f>
        <v>69.217093621826947</v>
      </c>
      <c r="H92">
        <f>kalimantan!AB62</f>
        <v>0</v>
      </c>
      <c r="I92">
        <f>kalimantan!AC62</f>
        <v>0</v>
      </c>
      <c r="J92">
        <f>kalimantan!AD62</f>
        <v>0</v>
      </c>
      <c r="K92">
        <f>kalimantan!AE62</f>
        <v>0</v>
      </c>
      <c r="L92">
        <f>kalimantan!AF62</f>
        <v>926638.36729590292</v>
      </c>
      <c r="M92">
        <f>kalimantan!AG62</f>
        <v>0</v>
      </c>
      <c r="N92">
        <f>kalimantan!AH62</f>
        <v>0</v>
      </c>
      <c r="O92">
        <f>kalimantan!AI62</f>
        <v>0</v>
      </c>
      <c r="P92">
        <f>kalimantan!AJ62</f>
        <v>25604486.567254577</v>
      </c>
    </row>
    <row r="93" spans="1:16" x14ac:dyDescent="0.25">
      <c r="A93" t="str">
        <f>kalimantan!U63</f>
        <v>KALIMANTAN</v>
      </c>
      <c r="B93">
        <f>kalimantan!V63</f>
        <v>2030</v>
      </c>
      <c r="C93">
        <f>kalimantan!W63</f>
        <v>13271762.000365281</v>
      </c>
      <c r="D93">
        <f>kalimantan!X63</f>
        <v>1868898.6396014146</v>
      </c>
      <c r="E93">
        <f>kalimantan!Y63</f>
        <v>3830935.7409103182</v>
      </c>
      <c r="F93">
        <f>kalimantan!Z63</f>
        <v>5706182.6019880408</v>
      </c>
      <c r="G93">
        <f>kalimantan!AA63</f>
        <v>71.751728985546308</v>
      </c>
      <c r="H93">
        <f>kalimantan!AB63</f>
        <v>0</v>
      </c>
      <c r="I93">
        <f>kalimantan!AC63</f>
        <v>0</v>
      </c>
      <c r="J93">
        <f>kalimantan!AD63</f>
        <v>0</v>
      </c>
      <c r="K93">
        <f>kalimantan!AE63</f>
        <v>0</v>
      </c>
      <c r="L93">
        <f>kalimantan!AF63</f>
        <v>926638.36729590292</v>
      </c>
      <c r="M93">
        <f>kalimantan!AG63</f>
        <v>0</v>
      </c>
      <c r="N93">
        <f>kalimantan!AH63</f>
        <v>0</v>
      </c>
      <c r="O93">
        <f>kalimantan!AI63</f>
        <v>0</v>
      </c>
      <c r="P93">
        <f>kalimantan!AJ63</f>
        <v>25604489.101889942</v>
      </c>
    </row>
    <row r="94" spans="1:16" x14ac:dyDescent="0.25">
      <c r="A94" t="str">
        <f>kalimantan!U64</f>
        <v>KALIMANTAN</v>
      </c>
      <c r="B94">
        <f>kalimantan!V64</f>
        <v>2031</v>
      </c>
      <c r="C94">
        <f>kalimantan!W64</f>
        <v>13271762.000365281</v>
      </c>
      <c r="D94">
        <f>kalimantan!X64</f>
        <v>1868898.6396014146</v>
      </c>
      <c r="E94">
        <f>kalimantan!Y64</f>
        <v>3830935.7409103182</v>
      </c>
      <c r="F94">
        <f>kalimantan!Z64</f>
        <v>5751347.7566923276</v>
      </c>
      <c r="G94">
        <f>kalimantan!AA64</f>
        <v>71.751728985546308</v>
      </c>
      <c r="H94">
        <f>kalimantan!AB64</f>
        <v>0</v>
      </c>
      <c r="I94">
        <f>kalimantan!AC64</f>
        <v>0</v>
      </c>
      <c r="J94">
        <f>kalimantan!AD64</f>
        <v>0</v>
      </c>
      <c r="K94">
        <f>kalimantan!AE64</f>
        <v>0</v>
      </c>
      <c r="L94">
        <f>kalimantan!AF64</f>
        <v>926638.36729590292</v>
      </c>
      <c r="M94">
        <f>kalimantan!AG64</f>
        <v>0</v>
      </c>
      <c r="N94">
        <f>kalimantan!AH64</f>
        <v>0</v>
      </c>
      <c r="O94">
        <f>kalimantan!AI64</f>
        <v>0</v>
      </c>
      <c r="P94">
        <f>kalimantan!AJ64</f>
        <v>25649654.256594229</v>
      </c>
    </row>
    <row r="95" spans="1:16" x14ac:dyDescent="0.25">
      <c r="A95" t="str">
        <f>kalimantan!U65</f>
        <v>KALIMANTAN</v>
      </c>
      <c r="B95">
        <f>kalimantan!V65</f>
        <v>2032</v>
      </c>
      <c r="C95">
        <f>kalimantan!W65</f>
        <v>13674809.955919866</v>
      </c>
      <c r="D95">
        <f>kalimantan!X65</f>
        <v>1868898.6396014146</v>
      </c>
      <c r="E95">
        <f>kalimantan!Y65</f>
        <v>3835012.2971752915</v>
      </c>
      <c r="F95">
        <f>kalimantan!Z65</f>
        <v>6344145.4163771607</v>
      </c>
      <c r="G95">
        <f>kalimantan!AA65</f>
        <v>71.751728985546308</v>
      </c>
      <c r="H95">
        <f>kalimantan!AB65</f>
        <v>0</v>
      </c>
      <c r="I95">
        <f>kalimantan!AC65</f>
        <v>0</v>
      </c>
      <c r="J95">
        <f>kalimantan!AD65</f>
        <v>0</v>
      </c>
      <c r="K95">
        <f>kalimantan!AE65</f>
        <v>0</v>
      </c>
      <c r="L95">
        <f>kalimantan!AF65</f>
        <v>926638.36729590292</v>
      </c>
      <c r="M95">
        <f>kalimantan!AG65</f>
        <v>0</v>
      </c>
      <c r="N95">
        <f>kalimantan!AH65</f>
        <v>0</v>
      </c>
      <c r="O95">
        <f>kalimantan!AI65</f>
        <v>0</v>
      </c>
      <c r="P95">
        <f>kalimantan!AJ65</f>
        <v>26649576.428098619</v>
      </c>
    </row>
    <row r="96" spans="1:16" x14ac:dyDescent="0.25">
      <c r="A96" t="str">
        <f>kalimantan!U66</f>
        <v>KALIMANTAN</v>
      </c>
      <c r="B96">
        <f>kalimantan!V66</f>
        <v>2033</v>
      </c>
      <c r="C96">
        <f>kalimantan!W66</f>
        <v>14150297.968325479</v>
      </c>
      <c r="D96">
        <f>kalimantan!X66</f>
        <v>1868898.6396014146</v>
      </c>
      <c r="E96">
        <f>kalimantan!Y66</f>
        <v>4138975.5851175962</v>
      </c>
      <c r="F96">
        <f>kalimantan!Z66</f>
        <v>6427858.4303727765</v>
      </c>
      <c r="G96">
        <f>kalimantan!AA66</f>
        <v>71.751728985546308</v>
      </c>
      <c r="H96">
        <f>kalimantan!AB66</f>
        <v>0</v>
      </c>
      <c r="I96">
        <f>kalimantan!AC66</f>
        <v>0</v>
      </c>
      <c r="J96">
        <f>kalimantan!AD66</f>
        <v>0</v>
      </c>
      <c r="K96">
        <f>kalimantan!AE66</f>
        <v>0</v>
      </c>
      <c r="L96">
        <f>kalimantan!AF66</f>
        <v>926638.36729590292</v>
      </c>
      <c r="M96">
        <f>kalimantan!AG66</f>
        <v>0</v>
      </c>
      <c r="N96">
        <f>kalimantan!AH66</f>
        <v>0</v>
      </c>
      <c r="O96">
        <f>kalimantan!AI66</f>
        <v>0</v>
      </c>
      <c r="P96">
        <f>kalimantan!AJ66</f>
        <v>27512740.742442153</v>
      </c>
    </row>
    <row r="97" spans="1:16" x14ac:dyDescent="0.25">
      <c r="A97" t="str">
        <f>kalimantan!U67</f>
        <v>KALIMANTAN</v>
      </c>
      <c r="B97">
        <f>kalimantan!V67</f>
        <v>2034</v>
      </c>
      <c r="C97">
        <f>kalimantan!W67</f>
        <v>15387510.756960031</v>
      </c>
      <c r="D97">
        <f>kalimantan!X67</f>
        <v>1868898.6377276573</v>
      </c>
      <c r="E97">
        <f>kalimantan!Y67</f>
        <v>4745116.4281004276</v>
      </c>
      <c r="F97">
        <f>kalimantan!Z67</f>
        <v>6427858.4303727765</v>
      </c>
      <c r="G97">
        <f>kalimantan!AA67</f>
        <v>71.751728985546308</v>
      </c>
      <c r="H97">
        <f>kalimantan!AB67</f>
        <v>0</v>
      </c>
      <c r="I97">
        <f>kalimantan!AC67</f>
        <v>0</v>
      </c>
      <c r="J97">
        <f>kalimantan!AD67</f>
        <v>0</v>
      </c>
      <c r="K97">
        <f>kalimantan!AE67</f>
        <v>0</v>
      </c>
      <c r="L97">
        <f>kalimantan!AF67</f>
        <v>926638.36729590292</v>
      </c>
      <c r="M97">
        <f>kalimantan!AG67</f>
        <v>0</v>
      </c>
      <c r="N97">
        <f>kalimantan!AH67</f>
        <v>0</v>
      </c>
      <c r="O97">
        <f>kalimantan!AI67</f>
        <v>0</v>
      </c>
      <c r="P97">
        <f>kalimantan!AJ67</f>
        <v>29356094.372185782</v>
      </c>
    </row>
    <row r="98" spans="1:16" x14ac:dyDescent="0.25">
      <c r="A98" t="str">
        <f>kalimantan!U68</f>
        <v>KALIMANTAN</v>
      </c>
      <c r="B98">
        <f>kalimantan!V68</f>
        <v>2035</v>
      </c>
      <c r="C98">
        <f>kalimantan!W68</f>
        <v>16273218.730782965</v>
      </c>
      <c r="D98">
        <f>kalimantan!X68</f>
        <v>1868898.6377276573</v>
      </c>
      <c r="E98">
        <f>kalimantan!Y68</f>
        <v>5342318.7779833907</v>
      </c>
      <c r="F98">
        <f>kalimantan!Z68</f>
        <v>6911806.4621775979</v>
      </c>
      <c r="G98">
        <f>kalimantan!AA68</f>
        <v>71.751728985546308</v>
      </c>
      <c r="H98">
        <f>kalimantan!AB68</f>
        <v>0</v>
      </c>
      <c r="I98">
        <f>kalimantan!AC68</f>
        <v>0</v>
      </c>
      <c r="J98">
        <f>kalimantan!AD68</f>
        <v>0</v>
      </c>
      <c r="K98">
        <f>kalimantan!AE68</f>
        <v>0</v>
      </c>
      <c r="L98">
        <f>kalimantan!AF68</f>
        <v>926638.36729590292</v>
      </c>
      <c r="M98">
        <f>kalimantan!AG68</f>
        <v>0</v>
      </c>
      <c r="N98">
        <f>kalimantan!AH68</f>
        <v>0</v>
      </c>
      <c r="O98">
        <f>kalimantan!AI68</f>
        <v>0</v>
      </c>
      <c r="P98">
        <f>kalimantan!AJ68</f>
        <v>31322952.727696497</v>
      </c>
    </row>
    <row r="99" spans="1:16" x14ac:dyDescent="0.25">
      <c r="A99" t="str">
        <f>kalimantan!U69</f>
        <v>KALIMANTAN</v>
      </c>
      <c r="B99">
        <f>kalimantan!V69</f>
        <v>2036</v>
      </c>
      <c r="C99">
        <f>kalimantan!W69</f>
        <v>16639380.386545639</v>
      </c>
      <c r="D99">
        <f>kalimantan!X69</f>
        <v>1868898.6377276573</v>
      </c>
      <c r="E99">
        <f>kalimantan!Y69</f>
        <v>5543041.0631144</v>
      </c>
      <c r="F99">
        <f>kalimantan!Z69</f>
        <v>7061767.0612254348</v>
      </c>
      <c r="G99">
        <f>kalimantan!AA69</f>
        <v>71.751728985546308</v>
      </c>
      <c r="H99">
        <f>kalimantan!AB69</f>
        <v>0</v>
      </c>
      <c r="I99">
        <f>kalimantan!AC69</f>
        <v>0</v>
      </c>
      <c r="J99">
        <f>kalimantan!AD69</f>
        <v>0</v>
      </c>
      <c r="K99">
        <f>kalimantan!AE69</f>
        <v>0</v>
      </c>
      <c r="L99">
        <f>kalimantan!AF69</f>
        <v>926638.36729590292</v>
      </c>
      <c r="M99">
        <f>kalimantan!AG69</f>
        <v>0</v>
      </c>
      <c r="N99">
        <f>kalimantan!AH69</f>
        <v>0</v>
      </c>
      <c r="O99">
        <f>kalimantan!AI69</f>
        <v>0</v>
      </c>
      <c r="P99">
        <f>kalimantan!AJ69</f>
        <v>32039797.26763802</v>
      </c>
    </row>
    <row r="100" spans="1:16" x14ac:dyDescent="0.25">
      <c r="A100" t="str">
        <f>kalimantan!U70</f>
        <v>KALIMANTAN</v>
      </c>
      <c r="B100">
        <f>kalimantan!V70</f>
        <v>2037</v>
      </c>
      <c r="C100">
        <f>kalimantan!W70</f>
        <v>16998335.595220163</v>
      </c>
      <c r="D100">
        <f>kalimantan!X70</f>
        <v>2256262.0932351314</v>
      </c>
      <c r="E100">
        <f>kalimantan!Y70</f>
        <v>5602707.8367095198</v>
      </c>
      <c r="F100">
        <f>kalimantan!Z70</f>
        <v>7061767.0612254348</v>
      </c>
      <c r="G100">
        <f>kalimantan!AA70</f>
        <v>72.005193256305489</v>
      </c>
      <c r="H100">
        <f>kalimantan!AB70</f>
        <v>0</v>
      </c>
      <c r="I100">
        <f>kalimantan!AC70</f>
        <v>0</v>
      </c>
      <c r="J100">
        <f>kalimantan!AD70</f>
        <v>0</v>
      </c>
      <c r="K100">
        <f>kalimantan!AE70</f>
        <v>0</v>
      </c>
      <c r="L100">
        <f>kalimantan!AF70</f>
        <v>1011297.9250073356</v>
      </c>
      <c r="M100">
        <f>kalimantan!AG70</f>
        <v>0</v>
      </c>
      <c r="N100">
        <f>kalimantan!AH70</f>
        <v>0</v>
      </c>
      <c r="O100">
        <f>kalimantan!AI70</f>
        <v>0</v>
      </c>
      <c r="P100">
        <f>kalimantan!AJ70</f>
        <v>32930442.516590841</v>
      </c>
    </row>
    <row r="101" spans="1:16" x14ac:dyDescent="0.25">
      <c r="A101" t="str">
        <f>kalimantan!U71</f>
        <v>KALIMANTAN</v>
      </c>
      <c r="B101">
        <f>kalimantan!V71</f>
        <v>2038</v>
      </c>
      <c r="C101">
        <f>kalimantan!W71</f>
        <v>17541658.750868853</v>
      </c>
      <c r="D101">
        <f>kalimantan!X71</f>
        <v>2256262.0932351314</v>
      </c>
      <c r="E101">
        <f>kalimantan!Y71</f>
        <v>6014757.0835030945</v>
      </c>
      <c r="F101">
        <f>kalimantan!Z71</f>
        <v>7082808.8206611536</v>
      </c>
      <c r="G101">
        <f>kalimantan!AA71</f>
        <v>72.005193256305489</v>
      </c>
      <c r="H101">
        <f>kalimantan!AB71</f>
        <v>0</v>
      </c>
      <c r="I101">
        <f>kalimantan!AC71</f>
        <v>0</v>
      </c>
      <c r="J101">
        <f>kalimantan!AD71</f>
        <v>0</v>
      </c>
      <c r="K101">
        <f>kalimantan!AE71</f>
        <v>0</v>
      </c>
      <c r="L101">
        <f>kalimantan!AF71</f>
        <v>1011297.9250073356</v>
      </c>
      <c r="M101">
        <f>kalimantan!AG71</f>
        <v>0</v>
      </c>
      <c r="N101">
        <f>kalimantan!AH71</f>
        <v>0</v>
      </c>
      <c r="O101">
        <f>kalimantan!AI71</f>
        <v>0</v>
      </c>
      <c r="P101">
        <f>kalimantan!AJ71</f>
        <v>33906856.678468823</v>
      </c>
    </row>
    <row r="102" spans="1:16" x14ac:dyDescent="0.25">
      <c r="A102" t="str">
        <f>sulawesi!U52</f>
        <v>SULAWESI</v>
      </c>
      <c r="B102">
        <f>sulawesi!V52</f>
        <v>2019</v>
      </c>
      <c r="C102">
        <f>sulawesi!W52</f>
        <v>12765652.192199172</v>
      </c>
      <c r="D102">
        <f>sulawesi!X52</f>
        <v>540991.08454712038</v>
      </c>
      <c r="E102">
        <f>sulawesi!Y52</f>
        <v>334097.5704590769</v>
      </c>
      <c r="F102">
        <f>sulawesi!Z52</f>
        <v>2633866.5900628269</v>
      </c>
      <c r="G102">
        <f>sulawesi!AA52</f>
        <v>32.653344738461534</v>
      </c>
      <c r="H102">
        <f>sulawesi!AB52</f>
        <v>0</v>
      </c>
      <c r="I102">
        <f>sulawesi!AC52</f>
        <v>0</v>
      </c>
      <c r="J102">
        <f>sulawesi!AD52</f>
        <v>0</v>
      </c>
      <c r="K102">
        <f>sulawesi!AE52</f>
        <v>0</v>
      </c>
      <c r="L102">
        <f>sulawesi!AF52</f>
        <v>1629.4734930818859</v>
      </c>
      <c r="M102">
        <f>sulawesi!AG52</f>
        <v>0</v>
      </c>
      <c r="N102">
        <f>sulawesi!AH52</f>
        <v>0</v>
      </c>
      <c r="O102">
        <f>sulawesi!AI52</f>
        <v>0</v>
      </c>
      <c r="P102">
        <f>sulawesi!AJ52</f>
        <v>16276269.564106019</v>
      </c>
    </row>
    <row r="103" spans="1:16" x14ac:dyDescent="0.25">
      <c r="A103" t="str">
        <f>sulawesi!U53</f>
        <v>SULAWESI</v>
      </c>
      <c r="B103">
        <f>sulawesi!V53</f>
        <v>2020</v>
      </c>
      <c r="C103">
        <f>sulawesi!W53</f>
        <v>12765652.192199172</v>
      </c>
      <c r="D103">
        <f>sulawesi!X53</f>
        <v>551992.64944426063</v>
      </c>
      <c r="E103">
        <f>sulawesi!Y53</f>
        <v>529315.67724180303</v>
      </c>
      <c r="F103">
        <f>sulawesi!Z53</f>
        <v>2633866.5900628269</v>
      </c>
      <c r="G103">
        <f>sulawesi!AA53</f>
        <v>32.653344738461534</v>
      </c>
      <c r="H103">
        <f>sulawesi!AB53</f>
        <v>0</v>
      </c>
      <c r="I103">
        <f>sulawesi!AC53</f>
        <v>0</v>
      </c>
      <c r="J103">
        <f>sulawesi!AD53</f>
        <v>0</v>
      </c>
      <c r="K103">
        <f>sulawesi!AE53</f>
        <v>0</v>
      </c>
      <c r="L103">
        <f>sulawesi!AF53</f>
        <v>1629.4734930818859</v>
      </c>
      <c r="M103">
        <f>sulawesi!AG53</f>
        <v>0</v>
      </c>
      <c r="N103">
        <f>sulawesi!AH53</f>
        <v>0</v>
      </c>
      <c r="O103">
        <f>sulawesi!AI53</f>
        <v>0</v>
      </c>
      <c r="P103">
        <f>sulawesi!AJ53</f>
        <v>16482489.235785885</v>
      </c>
    </row>
    <row r="104" spans="1:16" x14ac:dyDescent="0.25">
      <c r="A104" t="str">
        <f>sulawesi!U54</f>
        <v>SULAWESI</v>
      </c>
      <c r="B104">
        <f>sulawesi!V54</f>
        <v>2021</v>
      </c>
      <c r="C104">
        <f>sulawesi!W54</f>
        <v>12765652.187697088</v>
      </c>
      <c r="D104">
        <f>sulawesi!X54</f>
        <v>551992.64757050388</v>
      </c>
      <c r="E104">
        <f>sulawesi!Y54</f>
        <v>1633642.4624152994</v>
      </c>
      <c r="F104">
        <f>sulawesi!Z54</f>
        <v>2633866.5900628269</v>
      </c>
      <c r="G104">
        <f>sulawesi!AA54</f>
        <v>32.653344738461534</v>
      </c>
      <c r="H104">
        <f>sulawesi!AB54</f>
        <v>0</v>
      </c>
      <c r="I104">
        <f>sulawesi!AC54</f>
        <v>0</v>
      </c>
      <c r="J104">
        <f>sulawesi!AD54</f>
        <v>0</v>
      </c>
      <c r="K104">
        <f>sulawesi!AE54</f>
        <v>0</v>
      </c>
      <c r="L104">
        <f>sulawesi!AF54</f>
        <v>1629.4734930818859</v>
      </c>
      <c r="M104">
        <f>sulawesi!AG54</f>
        <v>0</v>
      </c>
      <c r="N104">
        <f>sulawesi!AH54</f>
        <v>0</v>
      </c>
      <c r="O104">
        <f>sulawesi!AI54</f>
        <v>0</v>
      </c>
      <c r="P104">
        <f>sulawesi!AJ54</f>
        <v>17586816.014583539</v>
      </c>
    </row>
    <row r="105" spans="1:16" x14ac:dyDescent="0.25">
      <c r="A105" t="str">
        <f>sulawesi!U55</f>
        <v>SULAWESI</v>
      </c>
      <c r="B105">
        <f>sulawesi!V55</f>
        <v>2022</v>
      </c>
      <c r="C105">
        <f>sulawesi!W55</f>
        <v>13286072.610860841</v>
      </c>
      <c r="D105">
        <f>sulawesi!X55</f>
        <v>551992.64569674712</v>
      </c>
      <c r="E105">
        <f>sulawesi!Y55</f>
        <v>2291538.7141024107</v>
      </c>
      <c r="F105">
        <f>sulawesi!Z55</f>
        <v>2633866.5900628269</v>
      </c>
      <c r="G105">
        <f>sulawesi!AA55</f>
        <v>32.653344738461534</v>
      </c>
      <c r="H105">
        <f>sulawesi!AB55</f>
        <v>0</v>
      </c>
      <c r="I105">
        <f>sulawesi!AC55</f>
        <v>0</v>
      </c>
      <c r="J105">
        <f>sulawesi!AD55</f>
        <v>0</v>
      </c>
      <c r="K105">
        <f>sulawesi!AE55</f>
        <v>0</v>
      </c>
      <c r="L105">
        <f>sulawesi!AF55</f>
        <v>1629.4734930818859</v>
      </c>
      <c r="M105">
        <f>sulawesi!AG55</f>
        <v>0</v>
      </c>
      <c r="N105">
        <f>sulawesi!AH55</f>
        <v>0</v>
      </c>
      <c r="O105">
        <f>sulawesi!AI55</f>
        <v>0</v>
      </c>
      <c r="P105">
        <f>sulawesi!AJ55</f>
        <v>18765132.687560644</v>
      </c>
    </row>
    <row r="106" spans="1:16" x14ac:dyDescent="0.25">
      <c r="A106" t="str">
        <f>sulawesi!U56</f>
        <v>SULAWESI</v>
      </c>
      <c r="B106">
        <f>sulawesi!V56</f>
        <v>2023</v>
      </c>
      <c r="C106">
        <f>sulawesi!W56</f>
        <v>14018442.846894005</v>
      </c>
      <c r="D106">
        <f>sulawesi!X56</f>
        <v>551992.64569674712</v>
      </c>
      <c r="E106">
        <f>sulawesi!Y56</f>
        <v>2816432.3681986998</v>
      </c>
      <c r="F106">
        <f>sulawesi!Z56</f>
        <v>2633866.5900628269</v>
      </c>
      <c r="G106">
        <f>sulawesi!AA56</f>
        <v>32.653344330294729</v>
      </c>
      <c r="H106">
        <f>sulawesi!AB56</f>
        <v>0</v>
      </c>
      <c r="I106">
        <f>sulawesi!AC56</f>
        <v>0</v>
      </c>
      <c r="J106">
        <f>sulawesi!AD56</f>
        <v>0</v>
      </c>
      <c r="K106">
        <f>sulawesi!AE56</f>
        <v>0</v>
      </c>
      <c r="L106">
        <f>sulawesi!AF56</f>
        <v>1629.4734930818859</v>
      </c>
      <c r="M106">
        <f>sulawesi!AG56</f>
        <v>0</v>
      </c>
      <c r="N106">
        <f>sulawesi!AH56</f>
        <v>0</v>
      </c>
      <c r="O106">
        <f>sulawesi!AI56</f>
        <v>0</v>
      </c>
      <c r="P106">
        <f>sulawesi!AJ56</f>
        <v>20022396.577689689</v>
      </c>
    </row>
    <row r="107" spans="1:16" x14ac:dyDescent="0.25">
      <c r="A107" t="str">
        <f>sulawesi!U57</f>
        <v>SULAWESI</v>
      </c>
      <c r="B107">
        <f>sulawesi!V57</f>
        <v>2024</v>
      </c>
      <c r="C107">
        <f>sulawesi!W57</f>
        <v>14233077.496125069</v>
      </c>
      <c r="D107">
        <f>sulawesi!X57</f>
        <v>551992.64569674712</v>
      </c>
      <c r="E107">
        <f>sulawesi!Y57</f>
        <v>3943298.2528666207</v>
      </c>
      <c r="F107">
        <f>sulawesi!Z57</f>
        <v>2633866.5900628269</v>
      </c>
      <c r="G107">
        <f>sulawesi!AA57</f>
        <v>32.653344330294729</v>
      </c>
      <c r="H107">
        <f>sulawesi!AB57</f>
        <v>0</v>
      </c>
      <c r="I107">
        <f>sulawesi!AC57</f>
        <v>0</v>
      </c>
      <c r="J107">
        <f>sulawesi!AD57</f>
        <v>0</v>
      </c>
      <c r="K107">
        <f>sulawesi!AE57</f>
        <v>0</v>
      </c>
      <c r="L107">
        <f>sulawesi!AF57</f>
        <v>1629.4734930818859</v>
      </c>
      <c r="M107">
        <f>sulawesi!AG57</f>
        <v>0</v>
      </c>
      <c r="N107">
        <f>sulawesi!AH57</f>
        <v>0</v>
      </c>
      <c r="O107">
        <f>sulawesi!AI57</f>
        <v>0</v>
      </c>
      <c r="P107">
        <f>sulawesi!AJ57</f>
        <v>21363897.111588676</v>
      </c>
    </row>
    <row r="108" spans="1:16" x14ac:dyDescent="0.25">
      <c r="A108" t="str">
        <f>sulawesi!U58</f>
        <v>SULAWESI</v>
      </c>
      <c r="B108">
        <f>sulawesi!V58</f>
        <v>2025</v>
      </c>
      <c r="C108">
        <f>sulawesi!W58</f>
        <v>14233077.496125069</v>
      </c>
      <c r="D108">
        <f>sulawesi!X58</f>
        <v>551992.64569674712</v>
      </c>
      <c r="E108">
        <f>sulawesi!Y58</f>
        <v>5374679.4935916699</v>
      </c>
      <c r="F108">
        <f>sulawesi!Z58</f>
        <v>2633866.5900628269</v>
      </c>
      <c r="G108">
        <f>sulawesi!AA58</f>
        <v>32.653344330294729</v>
      </c>
      <c r="H108">
        <f>sulawesi!AB58</f>
        <v>0</v>
      </c>
      <c r="I108">
        <f>sulawesi!AC58</f>
        <v>0</v>
      </c>
      <c r="J108">
        <f>sulawesi!AD58</f>
        <v>0</v>
      </c>
      <c r="K108">
        <f>sulawesi!AE58</f>
        <v>0</v>
      </c>
      <c r="L108">
        <f>sulawesi!AF58</f>
        <v>1629.4734930818859</v>
      </c>
      <c r="M108">
        <f>sulawesi!AG58</f>
        <v>0</v>
      </c>
      <c r="N108">
        <f>sulawesi!AH58</f>
        <v>0</v>
      </c>
      <c r="O108">
        <f>sulawesi!AI58</f>
        <v>0</v>
      </c>
      <c r="P108">
        <f>sulawesi!AJ58</f>
        <v>22795278.352313723</v>
      </c>
    </row>
    <row r="109" spans="1:16" x14ac:dyDescent="0.25">
      <c r="A109" t="str">
        <f>sulawesi!U59</f>
        <v>SULAWESI</v>
      </c>
      <c r="B109">
        <f>sulawesi!V59</f>
        <v>2026</v>
      </c>
      <c r="C109">
        <f>sulawesi!W59</f>
        <v>14323002.762143793</v>
      </c>
      <c r="D109">
        <f>sulawesi!X59</f>
        <v>551992.64569674712</v>
      </c>
      <c r="E109">
        <f>sulawesi!Y59</f>
        <v>6099132.69501781</v>
      </c>
      <c r="F109">
        <f>sulawesi!Z59</f>
        <v>3346771.7714549387</v>
      </c>
      <c r="G109">
        <f>sulawesi!AA59</f>
        <v>32.653344330294729</v>
      </c>
      <c r="H109">
        <f>sulawesi!AB59</f>
        <v>0</v>
      </c>
      <c r="I109">
        <f>sulawesi!AC59</f>
        <v>0</v>
      </c>
      <c r="J109">
        <f>sulawesi!AD59</f>
        <v>0</v>
      </c>
      <c r="K109">
        <f>sulawesi!AE59</f>
        <v>0</v>
      </c>
      <c r="L109">
        <f>sulawesi!AF59</f>
        <v>1629.4734930818859</v>
      </c>
      <c r="M109">
        <f>sulawesi!AG59</f>
        <v>0</v>
      </c>
      <c r="N109">
        <f>sulawesi!AH59</f>
        <v>0</v>
      </c>
      <c r="O109">
        <f>sulawesi!AI59</f>
        <v>0</v>
      </c>
      <c r="P109">
        <f>sulawesi!AJ59</f>
        <v>24322562.001150697</v>
      </c>
    </row>
    <row r="110" spans="1:16" x14ac:dyDescent="0.25">
      <c r="A110" t="str">
        <f>sulawesi!U60</f>
        <v>SULAWESI</v>
      </c>
      <c r="B110">
        <f>sulawesi!V60</f>
        <v>2027</v>
      </c>
      <c r="C110">
        <f>sulawesi!W60</f>
        <v>15323385.361998431</v>
      </c>
      <c r="D110">
        <f>sulawesi!X60</f>
        <v>551992.64569674712</v>
      </c>
      <c r="E110">
        <f>sulawesi!Y60</f>
        <v>6728385.4993086895</v>
      </c>
      <c r="F110">
        <f>sulawesi!Z60</f>
        <v>3346771.7714549387</v>
      </c>
      <c r="G110">
        <f>sulawesi!AA60</f>
        <v>32.653344330294729</v>
      </c>
      <c r="H110">
        <f>sulawesi!AB60</f>
        <v>0</v>
      </c>
      <c r="I110">
        <f>sulawesi!AC60</f>
        <v>0</v>
      </c>
      <c r="J110">
        <f>sulawesi!AD60</f>
        <v>0</v>
      </c>
      <c r="K110">
        <f>sulawesi!AE60</f>
        <v>0</v>
      </c>
      <c r="L110">
        <f>sulawesi!AF60</f>
        <v>1629.4734930818859</v>
      </c>
      <c r="M110">
        <f>sulawesi!AG60</f>
        <v>0</v>
      </c>
      <c r="N110">
        <f>sulawesi!AH60</f>
        <v>0</v>
      </c>
      <c r="O110">
        <f>sulawesi!AI60</f>
        <v>0</v>
      </c>
      <c r="P110">
        <f>sulawesi!AJ60</f>
        <v>25952197.405296218</v>
      </c>
    </row>
    <row r="111" spans="1:16" x14ac:dyDescent="0.25">
      <c r="A111" t="str">
        <f>sulawesi!U61</f>
        <v>SULAWESI</v>
      </c>
      <c r="B111">
        <f>sulawesi!V61</f>
        <v>2028</v>
      </c>
      <c r="C111">
        <f>sulawesi!W61</f>
        <v>15725366.626685794</v>
      </c>
      <c r="D111">
        <f>sulawesi!X61</f>
        <v>551992.64569674712</v>
      </c>
      <c r="E111">
        <f>sulawesi!Y61</f>
        <v>6728385.4993086895</v>
      </c>
      <c r="F111">
        <f>sulawesi!Z61</f>
        <v>4181568.5560395876</v>
      </c>
      <c r="G111">
        <f>sulawesi!AA61</f>
        <v>32.653344330294729</v>
      </c>
      <c r="H111">
        <f>sulawesi!AB61</f>
        <v>0</v>
      </c>
      <c r="I111">
        <f>sulawesi!AC61</f>
        <v>0</v>
      </c>
      <c r="J111">
        <f>sulawesi!AD61</f>
        <v>0</v>
      </c>
      <c r="K111">
        <f>sulawesi!AE61</f>
        <v>0</v>
      </c>
      <c r="L111">
        <f>sulawesi!AF61</f>
        <v>1629.4734930818859</v>
      </c>
      <c r="M111">
        <f>sulawesi!AG61</f>
        <v>0</v>
      </c>
      <c r="N111">
        <f>sulawesi!AH61</f>
        <v>0</v>
      </c>
      <c r="O111">
        <f>sulawesi!AI61</f>
        <v>0</v>
      </c>
      <c r="P111">
        <f>sulawesi!AJ61</f>
        <v>27188975.45456823</v>
      </c>
    </row>
    <row r="112" spans="1:16" x14ac:dyDescent="0.25">
      <c r="A112" t="str">
        <f>sulawesi!U62</f>
        <v>SULAWESI</v>
      </c>
      <c r="B112">
        <f>sulawesi!V62</f>
        <v>2029</v>
      </c>
      <c r="C112">
        <f>sulawesi!W62</f>
        <v>15725366.626685794</v>
      </c>
      <c r="D112">
        <f>sulawesi!X62</f>
        <v>551992.64569674712</v>
      </c>
      <c r="E112">
        <f>sulawesi!Y62</f>
        <v>6728385.4993086895</v>
      </c>
      <c r="F112">
        <f>sulawesi!Z62</f>
        <v>4181568.5560395876</v>
      </c>
      <c r="G112">
        <f>sulawesi!AA62</f>
        <v>32.653344330294729</v>
      </c>
      <c r="H112">
        <f>sulawesi!AB62</f>
        <v>0</v>
      </c>
      <c r="I112">
        <f>sulawesi!AC62</f>
        <v>0</v>
      </c>
      <c r="J112">
        <f>sulawesi!AD62</f>
        <v>0</v>
      </c>
      <c r="K112">
        <f>sulawesi!AE62</f>
        <v>0</v>
      </c>
      <c r="L112">
        <f>sulawesi!AF62</f>
        <v>1629.4734930818859</v>
      </c>
      <c r="M112">
        <f>sulawesi!AG62</f>
        <v>0</v>
      </c>
      <c r="N112">
        <f>sulawesi!AH62</f>
        <v>0</v>
      </c>
      <c r="O112">
        <f>sulawesi!AI62</f>
        <v>0</v>
      </c>
      <c r="P112">
        <f>sulawesi!AJ62</f>
        <v>27188975.45456823</v>
      </c>
    </row>
    <row r="113" spans="1:16" x14ac:dyDescent="0.25">
      <c r="A113" t="str">
        <f>sulawesi!U63</f>
        <v>SULAWESI</v>
      </c>
      <c r="B113">
        <f>sulawesi!V63</f>
        <v>2030</v>
      </c>
      <c r="C113">
        <f>sulawesi!W63</f>
        <v>15725366.626685794</v>
      </c>
      <c r="D113">
        <f>sulawesi!X63</f>
        <v>551992.64569674712</v>
      </c>
      <c r="E113">
        <f>sulawesi!Y63</f>
        <v>6728385.4993086895</v>
      </c>
      <c r="F113">
        <f>sulawesi!Z63</f>
        <v>4181568.5560395876</v>
      </c>
      <c r="G113">
        <f>sulawesi!AA63</f>
        <v>32.653344330294729</v>
      </c>
      <c r="H113">
        <f>sulawesi!AB63</f>
        <v>0</v>
      </c>
      <c r="I113">
        <f>sulawesi!AC63</f>
        <v>0</v>
      </c>
      <c r="J113">
        <f>sulawesi!AD63</f>
        <v>0</v>
      </c>
      <c r="K113">
        <f>sulawesi!AE63</f>
        <v>0</v>
      </c>
      <c r="L113">
        <f>sulawesi!AF63</f>
        <v>1629.4734930818859</v>
      </c>
      <c r="M113">
        <f>sulawesi!AG63</f>
        <v>0</v>
      </c>
      <c r="N113">
        <f>sulawesi!AH63</f>
        <v>0</v>
      </c>
      <c r="O113">
        <f>sulawesi!AI63</f>
        <v>0</v>
      </c>
      <c r="P113">
        <f>sulawesi!AJ63</f>
        <v>27188975.45456823</v>
      </c>
    </row>
    <row r="114" spans="1:16" x14ac:dyDescent="0.25">
      <c r="A114" t="str">
        <f>sulawesi!U64</f>
        <v>SULAWESI</v>
      </c>
      <c r="B114">
        <f>sulawesi!V64</f>
        <v>2031</v>
      </c>
      <c r="C114">
        <f>sulawesi!W64</f>
        <v>15725366.626685794</v>
      </c>
      <c r="D114">
        <f>sulawesi!X64</f>
        <v>551992.64569674712</v>
      </c>
      <c r="E114">
        <f>sulawesi!Y64</f>
        <v>6728385.4993086895</v>
      </c>
      <c r="F114">
        <f>sulawesi!Z64</f>
        <v>4181568.5560395876</v>
      </c>
      <c r="G114">
        <f>sulawesi!AA64</f>
        <v>32.653344330294729</v>
      </c>
      <c r="H114">
        <f>sulawesi!AB64</f>
        <v>0</v>
      </c>
      <c r="I114">
        <f>sulawesi!AC64</f>
        <v>0</v>
      </c>
      <c r="J114">
        <f>sulawesi!AD64</f>
        <v>0</v>
      </c>
      <c r="K114">
        <f>sulawesi!AE64</f>
        <v>0</v>
      </c>
      <c r="L114">
        <f>sulawesi!AF64</f>
        <v>1629.4734930818859</v>
      </c>
      <c r="M114">
        <f>sulawesi!AG64</f>
        <v>0</v>
      </c>
      <c r="N114">
        <f>sulawesi!AH64</f>
        <v>0</v>
      </c>
      <c r="O114">
        <f>sulawesi!AI64</f>
        <v>0</v>
      </c>
      <c r="P114">
        <f>sulawesi!AJ64</f>
        <v>27188975.45456823</v>
      </c>
    </row>
    <row r="115" spans="1:16" x14ac:dyDescent="0.25">
      <c r="A115" t="str">
        <f>sulawesi!U65</f>
        <v>SULAWESI</v>
      </c>
      <c r="B115">
        <f>sulawesi!V65</f>
        <v>2032</v>
      </c>
      <c r="C115">
        <f>sulawesi!W65</f>
        <v>15725366.626685794</v>
      </c>
      <c r="D115">
        <f>sulawesi!X65</f>
        <v>551992.64569674712</v>
      </c>
      <c r="E115">
        <f>sulawesi!Y65</f>
        <v>6728385.4993086895</v>
      </c>
      <c r="F115">
        <f>sulawesi!Z65</f>
        <v>4181568.5560395876</v>
      </c>
      <c r="G115">
        <f>sulawesi!AA65</f>
        <v>32.653344330294729</v>
      </c>
      <c r="H115">
        <f>sulawesi!AB65</f>
        <v>0</v>
      </c>
      <c r="I115">
        <f>sulawesi!AC65</f>
        <v>0</v>
      </c>
      <c r="J115">
        <f>sulawesi!AD65</f>
        <v>0</v>
      </c>
      <c r="K115">
        <f>sulawesi!AE65</f>
        <v>0</v>
      </c>
      <c r="L115">
        <f>sulawesi!AF65</f>
        <v>1629.4734930818859</v>
      </c>
      <c r="M115">
        <f>sulawesi!AG65</f>
        <v>0</v>
      </c>
      <c r="N115">
        <f>sulawesi!AH65</f>
        <v>0</v>
      </c>
      <c r="O115">
        <f>sulawesi!AI65</f>
        <v>0</v>
      </c>
      <c r="P115">
        <f>sulawesi!AJ65</f>
        <v>27188975.45456823</v>
      </c>
    </row>
    <row r="116" spans="1:16" x14ac:dyDescent="0.25">
      <c r="A116" t="str">
        <f>sulawesi!U66</f>
        <v>SULAWESI</v>
      </c>
      <c r="B116">
        <f>sulawesi!V66</f>
        <v>2033</v>
      </c>
      <c r="C116">
        <f>sulawesi!W66</f>
        <v>15725366.626685794</v>
      </c>
      <c r="D116">
        <f>sulawesi!X66</f>
        <v>551992.64569674712</v>
      </c>
      <c r="E116">
        <f>sulawesi!Y66</f>
        <v>6728385.4993086895</v>
      </c>
      <c r="F116">
        <f>sulawesi!Z66</f>
        <v>4181568.5560395876</v>
      </c>
      <c r="G116">
        <f>sulawesi!AA66</f>
        <v>32.653344330294729</v>
      </c>
      <c r="H116">
        <f>sulawesi!AB66</f>
        <v>0</v>
      </c>
      <c r="I116">
        <f>sulawesi!AC66</f>
        <v>0</v>
      </c>
      <c r="J116">
        <f>sulawesi!AD66</f>
        <v>0</v>
      </c>
      <c r="K116">
        <f>sulawesi!AE66</f>
        <v>0</v>
      </c>
      <c r="L116">
        <f>sulawesi!AF66</f>
        <v>1629.4734930818859</v>
      </c>
      <c r="M116">
        <f>sulawesi!AG66</f>
        <v>0</v>
      </c>
      <c r="N116">
        <f>sulawesi!AH66</f>
        <v>0</v>
      </c>
      <c r="O116">
        <f>sulawesi!AI66</f>
        <v>0</v>
      </c>
      <c r="P116">
        <f>sulawesi!AJ66</f>
        <v>27188975.45456823</v>
      </c>
    </row>
    <row r="117" spans="1:16" x14ac:dyDescent="0.25">
      <c r="A117" t="str">
        <f>sulawesi!U67</f>
        <v>SULAWESI</v>
      </c>
      <c r="B117">
        <f>sulawesi!V67</f>
        <v>2034</v>
      </c>
      <c r="C117">
        <f>sulawesi!W67</f>
        <v>15725366.626685794</v>
      </c>
      <c r="D117">
        <f>sulawesi!X67</f>
        <v>551992.64569674712</v>
      </c>
      <c r="E117">
        <f>sulawesi!Y67</f>
        <v>6728385.4993086895</v>
      </c>
      <c r="F117">
        <f>sulawesi!Z67</f>
        <v>4181568.5560395876</v>
      </c>
      <c r="G117">
        <f>sulawesi!AA67</f>
        <v>32.653344330294729</v>
      </c>
      <c r="H117">
        <f>sulawesi!AB67</f>
        <v>0</v>
      </c>
      <c r="I117">
        <f>sulawesi!AC67</f>
        <v>0</v>
      </c>
      <c r="J117">
        <f>sulawesi!AD67</f>
        <v>0</v>
      </c>
      <c r="K117">
        <f>sulawesi!AE67</f>
        <v>0</v>
      </c>
      <c r="L117">
        <f>sulawesi!AF67</f>
        <v>1629.4734930818859</v>
      </c>
      <c r="M117">
        <f>sulawesi!AG67</f>
        <v>0</v>
      </c>
      <c r="N117">
        <f>sulawesi!AH67</f>
        <v>0</v>
      </c>
      <c r="O117">
        <f>sulawesi!AI67</f>
        <v>0</v>
      </c>
      <c r="P117">
        <f>sulawesi!AJ67</f>
        <v>27188975.45456823</v>
      </c>
    </row>
    <row r="118" spans="1:16" x14ac:dyDescent="0.25">
      <c r="A118" t="str">
        <f>sulawesi!U68</f>
        <v>SULAWESI</v>
      </c>
      <c r="B118">
        <f>sulawesi!V68</f>
        <v>2035</v>
      </c>
      <c r="C118">
        <f>sulawesi!W68</f>
        <v>15725366.626685794</v>
      </c>
      <c r="D118">
        <f>sulawesi!X68</f>
        <v>551992.64569674712</v>
      </c>
      <c r="E118">
        <f>sulawesi!Y68</f>
        <v>6728385.4993086895</v>
      </c>
      <c r="F118">
        <f>sulawesi!Z68</f>
        <v>4202746.9371233275</v>
      </c>
      <c r="G118">
        <f>sulawesi!AA68</f>
        <v>32.653344330294729</v>
      </c>
      <c r="H118">
        <f>sulawesi!AB68</f>
        <v>0</v>
      </c>
      <c r="I118">
        <f>sulawesi!AC68</f>
        <v>0</v>
      </c>
      <c r="J118">
        <f>sulawesi!AD68</f>
        <v>0</v>
      </c>
      <c r="K118">
        <f>sulawesi!AE68</f>
        <v>0</v>
      </c>
      <c r="L118">
        <f>sulawesi!AF68</f>
        <v>1629.4734930818859</v>
      </c>
      <c r="M118">
        <f>sulawesi!AG68</f>
        <v>0</v>
      </c>
      <c r="N118">
        <f>sulawesi!AH68</f>
        <v>0</v>
      </c>
      <c r="O118">
        <f>sulawesi!AI68</f>
        <v>0</v>
      </c>
      <c r="P118">
        <f>sulawesi!AJ68</f>
        <v>27210153.835651971</v>
      </c>
    </row>
    <row r="119" spans="1:16" x14ac:dyDescent="0.25">
      <c r="A119" t="str">
        <f>sulawesi!U69</f>
        <v>SULAWESI</v>
      </c>
      <c r="B119">
        <f>sulawesi!V69</f>
        <v>2036</v>
      </c>
      <c r="C119">
        <f>sulawesi!W69</f>
        <v>15725366.626685794</v>
      </c>
      <c r="D119">
        <f>sulawesi!X69</f>
        <v>551992.64569674712</v>
      </c>
      <c r="E119">
        <f>sulawesi!Y69</f>
        <v>7106849.8019579798</v>
      </c>
      <c r="F119">
        <f>sulawesi!Z69</f>
        <v>4572695.8849912444</v>
      </c>
      <c r="G119">
        <f>sulawesi!AA69</f>
        <v>32.653344330294729</v>
      </c>
      <c r="H119">
        <f>sulawesi!AB69</f>
        <v>0</v>
      </c>
      <c r="I119">
        <f>sulawesi!AC69</f>
        <v>0</v>
      </c>
      <c r="J119">
        <f>sulawesi!AD69</f>
        <v>0</v>
      </c>
      <c r="K119">
        <f>sulawesi!AE69</f>
        <v>0</v>
      </c>
      <c r="L119">
        <f>sulawesi!AF69</f>
        <v>1629.4734930818859</v>
      </c>
      <c r="M119">
        <f>sulawesi!AG69</f>
        <v>0</v>
      </c>
      <c r="N119">
        <f>sulawesi!AH69</f>
        <v>0</v>
      </c>
      <c r="O119">
        <f>sulawesi!AI69</f>
        <v>0</v>
      </c>
      <c r="P119">
        <f>sulawesi!AJ69</f>
        <v>27958567.086169176</v>
      </c>
    </row>
    <row r="120" spans="1:16" x14ac:dyDescent="0.25">
      <c r="A120" t="str">
        <f>sulawesi!U70</f>
        <v>SULAWESI</v>
      </c>
      <c r="B120">
        <f>sulawesi!V70</f>
        <v>2037</v>
      </c>
      <c r="C120">
        <f>sulawesi!W70</f>
        <v>16628316.33118739</v>
      </c>
      <c r="D120">
        <f>sulawesi!X70</f>
        <v>551992.64569674712</v>
      </c>
      <c r="E120">
        <f>sulawesi!Y70</f>
        <v>7896433.3070167368</v>
      </c>
      <c r="F120">
        <f>sulawesi!Z70</f>
        <v>4753386.6739593409</v>
      </c>
      <c r="G120">
        <f>sulawesi!AA70</f>
        <v>32.653344330294729</v>
      </c>
      <c r="H120">
        <f>sulawesi!AB70</f>
        <v>0</v>
      </c>
      <c r="I120">
        <f>sulawesi!AC70</f>
        <v>0</v>
      </c>
      <c r="J120">
        <f>sulawesi!AD70</f>
        <v>0</v>
      </c>
      <c r="K120">
        <f>sulawesi!AE70</f>
        <v>0</v>
      </c>
      <c r="L120">
        <f>sulawesi!AF70</f>
        <v>1629.4734930818859</v>
      </c>
      <c r="M120">
        <f>sulawesi!AG70</f>
        <v>0</v>
      </c>
      <c r="N120">
        <f>sulawesi!AH70</f>
        <v>0</v>
      </c>
      <c r="O120">
        <f>sulawesi!AI70</f>
        <v>0</v>
      </c>
      <c r="P120">
        <f>sulawesi!AJ70</f>
        <v>29831791.084697627</v>
      </c>
    </row>
    <row r="121" spans="1:16" x14ac:dyDescent="0.25">
      <c r="A121" t="str">
        <f>sulawesi!U71</f>
        <v>SULAWESI</v>
      </c>
      <c r="B121">
        <f>sulawesi!V71</f>
        <v>2038</v>
      </c>
      <c r="C121">
        <f>sulawesi!W71</f>
        <v>17925023.330298103</v>
      </c>
      <c r="D121">
        <f>sulawesi!X71</f>
        <v>551992.64569674712</v>
      </c>
      <c r="E121">
        <f>sulawesi!Y71</f>
        <v>8598457.6775277071</v>
      </c>
      <c r="F121">
        <f>sulawesi!Z71</f>
        <v>4753386.6739593409</v>
      </c>
      <c r="G121">
        <f>sulawesi!AA71</f>
        <v>32.653344330294729</v>
      </c>
      <c r="H121">
        <f>sulawesi!AB71</f>
        <v>0</v>
      </c>
      <c r="I121">
        <f>sulawesi!AC71</f>
        <v>0</v>
      </c>
      <c r="J121">
        <f>sulawesi!AD71</f>
        <v>0</v>
      </c>
      <c r="K121">
        <f>sulawesi!AE71</f>
        <v>0</v>
      </c>
      <c r="L121">
        <f>sulawesi!AF71</f>
        <v>1629.4734930818859</v>
      </c>
      <c r="M121">
        <f>sulawesi!AG71</f>
        <v>0</v>
      </c>
      <c r="N121">
        <f>sulawesi!AH71</f>
        <v>0</v>
      </c>
      <c r="O121">
        <f>sulawesi!AI71</f>
        <v>0</v>
      </c>
      <c r="P121">
        <f>sulawesi!AJ71</f>
        <v>31830522.454319309</v>
      </c>
    </row>
    <row r="122" spans="1:16" x14ac:dyDescent="0.25">
      <c r="A122" t="str">
        <f>maluku_papua!U52</f>
        <v>MALUKU_PAPUA</v>
      </c>
      <c r="B122">
        <f>maluku_papua!V52</f>
        <v>2019</v>
      </c>
      <c r="C122">
        <f>maluku_papua!W52</f>
        <v>1256080.7482361379</v>
      </c>
      <c r="D122">
        <f>maluku_papua!X52</f>
        <v>7495.0274944184039</v>
      </c>
      <c r="E122">
        <f>maluku_papua!Y52</f>
        <v>0</v>
      </c>
      <c r="F122">
        <f>maluku_papua!Z52</f>
        <v>2625429.3269803533</v>
      </c>
      <c r="G122">
        <f>maluku_papua!AA52</f>
        <v>0</v>
      </c>
      <c r="H122">
        <f>maluku_papua!AB52</f>
        <v>0</v>
      </c>
      <c r="I122">
        <f>maluku_papua!AC52</f>
        <v>0</v>
      </c>
      <c r="J122">
        <f>maluku_papua!AD52</f>
        <v>0</v>
      </c>
      <c r="K122">
        <f>maluku_papua!AE52</f>
        <v>0</v>
      </c>
      <c r="L122">
        <f>maluku_papua!AF52</f>
        <v>0</v>
      </c>
      <c r="M122">
        <f>maluku_papua!AG52</f>
        <v>0</v>
      </c>
      <c r="N122">
        <f>maluku_papua!AH52</f>
        <v>0</v>
      </c>
      <c r="O122">
        <f>maluku_papua!AI52</f>
        <v>0</v>
      </c>
      <c r="P122">
        <f>maluku_papua!AJ52</f>
        <v>3889005.1027109097</v>
      </c>
    </row>
    <row r="123" spans="1:16" x14ac:dyDescent="0.25">
      <c r="A123" t="str">
        <f>maluku_papua!U53</f>
        <v>MALUKU_PAPUA</v>
      </c>
      <c r="B123">
        <f>maluku_papua!V53</f>
        <v>2020</v>
      </c>
      <c r="C123">
        <f>maluku_papua!W53</f>
        <v>1256080.7482361379</v>
      </c>
      <c r="D123">
        <f>maluku_papua!X53</f>
        <v>7495.0256206615368</v>
      </c>
      <c r="E123">
        <f>maluku_papua!Y53</f>
        <v>260563.34386914296</v>
      </c>
      <c r="F123">
        <f>maluku_papua!Z53</f>
        <v>2625429.3269803533</v>
      </c>
      <c r="G123">
        <f>maluku_papua!AA53</f>
        <v>0</v>
      </c>
      <c r="H123">
        <f>maluku_papua!AB53</f>
        <v>0</v>
      </c>
      <c r="I123">
        <f>maluku_papua!AC53</f>
        <v>0</v>
      </c>
      <c r="J123">
        <f>maluku_papua!AD53</f>
        <v>0</v>
      </c>
      <c r="K123">
        <f>maluku_papua!AE53</f>
        <v>0</v>
      </c>
      <c r="L123">
        <f>maluku_papua!AF53</f>
        <v>0</v>
      </c>
      <c r="M123">
        <f>maluku_papua!AG53</f>
        <v>0</v>
      </c>
      <c r="N123">
        <f>maluku_papua!AH53</f>
        <v>0</v>
      </c>
      <c r="O123">
        <f>maluku_papua!AI53</f>
        <v>0</v>
      </c>
      <c r="P123">
        <f>maluku_papua!AJ53</f>
        <v>4149568.4447062956</v>
      </c>
    </row>
    <row r="124" spans="1:16" x14ac:dyDescent="0.25">
      <c r="A124" t="str">
        <f>maluku_papua!U54</f>
        <v>MALUKU_PAPUA</v>
      </c>
      <c r="B124">
        <f>maluku_papua!V54</f>
        <v>2021</v>
      </c>
      <c r="C124">
        <f>maluku_papua!W54</f>
        <v>1256080.7482361379</v>
      </c>
      <c r="D124">
        <f>maluku_papua!X54</f>
        <v>7495.0237469046633</v>
      </c>
      <c r="E124">
        <f>maluku_papua!Y54</f>
        <v>538584.43153822119</v>
      </c>
      <c r="F124">
        <f>maluku_papua!Z54</f>
        <v>2625429.3269803533</v>
      </c>
      <c r="G124">
        <f>maluku_papua!AA54</f>
        <v>-1.3732433453122919E-15</v>
      </c>
      <c r="H124">
        <f>maluku_papua!AB54</f>
        <v>0</v>
      </c>
      <c r="I124">
        <f>maluku_papua!AC54</f>
        <v>0</v>
      </c>
      <c r="J124">
        <f>maluku_papua!AD54</f>
        <v>0</v>
      </c>
      <c r="K124">
        <f>maluku_papua!AE54</f>
        <v>0</v>
      </c>
      <c r="L124">
        <f>maluku_papua!AF54</f>
        <v>0</v>
      </c>
      <c r="M124">
        <f>maluku_papua!AG54</f>
        <v>0</v>
      </c>
      <c r="N124">
        <f>maluku_papua!AH54</f>
        <v>0</v>
      </c>
      <c r="O124">
        <f>maluku_papua!AI54</f>
        <v>0</v>
      </c>
      <c r="P124">
        <f>maluku_papua!AJ54</f>
        <v>4427589.5305016171</v>
      </c>
    </row>
    <row r="125" spans="1:16" x14ac:dyDescent="0.25">
      <c r="A125" t="str">
        <f>maluku_papua!U55</f>
        <v>MALUKU_PAPUA</v>
      </c>
      <c r="B125">
        <f>maluku_papua!V55</f>
        <v>2022</v>
      </c>
      <c r="C125">
        <f>maluku_papua!W55</f>
        <v>1343259.3236224258</v>
      </c>
      <c r="D125">
        <f>maluku_papua!X55</f>
        <v>7495.0218731477953</v>
      </c>
      <c r="E125">
        <f>maluku_papua!Y55</f>
        <v>748054.35489288624</v>
      </c>
      <c r="F125">
        <f>maluku_papua!Z55</f>
        <v>2625429.3269803533</v>
      </c>
      <c r="G125">
        <f>maluku_papua!AA55</f>
        <v>0</v>
      </c>
      <c r="H125">
        <f>maluku_papua!AB55</f>
        <v>0</v>
      </c>
      <c r="I125">
        <f>maluku_papua!AC55</f>
        <v>0</v>
      </c>
      <c r="J125">
        <f>maluku_papua!AD55</f>
        <v>0</v>
      </c>
      <c r="K125">
        <f>maluku_papua!AE55</f>
        <v>0</v>
      </c>
      <c r="L125">
        <f>maluku_papua!AF55</f>
        <v>0</v>
      </c>
      <c r="M125">
        <f>maluku_papua!AG55</f>
        <v>0</v>
      </c>
      <c r="N125">
        <f>maluku_papua!AH55</f>
        <v>0</v>
      </c>
      <c r="O125">
        <f>maluku_papua!AI55</f>
        <v>0</v>
      </c>
      <c r="P125">
        <f>maluku_papua!AJ55</f>
        <v>4724238.0273688128</v>
      </c>
    </row>
    <row r="126" spans="1:16" x14ac:dyDescent="0.25">
      <c r="A126" t="str">
        <f>maluku_papua!U56</f>
        <v>MALUKU_PAPUA</v>
      </c>
      <c r="B126">
        <f>maluku_papua!V56</f>
        <v>2023</v>
      </c>
      <c r="C126">
        <f>maluku_papua!W56</f>
        <v>1578428.1051604466</v>
      </c>
      <c r="D126">
        <f>maluku_papua!X56</f>
        <v>7495.0218731477953</v>
      </c>
      <c r="E126">
        <f>maluku_papua!Y56</f>
        <v>829409.52118857484</v>
      </c>
      <c r="F126">
        <f>maluku_papua!Z56</f>
        <v>2625429.3269803533</v>
      </c>
      <c r="G126">
        <f>maluku_papua!AA56</f>
        <v>-1.3732436046103435E-15</v>
      </c>
      <c r="H126">
        <f>maluku_papua!AB56</f>
        <v>0</v>
      </c>
      <c r="I126">
        <f>maluku_papua!AC56</f>
        <v>0</v>
      </c>
      <c r="J126">
        <f>maluku_papua!AD56</f>
        <v>0</v>
      </c>
      <c r="K126">
        <f>maluku_papua!AE56</f>
        <v>0</v>
      </c>
      <c r="L126">
        <f>maluku_papua!AF56</f>
        <v>0</v>
      </c>
      <c r="M126">
        <f>maluku_papua!AG56</f>
        <v>0</v>
      </c>
      <c r="N126">
        <f>maluku_papua!AH56</f>
        <v>0</v>
      </c>
      <c r="O126">
        <f>maluku_papua!AI56</f>
        <v>0</v>
      </c>
      <c r="P126">
        <f>maluku_papua!AJ56</f>
        <v>5040761.9752025222</v>
      </c>
    </row>
    <row r="127" spans="1:16" x14ac:dyDescent="0.25">
      <c r="A127" t="str">
        <f>maluku_papua!U57</f>
        <v>MALUKU_PAPUA</v>
      </c>
      <c r="B127">
        <f>maluku_papua!V57</f>
        <v>2024</v>
      </c>
      <c r="C127">
        <f>maluku_papua!W57</f>
        <v>1824837.8814232016</v>
      </c>
      <c r="D127">
        <f>maluku_papua!X57</f>
        <v>7495.01999939092</v>
      </c>
      <c r="E127">
        <f>maluku_papua!Y57</f>
        <v>920730.79818517272</v>
      </c>
      <c r="F127">
        <f>maluku_papua!Z57</f>
        <v>2625429.3269803533</v>
      </c>
      <c r="G127">
        <f>maluku_papua!AA57</f>
        <v>-6.289999968235215E-8</v>
      </c>
      <c r="H127">
        <f>maluku_papua!AB57</f>
        <v>0</v>
      </c>
      <c r="I127">
        <f>maluku_papua!AC57</f>
        <v>0</v>
      </c>
      <c r="J127">
        <f>maluku_papua!AD57</f>
        <v>0</v>
      </c>
      <c r="K127">
        <f>maluku_papua!AE57</f>
        <v>0</v>
      </c>
      <c r="L127">
        <f>maluku_papua!AF57</f>
        <v>0</v>
      </c>
      <c r="M127">
        <f>maluku_papua!AG57</f>
        <v>0</v>
      </c>
      <c r="N127">
        <f>maluku_papua!AH57</f>
        <v>0</v>
      </c>
      <c r="O127">
        <f>maluku_papua!AI57</f>
        <v>0</v>
      </c>
      <c r="P127">
        <f>maluku_papua!AJ57</f>
        <v>5378493.0265880553</v>
      </c>
    </row>
    <row r="128" spans="1:16" x14ac:dyDescent="0.25">
      <c r="A128" t="str">
        <f>maluku_papua!U58</f>
        <v>MALUKU_PAPUA</v>
      </c>
      <c r="B128">
        <f>maluku_papua!V58</f>
        <v>2025</v>
      </c>
      <c r="C128">
        <f>maluku_papua!W58</f>
        <v>2082510.2741517366</v>
      </c>
      <c r="D128">
        <f>maluku_papua!X58</f>
        <v>7495.0181256340511</v>
      </c>
      <c r="E128">
        <f>maluku_papua!Y58</f>
        <v>1023417.4444724751</v>
      </c>
      <c r="F128">
        <f>maluku_papua!Z58</f>
        <v>2625429.3269803533</v>
      </c>
      <c r="G128">
        <f>maluku_papua!AA58</f>
        <v>-6.289999968235215E-8</v>
      </c>
      <c r="H128">
        <f>maluku_papua!AB58</f>
        <v>0</v>
      </c>
      <c r="I128">
        <f>maluku_papua!AC58</f>
        <v>0</v>
      </c>
      <c r="J128">
        <f>maluku_papua!AD58</f>
        <v>0</v>
      </c>
      <c r="K128">
        <f>maluku_papua!AE58</f>
        <v>0</v>
      </c>
      <c r="L128">
        <f>maluku_papua!AF58</f>
        <v>0</v>
      </c>
      <c r="M128">
        <f>maluku_papua!AG58</f>
        <v>0</v>
      </c>
      <c r="N128">
        <f>maluku_papua!AH58</f>
        <v>0</v>
      </c>
      <c r="O128">
        <f>maluku_papua!AI58</f>
        <v>0</v>
      </c>
      <c r="P128">
        <f>maluku_papua!AJ58</f>
        <v>5738852.0637301356</v>
      </c>
    </row>
    <row r="129" spans="1:16" x14ac:dyDescent="0.25">
      <c r="A129" t="str">
        <f>maluku_papua!U59</f>
        <v>MALUKU_PAPUA</v>
      </c>
      <c r="B129">
        <f>maluku_papua!V59</f>
        <v>2026</v>
      </c>
      <c r="C129">
        <f>maluku_papua!W59</f>
        <v>2379616.5503188018</v>
      </c>
      <c r="D129">
        <f>maluku_papua!X59</f>
        <v>7495.0181256340511</v>
      </c>
      <c r="E129">
        <f>maluku_papua!Y59</f>
        <v>1110814.2565752657</v>
      </c>
      <c r="F129">
        <f>maluku_papua!Z59</f>
        <v>2625429.3269803533</v>
      </c>
      <c r="G129">
        <f>maluku_papua!AA59</f>
        <v>0</v>
      </c>
      <c r="H129">
        <f>maluku_papua!AB59</f>
        <v>0</v>
      </c>
      <c r="I129">
        <f>maluku_papua!AC59</f>
        <v>0</v>
      </c>
      <c r="J129">
        <f>maluku_papua!AD59</f>
        <v>0</v>
      </c>
      <c r="K129">
        <f>maluku_papua!AE59</f>
        <v>0</v>
      </c>
      <c r="L129">
        <f>maluku_papua!AF59</f>
        <v>0</v>
      </c>
      <c r="M129">
        <f>maluku_papua!AG59</f>
        <v>0</v>
      </c>
      <c r="N129">
        <f>maluku_papua!AH59</f>
        <v>0</v>
      </c>
      <c r="O129">
        <f>maluku_papua!AI59</f>
        <v>0</v>
      </c>
      <c r="P129">
        <f>maluku_papua!AJ59</f>
        <v>6123355.1520000547</v>
      </c>
    </row>
    <row r="130" spans="1:16" x14ac:dyDescent="0.25">
      <c r="A130" t="str">
        <f>maluku_papua!U60</f>
        <v>MALUKU_PAPUA</v>
      </c>
      <c r="B130">
        <f>maluku_papua!V60</f>
        <v>2027</v>
      </c>
      <c r="C130">
        <f>maluku_papua!W60</f>
        <v>2694649.3344009244</v>
      </c>
      <c r="D130">
        <f>maluku_papua!X60</f>
        <v>7495.0162518771758</v>
      </c>
      <c r="E130">
        <f>maluku_papua!Y60</f>
        <v>1206046.2695509058</v>
      </c>
      <c r="F130">
        <f>maluku_papua!Z60</f>
        <v>2625429.3269803533</v>
      </c>
      <c r="G130">
        <f>maluku_papua!AA60</f>
        <v>-1.3732482179548439E-15</v>
      </c>
      <c r="H130">
        <f>maluku_papua!AB60</f>
        <v>0</v>
      </c>
      <c r="I130">
        <f>maluku_papua!AC60</f>
        <v>0</v>
      </c>
      <c r="J130">
        <f>maluku_papua!AD60</f>
        <v>0</v>
      </c>
      <c r="K130">
        <f>maluku_papua!AE60</f>
        <v>0</v>
      </c>
      <c r="L130">
        <f>maluku_papua!AF60</f>
        <v>0</v>
      </c>
      <c r="M130">
        <f>maluku_papua!AG60</f>
        <v>0</v>
      </c>
      <c r="N130">
        <f>maluku_papua!AH60</f>
        <v>0</v>
      </c>
      <c r="O130">
        <f>maluku_papua!AI60</f>
        <v>0</v>
      </c>
      <c r="P130">
        <f>maluku_papua!AJ60</f>
        <v>6533619.9471840607</v>
      </c>
    </row>
    <row r="131" spans="1:16" x14ac:dyDescent="0.25">
      <c r="A131" t="str">
        <f>maluku_papua!U61</f>
        <v>MALUKU_PAPUA</v>
      </c>
      <c r="B131">
        <f>maluku_papua!V61</f>
        <v>2028</v>
      </c>
      <c r="C131">
        <f>maluku_papua!W61</f>
        <v>3028608.1996546481</v>
      </c>
      <c r="D131">
        <f>maluku_papua!X61</f>
        <v>7495.0143781203033</v>
      </c>
      <c r="E131">
        <f>maluku_papua!Y61</f>
        <v>1309839.9426322726</v>
      </c>
      <c r="F131">
        <f>maluku_papua!Z61</f>
        <v>2625429.3269803533</v>
      </c>
      <c r="G131">
        <f>maluku_papua!AA61</f>
        <v>-1.3732482179548439E-15</v>
      </c>
      <c r="H131">
        <f>maluku_papua!AB61</f>
        <v>0</v>
      </c>
      <c r="I131">
        <f>maluku_papua!AC61</f>
        <v>0</v>
      </c>
      <c r="J131">
        <f>maluku_papua!AD61</f>
        <v>0</v>
      </c>
      <c r="K131">
        <f>maluku_papua!AE61</f>
        <v>0</v>
      </c>
      <c r="L131">
        <f>maluku_papua!AF61</f>
        <v>0</v>
      </c>
      <c r="M131">
        <f>maluku_papua!AG61</f>
        <v>0</v>
      </c>
      <c r="N131">
        <f>maluku_papua!AH61</f>
        <v>0</v>
      </c>
      <c r="O131">
        <f>maluku_papua!AI61</f>
        <v>0</v>
      </c>
      <c r="P131">
        <f>maluku_papua!AJ61</f>
        <v>6971372.4836453944</v>
      </c>
    </row>
    <row r="132" spans="1:16" x14ac:dyDescent="0.25">
      <c r="A132" t="str">
        <f>maluku_papua!U62</f>
        <v>MALUKU_PAPUA</v>
      </c>
      <c r="B132">
        <f>maluku_papua!V62</f>
        <v>2029</v>
      </c>
      <c r="C132">
        <f>maluku_papua!W62</f>
        <v>3382541.9022397497</v>
      </c>
      <c r="D132">
        <f>maluku_papua!X62</f>
        <v>7495.0143781203033</v>
      </c>
      <c r="E132">
        <f>maluku_papua!Y62</f>
        <v>1422988.1964514127</v>
      </c>
      <c r="F132">
        <f>maluku_papua!Z62</f>
        <v>2625429.3269803533</v>
      </c>
      <c r="G132">
        <f>maluku_papua!AA62</f>
        <v>0</v>
      </c>
      <c r="H132">
        <f>maluku_papua!AB62</f>
        <v>0</v>
      </c>
      <c r="I132">
        <f>maluku_papua!AC62</f>
        <v>0</v>
      </c>
      <c r="J132">
        <f>maluku_papua!AD62</f>
        <v>0</v>
      </c>
      <c r="K132">
        <f>maluku_papua!AE62</f>
        <v>0</v>
      </c>
      <c r="L132">
        <f>maluku_papua!AF62</f>
        <v>0</v>
      </c>
      <c r="M132">
        <f>maluku_papua!AG62</f>
        <v>0</v>
      </c>
      <c r="N132">
        <f>maluku_papua!AH62</f>
        <v>0</v>
      </c>
      <c r="O132">
        <f>maluku_papua!AI62</f>
        <v>0</v>
      </c>
      <c r="P132">
        <f>maluku_papua!AJ62</f>
        <v>7438454.4400496362</v>
      </c>
    </row>
    <row r="133" spans="1:16" x14ac:dyDescent="0.25">
      <c r="A133" t="str">
        <f>maluku_papua!U63</f>
        <v>MALUKU_PAPUA</v>
      </c>
      <c r="B133">
        <f>maluku_papua!V63</f>
        <v>2030</v>
      </c>
      <c r="C133">
        <f>maluku_papua!W63</f>
        <v>3757548.8638552618</v>
      </c>
      <c r="D133">
        <f>maluku_papua!X63</f>
        <v>7495.0143781203033</v>
      </c>
      <c r="E133">
        <f>maluku_papua!Y63</f>
        <v>1546357.6823567878</v>
      </c>
      <c r="F133">
        <f>maluku_papua!Z63</f>
        <v>2625429.3269803533</v>
      </c>
      <c r="G133">
        <f>maluku_papua!AA63</f>
        <v>-6.2899999396683407E-8</v>
      </c>
      <c r="H133">
        <f>maluku_papua!AB63</f>
        <v>0</v>
      </c>
      <c r="I133">
        <f>maluku_papua!AC63</f>
        <v>0</v>
      </c>
      <c r="J133">
        <f>maluku_papua!AD63</f>
        <v>0</v>
      </c>
      <c r="K133">
        <f>maluku_papua!AE63</f>
        <v>0</v>
      </c>
      <c r="L133">
        <f>maluku_papua!AF63</f>
        <v>0</v>
      </c>
      <c r="M133">
        <f>maluku_papua!AG63</f>
        <v>0</v>
      </c>
      <c r="N133">
        <f>maluku_papua!AH63</f>
        <v>0</v>
      </c>
      <c r="O133">
        <f>maluku_papua!AI63</f>
        <v>0</v>
      </c>
      <c r="P133">
        <f>maluku_papua!AJ63</f>
        <v>7936830.8875704603</v>
      </c>
    </row>
    <row r="134" spans="1:16" x14ac:dyDescent="0.25">
      <c r="A134" t="str">
        <f>maluku_papua!U64</f>
        <v>MALUKU_PAPUA</v>
      </c>
      <c r="B134">
        <f>maluku_papua!V64</f>
        <v>2031</v>
      </c>
      <c r="C134">
        <f>maluku_papua!W64</f>
        <v>4154778.4782179953</v>
      </c>
      <c r="D134">
        <f>maluku_papua!X64</f>
        <v>7495.0143781203033</v>
      </c>
      <c r="E134">
        <f>maluku_papua!Y64</f>
        <v>1680895.7374612137</v>
      </c>
      <c r="F134">
        <f>maluku_papua!Z64</f>
        <v>2625429.3269803533</v>
      </c>
      <c r="G134">
        <f>maluku_papua!AA64</f>
        <v>0</v>
      </c>
      <c r="H134">
        <f>maluku_papua!AB64</f>
        <v>0</v>
      </c>
      <c r="I134">
        <f>maluku_papua!AC64</f>
        <v>0</v>
      </c>
      <c r="J134">
        <f>maluku_papua!AD64</f>
        <v>0</v>
      </c>
      <c r="K134">
        <f>maluku_papua!AE64</f>
        <v>0</v>
      </c>
      <c r="L134">
        <f>maluku_papua!AF64</f>
        <v>0</v>
      </c>
      <c r="M134">
        <f>maluku_papua!AG64</f>
        <v>0</v>
      </c>
      <c r="N134">
        <f>maluku_papua!AH64</f>
        <v>0</v>
      </c>
      <c r="O134">
        <f>maluku_papua!AI64</f>
        <v>0</v>
      </c>
      <c r="P134">
        <f>maluku_papua!AJ64</f>
        <v>8468598.5570376813</v>
      </c>
    </row>
    <row r="135" spans="1:16" x14ac:dyDescent="0.25">
      <c r="A135" t="str">
        <f>maluku_papua!U65</f>
        <v>MALUKU_PAPUA</v>
      </c>
      <c r="B135">
        <f>maluku_papua!V65</f>
        <v>2032</v>
      </c>
      <c r="C135">
        <f>maluku_papua!W65</f>
        <v>4575432.3696734868</v>
      </c>
      <c r="D135">
        <f>maluku_papua!X65</f>
        <v>7495.0143781203033</v>
      </c>
      <c r="E135">
        <f>maluku_papua!Y65</f>
        <v>1827637.949327247</v>
      </c>
      <c r="F135">
        <f>maluku_papua!Z65</f>
        <v>2625429.3269803533</v>
      </c>
      <c r="G135">
        <f>maluku_papua!AA65</f>
        <v>-1.3732435830021722E-15</v>
      </c>
      <c r="H135">
        <f>maluku_papua!AB65</f>
        <v>0</v>
      </c>
      <c r="I135">
        <f>maluku_papua!AC65</f>
        <v>0</v>
      </c>
      <c r="J135">
        <f>maluku_papua!AD65</f>
        <v>0</v>
      </c>
      <c r="K135">
        <f>maluku_papua!AE65</f>
        <v>0</v>
      </c>
      <c r="L135">
        <f>maluku_papua!AF65</f>
        <v>0</v>
      </c>
      <c r="M135">
        <f>maluku_papua!AG65</f>
        <v>0</v>
      </c>
      <c r="N135">
        <f>maluku_papua!AH65</f>
        <v>0</v>
      </c>
      <c r="O135">
        <f>maluku_papua!AI65</f>
        <v>0</v>
      </c>
      <c r="P135">
        <f>maluku_papua!AJ65</f>
        <v>9035994.6603592075</v>
      </c>
    </row>
    <row r="136" spans="1:16" x14ac:dyDescent="0.25">
      <c r="A136" t="str">
        <f>maluku_papua!U66</f>
        <v>MALUKU_PAPUA</v>
      </c>
      <c r="B136">
        <f>maluku_papua!V66</f>
        <v>2033</v>
      </c>
      <c r="C136">
        <f>maluku_papua!W66</f>
        <v>5020765.4763390962</v>
      </c>
      <c r="D136">
        <f>maluku_papua!X66</f>
        <v>7495.0143781203033</v>
      </c>
      <c r="E136">
        <f>maluku_papua!Y66</f>
        <v>1987716.4849434339</v>
      </c>
      <c r="F136">
        <f>maluku_papua!Z66</f>
        <v>2625429.3269803533</v>
      </c>
      <c r="G136">
        <f>maluku_papua!AA66</f>
        <v>-6.2899999682352124E-8</v>
      </c>
      <c r="H136">
        <f>maluku_papua!AB66</f>
        <v>0</v>
      </c>
      <c r="I136">
        <f>maluku_papua!AC66</f>
        <v>0</v>
      </c>
      <c r="J136">
        <f>maluku_papua!AD66</f>
        <v>0</v>
      </c>
      <c r="K136">
        <f>maluku_papua!AE66</f>
        <v>0</v>
      </c>
      <c r="L136">
        <f>maluku_papua!AF66</f>
        <v>0</v>
      </c>
      <c r="M136">
        <f>maluku_papua!AG66</f>
        <v>0</v>
      </c>
      <c r="N136">
        <f>maluku_papua!AH66</f>
        <v>0</v>
      </c>
      <c r="O136">
        <f>maluku_papua!AI66</f>
        <v>0</v>
      </c>
      <c r="P136">
        <f>maluku_papua!AJ66</f>
        <v>9641406.302640941</v>
      </c>
    </row>
    <row r="137" spans="1:16" x14ac:dyDescent="0.25">
      <c r="A137" t="str">
        <f>maluku_papua!U67</f>
        <v>MALUKU_PAPUA</v>
      </c>
      <c r="B137">
        <f>maluku_papua!V67</f>
        <v>2034</v>
      </c>
      <c r="C137">
        <f>maluku_papua!W67</f>
        <v>5492086.9900347805</v>
      </c>
      <c r="D137">
        <f>maluku_papua!X67</f>
        <v>7495.0125043634307</v>
      </c>
      <c r="E137">
        <f>maluku_papua!Y67</f>
        <v>2162369.1953983861</v>
      </c>
      <c r="F137">
        <f>maluku_papua!Z67</f>
        <v>2625429.3269803533</v>
      </c>
      <c r="G137">
        <f>maluku_papua!AA67</f>
        <v>0</v>
      </c>
      <c r="H137">
        <f>maluku_papua!AB67</f>
        <v>0</v>
      </c>
      <c r="I137">
        <f>maluku_papua!AC67</f>
        <v>0</v>
      </c>
      <c r="J137">
        <f>maluku_papua!AD67</f>
        <v>0</v>
      </c>
      <c r="K137">
        <f>maluku_papua!AE67</f>
        <v>0</v>
      </c>
      <c r="L137">
        <f>maluku_papua!AF67</f>
        <v>0</v>
      </c>
      <c r="M137">
        <f>maluku_papua!AG67</f>
        <v>0</v>
      </c>
      <c r="N137">
        <f>maluku_papua!AH67</f>
        <v>0</v>
      </c>
      <c r="O137">
        <f>maluku_papua!AI67</f>
        <v>0</v>
      </c>
      <c r="P137">
        <f>maluku_papua!AJ67</f>
        <v>10287380.524917882</v>
      </c>
    </row>
    <row r="138" spans="1:16" x14ac:dyDescent="0.25">
      <c r="A138" t="str">
        <f>maluku_papua!U68</f>
        <v>MALUKU_PAPUA</v>
      </c>
      <c r="B138">
        <f>maluku_papua!V68</f>
        <v>2035</v>
      </c>
      <c r="C138">
        <f>maluku_papua!W68</f>
        <v>6004427.44420115</v>
      </c>
      <c r="D138">
        <f>maluku_papua!X68</f>
        <v>7495.0106306065627</v>
      </c>
      <c r="E138">
        <f>maluku_papua!Y68</f>
        <v>2339283.2396427877</v>
      </c>
      <c r="F138">
        <f>maluku_papua!Z68</f>
        <v>2625429.3269803533</v>
      </c>
      <c r="G138">
        <f>maluku_papua!AA68</f>
        <v>-6.2899999034158454E-8</v>
      </c>
      <c r="H138">
        <f>maluku_papua!AB68</f>
        <v>0</v>
      </c>
      <c r="I138">
        <f>maluku_papua!AC68</f>
        <v>0</v>
      </c>
      <c r="J138">
        <f>maluku_papua!AD68</f>
        <v>0</v>
      </c>
      <c r="K138">
        <f>maluku_papua!AE68</f>
        <v>0</v>
      </c>
      <c r="L138">
        <f>maluku_papua!AF68</f>
        <v>0</v>
      </c>
      <c r="M138">
        <f>maluku_papua!AG68</f>
        <v>0</v>
      </c>
      <c r="N138">
        <f>maluku_papua!AH68</f>
        <v>0</v>
      </c>
      <c r="O138">
        <f>maluku_papua!AI68</f>
        <v>0</v>
      </c>
      <c r="P138">
        <f>maluku_papua!AJ68</f>
        <v>10976635.021454833</v>
      </c>
    </row>
    <row r="139" spans="1:16" x14ac:dyDescent="0.25">
      <c r="A139" t="str">
        <f>maluku_papua!U69</f>
        <v>MALUKU_PAPUA</v>
      </c>
      <c r="B139">
        <f>maluku_papua!V69</f>
        <v>2036</v>
      </c>
      <c r="C139">
        <f>maluku_papua!W69</f>
        <v>6480035.5947253378</v>
      </c>
      <c r="D139">
        <f>maluku_papua!X69</f>
        <v>7495.0106306065627</v>
      </c>
      <c r="E139">
        <f>maluku_papua!Y69</f>
        <v>2599109.6355560105</v>
      </c>
      <c r="F139">
        <f>maluku_papua!Z69</f>
        <v>2625429.3269803533</v>
      </c>
      <c r="G139">
        <f>maluku_papua!AA69</f>
        <v>-1.3732435830021722E-15</v>
      </c>
      <c r="H139">
        <f>maluku_papua!AB69</f>
        <v>0</v>
      </c>
      <c r="I139">
        <f>maluku_papua!AC69</f>
        <v>0</v>
      </c>
      <c r="J139">
        <f>maluku_papua!AD69</f>
        <v>0</v>
      </c>
      <c r="K139">
        <f>maluku_papua!AE69</f>
        <v>0</v>
      </c>
      <c r="L139">
        <f>maluku_papua!AF69</f>
        <v>0</v>
      </c>
      <c r="M139">
        <f>maluku_papua!AG69</f>
        <v>0</v>
      </c>
      <c r="N139">
        <f>maluku_papua!AH69</f>
        <v>0</v>
      </c>
      <c r="O139">
        <f>maluku_papua!AI69</f>
        <v>0</v>
      </c>
      <c r="P139">
        <f>maluku_papua!AJ69</f>
        <v>11712069.567892309</v>
      </c>
    </row>
    <row r="140" spans="1:16" x14ac:dyDescent="0.25">
      <c r="A140" t="str">
        <f>maluku_papua!U70</f>
        <v>MALUKU_PAPUA</v>
      </c>
      <c r="B140">
        <f>maluku_papua!V70</f>
        <v>2037</v>
      </c>
      <c r="C140">
        <f>maluku_papua!W70</f>
        <v>6990989.8548905617</v>
      </c>
      <c r="D140">
        <f>maluku_papua!X70</f>
        <v>7495.0106306065627</v>
      </c>
      <c r="E140">
        <f>maluku_papua!Y70</f>
        <v>2872864.0364395664</v>
      </c>
      <c r="F140">
        <f>maluku_papua!Z70</f>
        <v>2625429.3269803533</v>
      </c>
      <c r="G140">
        <f>maluku_papua!AA70</f>
        <v>0</v>
      </c>
      <c r="H140">
        <f>maluku_papua!AB70</f>
        <v>0</v>
      </c>
      <c r="I140">
        <f>maluku_papua!AC70</f>
        <v>0</v>
      </c>
      <c r="J140">
        <f>maluku_papua!AD70</f>
        <v>0</v>
      </c>
      <c r="K140">
        <f>maluku_papua!AE70</f>
        <v>0</v>
      </c>
      <c r="L140">
        <f>maluku_papua!AF70</f>
        <v>0</v>
      </c>
      <c r="M140">
        <f>maluku_papua!AG70</f>
        <v>0</v>
      </c>
      <c r="N140">
        <f>maluku_papua!AH70</f>
        <v>0</v>
      </c>
      <c r="O140">
        <f>maluku_papua!AI70</f>
        <v>0</v>
      </c>
      <c r="P140">
        <f>maluku_papua!AJ70</f>
        <v>12496778.228941087</v>
      </c>
    </row>
    <row r="141" spans="1:16" x14ac:dyDescent="0.25">
      <c r="A141" t="str">
        <f>maluku_papua!U71</f>
        <v>MALUKU_PAPUA</v>
      </c>
      <c r="B141">
        <f>maluku_papua!V71</f>
        <v>2038</v>
      </c>
      <c r="C141">
        <f>maluku_papua!W71</f>
        <v>7531136.0536231045</v>
      </c>
      <c r="D141">
        <f>maluku_papua!X71</f>
        <v>7495.0087568496911</v>
      </c>
      <c r="E141">
        <f>maluku_papua!Y71</f>
        <v>3170001.9804136851</v>
      </c>
      <c r="F141">
        <f>maluku_papua!Z71</f>
        <v>2625429.3269803533</v>
      </c>
      <c r="G141">
        <f>maluku_papua!AA71</f>
        <v>0</v>
      </c>
      <c r="H141">
        <f>maluku_papua!AB71</f>
        <v>0</v>
      </c>
      <c r="I141">
        <f>maluku_papua!AC71</f>
        <v>0</v>
      </c>
      <c r="J141">
        <f>maluku_papua!AD71</f>
        <v>0</v>
      </c>
      <c r="K141">
        <f>maluku_papua!AE71</f>
        <v>0</v>
      </c>
      <c r="L141">
        <f>maluku_papua!AF71</f>
        <v>0</v>
      </c>
      <c r="M141">
        <f>maluku_papua!AG71</f>
        <v>0</v>
      </c>
      <c r="N141">
        <f>maluku_papua!AH71</f>
        <v>0</v>
      </c>
      <c r="O141">
        <f>maluku_papua!AI71</f>
        <v>0</v>
      </c>
      <c r="P141">
        <f>maluku_papua!AJ71</f>
        <v>13334062.369773991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2877-2B1E-447F-A52C-8696E6653A7C}">
  <dimension ref="A1:P141"/>
  <sheetViews>
    <sheetView workbookViewId="0">
      <selection activeCell="C2" sqref="C2"/>
    </sheetView>
  </sheetViews>
  <sheetFormatPr defaultRowHeight="15" x14ac:dyDescent="0.25"/>
  <cols>
    <col min="1" max="1" width="17.42578125" customWidth="1"/>
  </cols>
  <sheetData>
    <row r="1" spans="1:16" x14ac:dyDescent="0.25">
      <c r="A1" t="str">
        <f>indonesia!AO51</f>
        <v>region</v>
      </c>
      <c r="B1" t="str">
        <f>indonesia!AP51</f>
        <v>year</v>
      </c>
      <c r="C1" t="str">
        <f>indonesia!AQ51</f>
        <v>coal</v>
      </c>
      <c r="D1" t="str">
        <f>indonesia!AR51</f>
        <v>ocgt</v>
      </c>
      <c r="E1" t="str">
        <f>indonesia!AS51</f>
        <v>ccgt</v>
      </c>
      <c r="F1" t="str">
        <f>indonesia!AT51</f>
        <v>reciprocating</v>
      </c>
      <c r="G1" t="str">
        <f>indonesia!AU51</f>
        <v>geothermal</v>
      </c>
      <c r="H1" t="str">
        <f>indonesia!AV51</f>
        <v>lhydro</v>
      </c>
      <c r="I1" t="str">
        <f>indonesia!AW51</f>
        <v>mhydro</v>
      </c>
      <c r="J1" t="str">
        <f>indonesia!AX51</f>
        <v>solar</v>
      </c>
      <c r="K1" t="str">
        <f>indonesia!AY51</f>
        <v>wind</v>
      </c>
      <c r="L1" t="str">
        <f>indonesia!AZ51</f>
        <v>biomass</v>
      </c>
      <c r="M1" t="str">
        <f>indonesia!BA51</f>
        <v>ocean</v>
      </c>
      <c r="N1" t="str">
        <f>indonesia!BB51</f>
        <v>waste</v>
      </c>
      <c r="O1" t="str">
        <f>indonesia!BC51</f>
        <v>storage</v>
      </c>
      <c r="P1" t="str">
        <f>indonesia!BD51</f>
        <v>total</v>
      </c>
    </row>
    <row r="2" spans="1:16" x14ac:dyDescent="0.25">
      <c r="A2" t="str">
        <f>indonesia!AO52</f>
        <v>INDONESIA</v>
      </c>
      <c r="B2">
        <f>indonesia!AP52</f>
        <v>2019</v>
      </c>
      <c r="C2">
        <f>SUM(C22,C42,C62,C82,C102,C122)</f>
        <v>1594.2526376387459</v>
      </c>
      <c r="D2">
        <f t="shared" ref="D2:P2" si="0">SUM(D22,D42,D62,D82,D102,D122)</f>
        <v>126.87719464123568</v>
      </c>
      <c r="E2">
        <f t="shared" si="0"/>
        <v>262.78489925769122</v>
      </c>
      <c r="F2">
        <f t="shared" si="0"/>
        <v>52.493925748358642</v>
      </c>
      <c r="G2">
        <f t="shared" si="0"/>
        <v>97.863350238976082</v>
      </c>
      <c r="H2">
        <f t="shared" si="0"/>
        <v>215.1632716572953</v>
      </c>
      <c r="I2">
        <f t="shared" si="0"/>
        <v>8.5431961535622829</v>
      </c>
      <c r="J2">
        <f t="shared" si="0"/>
        <v>0.189216</v>
      </c>
      <c r="K2">
        <f t="shared" si="0"/>
        <v>0</v>
      </c>
      <c r="L2">
        <f t="shared" si="0"/>
        <v>6.1664380627951374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2364.33412939866</v>
      </c>
    </row>
    <row r="3" spans="1:16" x14ac:dyDescent="0.25">
      <c r="A3" t="str">
        <f>indonesia!AO53</f>
        <v>INDONESIA</v>
      </c>
      <c r="B3">
        <f>indonesia!AP53</f>
        <v>2020</v>
      </c>
      <c r="C3">
        <f t="shared" ref="C3:P18" si="1">SUM(C23,C43,C63,C83,C103,C123)</f>
        <v>4732.5147672141229</v>
      </c>
      <c r="D3">
        <f t="shared" si="1"/>
        <v>131.27585206936277</v>
      </c>
      <c r="E3">
        <f t="shared" si="1"/>
        <v>2033.4613877752442</v>
      </c>
      <c r="F3">
        <f t="shared" si="1"/>
        <v>52.493925748358642</v>
      </c>
      <c r="G3">
        <f t="shared" si="1"/>
        <v>97.863350238976082</v>
      </c>
      <c r="H3">
        <f t="shared" si="1"/>
        <v>5003.6020368108584</v>
      </c>
      <c r="I3">
        <f t="shared" si="1"/>
        <v>665.62721229438091</v>
      </c>
      <c r="J3">
        <f t="shared" si="1"/>
        <v>7489.2894426616194</v>
      </c>
      <c r="K3">
        <f t="shared" si="1"/>
        <v>151.6502167951129</v>
      </c>
      <c r="L3">
        <f t="shared" si="1"/>
        <v>131.49607313018777</v>
      </c>
      <c r="M3">
        <f t="shared" si="1"/>
        <v>36.453441840581426</v>
      </c>
      <c r="N3">
        <f t="shared" si="1"/>
        <v>0</v>
      </c>
      <c r="O3">
        <f t="shared" si="1"/>
        <v>20.426781053517555</v>
      </c>
      <c r="P3">
        <f t="shared" si="1"/>
        <v>20546.154487632328</v>
      </c>
    </row>
    <row r="4" spans="1:16" x14ac:dyDescent="0.25">
      <c r="A4" t="str">
        <f>indonesia!AO54</f>
        <v>INDONESIA</v>
      </c>
      <c r="B4">
        <f>indonesia!AP54</f>
        <v>2021</v>
      </c>
      <c r="C4">
        <f t="shared" si="1"/>
        <v>4162.5576896766634</v>
      </c>
      <c r="D4">
        <f t="shared" si="1"/>
        <v>127.00930495611647</v>
      </c>
      <c r="E4">
        <f t="shared" si="1"/>
        <v>4643.6447370862652</v>
      </c>
      <c r="F4">
        <f t="shared" si="1"/>
        <v>52.493926253761522</v>
      </c>
      <c r="G4">
        <f t="shared" si="1"/>
        <v>649.59671575026425</v>
      </c>
      <c r="H4">
        <f t="shared" si="1"/>
        <v>2961.1156780747101</v>
      </c>
      <c r="I4">
        <f t="shared" si="1"/>
        <v>4043.7115571864065</v>
      </c>
      <c r="J4">
        <f t="shared" si="1"/>
        <v>1068.5835920794484</v>
      </c>
      <c r="K4">
        <f t="shared" si="1"/>
        <v>2608.5719369188819</v>
      </c>
      <c r="L4">
        <f t="shared" si="1"/>
        <v>9.0910947761499994</v>
      </c>
      <c r="M4">
        <f t="shared" si="1"/>
        <v>14.028894608612402</v>
      </c>
      <c r="N4">
        <f t="shared" si="1"/>
        <v>0</v>
      </c>
      <c r="O4">
        <f t="shared" si="1"/>
        <v>3.4869058973741218</v>
      </c>
      <c r="P4">
        <f t="shared" si="1"/>
        <v>20343.892033264652</v>
      </c>
    </row>
    <row r="5" spans="1:16" x14ac:dyDescent="0.25">
      <c r="A5" t="str">
        <f>indonesia!AO55</f>
        <v>INDONESIA</v>
      </c>
      <c r="B5">
        <f>indonesia!AP55</f>
        <v>2022</v>
      </c>
      <c r="C5">
        <f t="shared" si="1"/>
        <v>2417.3139785695162</v>
      </c>
      <c r="D5">
        <f t="shared" si="1"/>
        <v>127.00930488861329</v>
      </c>
      <c r="E5">
        <f t="shared" si="1"/>
        <v>6938.9846435709651</v>
      </c>
      <c r="F5">
        <f t="shared" si="1"/>
        <v>89.356322176788126</v>
      </c>
      <c r="G5">
        <f t="shared" si="1"/>
        <v>104.82554068788245</v>
      </c>
      <c r="H5">
        <f t="shared" si="1"/>
        <v>593.6000353780496</v>
      </c>
      <c r="I5">
        <f t="shared" si="1"/>
        <v>180.95916852174037</v>
      </c>
      <c r="J5">
        <f t="shared" si="1"/>
        <v>2545.0607229854591</v>
      </c>
      <c r="K5">
        <f t="shared" si="1"/>
        <v>123.94562581419326</v>
      </c>
      <c r="L5">
        <f t="shared" si="1"/>
        <v>9.0910947329827749</v>
      </c>
      <c r="M5">
        <f t="shared" si="1"/>
        <v>1.5111300062682376</v>
      </c>
      <c r="N5">
        <f t="shared" si="1"/>
        <v>0</v>
      </c>
      <c r="O5">
        <f t="shared" si="1"/>
        <v>2.4298616463407514</v>
      </c>
      <c r="P5">
        <f t="shared" si="1"/>
        <v>13134.087428978799</v>
      </c>
    </row>
    <row r="6" spans="1:16" x14ac:dyDescent="0.25">
      <c r="A6" t="str">
        <f>indonesia!AO56</f>
        <v>INDONESIA</v>
      </c>
      <c r="B6">
        <f>indonesia!AP56</f>
        <v>2023</v>
      </c>
      <c r="C6">
        <f t="shared" si="1"/>
        <v>2292.1295801197366</v>
      </c>
      <c r="D6">
        <f t="shared" si="1"/>
        <v>304.69447633767328</v>
      </c>
      <c r="E6">
        <f t="shared" si="1"/>
        <v>5626.4572881258964</v>
      </c>
      <c r="F6">
        <f t="shared" si="1"/>
        <v>54.863096977862604</v>
      </c>
      <c r="G6">
        <f t="shared" si="1"/>
        <v>466.14004587026244</v>
      </c>
      <c r="H6">
        <f t="shared" si="1"/>
        <v>936.88281784573553</v>
      </c>
      <c r="I6">
        <f t="shared" si="1"/>
        <v>149.11620499184559</v>
      </c>
      <c r="J6">
        <f t="shared" si="1"/>
        <v>1366.2738624404633</v>
      </c>
      <c r="K6">
        <f t="shared" si="1"/>
        <v>612.70367635856019</v>
      </c>
      <c r="L6">
        <f t="shared" si="1"/>
        <v>127.16652582704415</v>
      </c>
      <c r="M6">
        <f t="shared" si="1"/>
        <v>1.3625169733266318</v>
      </c>
      <c r="N6">
        <f t="shared" si="1"/>
        <v>0</v>
      </c>
      <c r="O6">
        <f t="shared" si="1"/>
        <v>2.068862545796351</v>
      </c>
      <c r="P6">
        <f t="shared" si="1"/>
        <v>11939.858954414203</v>
      </c>
    </row>
    <row r="7" spans="1:16" x14ac:dyDescent="0.25">
      <c r="A7" t="str">
        <f>indonesia!AO57</f>
        <v>INDONESIA</v>
      </c>
      <c r="B7">
        <f>indonesia!AP57</f>
        <v>2024</v>
      </c>
      <c r="C7">
        <f t="shared" si="1"/>
        <v>2262.9548156741398</v>
      </c>
      <c r="D7">
        <f t="shared" si="1"/>
        <v>503.90232044963852</v>
      </c>
      <c r="E7">
        <f t="shared" si="1"/>
        <v>5470.5448601462058</v>
      </c>
      <c r="F7">
        <f t="shared" si="1"/>
        <v>251.95135847119792</v>
      </c>
      <c r="G7">
        <f t="shared" si="1"/>
        <v>270.71474334505149</v>
      </c>
      <c r="H7">
        <f t="shared" si="1"/>
        <v>391.29296329877792</v>
      </c>
      <c r="I7">
        <f t="shared" si="1"/>
        <v>501.04532712764467</v>
      </c>
      <c r="J7">
        <f t="shared" si="1"/>
        <v>164.90374636173169</v>
      </c>
      <c r="K7">
        <f t="shared" si="1"/>
        <v>2544.254411349631</v>
      </c>
      <c r="L7">
        <f t="shared" si="1"/>
        <v>218.18047142168538</v>
      </c>
      <c r="M7">
        <f t="shared" si="1"/>
        <v>1.3361267381044568</v>
      </c>
      <c r="N7">
        <f t="shared" si="1"/>
        <v>0</v>
      </c>
      <c r="O7">
        <f t="shared" si="1"/>
        <v>2.3458552819857328</v>
      </c>
      <c r="P7">
        <f t="shared" si="1"/>
        <v>12583.426999665793</v>
      </c>
    </row>
    <row r="8" spans="1:16" x14ac:dyDescent="0.25">
      <c r="A8" t="str">
        <f>indonesia!AO58</f>
        <v>INDONESIA</v>
      </c>
      <c r="B8">
        <f>indonesia!AP58</f>
        <v>2025</v>
      </c>
      <c r="C8">
        <f t="shared" si="1"/>
        <v>2108.0607876558984</v>
      </c>
      <c r="D8">
        <f t="shared" si="1"/>
        <v>546.54544533376634</v>
      </c>
      <c r="E8">
        <f t="shared" si="1"/>
        <v>3151.4315244998902</v>
      </c>
      <c r="F8">
        <f t="shared" si="1"/>
        <v>719.02440630543686</v>
      </c>
      <c r="G8">
        <f t="shared" si="1"/>
        <v>208.39967678626059</v>
      </c>
      <c r="H8">
        <f t="shared" si="1"/>
        <v>1489.92865050812</v>
      </c>
      <c r="I8">
        <f t="shared" si="1"/>
        <v>226.69921405234692</v>
      </c>
      <c r="J8">
        <f t="shared" si="1"/>
        <v>307.34080577621421</v>
      </c>
      <c r="K8">
        <f t="shared" si="1"/>
        <v>4369.7640289413966</v>
      </c>
      <c r="L8">
        <f t="shared" si="1"/>
        <v>242.6000944563682</v>
      </c>
      <c r="M8">
        <f t="shared" si="1"/>
        <v>1.3362010297269986</v>
      </c>
      <c r="N8">
        <f t="shared" si="1"/>
        <v>0</v>
      </c>
      <c r="O8">
        <f t="shared" si="1"/>
        <v>2.4593562595441698</v>
      </c>
      <c r="P8">
        <f t="shared" si="1"/>
        <v>13373.59019160497</v>
      </c>
    </row>
    <row r="9" spans="1:16" x14ac:dyDescent="0.25">
      <c r="A9" t="str">
        <f>indonesia!AO59</f>
        <v>INDONESIA</v>
      </c>
      <c r="B9">
        <f>indonesia!AP59</f>
        <v>2026</v>
      </c>
      <c r="C9">
        <f t="shared" si="1"/>
        <v>3182.5837910119017</v>
      </c>
      <c r="D9">
        <f t="shared" si="1"/>
        <v>214.25084536379867</v>
      </c>
      <c r="E9">
        <f t="shared" si="1"/>
        <v>1647.0783476230404</v>
      </c>
      <c r="F9">
        <f t="shared" si="1"/>
        <v>255.72342121868462</v>
      </c>
      <c r="G9">
        <f t="shared" si="1"/>
        <v>831.06492756112618</v>
      </c>
      <c r="H9">
        <f t="shared" si="1"/>
        <v>961.19304820057687</v>
      </c>
      <c r="I9">
        <f t="shared" si="1"/>
        <v>2802.3054835925295</v>
      </c>
      <c r="J9">
        <f t="shared" si="1"/>
        <v>634.3348628032918</v>
      </c>
      <c r="K9">
        <f t="shared" si="1"/>
        <v>544.14189053481005</v>
      </c>
      <c r="L9">
        <f t="shared" si="1"/>
        <v>253.03761964956499</v>
      </c>
      <c r="M9">
        <f t="shared" si="1"/>
        <v>1.6018788201000069</v>
      </c>
      <c r="N9">
        <f t="shared" si="1"/>
        <v>121.79011319324341</v>
      </c>
      <c r="O9">
        <f t="shared" si="1"/>
        <v>1.4458074794331837</v>
      </c>
      <c r="P9">
        <f t="shared" si="1"/>
        <v>11450.552037052101</v>
      </c>
    </row>
    <row r="10" spans="1:16" x14ac:dyDescent="0.25">
      <c r="A10" t="str">
        <f>indonesia!AO60</f>
        <v>INDONESIA</v>
      </c>
      <c r="B10">
        <f>indonesia!AP60</f>
        <v>2027</v>
      </c>
      <c r="C10">
        <f t="shared" si="1"/>
        <v>3575.7977918651027</v>
      </c>
      <c r="D10">
        <f t="shared" si="1"/>
        <v>411.62578781166104</v>
      </c>
      <c r="E10">
        <f t="shared" si="1"/>
        <v>6577.7363546019806</v>
      </c>
      <c r="F10">
        <f t="shared" si="1"/>
        <v>114.32451981586146</v>
      </c>
      <c r="G10">
        <f t="shared" si="1"/>
        <v>121.7098478432802</v>
      </c>
      <c r="H10">
        <f t="shared" si="1"/>
        <v>2343.3965268867196</v>
      </c>
      <c r="I10">
        <f t="shared" si="1"/>
        <v>4271.6791873324109</v>
      </c>
      <c r="J10">
        <f t="shared" si="1"/>
        <v>1369.6045681299963</v>
      </c>
      <c r="K10">
        <f t="shared" si="1"/>
        <v>2935.6761019889059</v>
      </c>
      <c r="L10">
        <f t="shared" si="1"/>
        <v>123.02602566426188</v>
      </c>
      <c r="M10">
        <f t="shared" si="1"/>
        <v>2.0053724737692402</v>
      </c>
      <c r="N10">
        <f t="shared" si="1"/>
        <v>4.1641024447473516</v>
      </c>
      <c r="O10">
        <f t="shared" si="1"/>
        <v>3.72848757992017</v>
      </c>
      <c r="P10">
        <f t="shared" si="1"/>
        <v>21854.474674438618</v>
      </c>
    </row>
    <row r="11" spans="1:16" x14ac:dyDescent="0.25">
      <c r="A11" t="str">
        <f>indonesia!AO61</f>
        <v>INDONESIA</v>
      </c>
      <c r="B11">
        <f>indonesia!AP61</f>
        <v>2028</v>
      </c>
      <c r="C11">
        <f t="shared" si="1"/>
        <v>3238.7820533521217</v>
      </c>
      <c r="D11">
        <f t="shared" si="1"/>
        <v>574.06459408619151</v>
      </c>
      <c r="E11">
        <f t="shared" si="1"/>
        <v>4397.1829998414505</v>
      </c>
      <c r="F11">
        <f t="shared" si="1"/>
        <v>416.95780403728577</v>
      </c>
      <c r="G11">
        <f t="shared" si="1"/>
        <v>121.7098516982802</v>
      </c>
      <c r="H11">
        <f t="shared" si="1"/>
        <v>1190.0210321199488</v>
      </c>
      <c r="I11">
        <f t="shared" si="1"/>
        <v>1496.2715224225301</v>
      </c>
      <c r="J11">
        <f t="shared" si="1"/>
        <v>1035.3980467123324</v>
      </c>
      <c r="K11">
        <f t="shared" si="1"/>
        <v>2722.586777702757</v>
      </c>
      <c r="L11">
        <f t="shared" si="1"/>
        <v>29.56005624604575</v>
      </c>
      <c r="M11">
        <f t="shared" si="1"/>
        <v>31.428171800050787</v>
      </c>
      <c r="N11">
        <f t="shared" si="1"/>
        <v>4.1641024447473516</v>
      </c>
      <c r="O11">
        <f t="shared" si="1"/>
        <v>2.5720279978214182</v>
      </c>
      <c r="P11">
        <f t="shared" si="1"/>
        <v>15260.699040461563</v>
      </c>
    </row>
    <row r="12" spans="1:16" x14ac:dyDescent="0.25">
      <c r="A12" t="str">
        <f>indonesia!AO62</f>
        <v>INDONESIA</v>
      </c>
      <c r="B12">
        <f>indonesia!AP62</f>
        <v>2029</v>
      </c>
      <c r="C12">
        <f t="shared" si="1"/>
        <v>2100.8622484883049</v>
      </c>
      <c r="D12">
        <f t="shared" si="1"/>
        <v>788.14944052470469</v>
      </c>
      <c r="E12">
        <f t="shared" si="1"/>
        <v>3791.7214099700473</v>
      </c>
      <c r="F12">
        <f t="shared" si="1"/>
        <v>68.538267311133325</v>
      </c>
      <c r="G12">
        <f t="shared" si="1"/>
        <v>121.7098477940135</v>
      </c>
      <c r="H12">
        <f t="shared" si="1"/>
        <v>480.78492793113412</v>
      </c>
      <c r="I12">
        <f t="shared" si="1"/>
        <v>357.13294972462643</v>
      </c>
      <c r="J12">
        <f t="shared" si="1"/>
        <v>1011.78346540577</v>
      </c>
      <c r="K12">
        <f t="shared" si="1"/>
        <v>2137.4415296434554</v>
      </c>
      <c r="L12">
        <f t="shared" si="1"/>
        <v>294.2963232334921</v>
      </c>
      <c r="M12">
        <f t="shared" si="1"/>
        <v>2.1693617955271378</v>
      </c>
      <c r="N12">
        <f t="shared" si="1"/>
        <v>4.1641024447473516</v>
      </c>
      <c r="O12">
        <f t="shared" si="1"/>
        <v>1.7065668300584738</v>
      </c>
      <c r="P12">
        <f t="shared" si="1"/>
        <v>11160.460441097015</v>
      </c>
    </row>
    <row r="13" spans="1:16" x14ac:dyDescent="0.25">
      <c r="A13" t="str">
        <f>indonesia!AO63</f>
        <v>INDONESIA</v>
      </c>
      <c r="B13">
        <f>indonesia!AP63</f>
        <v>2030</v>
      </c>
      <c r="C13">
        <f t="shared" si="1"/>
        <v>3104.7976689470943</v>
      </c>
      <c r="D13">
        <f t="shared" si="1"/>
        <v>1261.2967875529989</v>
      </c>
      <c r="E13">
        <f t="shared" si="1"/>
        <v>4489.1918172769037</v>
      </c>
      <c r="F13">
        <f t="shared" si="1"/>
        <v>68.853983361898969</v>
      </c>
      <c r="G13">
        <f t="shared" si="1"/>
        <v>145.96907767154295</v>
      </c>
      <c r="H13">
        <f t="shared" si="1"/>
        <v>671.52459939252026</v>
      </c>
      <c r="I13">
        <f t="shared" si="1"/>
        <v>394.28151982771101</v>
      </c>
      <c r="J13">
        <f t="shared" si="1"/>
        <v>1176.4221256670198</v>
      </c>
      <c r="K13">
        <f t="shared" si="1"/>
        <v>2450.7440544209562</v>
      </c>
      <c r="L13">
        <f t="shared" si="1"/>
        <v>35.737870374484892</v>
      </c>
      <c r="M13">
        <f t="shared" si="1"/>
        <v>2.4900396486463707</v>
      </c>
      <c r="N13">
        <f t="shared" si="1"/>
        <v>4.17076737403083</v>
      </c>
      <c r="O13">
        <f t="shared" si="1"/>
        <v>2.27100056437193</v>
      </c>
      <c r="P13">
        <f t="shared" si="1"/>
        <v>13807.751312080183</v>
      </c>
    </row>
    <row r="14" spans="1:16" x14ac:dyDescent="0.25">
      <c r="A14" t="str">
        <f>indonesia!AO64</f>
        <v>INDONESIA</v>
      </c>
      <c r="B14">
        <f>indonesia!AP64</f>
        <v>2031</v>
      </c>
      <c r="C14">
        <f t="shared" si="1"/>
        <v>3050.1263613244146</v>
      </c>
      <c r="D14">
        <f t="shared" si="1"/>
        <v>1505.0901363698197</v>
      </c>
      <c r="E14">
        <f t="shared" si="1"/>
        <v>5682.5961177641948</v>
      </c>
      <c r="F14">
        <f t="shared" si="1"/>
        <v>91.538634234469768</v>
      </c>
      <c r="G14">
        <f t="shared" si="1"/>
        <v>1810.8449888533125</v>
      </c>
      <c r="H14">
        <f t="shared" si="1"/>
        <v>786.05739657774848</v>
      </c>
      <c r="I14">
        <f t="shared" si="1"/>
        <v>373.97332633413839</v>
      </c>
      <c r="J14">
        <f t="shared" si="1"/>
        <v>5472.3824805061458</v>
      </c>
      <c r="K14">
        <f t="shared" si="1"/>
        <v>2865.9258465489438</v>
      </c>
      <c r="L14">
        <f t="shared" si="1"/>
        <v>46.936789609143794</v>
      </c>
      <c r="M14">
        <f t="shared" si="1"/>
        <v>11.351850670522357</v>
      </c>
      <c r="N14">
        <f t="shared" si="1"/>
        <v>48.970733339877192</v>
      </c>
      <c r="O14">
        <f t="shared" si="1"/>
        <v>3.6229903285997422</v>
      </c>
      <c r="P14">
        <f t="shared" si="1"/>
        <v>21749.417652461332</v>
      </c>
    </row>
    <row r="15" spans="1:16" x14ac:dyDescent="0.25">
      <c r="A15" t="str">
        <f>indonesia!AO65</f>
        <v>INDONESIA</v>
      </c>
      <c r="B15">
        <f>indonesia!AP65</f>
        <v>2032</v>
      </c>
      <c r="C15">
        <f t="shared" si="1"/>
        <v>3270.8778079049225</v>
      </c>
      <c r="D15">
        <f t="shared" si="1"/>
        <v>1685.1926327341362</v>
      </c>
      <c r="E15">
        <f t="shared" si="1"/>
        <v>6077.9635067462759</v>
      </c>
      <c r="F15">
        <f t="shared" si="1"/>
        <v>278.25176360398001</v>
      </c>
      <c r="G15">
        <f t="shared" si="1"/>
        <v>254.1872203737957</v>
      </c>
      <c r="H15">
        <f t="shared" si="1"/>
        <v>453.5020577580911</v>
      </c>
      <c r="I15">
        <f t="shared" si="1"/>
        <v>415.74387933135068</v>
      </c>
      <c r="J15">
        <f t="shared" si="1"/>
        <v>2077.4688211158059</v>
      </c>
      <c r="K15">
        <f t="shared" si="1"/>
        <v>3330.1361412082647</v>
      </c>
      <c r="L15">
        <f t="shared" si="1"/>
        <v>44.82509824715617</v>
      </c>
      <c r="M15">
        <f t="shared" si="1"/>
        <v>2.7434191401941646</v>
      </c>
      <c r="N15">
        <f t="shared" si="1"/>
        <v>5.7236034320124176</v>
      </c>
      <c r="O15">
        <f t="shared" si="1"/>
        <v>3.1446331999030486</v>
      </c>
      <c r="P15">
        <f t="shared" si="1"/>
        <v>17899.760584795888</v>
      </c>
    </row>
    <row r="16" spans="1:16" x14ac:dyDescent="0.25">
      <c r="A16" t="str">
        <f>indonesia!AO66</f>
        <v>INDONESIA</v>
      </c>
      <c r="B16">
        <f>indonesia!AP66</f>
        <v>2033</v>
      </c>
      <c r="C16">
        <f t="shared" si="1"/>
        <v>3332.5269737283479</v>
      </c>
      <c r="D16">
        <f t="shared" si="1"/>
        <v>1773.3407674276789</v>
      </c>
      <c r="E16">
        <f t="shared" si="1"/>
        <v>6351.0805395188909</v>
      </c>
      <c r="F16">
        <f t="shared" si="1"/>
        <v>105.68412354241035</v>
      </c>
      <c r="G16">
        <f t="shared" si="1"/>
        <v>5425.3991287621111</v>
      </c>
      <c r="H16">
        <f t="shared" si="1"/>
        <v>513.81936396467779</v>
      </c>
      <c r="I16">
        <f t="shared" si="1"/>
        <v>499.409644203624</v>
      </c>
      <c r="J16">
        <f t="shared" si="1"/>
        <v>950.05212231715188</v>
      </c>
      <c r="K16">
        <f t="shared" si="1"/>
        <v>4333.0015550601202</v>
      </c>
      <c r="L16">
        <f t="shared" si="1"/>
        <v>106.74569302791454</v>
      </c>
      <c r="M16">
        <f t="shared" si="1"/>
        <v>6.2830458297175218</v>
      </c>
      <c r="N16">
        <f t="shared" si="1"/>
        <v>73.027131476622884</v>
      </c>
      <c r="O16">
        <f t="shared" si="1"/>
        <v>3.715736727189217</v>
      </c>
      <c r="P16">
        <f t="shared" si="1"/>
        <v>23474.085825586459</v>
      </c>
    </row>
    <row r="17" spans="1:16" x14ac:dyDescent="0.25">
      <c r="A17" t="str">
        <f>indonesia!AO67</f>
        <v>INDONESIA</v>
      </c>
      <c r="B17">
        <f>indonesia!AP67</f>
        <v>2034</v>
      </c>
      <c r="C17">
        <f t="shared" si="1"/>
        <v>5997.1655160679211</v>
      </c>
      <c r="D17">
        <f t="shared" si="1"/>
        <v>1689.898737230654</v>
      </c>
      <c r="E17">
        <f t="shared" si="1"/>
        <v>5430.5143043235848</v>
      </c>
      <c r="F17">
        <f t="shared" si="1"/>
        <v>123.26997664012048</v>
      </c>
      <c r="G17">
        <f t="shared" si="1"/>
        <v>211.36184083890032</v>
      </c>
      <c r="H17">
        <f t="shared" si="1"/>
        <v>536.20956543491798</v>
      </c>
      <c r="I17">
        <f t="shared" si="1"/>
        <v>1284.2566224669583</v>
      </c>
      <c r="J17">
        <f t="shared" si="1"/>
        <v>2023.5766664327186</v>
      </c>
      <c r="K17">
        <f t="shared" si="1"/>
        <v>3749.0385673688234</v>
      </c>
      <c r="L17">
        <f t="shared" si="1"/>
        <v>202.24903147535647</v>
      </c>
      <c r="M17">
        <f t="shared" si="1"/>
        <v>2.7850340106584741</v>
      </c>
      <c r="N17">
        <f t="shared" si="1"/>
        <v>7.9998649751832946</v>
      </c>
      <c r="O17">
        <f t="shared" si="1"/>
        <v>3.5568403520457261</v>
      </c>
      <c r="P17">
        <f t="shared" si="1"/>
        <v>21261.882567617849</v>
      </c>
    </row>
    <row r="18" spans="1:16" x14ac:dyDescent="0.25">
      <c r="A18" t="str">
        <f>indonesia!AO68</f>
        <v>INDONESIA</v>
      </c>
      <c r="B18">
        <f>indonesia!AP68</f>
        <v>2035</v>
      </c>
      <c r="C18">
        <f t="shared" si="1"/>
        <v>5593.8000380049698</v>
      </c>
      <c r="D18">
        <f t="shared" si="1"/>
        <v>2214.8459295605908</v>
      </c>
      <c r="E18">
        <f t="shared" si="1"/>
        <v>6119.3853696823689</v>
      </c>
      <c r="F18">
        <f t="shared" si="1"/>
        <v>210.58609050665771</v>
      </c>
      <c r="G18">
        <f t="shared" si="1"/>
        <v>211.37902781400072</v>
      </c>
      <c r="H18">
        <f t="shared" si="1"/>
        <v>473.53692957660394</v>
      </c>
      <c r="I18">
        <f t="shared" si="1"/>
        <v>483.028255140596</v>
      </c>
      <c r="J18">
        <f t="shared" si="1"/>
        <v>2223.3646324192791</v>
      </c>
      <c r="K18">
        <f t="shared" si="1"/>
        <v>4030.5431784712273</v>
      </c>
      <c r="L18">
        <f t="shared" si="1"/>
        <v>112.71437116835099</v>
      </c>
      <c r="M18">
        <f t="shared" si="1"/>
        <v>2.7687177465308084</v>
      </c>
      <c r="N18">
        <f t="shared" si="1"/>
        <v>8.0075955281668527</v>
      </c>
      <c r="O18">
        <f t="shared" si="1"/>
        <v>3.7244423537227203</v>
      </c>
      <c r="P18">
        <f t="shared" si="1"/>
        <v>21687.684577973065</v>
      </c>
    </row>
    <row r="19" spans="1:16" x14ac:dyDescent="0.25">
      <c r="A19" t="str">
        <f>indonesia!AO69</f>
        <v>INDONESIA</v>
      </c>
      <c r="B19">
        <f>indonesia!AP69</f>
        <v>2036</v>
      </c>
      <c r="C19">
        <f t="shared" ref="C19:P21" si="2">SUM(C39,C59,C79,C99,C119,C139)</f>
        <v>6105.9401597050319</v>
      </c>
      <c r="D19">
        <f t="shared" si="2"/>
        <v>1426.1972050103084</v>
      </c>
      <c r="E19">
        <f t="shared" si="2"/>
        <v>4910.2315876297744</v>
      </c>
      <c r="F19">
        <f t="shared" si="2"/>
        <v>215.16145700867807</v>
      </c>
      <c r="G19">
        <f t="shared" si="2"/>
        <v>7742.1969094689839</v>
      </c>
      <c r="H19">
        <f t="shared" si="2"/>
        <v>1345.8963208097903</v>
      </c>
      <c r="I19">
        <f t="shared" si="2"/>
        <v>1293.6443767569874</v>
      </c>
      <c r="J19">
        <f t="shared" si="2"/>
        <v>2391.9318134512841</v>
      </c>
      <c r="K19">
        <f t="shared" si="2"/>
        <v>4414.0603297024336</v>
      </c>
      <c r="L19">
        <f t="shared" si="2"/>
        <v>303.28810718217682</v>
      </c>
      <c r="M19">
        <f t="shared" si="2"/>
        <v>10.650187168077943</v>
      </c>
      <c r="N19">
        <f t="shared" si="2"/>
        <v>1048.0474150741263</v>
      </c>
      <c r="O19">
        <f t="shared" si="2"/>
        <v>4.4103413142960495</v>
      </c>
      <c r="P19">
        <f t="shared" si="2"/>
        <v>31211.656210281955</v>
      </c>
    </row>
    <row r="20" spans="1:16" x14ac:dyDescent="0.25">
      <c r="A20" t="str">
        <f>indonesia!AO70</f>
        <v>INDONESIA</v>
      </c>
      <c r="B20">
        <f>indonesia!AP70</f>
        <v>2037</v>
      </c>
      <c r="C20">
        <f t="shared" si="2"/>
        <v>5657.7685059172336</v>
      </c>
      <c r="D20">
        <f t="shared" si="2"/>
        <v>2367.6609510986873</v>
      </c>
      <c r="E20">
        <f t="shared" si="2"/>
        <v>4382.8974405771978</v>
      </c>
      <c r="F20">
        <f t="shared" si="2"/>
        <v>123.27921615255823</v>
      </c>
      <c r="G20">
        <f t="shared" si="2"/>
        <v>529.52345270981255</v>
      </c>
      <c r="H20">
        <f t="shared" si="2"/>
        <v>702.06283295686717</v>
      </c>
      <c r="I20">
        <f t="shared" si="2"/>
        <v>348.00347524403139</v>
      </c>
      <c r="J20">
        <f t="shared" si="2"/>
        <v>2319.4311174192421</v>
      </c>
      <c r="K20">
        <f t="shared" si="2"/>
        <v>3899.4508842512932</v>
      </c>
      <c r="L20">
        <f t="shared" si="2"/>
        <v>97.465250661526795</v>
      </c>
      <c r="M20">
        <f t="shared" si="2"/>
        <v>2.7704826828780269</v>
      </c>
      <c r="N20">
        <f t="shared" si="2"/>
        <v>43.561033945745791</v>
      </c>
      <c r="O20">
        <f t="shared" si="2"/>
        <v>3.2061289572423046</v>
      </c>
      <c r="P20">
        <f t="shared" si="2"/>
        <v>20477.080772574314</v>
      </c>
    </row>
    <row r="21" spans="1:16" x14ac:dyDescent="0.25">
      <c r="A21" t="str">
        <f>indonesia!AO71</f>
        <v>INDONESIA</v>
      </c>
      <c r="B21">
        <f>indonesia!AP71</f>
        <v>2038</v>
      </c>
      <c r="C21">
        <f t="shared" si="2"/>
        <v>6956.4260576042998</v>
      </c>
      <c r="D21">
        <f t="shared" si="2"/>
        <v>2610.246787759474</v>
      </c>
      <c r="E21">
        <f t="shared" si="2"/>
        <v>6245.15855548954</v>
      </c>
      <c r="F21">
        <f t="shared" si="2"/>
        <v>88.205113561488645</v>
      </c>
      <c r="G21">
        <f t="shared" si="2"/>
        <v>2321.6823894881209</v>
      </c>
      <c r="H21">
        <f t="shared" si="2"/>
        <v>702.11017521824851</v>
      </c>
      <c r="I21">
        <f t="shared" si="2"/>
        <v>1401.8762106560273</v>
      </c>
      <c r="J21">
        <f t="shared" si="2"/>
        <v>9269.0756666033903</v>
      </c>
      <c r="K21">
        <f t="shared" si="2"/>
        <v>4676.9765100312306</v>
      </c>
      <c r="L21">
        <f t="shared" si="2"/>
        <v>50.532421963066334</v>
      </c>
      <c r="M21">
        <f t="shared" si="2"/>
        <v>19.097880087906795</v>
      </c>
      <c r="N21">
        <f t="shared" si="2"/>
        <v>83.706324609002408</v>
      </c>
      <c r="O21">
        <f t="shared" si="2"/>
        <v>5.6469266594359508</v>
      </c>
      <c r="P21">
        <f t="shared" si="2"/>
        <v>34430.741019731235</v>
      </c>
    </row>
    <row r="22" spans="1:16" x14ac:dyDescent="0.25">
      <c r="A22" t="str">
        <f>sumatera!AO52</f>
        <v>SUMATERA</v>
      </c>
      <c r="B22">
        <f>sumatera!AP52</f>
        <v>2019</v>
      </c>
      <c r="C22">
        <f>sumatera!AQ52</f>
        <v>246.51796275762939</v>
      </c>
      <c r="D22">
        <f>sumatera!AR52</f>
        <v>28.209582834706659</v>
      </c>
      <c r="E22">
        <f>sumatera!AS52</f>
        <v>29.399497516788461</v>
      </c>
      <c r="F22">
        <f>sumatera!AT52</f>
        <v>19.770698948398937</v>
      </c>
      <c r="G22">
        <f>sumatera!AU52</f>
        <v>33.353564573487915</v>
      </c>
      <c r="H22">
        <f>sumatera!AV52</f>
        <v>74.119172024492329</v>
      </c>
      <c r="I22">
        <f>sumatera!AW52</f>
        <v>3.5387628920486147</v>
      </c>
      <c r="J22">
        <f>sumatera!AX52</f>
        <v>1.2204000000000001E-2</v>
      </c>
      <c r="K22">
        <f>sumatera!AY52</f>
        <v>0</v>
      </c>
      <c r="L22">
        <f>sumatera!AZ52</f>
        <v>1.5799204277094998</v>
      </c>
      <c r="M22">
        <f>sumatera!BA52</f>
        <v>0</v>
      </c>
      <c r="N22">
        <f>sumatera!BB52</f>
        <v>0</v>
      </c>
      <c r="O22">
        <f>sumatera!BC52</f>
        <v>0</v>
      </c>
      <c r="P22">
        <f>sumatera!BD52</f>
        <v>436.50136597526188</v>
      </c>
    </row>
    <row r="23" spans="1:16" x14ac:dyDescent="0.25">
      <c r="A23" t="str">
        <f>sumatera!AO53</f>
        <v>SUMATERA</v>
      </c>
      <c r="B23">
        <f>sumatera!AP53</f>
        <v>2020</v>
      </c>
      <c r="C23">
        <f>sumatera!AQ53</f>
        <v>693.08565058566808</v>
      </c>
      <c r="D23">
        <f>sumatera!AR53</f>
        <v>28.209582834706659</v>
      </c>
      <c r="E23">
        <f>sumatera!AS53</f>
        <v>690.68629726239067</v>
      </c>
      <c r="F23">
        <f>sumatera!AT53</f>
        <v>19.770698948398937</v>
      </c>
      <c r="G23">
        <f>sumatera!AU53</f>
        <v>33.353564573487915</v>
      </c>
      <c r="H23">
        <f>sumatera!AV53</f>
        <v>378.86777103422412</v>
      </c>
      <c r="I23">
        <f>sumatera!AW53</f>
        <v>353.54547279515901</v>
      </c>
      <c r="J23">
        <f>sumatera!AX53</f>
        <v>502.98588333442513</v>
      </c>
      <c r="K23">
        <f>sumatera!AY53</f>
        <v>131.4852799814945</v>
      </c>
      <c r="L23">
        <f>sumatera!AZ53</f>
        <v>1.5799204277094998</v>
      </c>
      <c r="M23">
        <f>sumatera!BA53</f>
        <v>8.861396868964091</v>
      </c>
      <c r="N23">
        <f>sumatera!BB53</f>
        <v>0</v>
      </c>
      <c r="O23">
        <f>sumatera!BC53</f>
        <v>4.0122452604749181</v>
      </c>
      <c r="P23">
        <f>sumatera!BD53</f>
        <v>2846.4437639071039</v>
      </c>
    </row>
    <row r="24" spans="1:16" x14ac:dyDescent="0.25">
      <c r="A24" t="str">
        <f>sumatera!AO54</f>
        <v>SUMATERA</v>
      </c>
      <c r="B24">
        <f>sumatera!AP54</f>
        <v>2021</v>
      </c>
      <c r="C24">
        <f>sumatera!AQ54</f>
        <v>510.12232424378425</v>
      </c>
      <c r="D24">
        <f>sumatera!AR54</f>
        <v>28.209582834706659</v>
      </c>
      <c r="E24">
        <f>sumatera!AS54</f>
        <v>1183.3898202627586</v>
      </c>
      <c r="F24">
        <f>sumatera!AT54</f>
        <v>19.770699453801825</v>
      </c>
      <c r="G24">
        <f>sumatera!AU54</f>
        <v>33.353564573487915</v>
      </c>
      <c r="H24">
        <f>sumatera!AV54</f>
        <v>79.569476955565491</v>
      </c>
      <c r="I24">
        <f>sumatera!AW54</f>
        <v>10.283483268134621</v>
      </c>
      <c r="J24">
        <f>sumatera!AX54</f>
        <v>4.8202370472754401</v>
      </c>
      <c r="K24">
        <f>sumatera!AY54</f>
        <v>195.09010172245067</v>
      </c>
      <c r="L24">
        <f>sumatera!AZ54</f>
        <v>1.5799204277094998</v>
      </c>
      <c r="M24">
        <f>sumatera!BA54</f>
        <v>0.23817930644554042</v>
      </c>
      <c r="N24">
        <f>sumatera!BB54</f>
        <v>0</v>
      </c>
      <c r="O24">
        <f>sumatera!BC54</f>
        <v>0.41030413107342106</v>
      </c>
      <c r="P24">
        <f>sumatera!BD54</f>
        <v>2066.8376942271943</v>
      </c>
    </row>
    <row r="25" spans="1:16" x14ac:dyDescent="0.25">
      <c r="A25" t="str">
        <f>sumatera!AO55</f>
        <v>SUMATERA</v>
      </c>
      <c r="B25">
        <f>sumatera!AP55</f>
        <v>2022</v>
      </c>
      <c r="C25">
        <f>sumatera!AQ55</f>
        <v>456.17062711400206</v>
      </c>
      <c r="D25">
        <f>sumatera!AR55</f>
        <v>28.209582834706659</v>
      </c>
      <c r="E25">
        <f>sumatera!AS55</f>
        <v>1382.4148586927674</v>
      </c>
      <c r="F25">
        <f>sumatera!AT55</f>
        <v>46.399522747563708</v>
      </c>
      <c r="G25">
        <f>sumatera!AU55</f>
        <v>33.353564573487915</v>
      </c>
      <c r="H25">
        <f>sumatera!AV55</f>
        <v>79.569476955565491</v>
      </c>
      <c r="I25">
        <f>sumatera!AW55</f>
        <v>10.283483268134621</v>
      </c>
      <c r="J25">
        <f>sumatera!AX55</f>
        <v>4.8202370472754401</v>
      </c>
      <c r="K25">
        <f>sumatera!AY55</f>
        <v>12.350925793144391</v>
      </c>
      <c r="L25">
        <f>sumatera!AZ55</f>
        <v>1.5799204277094998</v>
      </c>
      <c r="M25">
        <f>sumatera!BA55</f>
        <v>0.23817930644554042</v>
      </c>
      <c r="N25">
        <f>sumatera!BB55</f>
        <v>0</v>
      </c>
      <c r="O25">
        <f>sumatera!BC55</f>
        <v>0.40404948291102438</v>
      </c>
      <c r="P25">
        <f>sumatera!BD55</f>
        <v>2055.7944282437138</v>
      </c>
    </row>
    <row r="26" spans="1:16" x14ac:dyDescent="0.25">
      <c r="A26" t="str">
        <f>sumatera!AO56</f>
        <v>SUMATERA</v>
      </c>
      <c r="B26">
        <f>sumatera!AP56</f>
        <v>2023</v>
      </c>
      <c r="C26">
        <f>sumatera!AQ56</f>
        <v>451.09159685729685</v>
      </c>
      <c r="D26">
        <f>sumatera!AR56</f>
        <v>28.209582834706659</v>
      </c>
      <c r="E26">
        <f>sumatera!AS56</f>
        <v>1623.1619501588305</v>
      </c>
      <c r="F26">
        <f>sumatera!AT56</f>
        <v>20.034093760572677</v>
      </c>
      <c r="G26">
        <f>sumatera!AU56</f>
        <v>33.353564573487915</v>
      </c>
      <c r="H26">
        <f>sumatera!AV56</f>
        <v>79.569476955565491</v>
      </c>
      <c r="I26">
        <f>sumatera!AW56</f>
        <v>10.283483268134621</v>
      </c>
      <c r="J26">
        <f>sumatera!AX56</f>
        <v>4.8202370472754401</v>
      </c>
      <c r="K26">
        <f>sumatera!AY56</f>
        <v>51.674530788244802</v>
      </c>
      <c r="L26">
        <f>sumatera!AZ56</f>
        <v>1.5799204277094998</v>
      </c>
      <c r="M26">
        <f>sumatera!BA56</f>
        <v>0.23817930644554042</v>
      </c>
      <c r="N26">
        <f>sumatera!BB56</f>
        <v>0</v>
      </c>
      <c r="O26">
        <f>sumatera!BC56</f>
        <v>0.45364245337553066</v>
      </c>
      <c r="P26">
        <f>sumatera!BD56</f>
        <v>2304.4702584316451</v>
      </c>
    </row>
    <row r="27" spans="1:16" x14ac:dyDescent="0.25">
      <c r="A27" t="str">
        <f>sumatera!AO57</f>
        <v>SUMATERA</v>
      </c>
      <c r="B27">
        <f>sumatera!AP57</f>
        <v>2024</v>
      </c>
      <c r="C27">
        <f>sumatera!AQ57</f>
        <v>585.83947117377397</v>
      </c>
      <c r="D27">
        <f>sumatera!AR57</f>
        <v>28.209582834706659</v>
      </c>
      <c r="E27">
        <f>sumatera!AS57</f>
        <v>1089.1705968976814</v>
      </c>
      <c r="F27">
        <f>sumatera!AT57</f>
        <v>217.99847774617905</v>
      </c>
      <c r="G27">
        <f>sumatera!AU57</f>
        <v>33.353564573487915</v>
      </c>
      <c r="H27">
        <f>sumatera!AV57</f>
        <v>79.569476955565491</v>
      </c>
      <c r="I27">
        <f>sumatera!AW57</f>
        <v>10.283483268134621</v>
      </c>
      <c r="J27">
        <f>sumatera!AX57</f>
        <v>4.8202370472754401</v>
      </c>
      <c r="K27">
        <f>sumatera!AY57</f>
        <v>1345.4730432786428</v>
      </c>
      <c r="L27">
        <f>sumatera!AZ57</f>
        <v>1.5799204277094998</v>
      </c>
      <c r="M27">
        <f>sumatera!BA57</f>
        <v>0.23817930644554042</v>
      </c>
      <c r="N27">
        <f>sumatera!BB57</f>
        <v>0</v>
      </c>
      <c r="O27">
        <f>sumatera!BC57</f>
        <v>0.7353590220428774</v>
      </c>
      <c r="P27">
        <f>sumatera!BD57</f>
        <v>3397.2713925316452</v>
      </c>
    </row>
    <row r="28" spans="1:16" x14ac:dyDescent="0.25">
      <c r="A28" t="str">
        <f>sumatera!AO58</f>
        <v>SUMATERA</v>
      </c>
      <c r="B28">
        <f>sumatera!AP58</f>
        <v>2025</v>
      </c>
      <c r="C28">
        <f>sumatera!AQ58</f>
        <v>493.21862723237331</v>
      </c>
      <c r="D28">
        <f>sumatera!AR58</f>
        <v>28.209582834706659</v>
      </c>
      <c r="E28">
        <f>sumatera!AS58</f>
        <v>353.74230885936277</v>
      </c>
      <c r="F28">
        <f>sumatera!AT58</f>
        <v>685.21175768272565</v>
      </c>
      <c r="G28">
        <f>sumatera!AU58</f>
        <v>33.353564573487915</v>
      </c>
      <c r="H28">
        <f>sumatera!AV58</f>
        <v>79.569476955565491</v>
      </c>
      <c r="I28">
        <f>sumatera!AW58</f>
        <v>10.283483268134621</v>
      </c>
      <c r="J28">
        <f>sumatera!AX58</f>
        <v>64.465031625016692</v>
      </c>
      <c r="K28">
        <f>sumatera!AY58</f>
        <v>1718.3686547211348</v>
      </c>
      <c r="L28">
        <f>sumatera!AZ58</f>
        <v>1.5799204277094998</v>
      </c>
      <c r="M28">
        <f>sumatera!BA58</f>
        <v>0.23817930644554042</v>
      </c>
      <c r="N28">
        <f>sumatera!BB58</f>
        <v>0</v>
      </c>
      <c r="O28">
        <f>sumatera!BC58</f>
        <v>0.79911051858489934</v>
      </c>
      <c r="P28">
        <f>sumatera!BD58</f>
        <v>3469.0396980052478</v>
      </c>
    </row>
    <row r="29" spans="1:16" x14ac:dyDescent="0.25">
      <c r="A29" t="str">
        <f>sumatera!AO59</f>
        <v>SUMATERA</v>
      </c>
      <c r="B29">
        <f>sumatera!AP59</f>
        <v>2026</v>
      </c>
      <c r="C29">
        <f>sumatera!AQ59</f>
        <v>1471.854812705785</v>
      </c>
      <c r="D29">
        <f>sumatera!AR59</f>
        <v>28.21007301876725</v>
      </c>
      <c r="E29">
        <f>sumatera!AS59</f>
        <v>218.92461727181114</v>
      </c>
      <c r="F29">
        <f>sumatera!AT59</f>
        <v>28.553284685808165</v>
      </c>
      <c r="G29">
        <f>sumatera!AU59</f>
        <v>33.364918872011039</v>
      </c>
      <c r="H29">
        <f>sumatera!AV59</f>
        <v>79.573430826388318</v>
      </c>
      <c r="I29">
        <f>sumatera!AW59</f>
        <v>2076.3762937000724</v>
      </c>
      <c r="J29">
        <f>sumatera!AX59</f>
        <v>429.15144664711255</v>
      </c>
      <c r="K29">
        <f>sumatera!AY59</f>
        <v>128.52663232339398</v>
      </c>
      <c r="L29">
        <f>sumatera!AZ59</f>
        <v>1.5799204277094998</v>
      </c>
      <c r="M29">
        <f>sumatera!BA59</f>
        <v>0.23817930644554042</v>
      </c>
      <c r="N29">
        <f>sumatera!BB59</f>
        <v>5.8028635138023697E-3</v>
      </c>
      <c r="O29">
        <f>sumatera!BC59</f>
        <v>0.64146649521208932</v>
      </c>
      <c r="P29">
        <f>sumatera!BD59</f>
        <v>4497.0008791440296</v>
      </c>
    </row>
    <row r="30" spans="1:16" x14ac:dyDescent="0.25">
      <c r="A30" t="str">
        <f>sumatera!AO60</f>
        <v>SUMATERA</v>
      </c>
      <c r="B30">
        <f>sumatera!AP60</f>
        <v>2027</v>
      </c>
      <c r="C30">
        <f>sumatera!AQ60</f>
        <v>1586.4734575772668</v>
      </c>
      <c r="D30">
        <f>sumatera!AR60</f>
        <v>28.209596808093103</v>
      </c>
      <c r="E30">
        <f>sumatera!AS60</f>
        <v>218.92403779468196</v>
      </c>
      <c r="F30">
        <f>sumatera!AT60</f>
        <v>28.552366871518849</v>
      </c>
      <c r="G30">
        <f>sumatera!AU60</f>
        <v>33.353703945540602</v>
      </c>
      <c r="H30">
        <f>sumatera!AV60</f>
        <v>1584.6177614769599</v>
      </c>
      <c r="I30">
        <f>sumatera!AW60</f>
        <v>4114.4583684548343</v>
      </c>
      <c r="J30">
        <f>sumatera!AX60</f>
        <v>1243.4701946729897</v>
      </c>
      <c r="K30">
        <f>sumatera!AY60</f>
        <v>151.4985704170854</v>
      </c>
      <c r="L30">
        <f>sumatera!AZ60</f>
        <v>1.5799204277095065</v>
      </c>
      <c r="M30">
        <f>sumatera!BA60</f>
        <v>0.23817765821847039</v>
      </c>
      <c r="N30">
        <f>sumatera!BB60</f>
        <v>1.9840459550291467E-4</v>
      </c>
      <c r="O30">
        <f>sumatera!BC60</f>
        <v>1.2723926614222989</v>
      </c>
      <c r="P30">
        <f>sumatera!BD60</f>
        <v>8992.648747170917</v>
      </c>
    </row>
    <row r="31" spans="1:16" x14ac:dyDescent="0.25">
      <c r="A31" t="str">
        <f>sumatera!AO61</f>
        <v>SUMATERA</v>
      </c>
      <c r="B31">
        <f>sumatera!AP61</f>
        <v>2028</v>
      </c>
      <c r="C31">
        <f>sumatera!AQ61</f>
        <v>1342.0101920433647</v>
      </c>
      <c r="D31">
        <f>sumatera!AR61</f>
        <v>28.209596785592044</v>
      </c>
      <c r="E31">
        <f>sumatera!AS61</f>
        <v>909.08811381271232</v>
      </c>
      <c r="F31">
        <f>sumatera!AT61</f>
        <v>28.552367664852184</v>
      </c>
      <c r="G31">
        <f>sumatera!AU61</f>
        <v>33.35370780054059</v>
      </c>
      <c r="H31">
        <f>sumatera!AV61</f>
        <v>867.46390242143934</v>
      </c>
      <c r="I31">
        <f>sumatera!AW61</f>
        <v>1382.439853869683</v>
      </c>
      <c r="J31">
        <f>sumatera!AX61</f>
        <v>189.83407287431726</v>
      </c>
      <c r="K31">
        <f>sumatera!AY61</f>
        <v>463.15643691479693</v>
      </c>
      <c r="L31">
        <f>sumatera!AZ61</f>
        <v>1.5799204277094998</v>
      </c>
      <c r="M31">
        <f>sumatera!BA61</f>
        <v>30.017584571113595</v>
      </c>
      <c r="N31">
        <f>sumatera!BB61</f>
        <v>1.9840459550291467E-4</v>
      </c>
      <c r="O31">
        <f>sumatera!BC61</f>
        <v>0.81434097296597474</v>
      </c>
      <c r="P31">
        <f>sumatera!BD61</f>
        <v>5276.5202885636836</v>
      </c>
    </row>
    <row r="32" spans="1:16" x14ac:dyDescent="0.25">
      <c r="A32" t="str">
        <f>sumatera!AO62</f>
        <v>SUMATERA</v>
      </c>
      <c r="B32">
        <f>sumatera!AP62</f>
        <v>2029</v>
      </c>
      <c r="C32">
        <f>sumatera!AQ62</f>
        <v>397.68157911902273</v>
      </c>
      <c r="D32">
        <f>sumatera!AR62</f>
        <v>159.24913037472382</v>
      </c>
      <c r="E32">
        <f>sumatera!AS62</f>
        <v>351.68380521749214</v>
      </c>
      <c r="F32">
        <f>sumatera!AT62</f>
        <v>28.552367664852184</v>
      </c>
      <c r="G32">
        <f>sumatera!AU62</f>
        <v>33.35370780054059</v>
      </c>
      <c r="H32">
        <f>sumatera!AV62</f>
        <v>120.09649155212243</v>
      </c>
      <c r="I32">
        <f>sumatera!AW62</f>
        <v>152.58422812975891</v>
      </c>
      <c r="J32">
        <f>sumatera!AX62</f>
        <v>22.849214210792006</v>
      </c>
      <c r="K32">
        <f>sumatera!AY62</f>
        <v>142.22797513393988</v>
      </c>
      <c r="L32">
        <f>sumatera!AZ62</f>
        <v>1.5799204277094998</v>
      </c>
      <c r="M32">
        <f>sumatera!BA62</f>
        <v>1.038672406445694</v>
      </c>
      <c r="N32">
        <f>sumatera!BB62</f>
        <v>1.9840459550291467E-4</v>
      </c>
      <c r="O32">
        <f>sumatera!BC62</f>
        <v>0.14232472735179411</v>
      </c>
      <c r="P32">
        <f>sumatera!BD62</f>
        <v>1411.0396151693474</v>
      </c>
    </row>
    <row r="33" spans="1:16" x14ac:dyDescent="0.25">
      <c r="A33" t="str">
        <f>sumatera!AO63</f>
        <v>SUMATERA</v>
      </c>
      <c r="B33">
        <f>sumatera!AP63</f>
        <v>2030</v>
      </c>
      <c r="C33">
        <f>sumatera!AQ63</f>
        <v>1306.8480244921236</v>
      </c>
      <c r="D33">
        <f>sumatera!AR63</f>
        <v>591.14716125025564</v>
      </c>
      <c r="E33">
        <f>sumatera!AS63</f>
        <v>356.88622784353186</v>
      </c>
      <c r="F33">
        <f>sumatera!AT63</f>
        <v>28.553394420430557</v>
      </c>
      <c r="G33">
        <f>sumatera!AU63</f>
        <v>33.368208357135856</v>
      </c>
      <c r="H33">
        <f>sumatera!AV63</f>
        <v>120.10185700265895</v>
      </c>
      <c r="I33">
        <f>sumatera!AW63</f>
        <v>152.59307223909562</v>
      </c>
      <c r="J33">
        <f>sumatera!AX63</f>
        <v>22.850402022147591</v>
      </c>
      <c r="K33">
        <f>sumatera!AY63</f>
        <v>151.39979300472788</v>
      </c>
      <c r="L33">
        <f>sumatera!AZ63</f>
        <v>1.5799204277094998</v>
      </c>
      <c r="M33">
        <f>sumatera!BA63</f>
        <v>1.0556663557668615</v>
      </c>
      <c r="N33">
        <f>sumatera!BB63</f>
        <v>6.8633338789816471E-3</v>
      </c>
      <c r="O33">
        <f>sumatera!BC63</f>
        <v>0.42163221755699798</v>
      </c>
      <c r="P33">
        <f>sumatera!BD63</f>
        <v>2766.8122229670203</v>
      </c>
    </row>
    <row r="34" spans="1:16" x14ac:dyDescent="0.25">
      <c r="A34" t="str">
        <f>sumatera!AO64</f>
        <v>SUMATERA</v>
      </c>
      <c r="B34">
        <f>sumatera!AP64</f>
        <v>2031</v>
      </c>
      <c r="C34">
        <f>sumatera!AQ64</f>
        <v>1219.2219524534378</v>
      </c>
      <c r="D34">
        <f>sumatera!AR64</f>
        <v>791.86341719310531</v>
      </c>
      <c r="E34">
        <f>sumatera!AS64</f>
        <v>426.19384446248091</v>
      </c>
      <c r="F34">
        <f>sumatera!AT64</f>
        <v>38.252192230509273</v>
      </c>
      <c r="G34">
        <f>sumatera!AU64</f>
        <v>1722.182911747627</v>
      </c>
      <c r="H34">
        <f>sumatera!AV64</f>
        <v>142.84359220452399</v>
      </c>
      <c r="I34">
        <f>sumatera!AW64</f>
        <v>190.07122566293097</v>
      </c>
      <c r="J34">
        <f>sumatera!AX64</f>
        <v>3654.1954762892674</v>
      </c>
      <c r="K34">
        <f>sumatera!AY64</f>
        <v>152.55462380122671</v>
      </c>
      <c r="L34">
        <f>sumatera!AZ64</f>
        <v>12.778839662368402</v>
      </c>
      <c r="M34">
        <f>sumatera!BA64</f>
        <v>10.213063172956907</v>
      </c>
      <c r="N34">
        <f>sumatera!BB64</f>
        <v>44.806829299725344</v>
      </c>
      <c r="O34">
        <f>sumatera!BC64</f>
        <v>1.2883188681053888</v>
      </c>
      <c r="P34">
        <f>sumatera!BD64</f>
        <v>8406.4662870482662</v>
      </c>
    </row>
    <row r="35" spans="1:16" x14ac:dyDescent="0.25">
      <c r="A35" t="str">
        <f>sumatera!AO65</f>
        <v>SUMATERA</v>
      </c>
      <c r="B35">
        <f>sumatera!AP65</f>
        <v>2032</v>
      </c>
      <c r="C35">
        <f>sumatera!AQ65</f>
        <v>1354.8605987993981</v>
      </c>
      <c r="D35">
        <f>sumatera!AR65</f>
        <v>790.42947145787491</v>
      </c>
      <c r="E35">
        <f>sumatera!AS65</f>
        <v>384.52514939143941</v>
      </c>
      <c r="F35">
        <f>sumatera!AT65</f>
        <v>75.368561639260307</v>
      </c>
      <c r="G35">
        <f>sumatera!AU65</f>
        <v>165.52514000717986</v>
      </c>
      <c r="H35">
        <f>sumatera!AV65</f>
        <v>120.5256147322156</v>
      </c>
      <c r="I35">
        <f>sumatera!AW65</f>
        <v>153.34337824247132</v>
      </c>
      <c r="J35">
        <f>sumatera!AX65</f>
        <v>57.566958379318805</v>
      </c>
      <c r="K35">
        <f>sumatera!AY65</f>
        <v>142.97318361733505</v>
      </c>
      <c r="L35">
        <f>sumatera!AZ65</f>
        <v>1.8412553866798367</v>
      </c>
      <c r="M35">
        <f>sumatera!BA65</f>
        <v>1.3562924568474515</v>
      </c>
      <c r="N35">
        <f>sumatera!BB65</f>
        <v>1.5596993918605693</v>
      </c>
      <c r="O35">
        <f>sumatera!BC65</f>
        <v>0.50417509849237896</v>
      </c>
      <c r="P35">
        <f>sumatera!BD65</f>
        <v>3250.3794786003732</v>
      </c>
    </row>
    <row r="36" spans="1:16" x14ac:dyDescent="0.25">
      <c r="A36" t="str">
        <f>sumatera!AO66</f>
        <v>SUMATERA</v>
      </c>
      <c r="B36">
        <f>sumatera!AP66</f>
        <v>2033</v>
      </c>
      <c r="C36">
        <f>sumatera!AQ66</f>
        <v>1415.6366718414861</v>
      </c>
      <c r="D36">
        <f>sumatera!AR66</f>
        <v>930.91542772387891</v>
      </c>
      <c r="E36">
        <f>sumatera!AS66</f>
        <v>420.35088986537755</v>
      </c>
      <c r="F36">
        <f>sumatera!AT66</f>
        <v>40.029195734646692</v>
      </c>
      <c r="G36">
        <f>sumatera!AU66</f>
        <v>5336.7370489971563</v>
      </c>
      <c r="H36">
        <f>sumatera!AV66</f>
        <v>167.15561009213789</v>
      </c>
      <c r="I36">
        <f>sumatera!AW66</f>
        <v>230.18826830649584</v>
      </c>
      <c r="J36">
        <f>sumatera!AX66</f>
        <v>67.89634338372035</v>
      </c>
      <c r="K36">
        <f>sumatera!AY66</f>
        <v>163.41952944991331</v>
      </c>
      <c r="L36">
        <f>sumatera!AZ66</f>
        <v>1.8412553866798367</v>
      </c>
      <c r="M36">
        <f>sumatera!BA66</f>
        <v>4.86267501206805</v>
      </c>
      <c r="N36">
        <f>sumatera!BB66</f>
        <v>68.863227436471036</v>
      </c>
      <c r="O36">
        <f>sumatera!BC66</f>
        <v>1.0783022469450207</v>
      </c>
      <c r="P36">
        <f>sumatera!BD66</f>
        <v>8848.9744454769771</v>
      </c>
    </row>
    <row r="37" spans="1:16" x14ac:dyDescent="0.25">
      <c r="A37" t="str">
        <f>sumatera!AO67</f>
        <v>SUMATERA</v>
      </c>
      <c r="B37">
        <f>sumatera!AP67</f>
        <v>2034</v>
      </c>
      <c r="C37">
        <f>sumatera!AQ67</f>
        <v>1648.9784428751302</v>
      </c>
      <c r="D37">
        <f>sumatera!AR67</f>
        <v>805.69553847383213</v>
      </c>
      <c r="E37">
        <f>sumatera!AS67</f>
        <v>414.46336981778808</v>
      </c>
      <c r="F37">
        <f>sumatera!AT67</f>
        <v>80.068122357623267</v>
      </c>
      <c r="G37">
        <f>sumatera!AU67</f>
        <v>122.69976378248158</v>
      </c>
      <c r="H37">
        <f>sumatera!AV67</f>
        <v>121.33865576140602</v>
      </c>
      <c r="I37">
        <f>sumatera!AW67</f>
        <v>154.78959088120527</v>
      </c>
      <c r="J37">
        <f>sumatera!AX67</f>
        <v>57.661060582606709</v>
      </c>
      <c r="K37">
        <f>sumatera!AY67</f>
        <v>143.85943261513026</v>
      </c>
      <c r="L37">
        <f>sumatera!AZ67</f>
        <v>1.8412553866798367</v>
      </c>
      <c r="M37">
        <f>sumatera!BA67</f>
        <v>1.3838452865404989</v>
      </c>
      <c r="N37">
        <f>sumatera!BB67</f>
        <v>3.8359595789956997</v>
      </c>
      <c r="O37">
        <f>sumatera!BC67</f>
        <v>0.55027917104734003</v>
      </c>
      <c r="P37">
        <f>sumatera!BD67</f>
        <v>3557.1653165704665</v>
      </c>
    </row>
    <row r="38" spans="1:16" x14ac:dyDescent="0.25">
      <c r="A38" t="str">
        <f>sumatera!AO68</f>
        <v>SUMATERA</v>
      </c>
      <c r="B38">
        <f>sumatera!AP68</f>
        <v>2035</v>
      </c>
      <c r="C38">
        <f>sumatera!AQ68</f>
        <v>1080.185004800366</v>
      </c>
      <c r="D38">
        <f>sumatera!AR68</f>
        <v>1264.5169646292791</v>
      </c>
      <c r="E38">
        <f>sumatera!AS68</f>
        <v>1211.0404148437631</v>
      </c>
      <c r="F38">
        <f>sumatera!AT68</f>
        <v>29.724764363850394</v>
      </c>
      <c r="G38">
        <f>sumatera!AU68</f>
        <v>122.71695200258007</v>
      </c>
      <c r="H38">
        <f>sumatera!AV68</f>
        <v>121.34489674089976</v>
      </c>
      <c r="I38">
        <f>sumatera!AW68</f>
        <v>154.8001092142471</v>
      </c>
      <c r="J38">
        <f>sumatera!AX68</f>
        <v>57.662368578070797</v>
      </c>
      <c r="K38">
        <f>sumatera!AY68</f>
        <v>155.27103355315384</v>
      </c>
      <c r="L38">
        <f>sumatera!AZ68</f>
        <v>1.8412553866798367</v>
      </c>
      <c r="M38">
        <f>sumatera!BA68</f>
        <v>1.4050624736945347</v>
      </c>
      <c r="N38">
        <f>sumatera!BB68</f>
        <v>3.8436901906115271</v>
      </c>
      <c r="O38">
        <f>sumatera!BC68</f>
        <v>0.72244535158616918</v>
      </c>
      <c r="P38">
        <f>sumatera!BD68</f>
        <v>4205.0749621287832</v>
      </c>
    </row>
    <row r="39" spans="1:16" x14ac:dyDescent="0.25">
      <c r="A39" t="str">
        <f>sumatera!AO69</f>
        <v>SUMATERA</v>
      </c>
      <c r="B39">
        <f>sumatera!AP69</f>
        <v>2036</v>
      </c>
      <c r="C39">
        <f>sumatera!AQ69</f>
        <v>2121.8272458027986</v>
      </c>
      <c r="D39">
        <f>sumatera!AR69</f>
        <v>445.27692460847555</v>
      </c>
      <c r="E39">
        <f>sumatera!AS69</f>
        <v>530.01364335681046</v>
      </c>
      <c r="F39">
        <f>sumatera!AT69</f>
        <v>29.721452742539558</v>
      </c>
      <c r="G39">
        <f>sumatera!AU69</f>
        <v>7447.5826442445286</v>
      </c>
      <c r="H39">
        <f>sumatera!AV69</f>
        <v>649.33516809036985</v>
      </c>
      <c r="I39">
        <f>sumatera!AW69</f>
        <v>1024.9137592369964</v>
      </c>
      <c r="J39">
        <f>sumatera!AX69</f>
        <v>174.62333941348783</v>
      </c>
      <c r="K39">
        <f>sumatera!AY69</f>
        <v>375.71130179825803</v>
      </c>
      <c r="L39">
        <f>sumatera!AZ69</f>
        <v>261.78428109604602</v>
      </c>
      <c r="M39">
        <f>sumatera!BA69</f>
        <v>8.9300054484152298</v>
      </c>
      <c r="N39">
        <f>sumatera!BB69</f>
        <v>1043.8835109448364</v>
      </c>
      <c r="O39">
        <f>sumatera!BC69</f>
        <v>1.5849981806753382</v>
      </c>
      <c r="P39">
        <f>sumatera!BD69</f>
        <v>14115.188274964239</v>
      </c>
    </row>
    <row r="40" spans="1:16" x14ac:dyDescent="0.25">
      <c r="A40" t="str">
        <f>sumatera!AO70</f>
        <v>SUMATERA</v>
      </c>
      <c r="B40">
        <f>sumatera!AP70</f>
        <v>2037</v>
      </c>
      <c r="C40">
        <f>sumatera!AQ70</f>
        <v>1937.5274490081788</v>
      </c>
      <c r="D40">
        <f>sumatera!AR70</f>
        <v>1169.2872215315742</v>
      </c>
      <c r="E40">
        <f>sumatera!AS70</f>
        <v>495.79439612293811</v>
      </c>
      <c r="F40">
        <f>sumatera!AT70</f>
        <v>29.721628818500516</v>
      </c>
      <c r="G40">
        <f>sumatera!AU70</f>
        <v>215.13237497042587</v>
      </c>
      <c r="H40">
        <f>sumatera!AV70</f>
        <v>130.78239373373117</v>
      </c>
      <c r="I40">
        <f>sumatera!AW70</f>
        <v>171.56033870338868</v>
      </c>
      <c r="J40">
        <f>sumatera!AX70</f>
        <v>60.363803401455058</v>
      </c>
      <c r="K40">
        <f>sumatera!AY70</f>
        <v>153.09005370021416</v>
      </c>
      <c r="L40">
        <f>sumatera!AZ70</f>
        <v>7.9072157293656735</v>
      </c>
      <c r="M40">
        <f>sumatera!BA70</f>
        <v>1.5905317555438701</v>
      </c>
      <c r="N40">
        <f>sumatera!BB70</f>
        <v>39.39712981645593</v>
      </c>
      <c r="O40">
        <f>sumatera!BC70</f>
        <v>0.67205802585259322</v>
      </c>
      <c r="P40">
        <f>sumatera!BD70</f>
        <v>4412.8265953176242</v>
      </c>
    </row>
    <row r="41" spans="1:16" x14ac:dyDescent="0.25">
      <c r="A41" t="str">
        <f>sumatera!AO71</f>
        <v>SUMATERA</v>
      </c>
      <c r="B41">
        <f>sumatera!AP71</f>
        <v>2038</v>
      </c>
      <c r="C41">
        <f>sumatera!AQ71</f>
        <v>1800.6823622326071</v>
      </c>
      <c r="D41">
        <f>sumatera!AR71</f>
        <v>1499.3555824464413</v>
      </c>
      <c r="E41">
        <f>sumatera!AS71</f>
        <v>623.71101522363722</v>
      </c>
      <c r="F41">
        <f>sumatera!AT71</f>
        <v>36.232073606913275</v>
      </c>
      <c r="G41">
        <f>sumatera!AU71</f>
        <v>1872.6401851093265</v>
      </c>
      <c r="H41">
        <f>sumatera!AV71</f>
        <v>158.59826036175505</v>
      </c>
      <c r="I41">
        <f>sumatera!AW71</f>
        <v>217.39885368627216</v>
      </c>
      <c r="J41">
        <f>sumatera!AX71</f>
        <v>6308.5946809835414</v>
      </c>
      <c r="K41">
        <f>sumatera!AY71</f>
        <v>165.28672399339285</v>
      </c>
      <c r="L41">
        <f>sumatera!AZ71</f>
        <v>7.9072157293656735</v>
      </c>
      <c r="M41">
        <f>sumatera!BA71</f>
        <v>16.500902738445504</v>
      </c>
      <c r="N41">
        <f>sumatera!BB71</f>
        <v>79.542420479712547</v>
      </c>
      <c r="O41">
        <f>sumatera!BC71</f>
        <v>2.0329714869498465</v>
      </c>
      <c r="P41">
        <f>sumatera!BD71</f>
        <v>12788.483248078361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3423.1170396264861</v>
      </c>
      <c r="D43">
        <f>Jawa!AR53</f>
        <v>65.179729584915194</v>
      </c>
      <c r="E43">
        <f>Jawa!AS53</f>
        <v>904.86370647876288</v>
      </c>
      <c r="F43">
        <f>Jawa!AT53</f>
        <v>0.26257266057359091</v>
      </c>
      <c r="G43">
        <f>Jawa!AU53</f>
        <v>59.356487505389453</v>
      </c>
      <c r="H43">
        <f>Jawa!AV53</f>
        <v>4537.6564388626693</v>
      </c>
      <c r="I43">
        <f>Jawa!AW53</f>
        <v>75.529103975814934</v>
      </c>
      <c r="J43">
        <f>Jawa!AX53</f>
        <v>5797.4785003530969</v>
      </c>
      <c r="K43">
        <f>Jawa!AY53</f>
        <v>20.16493681361839</v>
      </c>
      <c r="L43">
        <f>Jawa!AZ53</f>
        <v>0.34533779840644813</v>
      </c>
      <c r="M43">
        <f>Jawa!BA53</f>
        <v>27.592046619844403</v>
      </c>
      <c r="N43">
        <f>Jawa!BB53</f>
        <v>0</v>
      </c>
      <c r="O43">
        <f>Jawa!BC53</f>
        <v>12.267483410697702</v>
      </c>
      <c r="P43">
        <f>Jawa!BD53</f>
        <v>14923.813383690278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3050.1776536366219</v>
      </c>
      <c r="D44">
        <f>Jawa!AR54</f>
        <v>65.179729584915194</v>
      </c>
      <c r="E44">
        <f>Jawa!AS54</f>
        <v>2106.8468940145444</v>
      </c>
      <c r="F44">
        <f>Jawa!AT54</f>
        <v>0.26257266057359091</v>
      </c>
      <c r="G44">
        <f>Jawa!AU54</f>
        <v>59.356487505389453</v>
      </c>
      <c r="H44">
        <f>Jawa!AV54</f>
        <v>2397.3738317309949</v>
      </c>
      <c r="I44">
        <f>Jawa!AW54</f>
        <v>3767.9183852570759</v>
      </c>
      <c r="J44">
        <f>Jawa!AX54</f>
        <v>634.25532149365165</v>
      </c>
      <c r="K44">
        <f>Jawa!AY54</f>
        <v>2363.7646486630192</v>
      </c>
      <c r="L44">
        <f>Jawa!AZ54</f>
        <v>0.34533779840644813</v>
      </c>
      <c r="M44">
        <f>Jawa!BA54</f>
        <v>12.590588648505403</v>
      </c>
      <c r="N44">
        <f>Jawa!BB54</f>
        <v>0</v>
      </c>
      <c r="O44">
        <f>Jawa!BC54</f>
        <v>2.4201491012050718</v>
      </c>
      <c r="P44">
        <f>Jawa!BD54</f>
        <v>14460.491600094902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1195.7439261801962</v>
      </c>
      <c r="D45">
        <f>Jawa!AR55</f>
        <v>65.179729584915194</v>
      </c>
      <c r="E45">
        <f>Jawa!AS55</f>
        <v>4319.2310816140935</v>
      </c>
      <c r="F45">
        <f>Jawa!AT55</f>
        <v>10.496146091097176</v>
      </c>
      <c r="G45">
        <f>Jawa!AU55</f>
        <v>59.356528268657314</v>
      </c>
      <c r="H45">
        <f>Jawa!AV55</f>
        <v>217.39294183617886</v>
      </c>
      <c r="I45">
        <f>Jawa!AW55</f>
        <v>74.876693330855687</v>
      </c>
      <c r="J45">
        <f>Jawa!AX55</f>
        <v>60.963149321206487</v>
      </c>
      <c r="K45">
        <f>Jawa!AY55</f>
        <v>91.545637351618524</v>
      </c>
      <c r="L45">
        <f>Jawa!AZ55</f>
        <v>0.34533779840644813</v>
      </c>
      <c r="M45">
        <f>Jawa!BA55</f>
        <v>1.0601073446457225</v>
      </c>
      <c r="N45">
        <f>Jawa!BB55</f>
        <v>0</v>
      </c>
      <c r="O45">
        <f>Jawa!BC55</f>
        <v>1.1233865630524484</v>
      </c>
      <c r="P45">
        <f>Jawa!BD55</f>
        <v>6097.3146652849227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1195.7439261801962</v>
      </c>
      <c r="D46">
        <f>Jawa!AR56</f>
        <v>65.179729584915194</v>
      </c>
      <c r="E46">
        <f>Jawa!AS56</f>
        <v>3269.6669931422634</v>
      </c>
      <c r="F46">
        <f>Jawa!AT56</f>
        <v>1.3203240529716802</v>
      </c>
      <c r="G46">
        <f>Jawa!AU56</f>
        <v>59.356488019767895</v>
      </c>
      <c r="H46">
        <f>Jawa!AV56</f>
        <v>217.39294183617886</v>
      </c>
      <c r="I46">
        <f>Jawa!AW56</f>
        <v>74.876693330855687</v>
      </c>
      <c r="J46">
        <f>Jawa!AX56</f>
        <v>60.963149321206487</v>
      </c>
      <c r="K46">
        <f>Jawa!AY56</f>
        <v>91.545637351618524</v>
      </c>
      <c r="L46">
        <f>Jawa!AZ56</f>
        <v>0.34533779840644813</v>
      </c>
      <c r="M46">
        <f>Jawa!BA56</f>
        <v>1.0601073446648233</v>
      </c>
      <c r="N46">
        <f>Jawa!BB56</f>
        <v>0</v>
      </c>
      <c r="O46">
        <f>Jawa!BC56</f>
        <v>0.83785586677368074</v>
      </c>
      <c r="P46">
        <f>Jawa!BD56</f>
        <v>5038.2891838298183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1195.7439261801965</v>
      </c>
      <c r="D47">
        <f>Jawa!AR57</f>
        <v>397.63894412030635</v>
      </c>
      <c r="E47">
        <f>Jawa!AS57</f>
        <v>3389.9288133032264</v>
      </c>
      <c r="F47">
        <f>Jawa!AT57</f>
        <v>1.4818602193775328</v>
      </c>
      <c r="G47">
        <f>Jawa!AU57</f>
        <v>59.356488019767895</v>
      </c>
      <c r="H47">
        <f>Jawa!AV57</f>
        <v>217.39294183617886</v>
      </c>
      <c r="I47">
        <f>Jawa!AW57</f>
        <v>74.876693330855687</v>
      </c>
      <c r="J47">
        <f>Jawa!AX57</f>
        <v>60.963149321206487</v>
      </c>
      <c r="K47">
        <f>Jawa!AY57</f>
        <v>91.545637351618524</v>
      </c>
      <c r="L47">
        <f>Jawa!AZ57</f>
        <v>0.34533779840644813</v>
      </c>
      <c r="M47">
        <f>Jawa!BA57</f>
        <v>1.0601073446648233</v>
      </c>
      <c r="N47">
        <f>Jawa!BB57</f>
        <v>0</v>
      </c>
      <c r="O47">
        <f>Jawa!BC57</f>
        <v>0.93011964459055219</v>
      </c>
      <c r="P47">
        <f>Jawa!BD57</f>
        <v>5491.264018470396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1195.7439261801962</v>
      </c>
      <c r="D48">
        <f>Jawa!AR58</f>
        <v>391.21717671805612</v>
      </c>
      <c r="E48">
        <f>Jawa!AS58</f>
        <v>1607.0895675306331</v>
      </c>
      <c r="F48">
        <f>Jawa!AT58</f>
        <v>1.341628117069777</v>
      </c>
      <c r="G48">
        <f>Jawa!AU58</f>
        <v>59.356488019767895</v>
      </c>
      <c r="H48">
        <f>Jawa!AV58</f>
        <v>1109.3572113859143</v>
      </c>
      <c r="I48">
        <f>Jawa!AW58</f>
        <v>74.876693330855687</v>
      </c>
      <c r="J48">
        <f>Jawa!AX58</f>
        <v>60.963149321206487</v>
      </c>
      <c r="K48">
        <f>Jawa!AY58</f>
        <v>2367.5229382174107</v>
      </c>
      <c r="L48">
        <f>Jawa!AZ58</f>
        <v>0.34533779840644813</v>
      </c>
      <c r="M48">
        <f>Jawa!BA58</f>
        <v>1.0601073446648233</v>
      </c>
      <c r="N48">
        <f>Jawa!BB58</f>
        <v>0</v>
      </c>
      <c r="O48">
        <f>Jawa!BC58</f>
        <v>1.1523181688540598</v>
      </c>
      <c r="P48">
        <f>Jawa!BD58</f>
        <v>6870.0265421330359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1243.6603581205532</v>
      </c>
      <c r="D49">
        <f>Jawa!AR59</f>
        <v>99.689202796387093</v>
      </c>
      <c r="E49">
        <f>Jawa!AS59</f>
        <v>681.89282074312132</v>
      </c>
      <c r="F49">
        <f>Jawa!AT59</f>
        <v>0.39369336293496188</v>
      </c>
      <c r="G49">
        <f>Jawa!AU59</f>
        <v>729.27623278730641</v>
      </c>
      <c r="H49">
        <f>Jawa!AV59</f>
        <v>763.90711784820678</v>
      </c>
      <c r="I49">
        <f>Jawa!AW59</f>
        <v>594.6775952495384</v>
      </c>
      <c r="J49">
        <f>Jawa!AX59</f>
        <v>134.64017083299058</v>
      </c>
      <c r="K49">
        <f>Jawa!AY59</f>
        <v>324.03559831543629</v>
      </c>
      <c r="L49">
        <f>Jawa!AZ59</f>
        <v>163.80604629468473</v>
      </c>
      <c r="M49">
        <f>Jawa!BA59</f>
        <v>1.0601073446648233</v>
      </c>
      <c r="N49">
        <f>Jawa!BB59</f>
        <v>121.78431032972961</v>
      </c>
      <c r="O49">
        <f>Jawa!BC59</f>
        <v>0.45213740740324837</v>
      </c>
      <c r="P49">
        <f>Jawa!BD59</f>
        <v>4859.2753914329578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1197.1975228501417</v>
      </c>
      <c r="D50">
        <f>Jawa!AR60</f>
        <v>339.3627912408482</v>
      </c>
      <c r="E50">
        <f>Jawa!AS60</f>
        <v>4809.1905714599907</v>
      </c>
      <c r="F50">
        <f>Jawa!AT60</f>
        <v>2.3695420093260755</v>
      </c>
      <c r="G50">
        <f>Jawa!AU60</f>
        <v>67.80998766448127</v>
      </c>
      <c r="H50">
        <f>Jawa!AV60</f>
        <v>641.40003128522358</v>
      </c>
      <c r="I50">
        <f>Jawa!AW60</f>
        <v>84.893391969717015</v>
      </c>
      <c r="J50">
        <f>Jawa!AX60</f>
        <v>61.667443738207069</v>
      </c>
      <c r="K50">
        <f>Jawa!AY60</f>
        <v>1541.7053597378979</v>
      </c>
      <c r="L50">
        <f>Jawa!AZ60</f>
        <v>4.1598128073815666</v>
      </c>
      <c r="M50">
        <f>Jawa!BA60</f>
        <v>1.0601073446648233</v>
      </c>
      <c r="N50">
        <f>Jawa!BB60</f>
        <v>4.1639040401518486</v>
      </c>
      <c r="O50">
        <f>Jawa!BC60</f>
        <v>1.6368981663682196</v>
      </c>
      <c r="P50">
        <f>Jawa!BD60</f>
        <v>8756.6173643144011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1197.1975228501417</v>
      </c>
      <c r="D51">
        <f>Jawa!AR61</f>
        <v>501.80159830954869</v>
      </c>
      <c r="E51">
        <f>Jawa!AS61</f>
        <v>3108.6946058331382</v>
      </c>
      <c r="F51">
        <f>Jawa!AT61</f>
        <v>1.6719517322941222</v>
      </c>
      <c r="G51">
        <f>Jawa!AU61</f>
        <v>67.80998766448127</v>
      </c>
      <c r="H51">
        <f>Jawa!AV61</f>
        <v>249.96242939724578</v>
      </c>
      <c r="I51">
        <f>Jawa!AW61</f>
        <v>84.893391969717015</v>
      </c>
      <c r="J51">
        <f>Jawa!AX61</f>
        <v>746.69222966629241</v>
      </c>
      <c r="K51">
        <f>Jawa!AY61</f>
        <v>1833.0529431213042</v>
      </c>
      <c r="L51">
        <f>Jawa!AZ61</f>
        <v>4.1598128073815666</v>
      </c>
      <c r="M51">
        <f>Jawa!BA61</f>
        <v>1.0601073446648233</v>
      </c>
      <c r="N51">
        <f>Jawa!BB61</f>
        <v>4.1639040401518486</v>
      </c>
      <c r="O51">
        <f>Jawa!BC61</f>
        <v>1.3656836921009228</v>
      </c>
      <c r="P51">
        <f>Jawa!BD61</f>
        <v>7802.5261684284633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1197.1975228501417</v>
      </c>
      <c r="D52">
        <f>Jawa!AR62</f>
        <v>584.8469104547645</v>
      </c>
      <c r="E52">
        <f>Jawa!AS62</f>
        <v>3107.5514363778384</v>
      </c>
      <c r="F52">
        <f>Jawa!AT62</f>
        <v>1.6278408913684863</v>
      </c>
      <c r="G52">
        <f>Jawa!AU62</f>
        <v>67.80998766448127</v>
      </c>
      <c r="H52">
        <f>Jawa!AV62</f>
        <v>249.96242939724578</v>
      </c>
      <c r="I52">
        <f>Jawa!AW62</f>
        <v>84.893391969717015</v>
      </c>
      <c r="J52">
        <f>Jawa!AX62</f>
        <v>896.15426446779691</v>
      </c>
      <c r="K52">
        <f>Jawa!AY62</f>
        <v>1845.7836510432028</v>
      </c>
      <c r="L52">
        <f>Jawa!AZ62</f>
        <v>4.1598128073815666</v>
      </c>
      <c r="M52">
        <f>Jawa!BA62</f>
        <v>1.0601073446648233</v>
      </c>
      <c r="N52">
        <f>Jawa!BB62</f>
        <v>4.1639040401518486</v>
      </c>
      <c r="O52">
        <f>Jawa!BC62</f>
        <v>1.3873337551050391</v>
      </c>
      <c r="P52">
        <f>Jawa!BD62</f>
        <v>8046.5985930638599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1197.1975228501417</v>
      </c>
      <c r="D53">
        <f>Jawa!AR63</f>
        <v>626.09622663002801</v>
      </c>
      <c r="E53">
        <f>Jawa!AS63</f>
        <v>3664.7617812664712</v>
      </c>
      <c r="F53">
        <f>Jawa!AT63</f>
        <v>1.9425301865557563</v>
      </c>
      <c r="G53">
        <f>Jawa!AU63</f>
        <v>67.80998766448127</v>
      </c>
      <c r="H53">
        <f>Jawa!AV63</f>
        <v>249.96242939724578</v>
      </c>
      <c r="I53">
        <f>Jawa!AW63</f>
        <v>84.893391969717015</v>
      </c>
      <c r="J53">
        <f>Jawa!AX63</f>
        <v>1051.1834966207507</v>
      </c>
      <c r="K53">
        <f>Jawa!AY63</f>
        <v>2155.5011709297069</v>
      </c>
      <c r="L53">
        <f>Jawa!AZ63</f>
        <v>4.1598128073815666</v>
      </c>
      <c r="M53">
        <f>Jawa!BA63</f>
        <v>1.0601073446648233</v>
      </c>
      <c r="N53">
        <f>Jawa!BB63</f>
        <v>4.1639040401518486</v>
      </c>
      <c r="O53">
        <f>Jawa!BC63</f>
        <v>1.61194047649167</v>
      </c>
      <c r="P53">
        <f>Jawa!BD63</f>
        <v>9110.3443021837902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1197.1975228501417</v>
      </c>
      <c r="D54">
        <f>Jawa!AR64</f>
        <v>669.17331952650022</v>
      </c>
      <c r="E54">
        <f>Jawa!AS64</f>
        <v>4787.1598623158079</v>
      </c>
      <c r="F54">
        <f>Jawa!AT64</f>
        <v>2.6184237588437065</v>
      </c>
      <c r="G54">
        <f>Jawa!AU64</f>
        <v>67.80998766448127</v>
      </c>
      <c r="H54">
        <f>Jawa!AV64</f>
        <v>249.96242939724578</v>
      </c>
      <c r="I54">
        <f>Jawa!AW64</f>
        <v>84.893391969717015</v>
      </c>
      <c r="J54">
        <f>Jawa!AX64</f>
        <v>1722.6253706627949</v>
      </c>
      <c r="K54">
        <f>Jawa!AY64</f>
        <v>2451.4821657979692</v>
      </c>
      <c r="L54">
        <f>Jawa!AZ64</f>
        <v>4.1598128073815666</v>
      </c>
      <c r="M54">
        <f>Jawa!BA64</f>
        <v>1.0601073446648233</v>
      </c>
      <c r="N54">
        <f>Jawa!BB64</f>
        <v>4.1639040401518486</v>
      </c>
      <c r="O54">
        <f>Jawa!BC64</f>
        <v>2.0590715376932884</v>
      </c>
      <c r="P54">
        <f>Jawa!BD64</f>
        <v>11244.365369673393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1197.1997236554955</v>
      </c>
      <c r="D55">
        <f>Jawa!AR65</f>
        <v>715.36440023541093</v>
      </c>
      <c r="E55">
        <f>Jawa!AS65</f>
        <v>5320.8715964012517</v>
      </c>
      <c r="F55">
        <f>Jawa!AT65</f>
        <v>2.8337892503142039</v>
      </c>
      <c r="G55">
        <f>Jawa!AU65</f>
        <v>67.80998766448127</v>
      </c>
      <c r="H55">
        <f>Jawa!AV65</f>
        <v>249.96366423713982</v>
      </c>
      <c r="I55">
        <f>Jawa!AW65</f>
        <v>84.893391969717015</v>
      </c>
      <c r="J55">
        <f>Jawa!AX65</f>
        <v>1952.1650838503147</v>
      </c>
      <c r="K55">
        <f>Jawa!AY65</f>
        <v>2732.9401135162461</v>
      </c>
      <c r="L55">
        <f>Jawa!AZ65</f>
        <v>4.1598128073815666</v>
      </c>
      <c r="M55">
        <f>Jawa!BA65</f>
        <v>1.0601073446648233</v>
      </c>
      <c r="N55">
        <f>Jawa!BB65</f>
        <v>4.1639040401518486</v>
      </c>
      <c r="O55">
        <f>Jawa!BC65</f>
        <v>2.2722572943249784</v>
      </c>
      <c r="P55">
        <f>Jawa!BD65</f>
        <v>12335.697832266895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1197.1975896139472</v>
      </c>
      <c r="D56">
        <f>Jawa!AR66</f>
        <v>764.63111599956187</v>
      </c>
      <c r="E56">
        <f>Jawa!AS66</f>
        <v>5355.2457916465755</v>
      </c>
      <c r="F56">
        <f>Jawa!AT66</f>
        <v>2.7606191171516712</v>
      </c>
      <c r="G56">
        <f>Jawa!AU66</f>
        <v>67.80998766448127</v>
      </c>
      <c r="H56">
        <f>Jawa!AV66</f>
        <v>249.96245148185582</v>
      </c>
      <c r="I56">
        <f>Jawa!AW66</f>
        <v>84.893391969717015</v>
      </c>
      <c r="J56">
        <f>Jawa!AX66</f>
        <v>809.05348394818554</v>
      </c>
      <c r="K56">
        <f>Jawa!AY66</f>
        <v>3697.9733388779896</v>
      </c>
      <c r="L56">
        <f>Jawa!AZ66</f>
        <v>4.1598128073815666</v>
      </c>
      <c r="M56">
        <f>Jawa!BA66</f>
        <v>1.0601073446648233</v>
      </c>
      <c r="N56">
        <f>Jawa!BB66</f>
        <v>4.1639040401518486</v>
      </c>
      <c r="O56">
        <f>Jawa!BC66</f>
        <v>2.2871297218940119</v>
      </c>
      <c r="P56">
        <f>Jawa!BD66</f>
        <v>12241.198724233558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3303.6129103956205</v>
      </c>
      <c r="D57">
        <f>Jawa!AR67</f>
        <v>816.35450467194903</v>
      </c>
      <c r="E57">
        <f>Jawa!AS67</f>
        <v>4157.0206950477386</v>
      </c>
      <c r="F57">
        <f>Jawa!AT67</f>
        <v>2.8982098902625744</v>
      </c>
      <c r="G57">
        <f>Jawa!AU67</f>
        <v>67.80998766448127</v>
      </c>
      <c r="H57">
        <f>Jawa!AV67</f>
        <v>249.96245148185582</v>
      </c>
      <c r="I57">
        <f>Jawa!AW67</f>
        <v>84.893391969717015</v>
      </c>
      <c r="J57">
        <f>Jawa!AX67</f>
        <v>1882.1281400410523</v>
      </c>
      <c r="K57">
        <f>Jawa!AY67</f>
        <v>3372.3024756827353</v>
      </c>
      <c r="L57">
        <f>Jawa!AZ67</f>
        <v>4.1598128073815666</v>
      </c>
      <c r="M57">
        <f>Jawa!BA67</f>
        <v>1.0601073446648233</v>
      </c>
      <c r="N57">
        <f>Jawa!BB67</f>
        <v>4.1639053961875954</v>
      </c>
      <c r="O57">
        <f>Jawa!BC67</f>
        <v>2.4657242361478695</v>
      </c>
      <c r="P57">
        <f>Jawa!BD67</f>
        <v>13948.832316629796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3603.5738826435627</v>
      </c>
      <c r="D58">
        <f>Jawa!AR68</f>
        <v>871.25265482462635</v>
      </c>
      <c r="E58">
        <f>Jawa!AS68</f>
        <v>4106.0169139578375</v>
      </c>
      <c r="F58">
        <f>Jawa!AT68</f>
        <v>2.8832696651856216</v>
      </c>
      <c r="G58">
        <f>Jawa!AU68</f>
        <v>67.80998766448127</v>
      </c>
      <c r="H58">
        <f>Jawa!AV68</f>
        <v>249.96245148185582</v>
      </c>
      <c r="I58">
        <f>Jawa!AW68</f>
        <v>84.893391969717015</v>
      </c>
      <c r="J58">
        <f>Jawa!AX68</f>
        <v>2088.7260286279202</v>
      </c>
      <c r="K58">
        <f>Jawa!AY68</f>
        <v>3498.7703780056167</v>
      </c>
      <c r="L58">
        <f>Jawa!AZ68</f>
        <v>4.1598128073815666</v>
      </c>
      <c r="M58">
        <f>Jawa!BA68</f>
        <v>1.0601073446648233</v>
      </c>
      <c r="N58">
        <f>Jawa!BB68</f>
        <v>4.1639053375553265</v>
      </c>
      <c r="O58">
        <f>Jawa!BC68</f>
        <v>2.5442920536388249</v>
      </c>
      <c r="P58">
        <f>Jawa!BD68</f>
        <v>14585.817076384043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3077.5395732481074</v>
      </c>
      <c r="D59">
        <f>Jawa!AR69</f>
        <v>930.45864416956306</v>
      </c>
      <c r="E59">
        <f>Jawa!AS69</f>
        <v>3423.8291796891194</v>
      </c>
      <c r="F59">
        <f>Jawa!AT69</f>
        <v>2.0709560994465832</v>
      </c>
      <c r="G59">
        <f>Jawa!AU69</f>
        <v>67.80998766448127</v>
      </c>
      <c r="H59">
        <f>Jawa!AV69</f>
        <v>249.96245148185582</v>
      </c>
      <c r="I59">
        <f>Jawa!AW69</f>
        <v>84.893391969717015</v>
      </c>
      <c r="J59">
        <f>Jawa!AX69</f>
        <v>2061.4114021319665</v>
      </c>
      <c r="K59">
        <f>Jawa!AY69</f>
        <v>2979.715852113568</v>
      </c>
      <c r="L59">
        <f>Jawa!AZ69</f>
        <v>4.1598128073815666</v>
      </c>
      <c r="M59">
        <f>Jawa!BA69</f>
        <v>1.0601073446648233</v>
      </c>
      <c r="N59">
        <f>Jawa!BB69</f>
        <v>4.1639041292898602</v>
      </c>
      <c r="O59">
        <f>Jawa!BC69</f>
        <v>2.1077484694241688</v>
      </c>
      <c r="P59">
        <f>Jawa!BD69</f>
        <v>12889.183011318584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2502.3218547450347</v>
      </c>
      <c r="D60">
        <f>Jawa!AR70</f>
        <v>993.03596932173059</v>
      </c>
      <c r="E60">
        <f>Jawa!AS70</f>
        <v>2663.9040003233094</v>
      </c>
      <c r="F60">
        <f>Jawa!AT70</f>
        <v>1.2424550980484352</v>
      </c>
      <c r="G60">
        <f>Jawa!AU70</f>
        <v>67.80998766448127</v>
      </c>
      <c r="H60">
        <f>Jawa!AV70</f>
        <v>249.96245148185582</v>
      </c>
      <c r="I60">
        <f>Jawa!AW70</f>
        <v>84.893391969717015</v>
      </c>
      <c r="J60">
        <f>Jawa!AX70</f>
        <v>1986.3872439670834</v>
      </c>
      <c r="K60">
        <f>Jawa!AY70</f>
        <v>2385.4871975571837</v>
      </c>
      <c r="L60">
        <f>Jawa!AZ70</f>
        <v>4.1598128073815666</v>
      </c>
      <c r="M60">
        <f>Jawa!BA70</f>
        <v>1.0601073446648233</v>
      </c>
      <c r="N60">
        <f>Jawa!BB70</f>
        <v>4.1639041292898602</v>
      </c>
      <c r="O60">
        <f>Jawa!BC70</f>
        <v>1.6276810730018185</v>
      </c>
      <c r="P60">
        <f>Jawa!BD70</f>
        <v>10946.056057482783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3699.3577971836248</v>
      </c>
      <c r="D61">
        <f>Jawa!AR71</f>
        <v>1055.7779046946432</v>
      </c>
      <c r="E61">
        <f>Jawa!AS71</f>
        <v>4170.7750582787221</v>
      </c>
      <c r="F61">
        <f>Jawa!AT71</f>
        <v>2.683818956862055</v>
      </c>
      <c r="G61">
        <f>Jawa!AU71</f>
        <v>67.80998766448127</v>
      </c>
      <c r="H61">
        <f>Jawa!AV71</f>
        <v>249.96245148185582</v>
      </c>
      <c r="I61">
        <f>Jawa!AW71</f>
        <v>911.72883568960174</v>
      </c>
      <c r="J61">
        <f>Jawa!AX71</f>
        <v>2709.469949771817</v>
      </c>
      <c r="K61">
        <f>Jawa!AY71</f>
        <v>2794.2404089206198</v>
      </c>
      <c r="L61">
        <f>Jawa!AZ71</f>
        <v>4.1598128972880231</v>
      </c>
      <c r="M61">
        <f>Jawa!BA71</f>
        <v>1.0601073446648233</v>
      </c>
      <c r="N61">
        <f>Jawa!BB71</f>
        <v>4.1639041292898602</v>
      </c>
      <c r="O61">
        <f>Jawa!BC71</f>
        <v>2.5601895882016832</v>
      </c>
      <c r="P61">
        <f>Jawa!BD71</f>
        <v>15673.750226601671</v>
      </c>
    </row>
    <row r="62" spans="1:16" x14ac:dyDescent="0.25">
      <c r="A62" t="str">
        <f>bali_nt!AO52</f>
        <v>BALI_NT</v>
      </c>
      <c r="B62">
        <f>bali_nt!AP52</f>
        <v>2019</v>
      </c>
      <c r="C62">
        <f>bali_nt!AQ52</f>
        <v>24.028437515328498</v>
      </c>
      <c r="D62">
        <f>bali_nt!AR52</f>
        <v>14.862627223266166</v>
      </c>
      <c r="E62">
        <f>bali_nt!AS52</f>
        <v>0</v>
      </c>
      <c r="F62">
        <f>bali_nt!AT52</f>
        <v>4.6130521306024317</v>
      </c>
      <c r="G62">
        <f>bali_nt!AU52</f>
        <v>1.2119611351666215</v>
      </c>
      <c r="H62">
        <f>bali_nt!AV52</f>
        <v>0.27606173380007448</v>
      </c>
      <c r="I62">
        <f>bali_nt!AW52</f>
        <v>0.80586686980896416</v>
      </c>
      <c r="J62">
        <f>bali_nt!AX52</f>
        <v>4.4603999999999998E-2</v>
      </c>
      <c r="K62">
        <f>bali_nt!AY52</f>
        <v>0</v>
      </c>
      <c r="L62">
        <f>bali_nt!AZ52</f>
        <v>0</v>
      </c>
      <c r="M62">
        <f>bali_nt!BA52</f>
        <v>0</v>
      </c>
      <c r="N62">
        <f>bali_nt!BB52</f>
        <v>0</v>
      </c>
      <c r="O62">
        <f>bali_nt!BC52</f>
        <v>0</v>
      </c>
      <c r="P62">
        <f>bali_nt!BD52</f>
        <v>45.842610607972766</v>
      </c>
    </row>
    <row r="63" spans="1:16" x14ac:dyDescent="0.25">
      <c r="A63" t="str">
        <f>bali_nt!AO53</f>
        <v>BALI_NT</v>
      </c>
      <c r="B63">
        <f>bali_nt!AP53</f>
        <v>2020</v>
      </c>
      <c r="C63">
        <f>bali_nt!AQ53</f>
        <v>35.683396184160074</v>
      </c>
      <c r="D63">
        <f>bali_nt!AR53</f>
        <v>14.862627223266166</v>
      </c>
      <c r="E63">
        <f>bali_nt!AS53</f>
        <v>0</v>
      </c>
      <c r="F63">
        <f>bali_nt!AT53</f>
        <v>4.6130521306024317</v>
      </c>
      <c r="G63">
        <f>bali_nt!AU53</f>
        <v>1.2119611351666215</v>
      </c>
      <c r="H63">
        <f>bali_nt!AV53</f>
        <v>0.27606173380007448</v>
      </c>
      <c r="I63">
        <f>bali_nt!AW53</f>
        <v>0.80586686980896416</v>
      </c>
      <c r="J63">
        <f>bali_nt!AX53</f>
        <v>10.365470173749985</v>
      </c>
      <c r="K63">
        <f>bali_nt!AY53</f>
        <v>0</v>
      </c>
      <c r="L63">
        <f>bali_nt!AZ53</f>
        <v>125.32963506739264</v>
      </c>
      <c r="M63">
        <f>bali_nt!BA53</f>
        <v>0</v>
      </c>
      <c r="N63">
        <f>bali_nt!BB53</f>
        <v>0</v>
      </c>
      <c r="O63">
        <f>bali_nt!BC53</f>
        <v>0.47667662615269296</v>
      </c>
      <c r="P63">
        <f>bali_nt!BD53</f>
        <v>193.62474714409964</v>
      </c>
    </row>
    <row r="64" spans="1:16" x14ac:dyDescent="0.25">
      <c r="A64" t="str">
        <f>bali_nt!AO54</f>
        <v>BALI_NT</v>
      </c>
      <c r="B64">
        <f>bali_nt!AP54</f>
        <v>2021</v>
      </c>
      <c r="C64">
        <f>bali_nt!AQ54</f>
        <v>150.15397449219751</v>
      </c>
      <c r="D64">
        <f>bali_nt!AR54</f>
        <v>14.862627223266166</v>
      </c>
      <c r="E64">
        <f>bali_nt!AS54</f>
        <v>0</v>
      </c>
      <c r="F64">
        <f>bali_nt!AT54</f>
        <v>4.6130521306024317</v>
      </c>
      <c r="G64">
        <f>bali_nt!AU54</f>
        <v>552.94532664645476</v>
      </c>
      <c r="H64">
        <f>bali_nt!AV54</f>
        <v>0.27606173380007448</v>
      </c>
      <c r="I64">
        <f>bali_nt!AW54</f>
        <v>0.80586686980896416</v>
      </c>
      <c r="J64">
        <f>bali_nt!AX54</f>
        <v>32.668021730310215</v>
      </c>
      <c r="K64">
        <f>bali_nt!AY54</f>
        <v>0</v>
      </c>
      <c r="L64">
        <f>bali_nt!AZ54</f>
        <v>2.9246567133548615</v>
      </c>
      <c r="M64">
        <f>bali_nt!BA54</f>
        <v>-1.6482270706479409E-6</v>
      </c>
      <c r="N64">
        <f>bali_nt!BB54</f>
        <v>0</v>
      </c>
      <c r="O64">
        <f>bali_nt!BC54</f>
        <v>8.9219054291154648E-2</v>
      </c>
      <c r="P64">
        <f>bali_nt!BD54</f>
        <v>759.33880494585878</v>
      </c>
    </row>
    <row r="65" spans="1:16" x14ac:dyDescent="0.25">
      <c r="A65" t="str">
        <f>bali_nt!AO55</f>
        <v>BALI_NT</v>
      </c>
      <c r="B65">
        <f>bali_nt!AP55</f>
        <v>2022</v>
      </c>
      <c r="C65">
        <f>bali_nt!AQ55</f>
        <v>113.78732753040704</v>
      </c>
      <c r="D65">
        <f>bali_nt!AR55</f>
        <v>14.862627223266166</v>
      </c>
      <c r="E65">
        <f>bali_nt!AS55</f>
        <v>91.510302729744922</v>
      </c>
      <c r="F65">
        <f>bali_nt!AT55</f>
        <v>4.6130513293435724</v>
      </c>
      <c r="G65">
        <f>bali_nt!AU55</f>
        <v>8.1741108208051116</v>
      </c>
      <c r="H65">
        <f>bali_nt!AV55</f>
        <v>158.25655595797875</v>
      </c>
      <c r="I65">
        <f>bali_nt!AW55</f>
        <v>0.80586686980896416</v>
      </c>
      <c r="J65">
        <f>bali_nt!AX55</f>
        <v>15.056247727779313</v>
      </c>
      <c r="K65">
        <f>bali_nt!AY55</f>
        <v>0</v>
      </c>
      <c r="L65">
        <f>bali_nt!AZ55</f>
        <v>2.9246566701876366</v>
      </c>
      <c r="M65">
        <f>bali_nt!BA55</f>
        <v>1.6039255828295678E-6</v>
      </c>
      <c r="N65">
        <f>bali_nt!BB55</f>
        <v>0</v>
      </c>
      <c r="O65">
        <f>bali_nt!BC55</f>
        <v>6.6503369383408534E-2</v>
      </c>
      <c r="P65">
        <f>bali_nt!BD55</f>
        <v>410.05725183263036</v>
      </c>
    </row>
    <row r="66" spans="1:16" x14ac:dyDescent="0.25">
      <c r="A66" t="str">
        <f>bali_nt!AO56</f>
        <v>BALI_NT</v>
      </c>
      <c r="B66">
        <f>bali_nt!AP56</f>
        <v>2023</v>
      </c>
      <c r="C66">
        <f>bali_nt!AQ56</f>
        <v>33.147600505570331</v>
      </c>
      <c r="D66">
        <f>bali_nt!AR56</f>
        <v>15.842384551121722</v>
      </c>
      <c r="E66">
        <f>bali_nt!AS56</f>
        <v>4.1292062506826612</v>
      </c>
      <c r="F66">
        <f>bali_nt!AT56</f>
        <v>5.661077155533575</v>
      </c>
      <c r="G66">
        <f>bali_nt!AU56</f>
        <v>14.200034002210067</v>
      </c>
      <c r="H66">
        <f>bali_nt!AV56</f>
        <v>5.8670704166304155</v>
      </c>
      <c r="I66">
        <f>bali_nt!AW56</f>
        <v>0.80726115909754292</v>
      </c>
      <c r="J66">
        <f>bali_nt!AX56</f>
        <v>23.398241928588597</v>
      </c>
      <c r="K66">
        <f>bali_nt!AY56</f>
        <v>6.9627579158383458E-5</v>
      </c>
      <c r="L66">
        <f>bali_nt!AZ56</f>
        <v>5.7790443151699034</v>
      </c>
      <c r="M66">
        <f>bali_nt!BA56</f>
        <v>2.6413020831504431E-4</v>
      </c>
      <c r="N66">
        <f>bali_nt!BB56</f>
        <v>0</v>
      </c>
      <c r="O66">
        <f>bali_nt!BC56</f>
        <v>1.2288898140293207E-2</v>
      </c>
      <c r="P66">
        <f>bali_nt!BD56</f>
        <v>108.84454294053261</v>
      </c>
    </row>
    <row r="67" spans="1:16" x14ac:dyDescent="0.25">
      <c r="A67" t="str">
        <f>bali_nt!AO57</f>
        <v>BALI_NT</v>
      </c>
      <c r="B67">
        <f>bali_nt!AP57</f>
        <v>2024</v>
      </c>
      <c r="C67">
        <f>bali_nt!AQ57</f>
        <v>30.86529582160955</v>
      </c>
      <c r="D67">
        <f>bali_nt!AR57</f>
        <v>14.892053986593945</v>
      </c>
      <c r="E67">
        <f>bali_nt!AS57</f>
        <v>3.121066193187493</v>
      </c>
      <c r="F67">
        <f>bali_nt!AT57</f>
        <v>4.6234184968576519</v>
      </c>
      <c r="G67">
        <f>bali_nt!AU57</f>
        <v>8.250150048819215</v>
      </c>
      <c r="H67">
        <f>bali_nt!AV57</f>
        <v>3.1509380851021591</v>
      </c>
      <c r="I67">
        <f>bali_nt!AW57</f>
        <v>0.80589373812636711</v>
      </c>
      <c r="J67">
        <f>bali_nt!AX57</f>
        <v>0.81175177241839258</v>
      </c>
      <c r="K67">
        <f>bali_nt!AY57</f>
        <v>2.6746481755325412E-6</v>
      </c>
      <c r="L67">
        <f>bali_nt!AZ57</f>
        <v>169.62795992056959</v>
      </c>
      <c r="M67">
        <f>bali_nt!BA57</f>
        <v>7.0993716647091934E-6</v>
      </c>
      <c r="N67">
        <f>bali_nt!BB57</f>
        <v>0</v>
      </c>
      <c r="O67">
        <f>bali_nt!BC57</f>
        <v>1.931009300084879E-2</v>
      </c>
      <c r="P67">
        <f>bali_nt!BD57</f>
        <v>236.16784793030507</v>
      </c>
    </row>
    <row r="68" spans="1:16" x14ac:dyDescent="0.25">
      <c r="A68" t="str">
        <f>bali_nt!AO58</f>
        <v>BALI_NT</v>
      </c>
      <c r="B68">
        <f>bali_nt!AP58</f>
        <v>2025</v>
      </c>
      <c r="C68">
        <f>bali_nt!AQ58</f>
        <v>32.749733587201526</v>
      </c>
      <c r="D68">
        <f>bali_nt!AR58</f>
        <v>14.892053986593945</v>
      </c>
      <c r="E68">
        <f>bali_nt!AS58</f>
        <v>7.8463795750644874</v>
      </c>
      <c r="F68">
        <f>bali_nt!AT58</f>
        <v>4.6234184968576519</v>
      </c>
      <c r="G68">
        <f>bali_nt!AU58</f>
        <v>8.250150048819215</v>
      </c>
      <c r="H68">
        <f>bali_nt!AV58</f>
        <v>3.1509401617688244</v>
      </c>
      <c r="I68">
        <f>bali_nt!AW58</f>
        <v>0.80589373812636711</v>
      </c>
      <c r="J68">
        <f>bali_nt!AX58</f>
        <v>6.2925061713624881</v>
      </c>
      <c r="K68">
        <f>bali_nt!AY58</f>
        <v>2.6746481755325412E-6</v>
      </c>
      <c r="L68">
        <f>bali_nt!AZ58</f>
        <v>135.56132066983076</v>
      </c>
      <c r="M68">
        <f>bali_nt!BA58</f>
        <v>7.0993716647091934E-6</v>
      </c>
      <c r="N68">
        <f>bali_nt!BB58</f>
        <v>0</v>
      </c>
      <c r="O68">
        <f>bali_nt!BC58</f>
        <v>1.8848126188986011E-2</v>
      </c>
      <c r="P68">
        <f>bali_nt!BD58</f>
        <v>214.19125433583412</v>
      </c>
    </row>
    <row r="69" spans="1:16" x14ac:dyDescent="0.25">
      <c r="A69" t="str">
        <f>bali_nt!AO59</f>
        <v>BALI_NT</v>
      </c>
      <c r="B69">
        <f>bali_nt!AP59</f>
        <v>2026</v>
      </c>
      <c r="C69">
        <f>bali_nt!AQ59</f>
        <v>34.249460299111256</v>
      </c>
      <c r="D69">
        <f>bali_nt!AR59</f>
        <v>14.892053986593945</v>
      </c>
      <c r="E69">
        <f>bali_nt!AS59</f>
        <v>3.2804111481224019</v>
      </c>
      <c r="F69">
        <f>bali_nt!AT59</f>
        <v>4.6234184968576519</v>
      </c>
      <c r="G69">
        <f>bali_nt!AU59</f>
        <v>8.2501461445525006</v>
      </c>
      <c r="H69">
        <f>bali_nt!AV59</f>
        <v>3.1509401617688244</v>
      </c>
      <c r="I69">
        <f>bali_nt!AW59</f>
        <v>0.80589373812636711</v>
      </c>
      <c r="J69">
        <f>bali_nt!AX59</f>
        <v>9.4572843013674088</v>
      </c>
      <c r="K69">
        <f>bali_nt!AY59</f>
        <v>2.6776263486177401E-6</v>
      </c>
      <c r="L69">
        <f>bali_nt!AZ59</f>
        <v>71.674593273647943</v>
      </c>
      <c r="M69">
        <f>bali_nt!BA59</f>
        <v>7.1102308520599333E-6</v>
      </c>
      <c r="N69">
        <f>bali_nt!BB59</f>
        <v>0</v>
      </c>
      <c r="O69">
        <f>bali_nt!BC59</f>
        <v>1.3209065072090844E-2</v>
      </c>
      <c r="P69">
        <f>bali_nt!BD59</f>
        <v>150.3974204030776</v>
      </c>
    </row>
    <row r="70" spans="1:16" x14ac:dyDescent="0.25">
      <c r="A70" t="str">
        <f>bali_nt!AO60</f>
        <v>BALI_NT</v>
      </c>
      <c r="B70">
        <f>bali_nt!AP60</f>
        <v>2027</v>
      </c>
      <c r="C70">
        <f>bali_nt!AQ60</f>
        <v>40.824478961639379</v>
      </c>
      <c r="D70">
        <f>bali_nt!AR60</f>
        <v>14.892053986593945</v>
      </c>
      <c r="E70">
        <f>bali_nt!AS60</f>
        <v>3.2804118014557351</v>
      </c>
      <c r="F70">
        <f>bali_nt!AT60</f>
        <v>4.6234184968576519</v>
      </c>
      <c r="G70">
        <f>bali_nt!AU60</f>
        <v>8.2501499995524998</v>
      </c>
      <c r="H70">
        <f>bali_nt!AV60</f>
        <v>3.1509401617688244</v>
      </c>
      <c r="I70">
        <f>bali_nt!AW60</f>
        <v>0.80589373812636711</v>
      </c>
      <c r="J70">
        <f>bali_nt!AX60</f>
        <v>12.386019757008057</v>
      </c>
      <c r="K70">
        <f>bali_nt!AY60</f>
        <v>2.6944642942589931E-6</v>
      </c>
      <c r="L70">
        <f>bali_nt!AZ60</f>
        <v>107.02387036952607</v>
      </c>
      <c r="M70">
        <f>bali_nt!BA60</f>
        <v>7.1715249674084379E-6</v>
      </c>
      <c r="N70">
        <f>bali_nt!BB60</f>
        <v>0</v>
      </c>
      <c r="O70">
        <f>bali_nt!BC60</f>
        <v>1.7763477799229398E-2</v>
      </c>
      <c r="P70">
        <f>bali_nt!BD60</f>
        <v>195.25501061631704</v>
      </c>
    </row>
    <row r="71" spans="1:16" x14ac:dyDescent="0.25">
      <c r="A71" t="str">
        <f>bali_nt!AO61</f>
        <v>BALI_NT</v>
      </c>
      <c r="B71">
        <f>bali_nt!AP61</f>
        <v>2028</v>
      </c>
      <c r="C71">
        <f>bali_nt!AQ61</f>
        <v>53.287460008216861</v>
      </c>
      <c r="D71">
        <f>bali_nt!AR61</f>
        <v>14.892053237426214</v>
      </c>
      <c r="E71">
        <f>bali_nt!AS61</f>
        <v>60.312403044085563</v>
      </c>
      <c r="F71">
        <f>bali_nt!AT61</f>
        <v>4.6234184968576519</v>
      </c>
      <c r="G71">
        <f>bali_nt!AU61</f>
        <v>8.2501499995524998</v>
      </c>
      <c r="H71">
        <f>bali_nt!AV61</f>
        <v>3.1509401617688244</v>
      </c>
      <c r="I71">
        <f>bali_nt!AW61</f>
        <v>0.80589373812636711</v>
      </c>
      <c r="J71">
        <f>bali_nt!AX61</f>
        <v>7.0252863458105308</v>
      </c>
      <c r="K71">
        <f>bali_nt!AY61</f>
        <v>2.726944948767863E-6</v>
      </c>
      <c r="L71">
        <f>bali_nt!AZ61</f>
        <v>13.557900951309955</v>
      </c>
      <c r="M71">
        <f>bali_nt!BA61</f>
        <v>7.289091224155709E-6</v>
      </c>
      <c r="N71">
        <f>bali_nt!BB61</f>
        <v>0</v>
      </c>
      <c r="O71">
        <f>bali_nt!BC61</f>
        <v>2.5484002187215055E-2</v>
      </c>
      <c r="P71">
        <f>bali_nt!BD61</f>
        <v>165.9310000013779</v>
      </c>
    </row>
    <row r="72" spans="1:16" x14ac:dyDescent="0.25">
      <c r="A72" t="str">
        <f>bali_nt!AO62</f>
        <v>BALI_NT</v>
      </c>
      <c r="B72">
        <f>bali_nt!AP62</f>
        <v>2029</v>
      </c>
      <c r="C72">
        <f>bali_nt!AQ62</f>
        <v>56.958143537752868</v>
      </c>
      <c r="D72">
        <f>bali_nt!AR62</f>
        <v>14.892053214925154</v>
      </c>
      <c r="E72">
        <f>bali_nt!AS62</f>
        <v>5.2036278722694878</v>
      </c>
      <c r="F72">
        <f>bali_nt!AT62</f>
        <v>4.6234184968576519</v>
      </c>
      <c r="G72">
        <f>bali_nt!AU62</f>
        <v>8.2501499995524998</v>
      </c>
      <c r="H72">
        <f>bali_nt!AV62</f>
        <v>3.1509401617688244</v>
      </c>
      <c r="I72">
        <f>bali_nt!AW62</f>
        <v>0.80589373812636711</v>
      </c>
      <c r="J72">
        <f>bali_nt!AX62</f>
        <v>20.03012006404294</v>
      </c>
      <c r="K72">
        <f>bali_nt!AY62</f>
        <v>2.741442259415073E-6</v>
      </c>
      <c r="L72">
        <f>bali_nt!AZ62</f>
        <v>191.16642123344008</v>
      </c>
      <c r="M72">
        <f>bali_nt!BA62</f>
        <v>7.3397300864396197E-6</v>
      </c>
      <c r="N72">
        <f>bali_nt!BB62</f>
        <v>0</v>
      </c>
      <c r="O72">
        <f>bali_nt!BC62</f>
        <v>2.8907685841950213E-2</v>
      </c>
      <c r="P72">
        <f>bali_nt!BD62</f>
        <v>305.10968608575018</v>
      </c>
    </row>
    <row r="73" spans="1:16" x14ac:dyDescent="0.25">
      <c r="A73" t="str">
        <f>bali_nt!AO63</f>
        <v>BALI_NT</v>
      </c>
      <c r="B73">
        <f>bali_nt!AP63</f>
        <v>2030</v>
      </c>
      <c r="C73">
        <f>bali_nt!AQ63</f>
        <v>140.95086947782573</v>
      </c>
      <c r="D73">
        <f>bali_nt!AR63</f>
        <v>14.892053192424088</v>
      </c>
      <c r="E73">
        <f>bali_nt!AS63</f>
        <v>131.31303113334204</v>
      </c>
      <c r="F73">
        <f>bali_nt!AT63</f>
        <v>4.6234184968576519</v>
      </c>
      <c r="G73">
        <f>bali_nt!AU63</f>
        <v>8.2501499995524998</v>
      </c>
      <c r="H73">
        <f>bali_nt!AV63</f>
        <v>175.79483066850008</v>
      </c>
      <c r="I73">
        <f>bali_nt!AW63</f>
        <v>0.80589373812636711</v>
      </c>
      <c r="J73">
        <f>bali_nt!AX63</f>
        <v>28.751885754195929</v>
      </c>
      <c r="K73">
        <f>bali_nt!AY63</f>
        <v>2.6799512876338705E-6</v>
      </c>
      <c r="L73">
        <f>bali_nt!AZ63</f>
        <v>17.702525480529225</v>
      </c>
      <c r="M73">
        <f>bali_nt!BA63</f>
        <v>7.1128998433023582E-6</v>
      </c>
      <c r="N73">
        <f>bali_nt!BB63</f>
        <v>0</v>
      </c>
      <c r="O73">
        <f>bali_nt!BC63</f>
        <v>8.4874684519888166E-2</v>
      </c>
      <c r="P73">
        <f>bali_nt!BD63</f>
        <v>523.16954241872463</v>
      </c>
    </row>
    <row r="74" spans="1:16" x14ac:dyDescent="0.25">
      <c r="A74" t="str">
        <f>bali_nt!AO64</f>
        <v>BALI_NT</v>
      </c>
      <c r="B74">
        <f>bali_nt!AP64</f>
        <v>2031</v>
      </c>
      <c r="C74">
        <f>bali_nt!AQ64</f>
        <v>162.52344130342979</v>
      </c>
      <c r="D74">
        <f>bali_nt!AR64</f>
        <v>14.892053169923026</v>
      </c>
      <c r="E74">
        <f>bali_nt!AS64</f>
        <v>123.23975782413852</v>
      </c>
      <c r="F74">
        <f>bali_nt!AT64</f>
        <v>4.6234176955987936</v>
      </c>
      <c r="G74">
        <f>bali_nt!AU64</f>
        <v>8.2501460952857926</v>
      </c>
      <c r="H74">
        <f>bali_nt!AV64</f>
        <v>269.14072195498733</v>
      </c>
      <c r="I74">
        <f>bali_nt!AW64</f>
        <v>0.80589373812636711</v>
      </c>
      <c r="J74">
        <f>bali_nt!AX64</f>
        <v>42.724760363295161</v>
      </c>
      <c r="K74">
        <f>bali_nt!AY64</f>
        <v>2.6799512876338705E-6</v>
      </c>
      <c r="L74">
        <f>bali_nt!AZ64</f>
        <v>17.702525480529225</v>
      </c>
      <c r="M74">
        <f>bali_nt!BA64</f>
        <v>7.1128998433023582E-6</v>
      </c>
      <c r="N74">
        <f>bali_nt!BB64</f>
        <v>0</v>
      </c>
      <c r="O74">
        <f>bali_nt!BC64</f>
        <v>9.9861796140705297E-2</v>
      </c>
      <c r="P74">
        <f>bali_nt!BD64</f>
        <v>644.00258921430577</v>
      </c>
    </row>
    <row r="75" spans="1:16" x14ac:dyDescent="0.25">
      <c r="A75" t="str">
        <f>bali_nt!AO65</f>
        <v>BALI_NT</v>
      </c>
      <c r="B75">
        <f>bali_nt!AP65</f>
        <v>2032</v>
      </c>
      <c r="C75">
        <f>bali_nt!AQ65</f>
        <v>99.077097335467414</v>
      </c>
      <c r="D75">
        <f>bali_nt!AR65</f>
        <v>150.23741456055916</v>
      </c>
      <c r="E75">
        <f>bali_nt!AS65</f>
        <v>13.293226142825082</v>
      </c>
      <c r="F75">
        <f>bali_nt!AT65</f>
        <v>4.6234176876732676</v>
      </c>
      <c r="G75">
        <f>bali_nt!AU65</f>
        <v>8.2501499502857882</v>
      </c>
      <c r="H75">
        <f>bali_nt!AV65</f>
        <v>10.940503606110486</v>
      </c>
      <c r="I75">
        <f>bali_nt!AW65</f>
        <v>0.80589373812636711</v>
      </c>
      <c r="J75">
        <f>bali_nt!AX65</f>
        <v>13.905243692703563</v>
      </c>
      <c r="K75">
        <f>bali_nt!AY65</f>
        <v>2.6799512876338705E-6</v>
      </c>
      <c r="L75">
        <f>bali_nt!AZ65</f>
        <v>26.528418394230165</v>
      </c>
      <c r="M75">
        <f>bali_nt!BA65</f>
        <v>7.1128998433023582E-6</v>
      </c>
      <c r="N75">
        <f>bali_nt!BB65</f>
        <v>0</v>
      </c>
      <c r="O75">
        <f>bali_nt!BC65</f>
        <v>5.4739438195151695E-2</v>
      </c>
      <c r="P75">
        <f>bali_nt!BD65</f>
        <v>327.71611433902763</v>
      </c>
    </row>
    <row r="76" spans="1:16" x14ac:dyDescent="0.25">
      <c r="A76" t="str">
        <f>bali_nt!AO66</f>
        <v>BALI_NT</v>
      </c>
      <c r="B76">
        <f>bali_nt!AP66</f>
        <v>2033</v>
      </c>
      <c r="C76">
        <f>bali_nt!AQ66</f>
        <v>58.586462891394504</v>
      </c>
      <c r="D76">
        <f>bali_nt!AR66</f>
        <v>48.632877223946856</v>
      </c>
      <c r="E76">
        <f>bali_nt!AS66</f>
        <v>13.293226142825082</v>
      </c>
      <c r="F76">
        <f>bali_nt!AT66</f>
        <v>4.6234184810066008</v>
      </c>
      <c r="G76">
        <f>bali_nt!AU66</f>
        <v>8.2501499502857882</v>
      </c>
      <c r="H76">
        <f>bali_nt!AV66</f>
        <v>10.940503606110486</v>
      </c>
      <c r="I76">
        <f>bali_nt!AW66</f>
        <v>0.80589373812636711</v>
      </c>
      <c r="J76">
        <f>bali_nt!AX66</f>
        <v>20.199321839543401</v>
      </c>
      <c r="K76">
        <f>bali_nt!AY66</f>
        <v>2.6799512876338705E-6</v>
      </c>
      <c r="L76">
        <f>bali_nt!AZ66</f>
        <v>88.449013174988536</v>
      </c>
      <c r="M76">
        <f>bali_nt!BA66</f>
        <v>7.1128998433023582E-6</v>
      </c>
      <c r="N76">
        <f>bali_nt!BB66</f>
        <v>0</v>
      </c>
      <c r="O76">
        <f>bali_nt!BC66</f>
        <v>2.7874386503121049E-2</v>
      </c>
      <c r="P76">
        <f>bali_nt!BD66</f>
        <v>253.80875122758189</v>
      </c>
    </row>
    <row r="77" spans="1:16" x14ac:dyDescent="0.25">
      <c r="A77" t="str">
        <f>bali_nt!AO67</f>
        <v>BALI_NT</v>
      </c>
      <c r="B77">
        <f>bali_nt!AP67</f>
        <v>2034</v>
      </c>
      <c r="C77">
        <f>bali_nt!AQ67</f>
        <v>107.15362162828549</v>
      </c>
      <c r="D77">
        <f>bali_nt!AR67</f>
        <v>38.687349102916585</v>
      </c>
      <c r="E77">
        <f>bali_nt!AS67</f>
        <v>84.93965469207879</v>
      </c>
      <c r="F77">
        <f>bali_nt!AT67</f>
        <v>4.6234176797477415</v>
      </c>
      <c r="G77">
        <f>bali_nt!AU67</f>
        <v>8.2501460460190792</v>
      </c>
      <c r="H77">
        <f>bali_nt!AV67</f>
        <v>10.940501491627144</v>
      </c>
      <c r="I77">
        <f>bali_nt!AW67</f>
        <v>0.80589373812636711</v>
      </c>
      <c r="J77">
        <f>bali_nt!AX67</f>
        <v>30.492325772374851</v>
      </c>
      <c r="K77">
        <f>bali_nt!AY67</f>
        <v>2.6799512876338705E-6</v>
      </c>
      <c r="L77">
        <f>bali_nt!AZ67</f>
        <v>183.95235162243046</v>
      </c>
      <c r="M77">
        <f>bali_nt!BA67</f>
        <v>7.2662102378889693E-6</v>
      </c>
      <c r="N77">
        <f>bali_nt!BB67</f>
        <v>0</v>
      </c>
      <c r="O77">
        <f>bali_nt!BC67</f>
        <v>6.1636863974293472E-2</v>
      </c>
      <c r="P77">
        <f>bali_nt!BD67</f>
        <v>469.90690858374234</v>
      </c>
    </row>
    <row r="78" spans="1:16" x14ac:dyDescent="0.25">
      <c r="A78" t="str">
        <f>bali_nt!AO68</f>
        <v>BALI_NT</v>
      </c>
      <c r="B78">
        <f>bali_nt!AP68</f>
        <v>2035</v>
      </c>
      <c r="C78">
        <f>bali_nt!AQ68</f>
        <v>60.244576224501351</v>
      </c>
      <c r="D78">
        <f>bali_nt!AR68</f>
        <v>49.914964420564012</v>
      </c>
      <c r="E78">
        <f>bali_nt!AS68</f>
        <v>15.709265979416632</v>
      </c>
      <c r="F78">
        <f>bali_nt!AT68</f>
        <v>4.6234184730810748</v>
      </c>
      <c r="G78">
        <f>bali_nt!AU68</f>
        <v>8.2501459967523623</v>
      </c>
      <c r="H78">
        <f>bali_nt!AV68</f>
        <v>10.940501453810468</v>
      </c>
      <c r="I78">
        <f>bali_nt!AW68</f>
        <v>0.80589373812636711</v>
      </c>
      <c r="J78">
        <f>bali_nt!AX68</f>
        <v>24.125028253926853</v>
      </c>
      <c r="K78">
        <f>bali_nt!AY68</f>
        <v>2.6799512876338705E-6</v>
      </c>
      <c r="L78">
        <f>bali_nt!AZ68</f>
        <v>94.417691315424989</v>
      </c>
      <c r="M78">
        <f>bali_nt!BA68</f>
        <v>7.1170205664787939E-6</v>
      </c>
      <c r="N78">
        <f>bali_nt!BB68</f>
        <v>0</v>
      </c>
      <c r="O78">
        <f>bali_nt!BC68</f>
        <v>2.8994760403658042E-2</v>
      </c>
      <c r="P78">
        <f>bali_nt!BD68</f>
        <v>269.06049041297962</v>
      </c>
    </row>
    <row r="79" spans="1:16" x14ac:dyDescent="0.25">
      <c r="A79" t="str">
        <f>bali_nt!AO69</f>
        <v>BALI_NT</v>
      </c>
      <c r="B79">
        <f>bali_nt!AP69</f>
        <v>2036</v>
      </c>
      <c r="C79">
        <f>bali_nt!AQ69</f>
        <v>230.85799658753714</v>
      </c>
      <c r="D79">
        <f>bali_nt!AR69</f>
        <v>21.300289819481243</v>
      </c>
      <c r="E79">
        <f>bali_nt!AS69</f>
        <v>111.75816245175713</v>
      </c>
      <c r="F79">
        <f>bali_nt!AT69</f>
        <v>4.6234176718222164</v>
      </c>
      <c r="G79">
        <f>bali_nt!AU69</f>
        <v>214.20233421405561</v>
      </c>
      <c r="H79">
        <f>bali_nt!AV69</f>
        <v>372.51326339309202</v>
      </c>
      <c r="I79">
        <f>bali_nt!AW69</f>
        <v>0.80589373812636711</v>
      </c>
      <c r="J79">
        <f>bali_nt!AX69</f>
        <v>103.04586232962603</v>
      </c>
      <c r="K79">
        <f>bali_nt!AY69</f>
        <v>2.6799512876338705E-6</v>
      </c>
      <c r="L79">
        <f>bali_nt!AZ69</f>
        <v>25.048401619884654</v>
      </c>
      <c r="M79">
        <f>bali_nt!BA69</f>
        <v>2.1501871826525581E-6</v>
      </c>
      <c r="N79">
        <f>bali_nt!BB69</f>
        <v>0</v>
      </c>
      <c r="O79">
        <f>bali_nt!BC69</f>
        <v>0.15249170107167292</v>
      </c>
      <c r="P79">
        <f>bali_nt!BD69</f>
        <v>1084.3081183565923</v>
      </c>
    </row>
    <row r="80" spans="1:16" x14ac:dyDescent="0.25">
      <c r="A80" t="str">
        <f>bali_nt!AO70</f>
        <v>BALI_NT</v>
      </c>
      <c r="B80">
        <f>bali_nt!AP70</f>
        <v>2037</v>
      </c>
      <c r="C80">
        <f>bali_nt!AQ70</f>
        <v>218.13086206377977</v>
      </c>
      <c r="D80">
        <f>bali_nt!AR70</f>
        <v>21.30029054614791</v>
      </c>
      <c r="E80">
        <f>bali_nt!AS70</f>
        <v>179.49172942432014</v>
      </c>
      <c r="F80">
        <f>bali_nt!AT70</f>
        <v>4.6234176638966913</v>
      </c>
      <c r="G80">
        <f>bali_nt!AU70</f>
        <v>231.55466769161083</v>
      </c>
      <c r="H80">
        <f>bali_nt!AV70</f>
        <v>198.19346543271061</v>
      </c>
      <c r="I80">
        <f>bali_nt!AW70</f>
        <v>0.80589373812636711</v>
      </c>
      <c r="J80">
        <f>bali_nt!AX70</f>
        <v>85.82325963927326</v>
      </c>
      <c r="K80">
        <f>bali_nt!AY70</f>
        <v>2.6799512876338705E-6</v>
      </c>
      <c r="L80">
        <f>bali_nt!AZ70</f>
        <v>25.048401619884654</v>
      </c>
      <c r="M80">
        <f>bali_nt!BA70</f>
        <v>6.9835205158565732E-6</v>
      </c>
      <c r="N80">
        <f>bali_nt!BB70</f>
        <v>0</v>
      </c>
      <c r="O80">
        <f>bali_nt!BC70</f>
        <v>0.14161853941441074</v>
      </c>
      <c r="P80">
        <f>bali_nt!BD70</f>
        <v>965.11361602263639</v>
      </c>
    </row>
    <row r="81" spans="1:16" x14ac:dyDescent="0.25">
      <c r="A81" t="str">
        <f>bali_nt!AO71</f>
        <v>BALI_NT</v>
      </c>
      <c r="B81">
        <f>bali_nt!AP71</f>
        <v>2038</v>
      </c>
      <c r="C81">
        <f>bali_nt!AQ71</f>
        <v>232.63918367650504</v>
      </c>
      <c r="D81">
        <f>bali_nt!AR71</f>
        <v>21.300289796980181</v>
      </c>
      <c r="E81">
        <f>bali_nt!AS71</f>
        <v>199.09634698298382</v>
      </c>
      <c r="F81">
        <f>bali_nt!AT71</f>
        <v>4.6234176559711662</v>
      </c>
      <c r="G81">
        <f>bali_nt!AU71</f>
        <v>368.5996802170809</v>
      </c>
      <c r="H81">
        <f>bali_nt!AV71</f>
        <v>111.03356645251985</v>
      </c>
      <c r="I81">
        <f>bali_nt!AW71</f>
        <v>0.80589373812636711</v>
      </c>
      <c r="J81">
        <f>bali_nt!AX71</f>
        <v>97.727990750734804</v>
      </c>
      <c r="K81">
        <f>bali_nt!AY71</f>
        <v>2.6799512876338705E-6</v>
      </c>
      <c r="L81">
        <f>bali_nt!AZ71</f>
        <v>25.048401619884654</v>
      </c>
      <c r="M81">
        <f>bali_nt!BA71</f>
        <v>6.9835205158565732E-6</v>
      </c>
      <c r="N81">
        <f>bali_nt!BB71</f>
        <v>0</v>
      </c>
      <c r="O81">
        <f>bali_nt!BC71</f>
        <v>0.15208047512733233</v>
      </c>
      <c r="P81">
        <f>bali_nt!BD71</f>
        <v>1061.0268610293856</v>
      </c>
    </row>
    <row r="82" spans="1:16" x14ac:dyDescent="0.25">
      <c r="A82" t="str">
        <f>kalimantan!AO52</f>
        <v>KALIMANTAN</v>
      </c>
      <c r="B82">
        <f>kalimantan!AP52</f>
        <v>2019</v>
      </c>
      <c r="C82">
        <f>kalimantan!AQ52</f>
        <v>113.37791452865655</v>
      </c>
      <c r="D82">
        <f>kalimantan!AR52</f>
        <v>12.03874380158978</v>
      </c>
      <c r="E82">
        <f>kalimantan!AS52</f>
        <v>1.3680229644162982</v>
      </c>
      <c r="F82">
        <f>kalimantan!AT52</f>
        <v>13.668916103575459</v>
      </c>
      <c r="G82">
        <f>kalimantan!AU52</f>
        <v>0</v>
      </c>
      <c r="H82">
        <f>kalimantan!AV52</f>
        <v>9.9938129303213241</v>
      </c>
      <c r="I82">
        <f>kalimantan!AW52</f>
        <v>0.17426871059618854</v>
      </c>
      <c r="J82">
        <f>kalimantan!AX52</f>
        <v>6.5880000000000001E-3</v>
      </c>
      <c r="K82">
        <f>kalimantan!AY52</f>
        <v>0</v>
      </c>
      <c r="L82">
        <f>kalimantan!AZ52</f>
        <v>4.2195962242787868</v>
      </c>
      <c r="M82">
        <f>kalimantan!BA52</f>
        <v>0</v>
      </c>
      <c r="N82">
        <f>kalimantan!BB52</f>
        <v>0</v>
      </c>
      <c r="O82">
        <f>kalimantan!BC52</f>
        <v>0</v>
      </c>
      <c r="P82">
        <f>kalimantan!BD52</f>
        <v>154.84786326343436</v>
      </c>
    </row>
    <row r="83" spans="1:16" x14ac:dyDescent="0.25">
      <c r="A83" t="str">
        <f>kalimantan!AO53</f>
        <v>KALIMANTAN</v>
      </c>
      <c r="B83">
        <f>kalimantan!AP53</f>
        <v>2020</v>
      </c>
      <c r="C83">
        <f>kalimantan!AQ53</f>
        <v>436.52930730240354</v>
      </c>
      <c r="D83">
        <f>kalimantan!AR53</f>
        <v>12.038743052422051</v>
      </c>
      <c r="E83">
        <f>kalimantan!AS53</f>
        <v>140.17551972528801</v>
      </c>
      <c r="F83">
        <f>kalimantan!AT53</f>
        <v>13.668916103575459</v>
      </c>
      <c r="G83">
        <f>kalimantan!AU53</f>
        <v>0</v>
      </c>
      <c r="H83">
        <f>kalimantan!AV53</f>
        <v>54.326316616033829</v>
      </c>
      <c r="I83">
        <f>kalimantan!AW53</f>
        <v>232.5963328594386</v>
      </c>
      <c r="J83">
        <f>kalimantan!AX53</f>
        <v>1032.90262452396</v>
      </c>
      <c r="K83">
        <f>kalimantan!AY53</f>
        <v>0</v>
      </c>
      <c r="L83">
        <f>kalimantan!AZ53</f>
        <v>4.2195962242787868</v>
      </c>
      <c r="M83">
        <f>kalimantan!BA53</f>
        <v>0</v>
      </c>
      <c r="N83">
        <f>kalimantan!BB53</f>
        <v>0</v>
      </c>
      <c r="O83">
        <f>kalimantan!BC53</f>
        <v>1.7391623345608349</v>
      </c>
      <c r="P83">
        <f>kalimantan!BD53</f>
        <v>1928.1965187419612</v>
      </c>
    </row>
    <row r="84" spans="1:16" x14ac:dyDescent="0.25">
      <c r="A84" t="str">
        <f>kalimantan!AO54</f>
        <v>KALIMANTAN</v>
      </c>
      <c r="B84">
        <f>kalimantan!AP54</f>
        <v>2021</v>
      </c>
      <c r="C84">
        <f>kalimantan!AQ54</f>
        <v>308.00436531381098</v>
      </c>
      <c r="D84">
        <f>kalimantan!AR54</f>
        <v>12.038743029920989</v>
      </c>
      <c r="E84">
        <f>kalimantan!AS54</f>
        <v>455.20218652699037</v>
      </c>
      <c r="F84">
        <f>kalimantan!AT54</f>
        <v>13.668916103575459</v>
      </c>
      <c r="G84">
        <f>kalimantan!AU54</f>
        <v>0</v>
      </c>
      <c r="H84">
        <f>kalimantan!AV54</f>
        <v>451.41979035963362</v>
      </c>
      <c r="I84">
        <f>kalimantan!AW54</f>
        <v>64.190796158215122</v>
      </c>
      <c r="J84">
        <f>kalimantan!AX54</f>
        <v>9.8802622737287731</v>
      </c>
      <c r="K84">
        <f>kalimantan!AY54</f>
        <v>0</v>
      </c>
      <c r="L84">
        <f>kalimantan!AZ54</f>
        <v>4.2195962242787868</v>
      </c>
      <c r="M84">
        <f>kalimantan!BA54</f>
        <v>0</v>
      </c>
      <c r="N84">
        <f>kalimantan!BB54</f>
        <v>0</v>
      </c>
      <c r="O84">
        <f>kalimantan!BC54</f>
        <v>0.22534323788044877</v>
      </c>
      <c r="P84">
        <f>kalimantan!BD54</f>
        <v>1318.8499992280344</v>
      </c>
    </row>
    <row r="85" spans="1:16" x14ac:dyDescent="0.25">
      <c r="A85" t="str">
        <f>kalimantan!AO55</f>
        <v>KALIMANTAN</v>
      </c>
      <c r="B85">
        <f>kalimantan!AP55</f>
        <v>2022</v>
      </c>
      <c r="C85">
        <f>kalimantan!AQ55</f>
        <v>301.67830301938551</v>
      </c>
      <c r="D85">
        <f>kalimantan!AR55</f>
        <v>12.038743007419923</v>
      </c>
      <c r="E85">
        <f>kalimantan!AS55</f>
        <v>546.19912926228972</v>
      </c>
      <c r="F85">
        <f>kalimantan!AT55</f>
        <v>13.668916103575459</v>
      </c>
      <c r="G85">
        <f>kalimantan!AU55</f>
        <v>0</v>
      </c>
      <c r="H85">
        <f>kalimantan!AV55</f>
        <v>64.537123043470899</v>
      </c>
      <c r="I85">
        <f>kalimantan!AW55</f>
        <v>5.8004066041098383</v>
      </c>
      <c r="J85">
        <f>kalimantan!AX55</f>
        <v>734.67369392769388</v>
      </c>
      <c r="K85">
        <f>kalimantan!AY55</f>
        <v>0</v>
      </c>
      <c r="L85">
        <f>kalimantan!AZ55</f>
        <v>4.2195962242787868</v>
      </c>
      <c r="M85">
        <f>kalimantan!BA55</f>
        <v>0</v>
      </c>
      <c r="N85">
        <f>kalimantan!BB55</f>
        <v>0</v>
      </c>
      <c r="O85">
        <f>kalimantan!BC55</f>
        <v>0.31398525410473266</v>
      </c>
      <c r="P85">
        <f>kalimantan!BD55</f>
        <v>1683.1298964463288</v>
      </c>
    </row>
    <row r="86" spans="1:16" x14ac:dyDescent="0.25">
      <c r="A86" t="str">
        <f>kalimantan!AO56</f>
        <v>KALIMANTAN</v>
      </c>
      <c r="B86">
        <f>kalimantan!AP56</f>
        <v>2023</v>
      </c>
      <c r="C86">
        <f>kalimantan!AQ56</f>
        <v>134.03269282995402</v>
      </c>
      <c r="D86">
        <f>kalimantan!AR56</f>
        <v>188.74415567529104</v>
      </c>
      <c r="E86">
        <f>kalimantan!AS56</f>
        <v>277.68237428833993</v>
      </c>
      <c r="F86">
        <f>kalimantan!AT56</f>
        <v>13.668916103576453</v>
      </c>
      <c r="G86">
        <f>kalimantan!AU56</f>
        <v>355.28862615413118</v>
      </c>
      <c r="H86">
        <f>kalimantan!AV56</f>
        <v>166.65334365012856</v>
      </c>
      <c r="I86">
        <f>kalimantan!AW56</f>
        <v>54.601273011998096</v>
      </c>
      <c r="J86">
        <f>kalimantan!AX56</f>
        <v>34.940450557374675</v>
      </c>
      <c r="K86">
        <f>kalimantan!AY56</f>
        <v>11.137617226377218</v>
      </c>
      <c r="L86">
        <f>kalimantan!AZ56</f>
        <v>119.44063967335789</v>
      </c>
      <c r="M86">
        <f>kalimantan!BA56</f>
        <v>0</v>
      </c>
      <c r="N86">
        <f>kalimantan!BB56</f>
        <v>0</v>
      </c>
      <c r="O86">
        <f>kalimantan!BC56</f>
        <v>0.19768344924311093</v>
      </c>
      <c r="P86">
        <f>kalimantan!BD56</f>
        <v>1356.3877726197722</v>
      </c>
    </row>
    <row r="87" spans="1:16" x14ac:dyDescent="0.25">
      <c r="A87" t="str">
        <f>kalimantan!AO57</f>
        <v>KALIMANTAN</v>
      </c>
      <c r="B87">
        <f>kalimantan!AP57</f>
        <v>2024</v>
      </c>
      <c r="C87">
        <f>kalimantan!AQ57</f>
        <v>134.03269282995402</v>
      </c>
      <c r="D87">
        <f>kalimantan!AR57</f>
        <v>56.443116565560587</v>
      </c>
      <c r="E87">
        <f>kalimantan!AS57</f>
        <v>133.37365619799803</v>
      </c>
      <c r="F87">
        <f>kalimantan!AT57</f>
        <v>13.668916103575468</v>
      </c>
      <c r="G87">
        <f>kalimantan!AU57</f>
        <v>165.81320432897289</v>
      </c>
      <c r="H87">
        <f>kalimantan!AV57</f>
        <v>22.119590166990996</v>
      </c>
      <c r="I87">
        <f>kalimantan!AW57</f>
        <v>274.76178462545732</v>
      </c>
      <c r="J87">
        <f>kalimantan!AX57</f>
        <v>64.968321237245618</v>
      </c>
      <c r="K87">
        <f>kalimantan!AY57</f>
        <v>17.459169324078584</v>
      </c>
      <c r="L87">
        <f>kalimantan!AZ57</f>
        <v>46.605669662599439</v>
      </c>
      <c r="M87">
        <f>kalimantan!BA57</f>
        <v>0</v>
      </c>
      <c r="N87">
        <f>kalimantan!BB57</f>
        <v>0</v>
      </c>
      <c r="O87">
        <f>kalimantan!BC57</f>
        <v>0.12142997292692032</v>
      </c>
      <c r="P87">
        <f>kalimantan!BD57</f>
        <v>929.36755101535971</v>
      </c>
    </row>
    <row r="88" spans="1:16" x14ac:dyDescent="0.25">
      <c r="A88" t="str">
        <f>kalimantan!AO58</f>
        <v>KALIMANTAN</v>
      </c>
      <c r="B88">
        <f>kalimantan!AP58</f>
        <v>2025</v>
      </c>
      <c r="C88">
        <f>kalimantan!AQ58</f>
        <v>134.03269282995402</v>
      </c>
      <c r="D88">
        <f>kalimantan!AR58</f>
        <v>105.50800887443977</v>
      </c>
      <c r="E88">
        <f>kalimantan!AS58</f>
        <v>100.24592125208062</v>
      </c>
      <c r="F88">
        <f>kalimantan!AT58</f>
        <v>13.668916103575468</v>
      </c>
      <c r="G88">
        <f>kalimantan!AU58</f>
        <v>103.49813717611234</v>
      </c>
      <c r="H88">
        <f>kalimantan!AV58</f>
        <v>131.29309039100514</v>
      </c>
      <c r="I88">
        <f>kalimantan!AW58</f>
        <v>112.86041890008322</v>
      </c>
      <c r="J88">
        <f>kalimantan!AX58</f>
        <v>115.3982023183702</v>
      </c>
      <c r="K88">
        <f>kalimantan!AY58</f>
        <v>99.208037281557779</v>
      </c>
      <c r="L88">
        <f>kalimantan!AZ58</f>
        <v>105.09193194802108</v>
      </c>
      <c r="M88">
        <f>kalimantan!BA58</f>
        <v>0</v>
      </c>
      <c r="N88">
        <f>kalimantan!BB58</f>
        <v>0</v>
      </c>
      <c r="O88">
        <f>kalimantan!BC58</f>
        <v>0.14333871664525297</v>
      </c>
      <c r="P88">
        <f>kalimantan!BD58</f>
        <v>1020.9486957918448</v>
      </c>
    </row>
    <row r="89" spans="1:16" x14ac:dyDescent="0.25">
      <c r="A89" t="str">
        <f>kalimantan!AO59</f>
        <v>KALIMANTAN</v>
      </c>
      <c r="B89">
        <f>kalimantan!AP59</f>
        <v>2026</v>
      </c>
      <c r="C89">
        <f>kalimantan!AQ59</f>
        <v>134.03269282995402</v>
      </c>
      <c r="D89">
        <f>kalimantan!AR59</f>
        <v>64.740891915413869</v>
      </c>
      <c r="E89">
        <f>kalimantan!AS59</f>
        <v>87.898090216086473</v>
      </c>
      <c r="F89">
        <f>kalimantan!AT59</f>
        <v>13.668916103575468</v>
      </c>
      <c r="G89">
        <f>kalimantan!AU59</f>
        <v>56.232292187521224</v>
      </c>
      <c r="H89">
        <f>kalimantan!AV59</f>
        <v>39.495634671749841</v>
      </c>
      <c r="I89">
        <f>kalimantan!AW59</f>
        <v>69.58941280401379</v>
      </c>
      <c r="J89">
        <f>kalimantan!AX59</f>
        <v>21.772772210109473</v>
      </c>
      <c r="K89">
        <f>kalimantan!AY59</f>
        <v>12.460882942975983</v>
      </c>
      <c r="L89">
        <f>kalimantan!AZ59</f>
        <v>15.95547604112242</v>
      </c>
      <c r="M89">
        <f>kalimantan!BA59</f>
        <v>0</v>
      </c>
      <c r="N89">
        <f>kalimantan!BB59</f>
        <v>0</v>
      </c>
      <c r="O89">
        <f>kalimantan!BC59</f>
        <v>6.1053986380494536E-2</v>
      </c>
      <c r="P89">
        <f>kalimantan!BD59</f>
        <v>515.90811590890291</v>
      </c>
    </row>
    <row r="90" spans="1:16" x14ac:dyDescent="0.25">
      <c r="A90" t="str">
        <f>kalimantan!AO60</f>
        <v>KALIMANTAN</v>
      </c>
      <c r="B90">
        <f>kalimantan!AP60</f>
        <v>2027</v>
      </c>
      <c r="C90">
        <f>kalimantan!AQ60</f>
        <v>134.03269282995402</v>
      </c>
      <c r="D90">
        <f>kalimantan!AR60</f>
        <v>22.442722878656973</v>
      </c>
      <c r="E90">
        <f>kalimantan!AS60</f>
        <v>929.50050864972684</v>
      </c>
      <c r="F90">
        <f>kalimantan!AT60</f>
        <v>62.678565115963984</v>
      </c>
      <c r="G90">
        <f>kalimantan!AU60</f>
        <v>8.3546692580404418</v>
      </c>
      <c r="H90">
        <f>kalimantan!AV60</f>
        <v>24.347957287418325</v>
      </c>
      <c r="I90">
        <f>kalimantan!AW60</f>
        <v>14.925165358128524</v>
      </c>
      <c r="J90">
        <f>kalimantan!AX60</f>
        <v>18.409609715954925</v>
      </c>
      <c r="K90">
        <f>kalimantan!AY60</f>
        <v>605.86407213200209</v>
      </c>
      <c r="L90">
        <f>kalimantan!AZ60</f>
        <v>10.240838447244329</v>
      </c>
      <c r="M90">
        <f>kalimantan!BA60</f>
        <v>0</v>
      </c>
      <c r="N90">
        <f>kalimantan!BB60</f>
        <v>0</v>
      </c>
      <c r="O90">
        <f>kalimantan!BC60</f>
        <v>0.4085015025945079</v>
      </c>
      <c r="P90">
        <f>kalimantan!BD60</f>
        <v>1831.205303175685</v>
      </c>
    </row>
    <row r="91" spans="1:16" x14ac:dyDescent="0.25">
      <c r="A91" t="str">
        <f>kalimantan!AO61</f>
        <v>KALIMANTAN</v>
      </c>
      <c r="B91">
        <f>kalimantan!AP61</f>
        <v>2028</v>
      </c>
      <c r="C91">
        <f>kalimantan!AQ61</f>
        <v>211.80592813333752</v>
      </c>
      <c r="D91">
        <f>kalimantan!AR61</f>
        <v>22.442722878656973</v>
      </c>
      <c r="E91">
        <f>kalimantan!AS61</f>
        <v>82.353913329054606</v>
      </c>
      <c r="F91">
        <f>kalimantan!AT61</f>
        <v>138.48192702663624</v>
      </c>
      <c r="G91">
        <f>kalimantan!AU61</f>
        <v>8.3546692580404418</v>
      </c>
      <c r="H91">
        <f>kalimantan!AV61</f>
        <v>24.347957287418325</v>
      </c>
      <c r="I91">
        <f>kalimantan!AW61</f>
        <v>14.925165358128524</v>
      </c>
      <c r="J91">
        <f>kalimantan!AX61</f>
        <v>18.409609715954925</v>
      </c>
      <c r="K91">
        <f>kalimantan!AY61</f>
        <v>254.61183894866531</v>
      </c>
      <c r="L91">
        <f>kalimantan!AZ61</f>
        <v>10.240838447244329</v>
      </c>
      <c r="M91">
        <f>kalimantan!BA61</f>
        <v>0</v>
      </c>
      <c r="N91">
        <f>kalimantan!BB61</f>
        <v>0</v>
      </c>
      <c r="O91">
        <f>kalimantan!BC61</f>
        <v>0.14615223863023111</v>
      </c>
      <c r="P91">
        <f>kalimantan!BD61</f>
        <v>786.12072262176741</v>
      </c>
    </row>
    <row r="92" spans="1:16" x14ac:dyDescent="0.25">
      <c r="A92" t="str">
        <f>kalimantan!AO62</f>
        <v>KALIMANTAN</v>
      </c>
      <c r="B92">
        <f>kalimantan!AP62</f>
        <v>2029</v>
      </c>
      <c r="C92">
        <f>kalimantan!AQ62</f>
        <v>136.392027848651</v>
      </c>
      <c r="D92">
        <f>kalimantan!AR62</f>
        <v>22.442722878656973</v>
      </c>
      <c r="E92">
        <f>kalimantan!AS62</f>
        <v>82.353913329054606</v>
      </c>
      <c r="F92">
        <f>kalimantan!AT62</f>
        <v>15.383460468381156</v>
      </c>
      <c r="G92">
        <f>kalimantan!AU62</f>
        <v>8.3546653537737292</v>
      </c>
      <c r="H92">
        <f>kalimantan!AV62</f>
        <v>24.552321257093187</v>
      </c>
      <c r="I92">
        <f>kalimantan!AW62</f>
        <v>40.56098260001847</v>
      </c>
      <c r="J92">
        <f>kalimantan!AX62</f>
        <v>30.313575102833486</v>
      </c>
      <c r="K92">
        <f>kalimantan!AY62</f>
        <v>41.249564764569612</v>
      </c>
      <c r="L92">
        <f>kalimantan!AZ62</f>
        <v>97.368585152560598</v>
      </c>
      <c r="M92">
        <f>kalimantan!BA62</f>
        <v>0</v>
      </c>
      <c r="N92">
        <f>kalimantan!BB62</f>
        <v>0</v>
      </c>
      <c r="O92">
        <f>kalimantan!BC62</f>
        <v>4.3064329435013204E-2</v>
      </c>
      <c r="P92">
        <f>kalimantan!BD62</f>
        <v>499.01488308502786</v>
      </c>
    </row>
    <row r="93" spans="1:16" x14ac:dyDescent="0.25">
      <c r="A93" t="str">
        <f>kalimantan!AO63</f>
        <v>KALIMANTAN</v>
      </c>
      <c r="B93">
        <f>kalimantan!AP63</f>
        <v>2030</v>
      </c>
      <c r="C93">
        <f>kalimantan!AQ63</f>
        <v>136.392027848651</v>
      </c>
      <c r="D93">
        <f>kalimantan!AR63</f>
        <v>22.442722878656973</v>
      </c>
      <c r="E93">
        <f>kalimantan!AS63</f>
        <v>82.353913329054606</v>
      </c>
      <c r="F93">
        <f>kalimantan!AT63</f>
        <v>15.383460468381156</v>
      </c>
      <c r="G93">
        <f>kalimantan!AU63</f>
        <v>32.599395276369698</v>
      </c>
      <c r="H93">
        <f>kalimantan!AV63</f>
        <v>79.891377580115744</v>
      </c>
      <c r="I93">
        <f>kalimantan!AW63</f>
        <v>17.660086056199205</v>
      </c>
      <c r="J93">
        <f>kalimantan!AX63</f>
        <v>25.754122268776921</v>
      </c>
      <c r="K93">
        <f>kalimantan!AY63</f>
        <v>51.647084451961632</v>
      </c>
      <c r="L93">
        <f>kalimantan!AZ63</f>
        <v>12.274028046464194</v>
      </c>
      <c r="M93">
        <f>kalimantan!BA63</f>
        <v>0</v>
      </c>
      <c r="N93">
        <f>kalimantan!BB63</f>
        <v>0</v>
      </c>
      <c r="O93">
        <f>kalimantan!BC63</f>
        <v>4.4069808369039433E-2</v>
      </c>
      <c r="P93">
        <f>kalimantan!BD63</f>
        <v>476.44228801300017</v>
      </c>
    </row>
    <row r="94" spans="1:16" x14ac:dyDescent="0.25">
      <c r="A94" t="str">
        <f>kalimantan!AO64</f>
        <v>KALIMANTAN</v>
      </c>
      <c r="B94">
        <f>kalimantan!AP64</f>
        <v>2031</v>
      </c>
      <c r="C94">
        <f>kalimantan!AQ64</f>
        <v>136.392027848651</v>
      </c>
      <c r="D94">
        <f>kalimantan!AR64</f>
        <v>22.442722878656973</v>
      </c>
      <c r="E94">
        <f>kalimantan!AS64</f>
        <v>82.353913329054606</v>
      </c>
      <c r="F94">
        <f>kalimantan!AT64</f>
        <v>27.693420759844148</v>
      </c>
      <c r="G94">
        <f>kalimantan!AU64</f>
        <v>8.6606057761833934</v>
      </c>
      <c r="H94">
        <f>kalimantan!AV64</f>
        <v>25.344918401485369</v>
      </c>
      <c r="I94">
        <f>kalimantan!AW64</f>
        <v>15.462357181209409</v>
      </c>
      <c r="J94">
        <f>kalimantan!AX64</f>
        <v>18.592522268776921</v>
      </c>
      <c r="K94">
        <f>kalimantan!AY64</f>
        <v>139.65998814491152</v>
      </c>
      <c r="L94">
        <f>kalimantan!AZ64</f>
        <v>12.274028046464194</v>
      </c>
      <c r="M94">
        <f>kalimantan!BA64</f>
        <v>0</v>
      </c>
      <c r="N94">
        <f>kalimantan!BB64</f>
        <v>0</v>
      </c>
      <c r="O94">
        <f>kalimantan!BC64</f>
        <v>5.9647637460955041E-2</v>
      </c>
      <c r="P94">
        <f>kalimantan!BD64</f>
        <v>488.93615227269851</v>
      </c>
    </row>
    <row r="95" spans="1:16" x14ac:dyDescent="0.25">
      <c r="A95" t="str">
        <f>kalimantan!AO65</f>
        <v>KALIMANTAN</v>
      </c>
      <c r="B95">
        <f>kalimantan!AP65</f>
        <v>2032</v>
      </c>
      <c r="C95">
        <f>kalimantan!AQ65</f>
        <v>272.93132904586389</v>
      </c>
      <c r="D95">
        <f>kalimantan!AR65</f>
        <v>22.442722878656973</v>
      </c>
      <c r="E95">
        <f>kalimantan!AS65</f>
        <v>84.952655955994473</v>
      </c>
      <c r="F95">
        <f>kalimantan!AT65</f>
        <v>177.0748152370584</v>
      </c>
      <c r="G95">
        <f>kalimantan!AU65</f>
        <v>8.6606057761833934</v>
      </c>
      <c r="H95">
        <f>kalimantan!AV65</f>
        <v>25.344918401485369</v>
      </c>
      <c r="I95">
        <f>kalimantan!AW65</f>
        <v>15.462357181209409</v>
      </c>
      <c r="J95">
        <f>kalimantan!AX65</f>
        <v>18.592522268776921</v>
      </c>
      <c r="K95">
        <f>kalimantan!AY65</f>
        <v>346.79119717310385</v>
      </c>
      <c r="L95">
        <f>kalimantan!AZ65</f>
        <v>12.274028046464194</v>
      </c>
      <c r="M95">
        <f>kalimantan!BA65</f>
        <v>0</v>
      </c>
      <c r="N95">
        <f>kalimantan!BB65</f>
        <v>0</v>
      </c>
      <c r="O95">
        <f>kalimantan!BC65</f>
        <v>0.19326846807032189</v>
      </c>
      <c r="P95">
        <f>kalimantan!BD65</f>
        <v>984.7204204328674</v>
      </c>
    </row>
    <row r="96" spans="1:16" x14ac:dyDescent="0.25">
      <c r="A96" t="str">
        <f>kalimantan!AO66</f>
        <v>KALIMANTAN</v>
      </c>
      <c r="B96">
        <f>kalimantan!AP66</f>
        <v>2033</v>
      </c>
      <c r="C96">
        <f>kalimantan!AQ66</f>
        <v>301.61368863875686</v>
      </c>
      <c r="D96">
        <f>kalimantan!AR66</f>
        <v>22.442722878656973</v>
      </c>
      <c r="E96">
        <f>kalimantan!AS66</f>
        <v>276.21352107445495</v>
      </c>
      <c r="F96">
        <f>kalimantan!AT66</f>
        <v>39.91971041993154</v>
      </c>
      <c r="G96">
        <f>kalimantan!AU66</f>
        <v>8.6606057761833934</v>
      </c>
      <c r="H96">
        <f>kalimantan!AV66</f>
        <v>25.344918401485369</v>
      </c>
      <c r="I96">
        <f>kalimantan!AW66</f>
        <v>15.462357181209409</v>
      </c>
      <c r="J96">
        <f>kalimantan!AX66</f>
        <v>18.592522268776921</v>
      </c>
      <c r="K96">
        <f>kalimantan!AY66</f>
        <v>365.84836084243869</v>
      </c>
      <c r="L96">
        <f>kalimantan!AZ66</f>
        <v>12.274028046464194</v>
      </c>
      <c r="M96">
        <f>kalimantan!BA66</f>
        <v>0</v>
      </c>
      <c r="N96">
        <f>kalimantan!BB66</f>
        <v>0</v>
      </c>
      <c r="O96">
        <f>kalimantan!BC66</f>
        <v>0.19631431639327238</v>
      </c>
      <c r="P96">
        <f>kalimantan!BD66</f>
        <v>1086.5687498447517</v>
      </c>
    </row>
    <row r="97" spans="1:16" x14ac:dyDescent="0.25">
      <c r="A97" t="str">
        <f>kalimantan!AO67</f>
        <v>KALIMANTAN</v>
      </c>
      <c r="B97">
        <f>kalimantan!AP67</f>
        <v>2034</v>
      </c>
      <c r="C97">
        <f>kalimantan!AQ67</f>
        <v>564.54734309781099</v>
      </c>
      <c r="D97">
        <f>kalimantan!AR67</f>
        <v>22.442722129489248</v>
      </c>
      <c r="E97">
        <f>kalimantan!AS67</f>
        <v>475.38143884314911</v>
      </c>
      <c r="F97">
        <f>kalimantan!AT67</f>
        <v>17.329046922813038</v>
      </c>
      <c r="G97">
        <f>kalimantan!AU67</f>
        <v>8.6606057761833934</v>
      </c>
      <c r="H97">
        <f>kalimantan!AV67</f>
        <v>46.093411923113045</v>
      </c>
      <c r="I97">
        <f>kalimantan!AW67</f>
        <v>961.9753711536182</v>
      </c>
      <c r="J97">
        <f>kalimantan!AX67</f>
        <v>18.592522268776921</v>
      </c>
      <c r="K97">
        <f>kalimantan!AY67</f>
        <v>67.402338839554858</v>
      </c>
      <c r="L97">
        <f>kalimantan!AZ67</f>
        <v>12.274028046464194</v>
      </c>
      <c r="M97">
        <f>kalimantan!BA67</f>
        <v>0</v>
      </c>
      <c r="N97">
        <f>kalimantan!BB67</f>
        <v>0</v>
      </c>
      <c r="O97">
        <f>kalimantan!BC67</f>
        <v>0.33969496129892074</v>
      </c>
      <c r="P97">
        <f>kalimantan!BD67</f>
        <v>2195.0385239622719</v>
      </c>
    </row>
    <row r="98" spans="1:16" x14ac:dyDescent="0.25">
      <c r="A98" t="str">
        <f>kalimantan!AO68</f>
        <v>KALIMANTAN</v>
      </c>
      <c r="B98">
        <f>kalimantan!AP68</f>
        <v>2035</v>
      </c>
      <c r="C98">
        <f>kalimantan!AQ68</f>
        <v>458.18381271737451</v>
      </c>
      <c r="D98">
        <f>kalimantan!AR68</f>
        <v>22.442722856155914</v>
      </c>
      <c r="E98">
        <f>kalimantan!AS68</f>
        <v>482.71354064250789</v>
      </c>
      <c r="F98">
        <f>kalimantan!AT68</f>
        <v>149.23119789858427</v>
      </c>
      <c r="G98">
        <f>kalimantan!AU68</f>
        <v>8.6606057761833934</v>
      </c>
      <c r="H98">
        <f>kalimantan!AV68</f>
        <v>25.715996781897072</v>
      </c>
      <c r="I98">
        <f>kalimantan!AW68</f>
        <v>33.701909255332524</v>
      </c>
      <c r="J98">
        <f>kalimantan!AX68</f>
        <v>18.592522268776921</v>
      </c>
      <c r="K98">
        <f>kalimantan!AY68</f>
        <v>279.4229100735048</v>
      </c>
      <c r="L98">
        <f>kalimantan!AZ68</f>
        <v>12.274028046464194</v>
      </c>
      <c r="M98">
        <f>kalimantan!BA68</f>
        <v>0</v>
      </c>
      <c r="N98">
        <f>kalimantan!BB68</f>
        <v>0</v>
      </c>
      <c r="O98">
        <f>kalimantan!BC68</f>
        <v>0.28938658212217477</v>
      </c>
      <c r="P98">
        <f>kalimantan!BD68</f>
        <v>1491.2286328989037</v>
      </c>
    </row>
    <row r="99" spans="1:16" x14ac:dyDescent="0.25">
      <c r="A99" t="str">
        <f>kalimantan!AO69</f>
        <v>KALIMANTAN</v>
      </c>
      <c r="B99">
        <f>kalimantan!AP69</f>
        <v>2036</v>
      </c>
      <c r="C99">
        <f>kalimantan!AQ69</f>
        <v>291.28101995349289</v>
      </c>
      <c r="D99">
        <f>kalimantan!AR69</f>
        <v>22.442722856155914</v>
      </c>
      <c r="E99">
        <f>kalimantan!AS69</f>
        <v>242.80163238084398</v>
      </c>
      <c r="F99">
        <f>kalimantan!AT69</f>
        <v>59.506152843493552</v>
      </c>
      <c r="G99">
        <f>kalimantan!AU69</f>
        <v>8.6606057761833934</v>
      </c>
      <c r="H99">
        <f>kalimantan!AV69</f>
        <v>25.715996781897072</v>
      </c>
      <c r="I99">
        <f>kalimantan!AW69</f>
        <v>33.701909255332524</v>
      </c>
      <c r="J99">
        <f>kalimantan!AX69</f>
        <v>18.592522268776921</v>
      </c>
      <c r="K99">
        <f>kalimantan!AY69</f>
        <v>376.38944892050631</v>
      </c>
      <c r="L99">
        <f>kalimantan!AZ69</f>
        <v>12.274028046464194</v>
      </c>
      <c r="M99">
        <f>kalimantan!BA69</f>
        <v>0</v>
      </c>
      <c r="N99">
        <f>kalimantan!BB69</f>
        <v>0</v>
      </c>
      <c r="O99">
        <f>kalimantan!BC69</f>
        <v>0.184077519332326</v>
      </c>
      <c r="P99">
        <f>kalimantan!BD69</f>
        <v>1091.550116602479</v>
      </c>
    </row>
    <row r="100" spans="1:16" x14ac:dyDescent="0.25">
      <c r="A100" t="str">
        <f>kalimantan!AO70</f>
        <v>KALIMANTAN</v>
      </c>
      <c r="B100">
        <f>kalimantan!AP70</f>
        <v>2037</v>
      </c>
      <c r="C100">
        <f>kalimantan!AQ70</f>
        <v>292.60270604496003</v>
      </c>
      <c r="D100">
        <f>kalimantan!AR70</f>
        <v>177.3188461426019</v>
      </c>
      <c r="E100">
        <f>kalimantan!AS70</f>
        <v>157.19583083846632</v>
      </c>
      <c r="F100">
        <f>kalimantan!AT70</f>
        <v>19.038019285507847</v>
      </c>
      <c r="G100">
        <f>kalimantan!AU70</f>
        <v>11.085085407629258</v>
      </c>
      <c r="H100">
        <f>kalimantan!AV70</f>
        <v>74.548234844283684</v>
      </c>
      <c r="I100">
        <f>kalimantan!AW70</f>
        <v>55.853979228789882</v>
      </c>
      <c r="J100">
        <f>kalimantan!AX70</f>
        <v>92.224281217711393</v>
      </c>
      <c r="K100">
        <f>kalimantan!AY70</f>
        <v>244.53800929653224</v>
      </c>
      <c r="L100">
        <f>kalimantan!AZ70</f>
        <v>60.328236892494495</v>
      </c>
      <c r="M100">
        <f>kalimantan!BA70</f>
        <v>0</v>
      </c>
      <c r="N100">
        <f>kalimantan!BB70</f>
        <v>0</v>
      </c>
      <c r="O100">
        <f>kalimantan!BC70</f>
        <v>0.17516105472436269</v>
      </c>
      <c r="P100">
        <f>kalimantan!BD70</f>
        <v>1184.9083902537013</v>
      </c>
    </row>
    <row r="101" spans="1:16" x14ac:dyDescent="0.25">
      <c r="A101" t="str">
        <f>kalimantan!AO71</f>
        <v>KALIMANTAN</v>
      </c>
      <c r="B101">
        <f>kalimantan!AP71</f>
        <v>2038</v>
      </c>
      <c r="C101">
        <f>kalimantan!AQ71</f>
        <v>358.74939359219593</v>
      </c>
      <c r="D101">
        <f>kalimantan!AR71</f>
        <v>27.094388013944936</v>
      </c>
      <c r="E101">
        <f>kalimantan!AS71</f>
        <v>383.11695995344013</v>
      </c>
      <c r="F101">
        <f>kalimantan!AT71</f>
        <v>24.773042774569529</v>
      </c>
      <c r="G101">
        <f>kalimantan!AU71</f>
        <v>8.6911995215666629</v>
      </c>
      <c r="H101">
        <f>kalimantan!AV71</f>
        <v>26.589341528260508</v>
      </c>
      <c r="I101">
        <f>kalimantan!AW71</f>
        <v>34.12878540797491</v>
      </c>
      <c r="J101">
        <f>kalimantan!AX71</f>
        <v>19.29638401125213</v>
      </c>
      <c r="K101">
        <f>kalimantan!AY71</f>
        <v>493.28779957917698</v>
      </c>
      <c r="L101">
        <f>kalimantan!AZ71</f>
        <v>13.395408104127577</v>
      </c>
      <c r="M101">
        <f>kalimantan!BA71</f>
        <v>0</v>
      </c>
      <c r="N101">
        <f>kalimantan!BB71</f>
        <v>0</v>
      </c>
      <c r="O101">
        <f>kalimantan!BC71</f>
        <v>0.24284137948406959</v>
      </c>
      <c r="P101">
        <f>kalimantan!BD71</f>
        <v>1389.3655438659937</v>
      </c>
    </row>
    <row r="102" spans="1:16" x14ac:dyDescent="0.25">
      <c r="A102" t="str">
        <f>sulawesi!AO52</f>
        <v>SULAWESI</v>
      </c>
      <c r="B102">
        <f>sulawesi!AP52</f>
        <v>2019</v>
      </c>
      <c r="C102">
        <f>sulawesi!AQ52</f>
        <v>131.19080867006963</v>
      </c>
      <c r="D102">
        <f>sulawesi!AR52</f>
        <v>6.496506944274155</v>
      </c>
      <c r="E102">
        <f>sulawesi!AS52</f>
        <v>7.182120563185566</v>
      </c>
      <c r="F102">
        <f>sulawesi!AT52</f>
        <v>7.1007160817294661</v>
      </c>
      <c r="G102">
        <f>sulawesi!AU52</f>
        <v>3.9413370249321025</v>
      </c>
      <c r="H102">
        <f>sulawesi!AV52</f>
        <v>31.348889790170919</v>
      </c>
      <c r="I102">
        <f>sulawesi!AW52</f>
        <v>3.1504357941594194</v>
      </c>
      <c r="J102">
        <f>sulawesi!AX52</f>
        <v>4.5791999999999999E-2</v>
      </c>
      <c r="K102">
        <f>sulawesi!AY52</f>
        <v>0</v>
      </c>
      <c r="L102">
        <f>sulawesi!AZ52</f>
        <v>2.1583612400403008E-2</v>
      </c>
      <c r="M102">
        <f>sulawesi!BA52</f>
        <v>0</v>
      </c>
      <c r="N102">
        <f>sulawesi!BB52</f>
        <v>0</v>
      </c>
      <c r="O102">
        <f>sulawesi!BC52</f>
        <v>0</v>
      </c>
      <c r="P102">
        <f>sulawesi!BD52</f>
        <v>190.47819048092168</v>
      </c>
    </row>
    <row r="103" spans="1:16" x14ac:dyDescent="0.25">
      <c r="A103" t="str">
        <f>sulawesi!AO53</f>
        <v>SULAWESI</v>
      </c>
      <c r="B103">
        <f>sulawesi!AP53</f>
        <v>2020</v>
      </c>
      <c r="C103">
        <f>sulawesi!AQ53</f>
        <v>131.19080867006963</v>
      </c>
      <c r="D103">
        <f>sulawesi!AR53</f>
        <v>10.895165870736708</v>
      </c>
      <c r="E103">
        <f>sulawesi!AS53</f>
        <v>131.63069496551927</v>
      </c>
      <c r="F103">
        <f>sulawesi!AT53</f>
        <v>7.1007160817294661</v>
      </c>
      <c r="G103">
        <f>sulawesi!AU53</f>
        <v>3.9413370249321025</v>
      </c>
      <c r="H103">
        <f>sulawesi!AV53</f>
        <v>31.348889790170919</v>
      </c>
      <c r="I103">
        <f>sulawesi!AW53</f>
        <v>3.1504357941594194</v>
      </c>
      <c r="J103">
        <f>sulawesi!AX53</f>
        <v>145.48773740618799</v>
      </c>
      <c r="K103">
        <f>sulawesi!AY53</f>
        <v>0</v>
      </c>
      <c r="L103">
        <f>sulawesi!AZ53</f>
        <v>2.1583612400403008E-2</v>
      </c>
      <c r="M103">
        <f>sulawesi!BA53</f>
        <v>0</v>
      </c>
      <c r="N103">
        <f>sulawesi!BB53</f>
        <v>0</v>
      </c>
      <c r="O103">
        <f>sulawesi!BC53</f>
        <v>1.531247850329617</v>
      </c>
      <c r="P103">
        <f>sulawesi!BD53</f>
        <v>466.29861706623552</v>
      </c>
    </row>
    <row r="104" spans="1:16" x14ac:dyDescent="0.25">
      <c r="A104" t="str">
        <f>sulawesi!AO54</f>
        <v>SULAWESI</v>
      </c>
      <c r="B104">
        <f>sulawesi!AP54</f>
        <v>2021</v>
      </c>
      <c r="C104">
        <f>sulawesi!AQ54</f>
        <v>131.19080714491352</v>
      </c>
      <c r="D104">
        <f>sulawesi!AR54</f>
        <v>6.6286188024925279</v>
      </c>
      <c r="E104">
        <f>sulawesi!AS54</f>
        <v>715.3702709735411</v>
      </c>
      <c r="F104">
        <f>sulawesi!AT54</f>
        <v>7.1007160817294661</v>
      </c>
      <c r="G104">
        <f>sulawesi!AU54</f>
        <v>3.9413370249321025</v>
      </c>
      <c r="H104">
        <f>sulawesi!AV54</f>
        <v>31.348889790170919</v>
      </c>
      <c r="I104">
        <f>sulawesi!AW54</f>
        <v>3.1504357941594194</v>
      </c>
      <c r="J104">
        <f>sulawesi!AX54</f>
        <v>9.3708848932246589</v>
      </c>
      <c r="K104">
        <f>sulawesi!AY54</f>
        <v>0</v>
      </c>
      <c r="L104">
        <f>sulawesi!AZ54</f>
        <v>2.1583612400403008E-2</v>
      </c>
      <c r="M104">
        <f>sulawesi!BA54</f>
        <v>0</v>
      </c>
      <c r="N104">
        <f>sulawesi!BB54</f>
        <v>0</v>
      </c>
      <c r="O104">
        <f>sulawesi!BC54</f>
        <v>0.18853478547817737</v>
      </c>
      <c r="P104">
        <f>sulawesi!BD54</f>
        <v>908.31207890304233</v>
      </c>
    </row>
    <row r="105" spans="1:16" x14ac:dyDescent="0.25">
      <c r="A105" t="str">
        <f>sulawesi!AO55</f>
        <v>SULAWESI</v>
      </c>
      <c r="B105">
        <f>sulawesi!AP55</f>
        <v>2022</v>
      </c>
      <c r="C105">
        <f>sulawesi!AQ55</f>
        <v>307.49201528731692</v>
      </c>
      <c r="D105">
        <f>sulawesi!AR55</f>
        <v>6.6286187799914655</v>
      </c>
      <c r="E105">
        <f>sulawesi!AS55</f>
        <v>454.51739055881126</v>
      </c>
      <c r="F105">
        <f>sulawesi!AT55</f>
        <v>7.1007160817294661</v>
      </c>
      <c r="G105">
        <f>sulawesi!AU55</f>
        <v>3.9413370249321025</v>
      </c>
      <c r="H105">
        <f>sulawesi!AV55</f>
        <v>31.348889790170919</v>
      </c>
      <c r="I105">
        <f>sulawesi!AW55</f>
        <v>3.150433180459407</v>
      </c>
      <c r="J105">
        <f>sulawesi!AX55</f>
        <v>1716.7053971972448</v>
      </c>
      <c r="K105">
        <f>sulawesi!AY55</f>
        <v>0</v>
      </c>
      <c r="L105">
        <f>sulawesi!AZ55</f>
        <v>2.1583612400403008E-2</v>
      </c>
      <c r="M105">
        <f>sulawesi!BA55</f>
        <v>0</v>
      </c>
      <c r="N105">
        <f>sulawesi!BB55</f>
        <v>0</v>
      </c>
      <c r="O105">
        <f>sulawesi!BC55</f>
        <v>0.45585469113080945</v>
      </c>
      <c r="P105">
        <f>sulawesi!BD55</f>
        <v>2531.3622362041874</v>
      </c>
    </row>
    <row r="106" spans="1:16" x14ac:dyDescent="0.25">
      <c r="A106" t="str">
        <f>sulawesi!AO56</f>
        <v>SULAWESI</v>
      </c>
      <c r="B106">
        <f>sulawesi!AP56</f>
        <v>2023</v>
      </c>
      <c r="C106">
        <f>sulawesi!AQ56</f>
        <v>384.64188093628792</v>
      </c>
      <c r="D106">
        <f>sulawesi!AR56</f>
        <v>6.6286195066581302</v>
      </c>
      <c r="E106">
        <f>sulawesi!AS56</f>
        <v>383.87310228940123</v>
      </c>
      <c r="F106">
        <f>sulawesi!AT56</f>
        <v>7.1007160817294661</v>
      </c>
      <c r="G106">
        <f>sulawesi!AU56</f>
        <v>3.9413331206653992</v>
      </c>
      <c r="H106">
        <f>sulawesi!AV56</f>
        <v>464.39507622576815</v>
      </c>
      <c r="I106">
        <f>sulawesi!AW56</f>
        <v>3.150433130092734</v>
      </c>
      <c r="J106">
        <f>sulawesi!AX56</f>
        <v>1231.1623133773091</v>
      </c>
      <c r="K106">
        <f>sulawesi!AY56</f>
        <v>316.77309352247306</v>
      </c>
      <c r="L106">
        <f>sulawesi!AZ56</f>
        <v>2.1583612400403008E-2</v>
      </c>
      <c r="M106">
        <f>sulawesi!BA56</f>
        <v>0</v>
      </c>
      <c r="N106">
        <f>sulawesi!BB56</f>
        <v>0</v>
      </c>
      <c r="O106">
        <f>sulawesi!BC56</f>
        <v>0.49768324662500374</v>
      </c>
      <c r="P106">
        <f>sulawesi!BD56</f>
        <v>2802.1858350494108</v>
      </c>
    </row>
    <row r="107" spans="1:16" x14ac:dyDescent="0.25">
      <c r="A107" t="str">
        <f>sulawesi!AO57</f>
        <v>SULAWESI</v>
      </c>
      <c r="B107">
        <f>sulawesi!AP57</f>
        <v>2024</v>
      </c>
      <c r="C107">
        <f>sulawesi!AQ57</f>
        <v>216.77667364061736</v>
      </c>
      <c r="D107">
        <f>sulawesi!AR57</f>
        <v>6.6286195066581302</v>
      </c>
      <c r="E107">
        <f>sulawesi!AS57</f>
        <v>778.90492342032928</v>
      </c>
      <c r="F107">
        <f>sulawesi!AT57</f>
        <v>7.1007160817294661</v>
      </c>
      <c r="G107">
        <f>sulawesi!AU57</f>
        <v>3.9413369756653895</v>
      </c>
      <c r="H107">
        <f>sulawesi!AV57</f>
        <v>39.093744969101543</v>
      </c>
      <c r="I107">
        <f>sulawesi!AW57</f>
        <v>3.1504356934260609</v>
      </c>
      <c r="J107">
        <f>sulawesi!AX57</f>
        <v>29.505613220783989</v>
      </c>
      <c r="K107">
        <f>sulawesi!AY57</f>
        <v>1071.0789731515199</v>
      </c>
      <c r="L107">
        <f>sulawesi!AZ57</f>
        <v>2.1583612400403008E-2</v>
      </c>
      <c r="M107">
        <f>sulawesi!BA57</f>
        <v>0</v>
      </c>
      <c r="N107">
        <f>sulawesi!BB57</f>
        <v>0</v>
      </c>
      <c r="O107">
        <f>sulawesi!BC57</f>
        <v>0.47903031659275397</v>
      </c>
      <c r="P107">
        <f>sulawesi!BD57</f>
        <v>2156.6816505888241</v>
      </c>
    </row>
    <row r="108" spans="1:16" x14ac:dyDescent="0.25">
      <c r="A108" t="str">
        <f>sulawesi!AO58</f>
        <v>SULAWESI</v>
      </c>
      <c r="B108">
        <f>sulawesi!AP58</f>
        <v>2025</v>
      </c>
      <c r="C108">
        <f>sulawesi!AQ58</f>
        <v>146.27133173199371</v>
      </c>
      <c r="D108">
        <f>sulawesi!AR58</f>
        <v>6.6286195066581302</v>
      </c>
      <c r="E108">
        <f>sulawesi!AS58</f>
        <v>997.2531527088197</v>
      </c>
      <c r="F108">
        <f>sulawesi!AT58</f>
        <v>7.1007160817294661</v>
      </c>
      <c r="G108">
        <f>sulawesi!AU58</f>
        <v>3.9413369756653895</v>
      </c>
      <c r="H108">
        <f>sulawesi!AV58</f>
        <v>39.093744969101543</v>
      </c>
      <c r="I108">
        <f>sulawesi!AW58</f>
        <v>3.1504356934260609</v>
      </c>
      <c r="J108">
        <f>sulawesi!AX58</f>
        <v>29.505613220783989</v>
      </c>
      <c r="K108">
        <f>sulawesi!AY58</f>
        <v>135.55403151209538</v>
      </c>
      <c r="L108">
        <f>sulawesi!AZ58</f>
        <v>2.1583612400403008E-2</v>
      </c>
      <c r="M108">
        <f>sulawesi!BA58</f>
        <v>0</v>
      </c>
      <c r="N108">
        <f>sulawesi!BB58</f>
        <v>0</v>
      </c>
      <c r="O108">
        <f>sulawesi!BC58</f>
        <v>0.27328583339685719</v>
      </c>
      <c r="P108">
        <f>sulawesi!BD58</f>
        <v>1368.7938518460708</v>
      </c>
    </row>
    <row r="109" spans="1:16" x14ac:dyDescent="0.25">
      <c r="A109" t="str">
        <f>sulawesi!AO59</f>
        <v>SULAWESI</v>
      </c>
      <c r="B109">
        <f>sulawesi!AP59</f>
        <v>2026</v>
      </c>
      <c r="C109">
        <f>sulawesi!AQ59</f>
        <v>176.73503415984769</v>
      </c>
      <c r="D109">
        <f>sulawesi!AR59</f>
        <v>6.6286195066581302</v>
      </c>
      <c r="E109">
        <f>sulawesi!AS59</f>
        <v>577.36778790378003</v>
      </c>
      <c r="F109">
        <f>sulawesi!AT59</f>
        <v>201.40613874602963</v>
      </c>
      <c r="G109">
        <f>sulawesi!AU59</f>
        <v>3.9413369756653762</v>
      </c>
      <c r="H109">
        <f>sulawesi!AV59</f>
        <v>39.093744969101543</v>
      </c>
      <c r="I109">
        <f>sulawesi!AW59</f>
        <v>3.1504356934260609</v>
      </c>
      <c r="J109">
        <f>sulawesi!AX59</f>
        <v>29.505613220783989</v>
      </c>
      <c r="K109">
        <f>sulawesi!AY59</f>
        <v>56.022159451593446</v>
      </c>
      <c r="L109">
        <f>sulawesi!AZ59</f>
        <v>2.1583612400403008E-2</v>
      </c>
      <c r="M109">
        <f>sulawesi!BA59</f>
        <v>0</v>
      </c>
      <c r="N109">
        <f>sulawesi!BB59</f>
        <v>0</v>
      </c>
      <c r="O109">
        <f>sulawesi!BC59</f>
        <v>0.222712773771466</v>
      </c>
      <c r="P109">
        <f>sulawesi!BD59</f>
        <v>1094.095167013058</v>
      </c>
    </row>
    <row r="110" spans="1:16" x14ac:dyDescent="0.25">
      <c r="A110" t="str">
        <f>sulawesi!AO60</f>
        <v>SULAWESI</v>
      </c>
      <c r="B110">
        <f>sulawesi!AP60</f>
        <v>2027</v>
      </c>
      <c r="C110">
        <f>sulawesi!AQ60</f>
        <v>486.09198013650405</v>
      </c>
      <c r="D110">
        <f>sulawesi!AR60</f>
        <v>6.6286195066581302</v>
      </c>
      <c r="E110">
        <f>sulawesi!AS60</f>
        <v>532.25260731570779</v>
      </c>
      <c r="F110">
        <f>sulawesi!AT60</f>
        <v>9.0226574987161499</v>
      </c>
      <c r="G110">
        <f>sulawesi!AU60</f>
        <v>3.9413369756653895</v>
      </c>
      <c r="H110">
        <f>sulawesi!AV60</f>
        <v>39.093744969101543</v>
      </c>
      <c r="I110">
        <f>sulawesi!AW60</f>
        <v>3.1504356934260609</v>
      </c>
      <c r="J110">
        <f>sulawesi!AX60</f>
        <v>29.505613220783989</v>
      </c>
      <c r="K110">
        <f>sulawesi!AY60</f>
        <v>608.81070880568018</v>
      </c>
      <c r="L110">
        <f>sulawesi!AZ60</f>
        <v>2.1583612400403008E-2</v>
      </c>
      <c r="M110">
        <f>sulawesi!BA60</f>
        <v>0</v>
      </c>
      <c r="N110">
        <f>sulawesi!BB60</f>
        <v>0</v>
      </c>
      <c r="O110">
        <f>sulawesi!BC60</f>
        <v>0.33372173658748722</v>
      </c>
      <c r="P110">
        <f>sulawesi!BD60</f>
        <v>1718.8530094712312</v>
      </c>
    </row>
    <row r="111" spans="1:16" x14ac:dyDescent="0.25">
      <c r="A111" t="str">
        <f>sulawesi!AO61</f>
        <v>SULAWESI</v>
      </c>
      <c r="B111">
        <f>sulawesi!AP61</f>
        <v>2028</v>
      </c>
      <c r="C111">
        <f>sulawesi!AQ61</f>
        <v>293.6542136784368</v>
      </c>
      <c r="D111">
        <f>sulawesi!AR61</f>
        <v>6.6286195066581302</v>
      </c>
      <c r="E111">
        <f>sulawesi!AS61</f>
        <v>144.64060838641643</v>
      </c>
      <c r="F111">
        <f>sulawesi!AT61</f>
        <v>236.55016929316685</v>
      </c>
      <c r="G111">
        <f>sulawesi!AU61</f>
        <v>3.9413369756653895</v>
      </c>
      <c r="H111">
        <f>sulawesi!AV61</f>
        <v>39.093744969101543</v>
      </c>
      <c r="I111">
        <f>sulawesi!AW61</f>
        <v>3.1504356934260609</v>
      </c>
      <c r="J111">
        <f>sulawesi!AX61</f>
        <v>29.505613220783989</v>
      </c>
      <c r="K111">
        <f>sulawesi!AY61</f>
        <v>77.25677514348726</v>
      </c>
      <c r="L111">
        <f>sulawesi!AZ61</f>
        <v>2.1583612400403008E-2</v>
      </c>
      <c r="M111">
        <f>sulawesi!BA61</f>
        <v>0</v>
      </c>
      <c r="N111">
        <f>sulawesi!BB61</f>
        <v>0</v>
      </c>
      <c r="O111">
        <f>sulawesi!BC61</f>
        <v>0.14638058402780915</v>
      </c>
      <c r="P111">
        <f>sulawesi!BD61</f>
        <v>834.5894810635707</v>
      </c>
    </row>
    <row r="112" spans="1:16" x14ac:dyDescent="0.25">
      <c r="A112" t="str">
        <f>sulawesi!AO62</f>
        <v>SULAWESI</v>
      </c>
      <c r="B112">
        <f>sulawesi!AP62</f>
        <v>2029</v>
      </c>
      <c r="C112">
        <f>sulawesi!AQ62</f>
        <v>161.60737683648517</v>
      </c>
      <c r="D112">
        <f>sulawesi!AR62</f>
        <v>6.6286195066581302</v>
      </c>
      <c r="E112">
        <f>sulawesi!AS62</f>
        <v>144.64060838641643</v>
      </c>
      <c r="F112">
        <f>sulawesi!AT62</f>
        <v>11.273209966195099</v>
      </c>
      <c r="G112">
        <f>sulawesi!AU62</f>
        <v>3.9413369756653895</v>
      </c>
      <c r="H112">
        <f>sulawesi!AV62</f>
        <v>39.093744969101543</v>
      </c>
      <c r="I112">
        <f>sulawesi!AW62</f>
        <v>3.1504356934260609</v>
      </c>
      <c r="J112">
        <f>sulawesi!AX62</f>
        <v>29.505613220783989</v>
      </c>
      <c r="K112">
        <f>sulawesi!AY62</f>
        <v>77.25677514348726</v>
      </c>
      <c r="L112">
        <f>sulawesi!AZ62</f>
        <v>2.1583612400403008E-2</v>
      </c>
      <c r="M112">
        <f>sulawesi!BA62</f>
        <v>0</v>
      </c>
      <c r="N112">
        <f>sulawesi!BB62</f>
        <v>0</v>
      </c>
      <c r="O112">
        <f>sulawesi!BC62</f>
        <v>3.6203456013779285E-2</v>
      </c>
      <c r="P112">
        <f>sulawesi!BD62</f>
        <v>477.15550776663321</v>
      </c>
    </row>
    <row r="113" spans="1:16" x14ac:dyDescent="0.25">
      <c r="A113" t="str">
        <f>sulawesi!AO63</f>
        <v>SULAWESI</v>
      </c>
      <c r="B113">
        <f>sulawesi!AP63</f>
        <v>2030</v>
      </c>
      <c r="C113">
        <f>sulawesi!AQ63</f>
        <v>161.60737683648517</v>
      </c>
      <c r="D113">
        <f>sulawesi!AR63</f>
        <v>6.6286195066581302</v>
      </c>
      <c r="E113">
        <f>sulawesi!AS63</f>
        <v>144.64060838641643</v>
      </c>
      <c r="F113">
        <f>sulawesi!AT63</f>
        <v>11.273209966195099</v>
      </c>
      <c r="G113">
        <f>sulawesi!AU63</f>
        <v>3.9413369756653895</v>
      </c>
      <c r="H113">
        <f>sulawesi!AV63</f>
        <v>39.093744969101543</v>
      </c>
      <c r="I113">
        <f>sulawesi!AW63</f>
        <v>3.1504356934260609</v>
      </c>
      <c r="J113">
        <f>sulawesi!AX63</f>
        <v>29.505613220783989</v>
      </c>
      <c r="K113">
        <f>sulawesi!AY63</f>
        <v>77.25677514348726</v>
      </c>
      <c r="L113">
        <f>sulawesi!AZ63</f>
        <v>2.1583612400403008E-2</v>
      </c>
      <c r="M113">
        <f>sulawesi!BA63</f>
        <v>0</v>
      </c>
      <c r="N113">
        <f>sulawesi!BB63</f>
        <v>0</v>
      </c>
      <c r="O113">
        <f>sulawesi!BC63</f>
        <v>3.6203456013779285E-2</v>
      </c>
      <c r="P113">
        <f>sulawesi!BD63</f>
        <v>477.15550776663321</v>
      </c>
    </row>
    <row r="114" spans="1:16" x14ac:dyDescent="0.25">
      <c r="A114" t="str">
        <f>sulawesi!AO64</f>
        <v>SULAWESI</v>
      </c>
      <c r="B114">
        <f>sulawesi!AP64</f>
        <v>2031</v>
      </c>
      <c r="C114">
        <f>sulawesi!AQ64</f>
        <v>161.60737683648517</v>
      </c>
      <c r="D114">
        <f>sulawesi!AR64</f>
        <v>6.6286195066581302</v>
      </c>
      <c r="E114">
        <f>sulawesi!AS64</f>
        <v>144.64060838641643</v>
      </c>
      <c r="F114">
        <f>sulawesi!AT64</f>
        <v>11.273209966195099</v>
      </c>
      <c r="G114">
        <f>sulawesi!AU64</f>
        <v>3.9413369756653895</v>
      </c>
      <c r="H114">
        <f>sulawesi!AV64</f>
        <v>39.093744969101543</v>
      </c>
      <c r="I114">
        <f>sulawesi!AW64</f>
        <v>3.1504356934260609</v>
      </c>
      <c r="J114">
        <f>sulawesi!AX64</f>
        <v>29.505613220783989</v>
      </c>
      <c r="K114">
        <f>sulawesi!AY64</f>
        <v>77.25677514348726</v>
      </c>
      <c r="L114">
        <f>sulawesi!AZ64</f>
        <v>2.1583612400403008E-2</v>
      </c>
      <c r="M114">
        <f>sulawesi!BA64</f>
        <v>0</v>
      </c>
      <c r="N114">
        <f>sulawesi!BB64</f>
        <v>0</v>
      </c>
      <c r="O114">
        <f>sulawesi!BC64</f>
        <v>3.6203456013779285E-2</v>
      </c>
      <c r="P114">
        <f>sulawesi!BD64</f>
        <v>477.15550776663321</v>
      </c>
    </row>
    <row r="115" spans="1:16" x14ac:dyDescent="0.25">
      <c r="A115" t="str">
        <f>sulawesi!AO65</f>
        <v>SULAWESI</v>
      </c>
      <c r="B115">
        <f>sulawesi!AP65</f>
        <v>2032</v>
      </c>
      <c r="C115">
        <f>sulawesi!AQ65</f>
        <v>161.60737683648517</v>
      </c>
      <c r="D115">
        <f>sulawesi!AR65</f>
        <v>6.6286195066581302</v>
      </c>
      <c r="E115">
        <f>sulawesi!AS65</f>
        <v>144.64060838641643</v>
      </c>
      <c r="F115">
        <f>sulawesi!AT65</f>
        <v>11.273209966195099</v>
      </c>
      <c r="G115">
        <f>sulawesi!AU65</f>
        <v>3.9413369756653895</v>
      </c>
      <c r="H115">
        <f>sulawesi!AV65</f>
        <v>39.093744969101543</v>
      </c>
      <c r="I115">
        <f>sulawesi!AW65</f>
        <v>3.1504356934260609</v>
      </c>
      <c r="J115">
        <f>sulawesi!AX65</f>
        <v>29.505613220783989</v>
      </c>
      <c r="K115">
        <f>sulawesi!AY65</f>
        <v>77.25677514348726</v>
      </c>
      <c r="L115">
        <f>sulawesi!AZ65</f>
        <v>2.1583612400403008E-2</v>
      </c>
      <c r="M115">
        <f>sulawesi!BA65</f>
        <v>0</v>
      </c>
      <c r="N115">
        <f>sulawesi!BB65</f>
        <v>0</v>
      </c>
      <c r="O115">
        <f>sulawesi!BC65</f>
        <v>3.6203456013779285E-2</v>
      </c>
      <c r="P115">
        <f>sulawesi!BD65</f>
        <v>477.15550776663321</v>
      </c>
    </row>
    <row r="116" spans="1:16" x14ac:dyDescent="0.25">
      <c r="A116" t="str">
        <f>sulawesi!AO66</f>
        <v>SULAWESI</v>
      </c>
      <c r="B116">
        <f>sulawesi!AP66</f>
        <v>2033</v>
      </c>
      <c r="C116">
        <f>sulawesi!AQ66</f>
        <v>161.60737683648517</v>
      </c>
      <c r="D116">
        <f>sulawesi!AR66</f>
        <v>6.6286195066581302</v>
      </c>
      <c r="E116">
        <f>sulawesi!AS66</f>
        <v>144.64060838641643</v>
      </c>
      <c r="F116">
        <f>sulawesi!AT66</f>
        <v>11.273209966195099</v>
      </c>
      <c r="G116">
        <f>sulawesi!AU66</f>
        <v>3.9413369756653895</v>
      </c>
      <c r="H116">
        <f>sulawesi!AV66</f>
        <v>39.093744969101543</v>
      </c>
      <c r="I116">
        <f>sulawesi!AW66</f>
        <v>3.1504356934260609</v>
      </c>
      <c r="J116">
        <f>sulawesi!AX66</f>
        <v>29.505613220783989</v>
      </c>
      <c r="K116">
        <f>sulawesi!AY66</f>
        <v>77.25677514348726</v>
      </c>
      <c r="L116">
        <f>sulawesi!AZ66</f>
        <v>2.1583612400403008E-2</v>
      </c>
      <c r="M116">
        <f>sulawesi!BA66</f>
        <v>0</v>
      </c>
      <c r="N116">
        <f>sulawesi!BB66</f>
        <v>0</v>
      </c>
      <c r="O116">
        <f>sulawesi!BC66</f>
        <v>3.6203456013779285E-2</v>
      </c>
      <c r="P116">
        <f>sulawesi!BD66</f>
        <v>477.15550776663321</v>
      </c>
    </row>
    <row r="117" spans="1:16" x14ac:dyDescent="0.25">
      <c r="A117" t="str">
        <f>sulawesi!AO67</f>
        <v>SULAWESI</v>
      </c>
      <c r="B117">
        <f>sulawesi!AP67</f>
        <v>2034</v>
      </c>
      <c r="C117">
        <f>sulawesi!AQ67</f>
        <v>161.60737683648517</v>
      </c>
      <c r="D117">
        <f>sulawesi!AR67</f>
        <v>6.6286195066581302</v>
      </c>
      <c r="E117">
        <f>sulawesi!AS67</f>
        <v>144.64060838641643</v>
      </c>
      <c r="F117">
        <f>sulawesi!AT67</f>
        <v>11.273209966195099</v>
      </c>
      <c r="G117">
        <f>sulawesi!AU67</f>
        <v>3.9413369756653895</v>
      </c>
      <c r="H117">
        <f>sulawesi!AV67</f>
        <v>39.093744969101543</v>
      </c>
      <c r="I117">
        <f>sulawesi!AW67</f>
        <v>3.1504356934260609</v>
      </c>
      <c r="J117">
        <f>sulawesi!AX67</f>
        <v>29.505613220783989</v>
      </c>
      <c r="K117">
        <f>sulawesi!AY67</f>
        <v>77.25677514348726</v>
      </c>
      <c r="L117">
        <f>sulawesi!AZ67</f>
        <v>2.1583612400403008E-2</v>
      </c>
      <c r="M117">
        <f>sulawesi!BA67</f>
        <v>0</v>
      </c>
      <c r="N117">
        <f>sulawesi!BB67</f>
        <v>0</v>
      </c>
      <c r="O117">
        <f>sulawesi!BC67</f>
        <v>3.6203456013779285E-2</v>
      </c>
      <c r="P117">
        <f>sulawesi!BD67</f>
        <v>477.15550776663321</v>
      </c>
    </row>
    <row r="118" spans="1:16" x14ac:dyDescent="0.25">
      <c r="A118" t="str">
        <f>sulawesi!AO68</f>
        <v>SULAWESI</v>
      </c>
      <c r="B118">
        <f>sulawesi!AP68</f>
        <v>2035</v>
      </c>
      <c r="C118">
        <f>sulawesi!AQ68</f>
        <v>161.60737683648517</v>
      </c>
      <c r="D118">
        <f>sulawesi!AR68</f>
        <v>6.6286195066581302</v>
      </c>
      <c r="E118">
        <f>sulawesi!AS68</f>
        <v>144.64060838641643</v>
      </c>
      <c r="F118">
        <f>sulawesi!AT68</f>
        <v>17.045470282477595</v>
      </c>
      <c r="G118">
        <f>sulawesi!AU68</f>
        <v>3.9413369756653895</v>
      </c>
      <c r="H118">
        <f>sulawesi!AV68</f>
        <v>39.093744969101543</v>
      </c>
      <c r="I118">
        <f>sulawesi!AW68</f>
        <v>3.1504356934260609</v>
      </c>
      <c r="J118">
        <f>sulawesi!AX68</f>
        <v>29.505613220783989</v>
      </c>
      <c r="K118">
        <f>sulawesi!AY68</f>
        <v>77.25677514348726</v>
      </c>
      <c r="L118">
        <f>sulawesi!AZ68</f>
        <v>2.1583612400403008E-2</v>
      </c>
      <c r="M118">
        <f>sulawesi!BA68</f>
        <v>0</v>
      </c>
      <c r="N118">
        <f>sulawesi!BB68</f>
        <v>0</v>
      </c>
      <c r="O118">
        <f>sulawesi!BC68</f>
        <v>3.8365055892827099E-2</v>
      </c>
      <c r="P118">
        <f>sulawesi!BD68</f>
        <v>482.92992968279469</v>
      </c>
    </row>
    <row r="119" spans="1:16" x14ac:dyDescent="0.25">
      <c r="A119" t="str">
        <f>sulawesi!AO69</f>
        <v>SULAWESI</v>
      </c>
      <c r="B119">
        <f>sulawesi!AP69</f>
        <v>2036</v>
      </c>
      <c r="C119">
        <f>sulawesi!AQ69</f>
        <v>161.60737683648517</v>
      </c>
      <c r="D119">
        <f>sulawesi!AR69</f>
        <v>6.6286195066581302</v>
      </c>
      <c r="E119">
        <f>sulawesi!AS69</f>
        <v>385.9058460382625</v>
      </c>
      <c r="F119">
        <f>sulawesi!AT69</f>
        <v>112.16150782789741</v>
      </c>
      <c r="G119">
        <f>sulawesi!AU69</f>
        <v>3.9413369756653895</v>
      </c>
      <c r="H119">
        <f>sulawesi!AV69</f>
        <v>39.093744969101543</v>
      </c>
      <c r="I119">
        <f>sulawesi!AW69</f>
        <v>3.1504356934260609</v>
      </c>
      <c r="J119">
        <f>sulawesi!AX69</f>
        <v>29.505613220783989</v>
      </c>
      <c r="K119">
        <f>sulawesi!AY69</f>
        <v>425.57660220028356</v>
      </c>
      <c r="L119">
        <f>sulawesi!AZ69</f>
        <v>2.1583612400403008E-2</v>
      </c>
      <c r="M119">
        <f>sulawesi!BA69</f>
        <v>0</v>
      </c>
      <c r="N119">
        <f>sulawesi!BB69</f>
        <v>0</v>
      </c>
      <c r="O119">
        <f>sulawesi!BC69</f>
        <v>0.22025599056117673</v>
      </c>
      <c r="P119">
        <f>sulawesi!BD69</f>
        <v>1167.8129228715252</v>
      </c>
    </row>
    <row r="120" spans="1:16" x14ac:dyDescent="0.25">
      <c r="A120" t="str">
        <f>sulawesi!AO70</f>
        <v>SULAWESI</v>
      </c>
      <c r="B120">
        <f>sulawesi!AP70</f>
        <v>2037</v>
      </c>
      <c r="C120">
        <f>sulawesi!AQ70</f>
        <v>467.49683730834334</v>
      </c>
      <c r="D120">
        <f>sulawesi!AR70</f>
        <v>6.6286195066581355</v>
      </c>
      <c r="E120">
        <f>sulawesi!AS70</f>
        <v>656.12396124290524</v>
      </c>
      <c r="F120">
        <f>sulawesi!AT70</f>
        <v>61.575725463125998</v>
      </c>
      <c r="G120">
        <f>sulawesi!AU70</f>
        <v>3.9413369756653895</v>
      </c>
      <c r="H120">
        <f>sulawesi!AV70</f>
        <v>39.093744969101543</v>
      </c>
      <c r="I120">
        <f>sulawesi!AW70</f>
        <v>3.1504356934260609</v>
      </c>
      <c r="J120">
        <f>sulawesi!AX70</f>
        <v>29.505613220783982</v>
      </c>
      <c r="K120">
        <f>sulawesi!AY70</f>
        <v>738.02834938193519</v>
      </c>
      <c r="L120">
        <f>sulawesi!AZ70</f>
        <v>2.1583612400403008E-2</v>
      </c>
      <c r="M120">
        <f>sulawesi!BA70</f>
        <v>0</v>
      </c>
      <c r="N120">
        <f>sulawesi!BB70</f>
        <v>0</v>
      </c>
      <c r="O120">
        <f>sulawesi!BC70</f>
        <v>0.40012356474562694</v>
      </c>
      <c r="P120">
        <f>sulawesi!BD70</f>
        <v>2005.966330939091</v>
      </c>
    </row>
    <row r="121" spans="1:16" x14ac:dyDescent="0.25">
      <c r="A121" t="str">
        <f>sulawesi!AO71</f>
        <v>SULAWESI</v>
      </c>
      <c r="B121">
        <f>sulawesi!AP71</f>
        <v>2038</v>
      </c>
      <c r="C121">
        <f>sulawesi!AQ71</f>
        <v>610.16825709066211</v>
      </c>
      <c r="D121">
        <f>sulawesi!AR71</f>
        <v>6.6286195066581302</v>
      </c>
      <c r="E121">
        <f>sulawesi!AS71</f>
        <v>617.28008038259975</v>
      </c>
      <c r="F121">
        <f>sulawesi!AT71</f>
        <v>12.814790743693862</v>
      </c>
      <c r="G121">
        <f>sulawesi!AU71</f>
        <v>3.9413369756653895</v>
      </c>
      <c r="H121">
        <f>sulawesi!AV71</f>
        <v>39.093744969101543</v>
      </c>
      <c r="I121">
        <f>sulawesi!AW71</f>
        <v>3.1504356934260609</v>
      </c>
      <c r="J121">
        <f>sulawesi!AX71</f>
        <v>29.505613220783992</v>
      </c>
      <c r="K121">
        <f>sulawesi!AY71</f>
        <v>1134.6601238045259</v>
      </c>
      <c r="L121">
        <f>sulawesi!AZ71</f>
        <v>2.1583612400403008E-2</v>
      </c>
      <c r="M121">
        <f>sulawesi!BA71</f>
        <v>0</v>
      </c>
      <c r="N121">
        <f>sulawesi!BB71</f>
        <v>0</v>
      </c>
      <c r="O121">
        <f>sulawesi!BC71</f>
        <v>0.48959881472185934</v>
      </c>
      <c r="P121">
        <f>sulawesi!BD71</f>
        <v>2457.7541848142387</v>
      </c>
    </row>
    <row r="122" spans="1:16" x14ac:dyDescent="0.25">
      <c r="A122" t="str">
        <f>maluku_papua!AO52</f>
        <v>MALUKU_PAPUA</v>
      </c>
      <c r="B122">
        <f>maluku_papua!AP52</f>
        <v>2019</v>
      </c>
      <c r="C122">
        <f>maluku_papua!AQ52</f>
        <v>12.908564845335718</v>
      </c>
      <c r="D122">
        <f>maluku_papua!AR52</f>
        <v>9.0004252483709538E-2</v>
      </c>
      <c r="E122">
        <f>maluku_papua!AS52</f>
        <v>0</v>
      </c>
      <c r="F122">
        <f>maluku_papua!AT52</f>
        <v>7.0779698234787505</v>
      </c>
      <c r="G122">
        <f>maluku_papua!AU52</f>
        <v>0</v>
      </c>
      <c r="H122">
        <f>maluku_papua!AV52</f>
        <v>1.126558773959482</v>
      </c>
      <c r="I122">
        <f>maluku_papua!AW52</f>
        <v>0</v>
      </c>
      <c r="J122">
        <f>maluku_papua!AX52</f>
        <v>6.9227999999999998E-2</v>
      </c>
      <c r="K122">
        <f>maluku_papua!AY52</f>
        <v>0</v>
      </c>
      <c r="L122">
        <f>maluku_papua!AZ52</f>
        <v>0</v>
      </c>
      <c r="M122">
        <f>maluku_papua!BA52</f>
        <v>0</v>
      </c>
      <c r="N122">
        <f>maluku_papua!BB52</f>
        <v>0</v>
      </c>
      <c r="O122">
        <f>maluku_papua!BC52</f>
        <v>0</v>
      </c>
      <c r="P122">
        <f>maluku_papua!BD52</f>
        <v>21.272325695257656</v>
      </c>
    </row>
    <row r="123" spans="1:16" x14ac:dyDescent="0.25">
      <c r="A123" t="str">
        <f>maluku_papua!AO53</f>
        <v>MALUKU_PAPUA</v>
      </c>
      <c r="B123">
        <f>maluku_papua!AP53</f>
        <v>2020</v>
      </c>
      <c r="C123">
        <f>maluku_papua!AQ53</f>
        <v>12.908564845335718</v>
      </c>
      <c r="D123">
        <f>maluku_papua!AR53</f>
        <v>9.0003503315981642E-2</v>
      </c>
      <c r="E123">
        <f>maluku_papua!AS53</f>
        <v>166.10516934328356</v>
      </c>
      <c r="F123">
        <f>maluku_papua!AT53</f>
        <v>7.0779698234787505</v>
      </c>
      <c r="G123">
        <f>maluku_papua!AU53</f>
        <v>0</v>
      </c>
      <c r="H123">
        <f>maluku_papua!AV53</f>
        <v>1.126558773959482</v>
      </c>
      <c r="I123">
        <f>maluku_papua!AW53</f>
        <v>0</v>
      </c>
      <c r="J123">
        <f>maluku_papua!AX53</f>
        <v>6.9226870200000096E-2</v>
      </c>
      <c r="K123">
        <f>maluku_papua!AY53</f>
        <v>0</v>
      </c>
      <c r="L123">
        <f>maluku_papua!AZ53</f>
        <v>0</v>
      </c>
      <c r="M123">
        <f>maluku_papua!BA53</f>
        <v>-1.6482270707082533E-6</v>
      </c>
      <c r="N123">
        <f>maluku_papua!BB53</f>
        <v>0</v>
      </c>
      <c r="O123">
        <f>maluku_papua!BC53</f>
        <v>0.39996557130179122</v>
      </c>
      <c r="P123">
        <f>maluku_papua!BD53</f>
        <v>187.7774570826482</v>
      </c>
    </row>
    <row r="124" spans="1:16" x14ac:dyDescent="0.25">
      <c r="A124" t="str">
        <f>maluku_papua!AO54</f>
        <v>MALUKU_PAPUA</v>
      </c>
      <c r="B124">
        <f>maluku_papua!AP54</f>
        <v>2021</v>
      </c>
      <c r="C124">
        <f>maluku_papua!AQ54</f>
        <v>12.908564845335718</v>
      </c>
      <c r="D124">
        <f>maluku_papua!AR54</f>
        <v>9.0003480814917255E-2</v>
      </c>
      <c r="E124">
        <f>maluku_papua!AS54</f>
        <v>182.83556530843083</v>
      </c>
      <c r="F124">
        <f>maluku_papua!AT54</f>
        <v>7.0779698234787505</v>
      </c>
      <c r="G124">
        <f>maluku_papua!AU54</f>
        <v>-1.3135581238947847E-14</v>
      </c>
      <c r="H124">
        <f>maluku_papua!AV54</f>
        <v>1.127627504545307</v>
      </c>
      <c r="I124">
        <f>maluku_papua!AW54</f>
        <v>197.36258983901229</v>
      </c>
      <c r="J124">
        <f>maluku_papua!AX54</f>
        <v>377.5888646412576</v>
      </c>
      <c r="K124">
        <f>maluku_papua!AY54</f>
        <v>49.717186533412104</v>
      </c>
      <c r="L124">
        <f>maluku_papua!AZ54</f>
        <v>0</v>
      </c>
      <c r="M124">
        <f>maluku_papua!BA54</f>
        <v>1.2001283018885314</v>
      </c>
      <c r="N124">
        <f>maluku_papua!BB54</f>
        <v>0</v>
      </c>
      <c r="O124">
        <f>maluku_papua!BC54</f>
        <v>0.15335558744584848</v>
      </c>
      <c r="P124">
        <f>maluku_papua!BD54</f>
        <v>830.06185586562185</v>
      </c>
    </row>
    <row r="125" spans="1:16" x14ac:dyDescent="0.25">
      <c r="A125" t="str">
        <f>maluku_papua!AO55</f>
        <v>MALUKU_PAPUA</v>
      </c>
      <c r="B125">
        <f>maluku_papua!AP55</f>
        <v>2022</v>
      </c>
      <c r="C125">
        <f>maluku_papua!AQ55</f>
        <v>42.441779438208528</v>
      </c>
      <c r="D125">
        <f>maluku_papua!AR55</f>
        <v>9.0003458313855478E-2</v>
      </c>
      <c r="E125">
        <f>maluku_papua!AS55</f>
        <v>145.11188071325765</v>
      </c>
      <c r="F125">
        <f>maluku_papua!AT55</f>
        <v>7.0779698234787505</v>
      </c>
      <c r="G125">
        <f>maluku_papua!AU55</f>
        <v>1.2969827473614704E-14</v>
      </c>
      <c r="H125">
        <f>maluku_papua!AV55</f>
        <v>42.495047794684794</v>
      </c>
      <c r="I125">
        <f>maluku_papua!AW55</f>
        <v>86.042285268371842</v>
      </c>
      <c r="J125">
        <f>maluku_papua!AX55</f>
        <v>12.84199776425945</v>
      </c>
      <c r="K125">
        <f>maluku_papua!AY55</f>
        <v>20.049062669430345</v>
      </c>
      <c r="L125">
        <f>maluku_papua!AZ55</f>
        <v>0</v>
      </c>
      <c r="M125">
        <f>maluku_papua!BA55</f>
        <v>0.21284175125139185</v>
      </c>
      <c r="N125">
        <f>maluku_papua!BB55</f>
        <v>0</v>
      </c>
      <c r="O125">
        <f>maluku_papua!BC55</f>
        <v>6.6082285758327988E-2</v>
      </c>
      <c r="P125">
        <f>maluku_papua!BD55</f>
        <v>356.428950967015</v>
      </c>
    </row>
    <row r="126" spans="1:16" x14ac:dyDescent="0.25">
      <c r="A126" t="str">
        <f>maluku_papua!AO56</f>
        <v>MALUKU_PAPUA</v>
      </c>
      <c r="B126">
        <f>maluku_papua!AP56</f>
        <v>2023</v>
      </c>
      <c r="C126">
        <f>maluku_papua!AQ56</f>
        <v>93.471882810431111</v>
      </c>
      <c r="D126">
        <f>maluku_papua!AR56</f>
        <v>9.0004184980520305E-2</v>
      </c>
      <c r="E126">
        <f>maluku_papua!AS56</f>
        <v>67.943661996379376</v>
      </c>
      <c r="F126">
        <f>maluku_papua!AT56</f>
        <v>7.0779698234787505</v>
      </c>
      <c r="G126">
        <f>maluku_papua!AU56</f>
        <v>-1.3135583719229753E-14</v>
      </c>
      <c r="H126">
        <f>maluku_papua!AV56</f>
        <v>3.0049087614639758</v>
      </c>
      <c r="I126">
        <f>maluku_papua!AW56</f>
        <v>5.3970610916669335</v>
      </c>
      <c r="J126">
        <f>maluku_papua!AX56</f>
        <v>10.989470208709058</v>
      </c>
      <c r="K126">
        <f>maluku_papua!AY56</f>
        <v>141.57272784226743</v>
      </c>
      <c r="L126">
        <f>maluku_papua!AZ56</f>
        <v>0</v>
      </c>
      <c r="M126">
        <f>maluku_papua!BA56</f>
        <v>6.3966192007953129E-2</v>
      </c>
      <c r="N126">
        <f>maluku_papua!BB56</f>
        <v>0</v>
      </c>
      <c r="O126">
        <f>maluku_papua!BC56</f>
        <v>6.9708631638731713E-2</v>
      </c>
      <c r="P126">
        <f>maluku_papua!BD56</f>
        <v>329.6813615430238</v>
      </c>
    </row>
    <row r="127" spans="1:16" x14ac:dyDescent="0.25">
      <c r="A127" t="str">
        <f>maluku_papua!AO57</f>
        <v>MALUKU_PAPUA</v>
      </c>
      <c r="B127">
        <f>maluku_papua!AP57</f>
        <v>2024</v>
      </c>
      <c r="C127">
        <f>maluku_papua!AQ57</f>
        <v>99.696756027988755</v>
      </c>
      <c r="D127">
        <f>maluku_papua!AR57</f>
        <v>9.0003435812791091E-2</v>
      </c>
      <c r="E127">
        <f>maluku_papua!AS57</f>
        <v>76.04580413378325</v>
      </c>
      <c r="F127">
        <f>maluku_papua!AT57</f>
        <v>7.0779698234787505</v>
      </c>
      <c r="G127">
        <f>maluku_papua!AU57</f>
        <v>-6.0166178177160853E-7</v>
      </c>
      <c r="H127">
        <f>maluku_papua!AV57</f>
        <v>29.9662712858389</v>
      </c>
      <c r="I127">
        <f>maluku_papua!AW57</f>
        <v>137.16703647164465</v>
      </c>
      <c r="J127">
        <f>maluku_papua!AX57</f>
        <v>3.8346737628017604</v>
      </c>
      <c r="K127">
        <f>maluku_papua!AY57</f>
        <v>18.697585569123202</v>
      </c>
      <c r="L127">
        <f>maluku_papua!AZ57</f>
        <v>0</v>
      </c>
      <c r="M127">
        <f>maluku_papua!BA57</f>
        <v>3.7832987622428482E-2</v>
      </c>
      <c r="N127">
        <f>maluku_papua!BB57</f>
        <v>0</v>
      </c>
      <c r="O127">
        <f>maluku_papua!BC57</f>
        <v>6.0606232831780099E-2</v>
      </c>
      <c r="P127">
        <f>maluku_papua!BD57</f>
        <v>372.67453912926447</v>
      </c>
    </row>
    <row r="128" spans="1:16" x14ac:dyDescent="0.25">
      <c r="A128" t="str">
        <f>maluku_papua!AO58</f>
        <v>MALUKU_PAPUA</v>
      </c>
      <c r="B128">
        <f>maluku_papua!AP58</f>
        <v>2025</v>
      </c>
      <c r="C128">
        <f>maluku_papua!AQ58</f>
        <v>106.04447609417957</v>
      </c>
      <c r="D128">
        <f>maluku_papua!AR58</f>
        <v>9.0003413311727967E-2</v>
      </c>
      <c r="E128">
        <f>maluku_papua!AS58</f>
        <v>85.254194573929851</v>
      </c>
      <c r="F128">
        <f>maluku_papua!AT58</f>
        <v>7.0779698234787505</v>
      </c>
      <c r="G128">
        <f>maluku_papua!AU58</f>
        <v>-7.5921808195123444E-9</v>
      </c>
      <c r="H128">
        <f>maluku_papua!AV58</f>
        <v>127.4641866447646</v>
      </c>
      <c r="I128">
        <f>maluku_papua!AW58</f>
        <v>24.722289121720966</v>
      </c>
      <c r="J128">
        <f>maluku_papua!AX58</f>
        <v>30.716303119474382</v>
      </c>
      <c r="K128">
        <f>maluku_papua!AY58</f>
        <v>49.110364534549085</v>
      </c>
      <c r="L128">
        <f>maluku_papua!AZ58</f>
        <v>0</v>
      </c>
      <c r="M128">
        <f>maluku_papua!BA58</f>
        <v>3.7907279244970164E-2</v>
      </c>
      <c r="N128">
        <f>maluku_papua!BB58</f>
        <v>0</v>
      </c>
      <c r="O128">
        <f>maluku_papua!BC58</f>
        <v>7.2454895874114328E-2</v>
      </c>
      <c r="P128">
        <f>maluku_papua!BD58</f>
        <v>430.59014949293584</v>
      </c>
    </row>
    <row r="129" spans="1:16" x14ac:dyDescent="0.25">
      <c r="A129" t="str">
        <f>maluku_papua!AO59</f>
        <v>MALUKU_PAPUA</v>
      </c>
      <c r="B129">
        <f>maluku_papua!AP59</f>
        <v>2026</v>
      </c>
      <c r="C129">
        <f>maluku_papua!AQ59</f>
        <v>122.05143289665011</v>
      </c>
      <c r="D129">
        <f>maluku_papua!AR59</f>
        <v>9.0004139978394085E-2</v>
      </c>
      <c r="E129">
        <f>maluku_papua!AS59</f>
        <v>77.714620340118927</v>
      </c>
      <c r="F129">
        <f>maluku_papua!AT59</f>
        <v>7.0779698234787505</v>
      </c>
      <c r="G129">
        <f>maluku_papua!AU59</f>
        <v>5.9406961392192596E-7</v>
      </c>
      <c r="H129">
        <f>maluku_papua!AV59</f>
        <v>35.97217972336162</v>
      </c>
      <c r="I129">
        <f>maluku_papua!AW59</f>
        <v>57.70585240735241</v>
      </c>
      <c r="J129">
        <f>maluku_papua!AX59</f>
        <v>9.8075755909278772</v>
      </c>
      <c r="K129">
        <f>maluku_papua!AY59</f>
        <v>23.096614823783916</v>
      </c>
      <c r="L129">
        <f>maluku_papua!AZ59</f>
        <v>0</v>
      </c>
      <c r="M129">
        <f>maluku_papua!BA59</f>
        <v>0.3035850587587911</v>
      </c>
      <c r="N129">
        <f>maluku_papua!BB59</f>
        <v>0</v>
      </c>
      <c r="O129">
        <f>maluku_papua!BC59</f>
        <v>5.5227751593794373E-2</v>
      </c>
      <c r="P129">
        <f>maluku_papua!BD59</f>
        <v>333.8750631500742</v>
      </c>
    </row>
    <row r="130" spans="1:16" x14ac:dyDescent="0.25">
      <c r="A130" t="str">
        <f>maluku_papua!AO60</f>
        <v>MALUKU_PAPUA</v>
      </c>
      <c r="B130">
        <f>maluku_papua!AP60</f>
        <v>2027</v>
      </c>
      <c r="C130">
        <f>maluku_papua!AQ60</f>
        <v>131.17765950959651</v>
      </c>
      <c r="D130">
        <f>maluku_papua!AR60</f>
        <v>9.0003390810664372E-2</v>
      </c>
      <c r="E130">
        <f>maluku_papua!AS60</f>
        <v>84.588217580418231</v>
      </c>
      <c r="F130">
        <f>maluku_papua!AT60</f>
        <v>7.0779698234787505</v>
      </c>
      <c r="G130">
        <f>maluku_papua!AU60</f>
        <v>-1.3135627847578654E-14</v>
      </c>
      <c r="H130">
        <f>maluku_papua!AV60</f>
        <v>50.786091706247383</v>
      </c>
      <c r="I130">
        <f>maluku_papua!AW60</f>
        <v>53.445932118178092</v>
      </c>
      <c r="J130">
        <f>maluku_papua!AX60</f>
        <v>4.1656870250526827</v>
      </c>
      <c r="K130">
        <f>maluku_papua!AY60</f>
        <v>27.79738820177651</v>
      </c>
      <c r="L130">
        <f>maluku_papua!AZ60</f>
        <v>0</v>
      </c>
      <c r="M130">
        <f>maluku_papua!BA60</f>
        <v>0.70708029936097894</v>
      </c>
      <c r="N130">
        <f>maluku_papua!BB60</f>
        <v>0</v>
      </c>
      <c r="O130">
        <f>maluku_papua!BC60</f>
        <v>5.9210035148426973E-2</v>
      </c>
      <c r="P130">
        <f>maluku_papua!BD60</f>
        <v>359.89523969006837</v>
      </c>
    </row>
    <row r="131" spans="1:16" x14ac:dyDescent="0.25">
      <c r="A131" t="str">
        <f>maluku_papua!AO61</f>
        <v>MALUKU_PAPUA</v>
      </c>
      <c r="B131">
        <f>maluku_papua!AP61</f>
        <v>2028</v>
      </c>
      <c r="C131">
        <f>maluku_papua!AQ61</f>
        <v>140.82673663862411</v>
      </c>
      <c r="D131">
        <f>maluku_papua!AR61</f>
        <v>9.0003368309601747E-2</v>
      </c>
      <c r="E131">
        <f>maluku_papua!AS61</f>
        <v>92.093355436043197</v>
      </c>
      <c r="F131">
        <f>maluku_papua!AT61</f>
        <v>7.0779698234787505</v>
      </c>
      <c r="G131">
        <f>maluku_papua!AU61</f>
        <v>-1.6575435347277883E-16</v>
      </c>
      <c r="H131">
        <f>maluku_papua!AV61</f>
        <v>6.0020578829749738</v>
      </c>
      <c r="I131">
        <f>maluku_papua!AW61</f>
        <v>10.05678179344933</v>
      </c>
      <c r="J131">
        <f>maluku_papua!AX61</f>
        <v>43.931234889173304</v>
      </c>
      <c r="K131">
        <f>maluku_papua!AY61</f>
        <v>94.508780847558143</v>
      </c>
      <c r="L131">
        <f>maluku_papua!AZ61</f>
        <v>0</v>
      </c>
      <c r="M131">
        <f>maluku_papua!BA61</f>
        <v>0.35047259518114554</v>
      </c>
      <c r="N131">
        <f>maluku_papua!BB61</f>
        <v>0</v>
      </c>
      <c r="O131">
        <f>maluku_papua!BC61</f>
        <v>7.3986507909266017E-2</v>
      </c>
      <c r="P131">
        <f>maluku_papua!BD61</f>
        <v>395.01137978270185</v>
      </c>
    </row>
    <row r="132" spans="1:16" x14ac:dyDescent="0.25">
      <c r="A132" t="str">
        <f>maluku_papua!AO62</f>
        <v>MALUKU_PAPUA</v>
      </c>
      <c r="B132">
        <f>maluku_papua!AP62</f>
        <v>2029</v>
      </c>
      <c r="C132">
        <f>maluku_papua!AQ62</f>
        <v>151.02559829625153</v>
      </c>
      <c r="D132">
        <f>maluku_papua!AR62</f>
        <v>9.0004094976267865E-2</v>
      </c>
      <c r="E132">
        <f>maluku_papua!AS62</f>
        <v>100.28801878697661</v>
      </c>
      <c r="F132">
        <f>maluku_papua!AT62</f>
        <v>7.0779698234787505</v>
      </c>
      <c r="G132">
        <f>maluku_papua!AU62</f>
        <v>1.2969873494105869E-14</v>
      </c>
      <c r="H132">
        <f>maluku_papua!AV62</f>
        <v>43.929000593802414</v>
      </c>
      <c r="I132">
        <f>maluku_papua!AW62</f>
        <v>75.138017593579605</v>
      </c>
      <c r="J132">
        <f>maluku_papua!AX62</f>
        <v>12.930678339520682</v>
      </c>
      <c r="K132">
        <f>maluku_papua!AY62</f>
        <v>30.923560816813279</v>
      </c>
      <c r="L132">
        <f>maluku_papua!AZ62</f>
        <v>0</v>
      </c>
      <c r="M132">
        <f>maluku_papua!BA62</f>
        <v>7.0574704686534054E-2</v>
      </c>
      <c r="N132">
        <f>maluku_papua!BB62</f>
        <v>0</v>
      </c>
      <c r="O132">
        <f>maluku_papua!BC62</f>
        <v>6.8732876310897917E-2</v>
      </c>
      <c r="P132">
        <f>maluku_papua!BD62</f>
        <v>421.54215592639656</v>
      </c>
    </row>
    <row r="133" spans="1:16" x14ac:dyDescent="0.25">
      <c r="A133" t="str">
        <f>maluku_papua!AO63</f>
        <v>MALUKU_PAPUA</v>
      </c>
      <c r="B133">
        <f>maluku_papua!AP63</f>
        <v>2030</v>
      </c>
      <c r="C133">
        <f>maluku_papua!AQ63</f>
        <v>161.80184744186681</v>
      </c>
      <c r="D133">
        <f>maluku_papua!AR63</f>
        <v>9.0004094976267865E-2</v>
      </c>
      <c r="E133">
        <f>maluku_papua!AS63</f>
        <v>109.23625531808857</v>
      </c>
      <c r="F133">
        <f>maluku_papua!AT63</f>
        <v>7.0779698234787505</v>
      </c>
      <c r="G133">
        <f>maluku_papua!AU63</f>
        <v>-6.016617920089111E-7</v>
      </c>
      <c r="H133">
        <f>maluku_papua!AV63</f>
        <v>6.6803597748980668</v>
      </c>
      <c r="I133">
        <f>maluku_papua!AW63</f>
        <v>135.17864013114672</v>
      </c>
      <c r="J133">
        <f>maluku_papua!AX63</f>
        <v>18.376605780364844</v>
      </c>
      <c r="K133">
        <f>maluku_papua!AY63</f>
        <v>14.939228211121138</v>
      </c>
      <c r="L133">
        <f>maluku_papua!AZ63</f>
        <v>0</v>
      </c>
      <c r="M133">
        <f>maluku_papua!BA63</f>
        <v>0.37425883531484222</v>
      </c>
      <c r="N133">
        <f>maluku_papua!BB63</f>
        <v>0</v>
      </c>
      <c r="O133">
        <f>maluku_papua!BC63</f>
        <v>7.227992142055556E-2</v>
      </c>
      <c r="P133">
        <f>maluku_papua!BD63</f>
        <v>453.82744873101478</v>
      </c>
    </row>
    <row r="134" spans="1:16" x14ac:dyDescent="0.25">
      <c r="A134" t="str">
        <f>maluku_papua!AO64</f>
        <v>MALUKU_PAPUA</v>
      </c>
      <c r="B134">
        <f>maluku_papua!AP64</f>
        <v>2031</v>
      </c>
      <c r="C134">
        <f>maluku_papua!AQ64</f>
        <v>173.18404003226891</v>
      </c>
      <c r="D134">
        <f>maluku_papua!AR64</f>
        <v>9.0004094976267865E-2</v>
      </c>
      <c r="E134">
        <f>maluku_papua!AS64</f>
        <v>119.00813144629633</v>
      </c>
      <c r="F134">
        <f>maluku_papua!AT64</f>
        <v>7.0779698234787505</v>
      </c>
      <c r="G134">
        <f>maluku_papua!AU64</f>
        <v>5.9406961122387932E-7</v>
      </c>
      <c r="H134">
        <f>maluku_papua!AV64</f>
        <v>59.671989650404434</v>
      </c>
      <c r="I134">
        <f>maluku_papua!AW64</f>
        <v>79.590022088728531</v>
      </c>
      <c r="J134">
        <f>maluku_papua!AX64</f>
        <v>4.7387377012278211</v>
      </c>
      <c r="K134">
        <f>maluku_papua!AY64</f>
        <v>44.972290981398295</v>
      </c>
      <c r="L134">
        <f>maluku_papua!AZ64</f>
        <v>0</v>
      </c>
      <c r="M134">
        <f>maluku_papua!BA64</f>
        <v>7.8673040000782526E-2</v>
      </c>
      <c r="N134">
        <f>maluku_papua!BB64</f>
        <v>0</v>
      </c>
      <c r="O134">
        <f>maluku_papua!BC64</f>
        <v>7.9887033185625816E-2</v>
      </c>
      <c r="P134">
        <f>maluku_papua!BD64</f>
        <v>488.49174648603537</v>
      </c>
    </row>
    <row r="135" spans="1:16" x14ac:dyDescent="0.25">
      <c r="A135" t="str">
        <f>maluku_papua!AO65</f>
        <v>MALUKU_PAPUA</v>
      </c>
      <c r="B135">
        <f>maluku_papua!AP65</f>
        <v>2032</v>
      </c>
      <c r="C135">
        <f>maluku_papua!AQ65</f>
        <v>185.20168223221219</v>
      </c>
      <c r="D135">
        <f>maluku_papua!AR65</f>
        <v>9.0004094976267865E-2</v>
      </c>
      <c r="E135">
        <f>maluku_papua!AS65</f>
        <v>129.68027046834831</v>
      </c>
      <c r="F135">
        <f>maluku_papua!AT65</f>
        <v>7.0779698234787505</v>
      </c>
      <c r="G135">
        <f>maluku_papua!AU65</f>
        <v>-1.3135583512539594E-14</v>
      </c>
      <c r="H135">
        <f>maluku_papua!AV65</f>
        <v>7.6336118120382839</v>
      </c>
      <c r="I135">
        <f>maluku_papua!AW65</f>
        <v>158.08842250640055</v>
      </c>
      <c r="J135">
        <f>maluku_papua!AX65</f>
        <v>5.733399703907585</v>
      </c>
      <c r="K135">
        <f>maluku_papua!AY65</f>
        <v>30.174869078141445</v>
      </c>
      <c r="L135">
        <f>maluku_papua!AZ65</f>
        <v>0</v>
      </c>
      <c r="M135">
        <f>maluku_papua!BA65</f>
        <v>0.32701222578204686</v>
      </c>
      <c r="N135">
        <f>maluku_papua!BB65</f>
        <v>0</v>
      </c>
      <c r="O135">
        <f>maluku_papua!BC65</f>
        <v>8.3989444806438815E-2</v>
      </c>
      <c r="P135">
        <f>maluku_papua!BD65</f>
        <v>524.09123139009182</v>
      </c>
    </row>
    <row r="136" spans="1:16" x14ac:dyDescent="0.25">
      <c r="A136" t="str">
        <f>maluku_papua!AO66</f>
        <v>MALUKU_PAPUA</v>
      </c>
      <c r="B136">
        <f>maluku_papua!AP66</f>
        <v>2033</v>
      </c>
      <c r="C136">
        <f>maluku_papua!AQ66</f>
        <v>197.88518390627794</v>
      </c>
      <c r="D136">
        <f>maluku_papua!AR66</f>
        <v>9.0004094976267865E-2</v>
      </c>
      <c r="E136">
        <f>maluku_papua!AS66</f>
        <v>141.33650240324167</v>
      </c>
      <c r="F136">
        <f>maluku_papua!AT66</f>
        <v>7.0779698234787505</v>
      </c>
      <c r="G136">
        <f>maluku_papua!AU66</f>
        <v>-6.0166178177160853E-7</v>
      </c>
      <c r="H136">
        <f>maluku_papua!AV66</f>
        <v>21.322135413986654</v>
      </c>
      <c r="I136">
        <f>maluku_papua!AW66</f>
        <v>164.90929731464928</v>
      </c>
      <c r="J136">
        <f>maluku_papua!AX66</f>
        <v>4.8048376561416628</v>
      </c>
      <c r="K136">
        <f>maluku_papua!AY66</f>
        <v>28.503548066340002</v>
      </c>
      <c r="L136">
        <f>maluku_papua!AZ66</f>
        <v>0</v>
      </c>
      <c r="M136">
        <f>maluku_papua!BA66</f>
        <v>0.36025636008480533</v>
      </c>
      <c r="N136">
        <f>maluku_papua!BB66</f>
        <v>0</v>
      </c>
      <c r="O136">
        <f>maluku_papua!BC66</f>
        <v>8.9912599440011509E-2</v>
      </c>
      <c r="P136">
        <f>maluku_papua!BD66</f>
        <v>566.37964703695536</v>
      </c>
    </row>
    <row r="137" spans="1:16" x14ac:dyDescent="0.25">
      <c r="A137" t="str">
        <f>maluku_papua!AO67</f>
        <v>MALUKU_PAPUA</v>
      </c>
      <c r="B137">
        <f>maluku_papua!AP67</f>
        <v>2034</v>
      </c>
      <c r="C137">
        <f>maluku_papua!AQ67</f>
        <v>211.26582123458894</v>
      </c>
      <c r="D137">
        <f>maluku_papua!AR67</f>
        <v>9.0003345808538651E-2</v>
      </c>
      <c r="E137">
        <f>maluku_papua!AS67</f>
        <v>154.06853753641332</v>
      </c>
      <c r="F137">
        <f>maluku_papua!AT67</f>
        <v>7.0779698234787505</v>
      </c>
      <c r="G137">
        <f>maluku_papua!AU67</f>
        <v>5.9406961392192575E-7</v>
      </c>
      <c r="H137">
        <f>maluku_papua!AV67</f>
        <v>68.780799807814503</v>
      </c>
      <c r="I137">
        <f>maluku_papua!AW67</f>
        <v>78.641939030865416</v>
      </c>
      <c r="J137">
        <f>maluku_papua!AX67</f>
        <v>5.1970045471237292</v>
      </c>
      <c r="K137">
        <f>maluku_papua!AY67</f>
        <v>88.217542407964558</v>
      </c>
      <c r="L137">
        <f>maluku_papua!AZ67</f>
        <v>0</v>
      </c>
      <c r="M137">
        <f>maluku_papua!BA67</f>
        <v>0.34107411324291392</v>
      </c>
      <c r="N137">
        <f>maluku_papua!BB67</f>
        <v>0</v>
      </c>
      <c r="O137">
        <f>maluku_papua!BC67</f>
        <v>0.10330166356352323</v>
      </c>
      <c r="P137">
        <f>maluku_papua!BD67</f>
        <v>613.78399410493375</v>
      </c>
    </row>
    <row r="138" spans="1:16" x14ac:dyDescent="0.25">
      <c r="A138" t="str">
        <f>maluku_papua!AO68</f>
        <v>MALUKU_PAPUA</v>
      </c>
      <c r="B138">
        <f>maluku_papua!AP68</f>
        <v>2035</v>
      </c>
      <c r="C138">
        <f>maluku_papua!AQ68</f>
        <v>230.00538478267993</v>
      </c>
      <c r="D138">
        <f>maluku_papua!AR68</f>
        <v>9.000332330747686E-2</v>
      </c>
      <c r="E138">
        <f>maluku_papua!AS68</f>
        <v>159.26462587242705</v>
      </c>
      <c r="F138">
        <f>maluku_papua!AT68</f>
        <v>7.0779698234787505</v>
      </c>
      <c r="G138">
        <f>maluku_papua!AU68</f>
        <v>-6.0166178854122576E-7</v>
      </c>
      <c r="H138">
        <f>maluku_papua!AV68</f>
        <v>26.479338149039361</v>
      </c>
      <c r="I138">
        <f>maluku_papua!AW68</f>
        <v>205.67651526974689</v>
      </c>
      <c r="J138">
        <f>maluku_papua!AX68</f>
        <v>4.7530714698000001</v>
      </c>
      <c r="K138">
        <f>maluku_papua!AY68</f>
        <v>19.82207901551396</v>
      </c>
      <c r="L138">
        <f>maluku_papua!AZ68</f>
        <v>0</v>
      </c>
      <c r="M138">
        <f>maluku_papua!BA68</f>
        <v>0.30354081115088349</v>
      </c>
      <c r="N138">
        <f>maluku_papua!BB68</f>
        <v>0</v>
      </c>
      <c r="O138">
        <f>maluku_papua!BC68</f>
        <v>0.10095855007906614</v>
      </c>
      <c r="P138">
        <f>maluku_papua!BD68</f>
        <v>653.5734864655617</v>
      </c>
    </row>
    <row r="139" spans="1:16" x14ac:dyDescent="0.25">
      <c r="A139" t="str">
        <f>maluku_papua!AO69</f>
        <v>MALUKU_PAPUA</v>
      </c>
      <c r="B139">
        <f>maluku_papua!AP69</f>
        <v>2036</v>
      </c>
      <c r="C139">
        <f>maluku_papua!AQ69</f>
        <v>222.82694727661155</v>
      </c>
      <c r="D139">
        <f>maluku_papua!AR69</f>
        <v>9.00040499741417E-2</v>
      </c>
      <c r="E139">
        <f>maluku_papua!AS69</f>
        <v>215.92312371298198</v>
      </c>
      <c r="F139">
        <f>maluku_papua!AT69</f>
        <v>7.0779698234787505</v>
      </c>
      <c r="G139">
        <f>maluku_papua!AU69</f>
        <v>5.9406959466436837E-7</v>
      </c>
      <c r="H139">
        <f>maluku_papua!AV69</f>
        <v>9.2756960934739059</v>
      </c>
      <c r="I139">
        <f>maluku_papua!AW69</f>
        <v>146.17898686338916</v>
      </c>
      <c r="J139">
        <f>maluku_papua!AX69</f>
        <v>4.7530740866425285</v>
      </c>
      <c r="K139">
        <f>maluku_papua!AY69</f>
        <v>256.66712198986744</v>
      </c>
      <c r="L139">
        <f>maluku_papua!AZ69</f>
        <v>0</v>
      </c>
      <c r="M139">
        <f>maluku_papua!BA69</f>
        <v>0.66007222481070815</v>
      </c>
      <c r="N139">
        <f>maluku_papua!BB69</f>
        <v>0</v>
      </c>
      <c r="O139">
        <f>maluku_papua!BC69</f>
        <v>0.16076945323136624</v>
      </c>
      <c r="P139">
        <f>maluku_papua!BD69</f>
        <v>863.61376616853113</v>
      </c>
    </row>
    <row r="140" spans="1:16" x14ac:dyDescent="0.25">
      <c r="A140" t="str">
        <f>maluku_papua!AO70</f>
        <v>MALUKU_PAPUA</v>
      </c>
      <c r="B140">
        <f>maluku_papua!AP70</f>
        <v>2037</v>
      </c>
      <c r="C140">
        <f>maluku_papua!AQ70</f>
        <v>239.68879674693738</v>
      </c>
      <c r="D140">
        <f>maluku_papua!AR70</f>
        <v>9.00040499741417E-2</v>
      </c>
      <c r="E140">
        <f>maluku_papua!AS70</f>
        <v>230.38752262525881</v>
      </c>
      <c r="F140">
        <f>maluku_papua!AT70</f>
        <v>7.0779698234787505</v>
      </c>
      <c r="G140">
        <f>maluku_papua!AU70</f>
        <v>1.2969829718516712E-14</v>
      </c>
      <c r="H140">
        <f>maluku_papua!AV70</f>
        <v>9.4825424951843882</v>
      </c>
      <c r="I140">
        <f>maluku_papua!AW70</f>
        <v>31.739435910583335</v>
      </c>
      <c r="J140">
        <f>maluku_papua!AX70</f>
        <v>65.126915972934867</v>
      </c>
      <c r="K140">
        <f>maluku_papua!AY70</f>
        <v>378.30727163547664</v>
      </c>
      <c r="L140">
        <f>maluku_papua!AZ70</f>
        <v>0</v>
      </c>
      <c r="M140">
        <f>maluku_papua!BA70</f>
        <v>0.1198365991488179</v>
      </c>
      <c r="N140">
        <f>maluku_papua!BB70</f>
        <v>0</v>
      </c>
      <c r="O140">
        <f>maluku_papua!BC70</f>
        <v>0.18948669950349312</v>
      </c>
      <c r="P140">
        <f>maluku_papua!BD70</f>
        <v>962.20978255848058</v>
      </c>
    </row>
    <row r="141" spans="1:16" x14ac:dyDescent="0.25">
      <c r="A141" t="str">
        <f>maluku_papua!AO71</f>
        <v>MALUKU_PAPUA</v>
      </c>
      <c r="B141">
        <f>maluku_papua!AP71</f>
        <v>2038</v>
      </c>
      <c r="C141">
        <f>maluku_papua!AQ71</f>
        <v>254.82906382870456</v>
      </c>
      <c r="D141">
        <f>maluku_papua!AR71</f>
        <v>9.0003300806412487E-2</v>
      </c>
      <c r="E141">
        <f>maluku_papua!AS71</f>
        <v>251.17909466815675</v>
      </c>
      <c r="F141">
        <f>maluku_papua!AT71</f>
        <v>7.0779698234787505</v>
      </c>
      <c r="G141">
        <f>maluku_papua!AU71</f>
        <v>0</v>
      </c>
      <c r="H141">
        <f>maluku_papua!AV71</f>
        <v>116.83281042475569</v>
      </c>
      <c r="I141">
        <f>maluku_papua!AW71</f>
        <v>234.66340644062626</v>
      </c>
      <c r="J141">
        <f>maluku_papua!AX71</f>
        <v>104.48104786526193</v>
      </c>
      <c r="K141">
        <f>maluku_papua!AY71</f>
        <v>89.501451053563784</v>
      </c>
      <c r="L141">
        <f>maluku_papua!AZ71</f>
        <v>0</v>
      </c>
      <c r="M141">
        <f>maluku_papua!BA71</f>
        <v>1.536863021275952</v>
      </c>
      <c r="N141">
        <f>maluku_papua!BB71</f>
        <v>0</v>
      </c>
      <c r="O141">
        <f>maluku_papua!BC71</f>
        <v>0.16924491495116051</v>
      </c>
      <c r="P141">
        <f>maluku_papua!BD71</f>
        <v>1060.3609553415813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3429-C54B-47C9-9274-CEACDF445498}">
  <dimension ref="A1:P141"/>
  <sheetViews>
    <sheetView workbookViewId="0">
      <selection activeCell="C2" sqref="C2"/>
    </sheetView>
  </sheetViews>
  <sheetFormatPr defaultRowHeight="15" x14ac:dyDescent="0.25"/>
  <cols>
    <col min="1" max="1" width="18.5703125" customWidth="1"/>
  </cols>
  <sheetData>
    <row r="1" spans="1:16" x14ac:dyDescent="0.25">
      <c r="A1" t="str">
        <f>indonesia!B51</f>
        <v>region</v>
      </c>
      <c r="B1" t="str">
        <f>indonesia!C51</f>
        <v>year</v>
      </c>
      <c r="C1" t="str">
        <f>indonesia!D51</f>
        <v>coal</v>
      </c>
      <c r="D1" t="str">
        <f>indonesia!E51</f>
        <v>ocgt</v>
      </c>
      <c r="E1" t="str">
        <f>indonesia!F51</f>
        <v>ccgt</v>
      </c>
      <c r="F1" t="str">
        <f>indonesia!G51</f>
        <v>reciprocating</v>
      </c>
      <c r="G1" t="str">
        <f>indonesia!H51</f>
        <v>geothermal</v>
      </c>
      <c r="H1" t="str">
        <f>indonesia!I51</f>
        <v>lhydro</v>
      </c>
      <c r="I1" t="str">
        <f>indonesia!J51</f>
        <v>mhydro</v>
      </c>
      <c r="J1" t="str">
        <f>indonesia!K51</f>
        <v>solar</v>
      </c>
      <c r="K1" t="str">
        <f>indonesia!L51</f>
        <v>wind</v>
      </c>
      <c r="L1" t="str">
        <f>indonesia!M51</f>
        <v>biomass</v>
      </c>
      <c r="M1" t="str">
        <f>indonesia!N51</f>
        <v>ocean</v>
      </c>
      <c r="N1" t="str">
        <f>indonesia!O51</f>
        <v>waste</v>
      </c>
      <c r="O1" t="str">
        <f>indonesia!P51</f>
        <v>storage</v>
      </c>
      <c r="P1" t="str">
        <f>indonesia!Q51</f>
        <v>total</v>
      </c>
    </row>
    <row r="2" spans="1:16" x14ac:dyDescent="0.25">
      <c r="A2" t="str">
        <f>indonesia!B52</f>
        <v>INDONESIA</v>
      </c>
      <c r="B2">
        <f>indonesia!C52</f>
        <v>2019</v>
      </c>
      <c r="C2">
        <f>SUM(C22,C42,C62,C82,C102,C122)</f>
        <v>1555.6592401348964</v>
      </c>
      <c r="D2">
        <f t="shared" ref="D2:P2" si="0">SUM(D22,D42,D62,D82,D102,D122)</f>
        <v>170.13833105204085</v>
      </c>
      <c r="E2">
        <f t="shared" si="0"/>
        <v>196.8472859659675</v>
      </c>
      <c r="F2">
        <f t="shared" si="0"/>
        <v>259.03361579237458</v>
      </c>
      <c r="G2">
        <f t="shared" si="0"/>
        <v>163.39616037415385</v>
      </c>
      <c r="H2">
        <f t="shared" si="0"/>
        <v>95.714564584576536</v>
      </c>
      <c r="I2">
        <f t="shared" si="0"/>
        <v>4.5179628302769235</v>
      </c>
      <c r="J2">
        <f t="shared" si="0"/>
        <v>0.11602725120000001</v>
      </c>
      <c r="K2">
        <f t="shared" si="0"/>
        <v>0</v>
      </c>
      <c r="L2">
        <f t="shared" si="0"/>
        <v>4.1432945618858552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2449.5664825473727</v>
      </c>
    </row>
    <row r="3" spans="1:16" x14ac:dyDescent="0.25">
      <c r="A3" t="str">
        <f>indonesia!B53</f>
        <v>INDONESIA</v>
      </c>
      <c r="B3">
        <f>indonesia!C53</f>
        <v>2020</v>
      </c>
      <c r="C3">
        <f t="shared" ref="C3:P18" si="1">SUM(C23,C43,C63,C83,C103,C123)</f>
        <v>1648.5571607338034</v>
      </c>
      <c r="D3">
        <f t="shared" si="1"/>
        <v>170.31548984672082</v>
      </c>
      <c r="E3">
        <f t="shared" si="1"/>
        <v>241.57511211119183</v>
      </c>
      <c r="F3">
        <f t="shared" si="1"/>
        <v>259.03361579237458</v>
      </c>
      <c r="G3">
        <f t="shared" si="1"/>
        <v>163.39616037415385</v>
      </c>
      <c r="H3">
        <f t="shared" si="1"/>
        <v>133.81087437272311</v>
      </c>
      <c r="I3">
        <f t="shared" si="1"/>
        <v>11.214198927271475</v>
      </c>
      <c r="J3">
        <f t="shared" si="1"/>
        <v>44.014961219229903</v>
      </c>
      <c r="K3">
        <f t="shared" si="1"/>
        <v>1.2548540159300179</v>
      </c>
      <c r="L3">
        <f t="shared" si="1"/>
        <v>6.1084033973000089</v>
      </c>
      <c r="M3">
        <f t="shared" si="1"/>
        <v>7.9620334454035407E-2</v>
      </c>
      <c r="N3">
        <f t="shared" si="1"/>
        <v>0</v>
      </c>
      <c r="O3">
        <f t="shared" si="1"/>
        <v>8.789980563355804E-3</v>
      </c>
      <c r="P3">
        <f t="shared" si="1"/>
        <v>2679.3604511251533</v>
      </c>
    </row>
    <row r="4" spans="1:16" x14ac:dyDescent="0.25">
      <c r="A4" t="str">
        <f>indonesia!B54</f>
        <v>INDONESIA</v>
      </c>
      <c r="B4">
        <f>indonesia!C54</f>
        <v>2021</v>
      </c>
      <c r="C4">
        <f t="shared" si="1"/>
        <v>1721.7652194262007</v>
      </c>
      <c r="D4">
        <f t="shared" si="1"/>
        <v>170.31548975620117</v>
      </c>
      <c r="E4">
        <f t="shared" si="1"/>
        <v>350.72866417494868</v>
      </c>
      <c r="F4">
        <f t="shared" si="1"/>
        <v>259.03361581704291</v>
      </c>
      <c r="G4">
        <f t="shared" si="1"/>
        <v>187.84991462821901</v>
      </c>
      <c r="H4">
        <f t="shared" si="1"/>
        <v>154.97604278487594</v>
      </c>
      <c r="I4">
        <f t="shared" si="1"/>
        <v>52.206903708307756</v>
      </c>
      <c r="J4">
        <f t="shared" si="1"/>
        <v>49.857939952097652</v>
      </c>
      <c r="K4">
        <f t="shared" si="1"/>
        <v>22.791696947642411</v>
      </c>
      <c r="L4">
        <f t="shared" si="1"/>
        <v>6.1084033682954963</v>
      </c>
      <c r="M4">
        <f t="shared" si="1"/>
        <v>0.1081216966270625</v>
      </c>
      <c r="N4">
        <f t="shared" si="1"/>
        <v>0</v>
      </c>
      <c r="O4">
        <f t="shared" si="1"/>
        <v>1.0354177969624453E-2</v>
      </c>
      <c r="P4">
        <f t="shared" si="1"/>
        <v>2975.742012260459</v>
      </c>
    </row>
    <row r="5" spans="1:16" x14ac:dyDescent="0.25">
      <c r="A5" t="str">
        <f>indonesia!B55</f>
        <v>INDONESIA</v>
      </c>
      <c r="B5">
        <f>indonesia!C55</f>
        <v>2022</v>
      </c>
      <c r="C5">
        <f t="shared" si="1"/>
        <v>1741.0902371485827</v>
      </c>
      <c r="D5">
        <f t="shared" si="1"/>
        <v>170.31548966568155</v>
      </c>
      <c r="E5">
        <f t="shared" si="1"/>
        <v>514.18235570015509</v>
      </c>
      <c r="F5">
        <f t="shared" si="1"/>
        <v>260.83284242544414</v>
      </c>
      <c r="G5">
        <f t="shared" si="1"/>
        <v>187.84991487212309</v>
      </c>
      <c r="H5">
        <f t="shared" si="1"/>
        <v>156.92697797713095</v>
      </c>
      <c r="I5">
        <f t="shared" si="1"/>
        <v>53.044988477127404</v>
      </c>
      <c r="J5">
        <f t="shared" si="1"/>
        <v>64.299745218633262</v>
      </c>
      <c r="K5">
        <f t="shared" si="1"/>
        <v>22.941793036469971</v>
      </c>
      <c r="L5">
        <f t="shared" si="1"/>
        <v>6.1084033392909847</v>
      </c>
      <c r="M5">
        <f t="shared" si="1"/>
        <v>0.1085161263284469</v>
      </c>
      <c r="N5">
        <f t="shared" si="1"/>
        <v>0</v>
      </c>
      <c r="O5">
        <f t="shared" si="1"/>
        <v>1.1485078513364859E-2</v>
      </c>
      <c r="P5">
        <f t="shared" si="1"/>
        <v>3177.7012639869677</v>
      </c>
    </row>
    <row r="6" spans="1:16" x14ac:dyDescent="0.25">
      <c r="A6" t="str">
        <f>indonesia!B56</f>
        <v>INDONESIA</v>
      </c>
      <c r="B6">
        <f>indonesia!C56</f>
        <v>2023</v>
      </c>
      <c r="C6">
        <f t="shared" si="1"/>
        <v>1756.1233375391819</v>
      </c>
      <c r="D6">
        <f t="shared" si="1"/>
        <v>177.47187566176433</v>
      </c>
      <c r="E6">
        <f t="shared" si="1"/>
        <v>638.96926998181209</v>
      </c>
      <c r="F6">
        <f t="shared" si="1"/>
        <v>260.93068317412144</v>
      </c>
      <c r="G6">
        <f t="shared" si="1"/>
        <v>203.86398553505592</v>
      </c>
      <c r="H6">
        <f t="shared" si="1"/>
        <v>161.57414281095095</v>
      </c>
      <c r="I6">
        <f t="shared" si="1"/>
        <v>53.542416683770959</v>
      </c>
      <c r="J6">
        <f t="shared" si="1"/>
        <v>71.693791405642003</v>
      </c>
      <c r="K6">
        <f t="shared" si="1"/>
        <v>27.130430186387578</v>
      </c>
      <c r="L6">
        <f t="shared" si="1"/>
        <v>7.9597696918157474</v>
      </c>
      <c r="M6">
        <f t="shared" si="1"/>
        <v>0.10857535903304148</v>
      </c>
      <c r="N6">
        <f t="shared" si="1"/>
        <v>0</v>
      </c>
      <c r="O6">
        <f t="shared" si="1"/>
        <v>1.1605833903140355E-2</v>
      </c>
      <c r="P6">
        <f t="shared" si="1"/>
        <v>3359.3682780295362</v>
      </c>
    </row>
    <row r="7" spans="1:16" x14ac:dyDescent="0.25">
      <c r="A7" t="str">
        <f>indonesia!B57</f>
        <v>INDONESIA</v>
      </c>
      <c r="B7">
        <f>indonesia!C57</f>
        <v>2024</v>
      </c>
      <c r="C7">
        <f t="shared" si="1"/>
        <v>1769.8367697358724</v>
      </c>
      <c r="D7">
        <f t="shared" si="1"/>
        <v>192.43654716848872</v>
      </c>
      <c r="E7">
        <f t="shared" si="1"/>
        <v>755.60976125581351</v>
      </c>
      <c r="F7">
        <f t="shared" si="1"/>
        <v>270.64729004030949</v>
      </c>
      <c r="G7">
        <f t="shared" si="1"/>
        <v>211.01440033502007</v>
      </c>
      <c r="H7">
        <f t="shared" si="1"/>
        <v>161.79754010428144</v>
      </c>
      <c r="I7">
        <f t="shared" si="1"/>
        <v>57.616711635031251</v>
      </c>
      <c r="J7">
        <f t="shared" si="1"/>
        <v>71.975073054893556</v>
      </c>
      <c r="K7">
        <f t="shared" si="1"/>
        <v>47.141092597315662</v>
      </c>
      <c r="L7">
        <f t="shared" si="1"/>
        <v>11.194988267991846</v>
      </c>
      <c r="M7">
        <f t="shared" si="1"/>
        <v>0.10857535903304148</v>
      </c>
      <c r="N7">
        <f t="shared" si="1"/>
        <v>0</v>
      </c>
      <c r="O7">
        <f t="shared" si="1"/>
        <v>1.1854948106832342E-2</v>
      </c>
      <c r="P7">
        <f t="shared" si="1"/>
        <v>3549.3787495540519</v>
      </c>
    </row>
    <row r="8" spans="1:16" x14ac:dyDescent="0.25">
      <c r="A8" t="str">
        <f>indonesia!B58</f>
        <v>INDONESIA</v>
      </c>
      <c r="B8">
        <f>indonesia!C58</f>
        <v>2025</v>
      </c>
      <c r="C8">
        <f t="shared" si="1"/>
        <v>1778.5490623105743</v>
      </c>
      <c r="D8">
        <f t="shared" si="1"/>
        <v>208.66923820139996</v>
      </c>
      <c r="E8">
        <f t="shared" si="1"/>
        <v>809.73542856092831</v>
      </c>
      <c r="F8">
        <f t="shared" si="1"/>
        <v>303.06528047266983</v>
      </c>
      <c r="G8">
        <f t="shared" si="1"/>
        <v>215.31267734439061</v>
      </c>
      <c r="H8">
        <f t="shared" si="1"/>
        <v>170.75757076645229</v>
      </c>
      <c r="I8">
        <f t="shared" si="1"/>
        <v>58.816677345302743</v>
      </c>
      <c r="J8">
        <f t="shared" si="1"/>
        <v>73.088590613495512</v>
      </c>
      <c r="K8">
        <f t="shared" si="1"/>
        <v>81.488544603997155</v>
      </c>
      <c r="L8">
        <f t="shared" si="1"/>
        <v>14.737598685288532</v>
      </c>
      <c r="M8">
        <f t="shared" si="1"/>
        <v>0.10857552129820865</v>
      </c>
      <c r="N8">
        <f t="shared" si="1"/>
        <v>0</v>
      </c>
      <c r="O8">
        <f t="shared" si="1"/>
        <v>1.209324759153748E-2</v>
      </c>
      <c r="P8">
        <f t="shared" si="1"/>
        <v>3714.3292444257982</v>
      </c>
    </row>
    <row r="9" spans="1:16" x14ac:dyDescent="0.25">
      <c r="A9" t="str">
        <f>indonesia!B59</f>
        <v>INDONESIA</v>
      </c>
      <c r="B9">
        <f>indonesia!C59</f>
        <v>2026</v>
      </c>
      <c r="C9">
        <f t="shared" si="1"/>
        <v>1818.8047747565179</v>
      </c>
      <c r="D9">
        <f t="shared" si="1"/>
        <v>211.03100288620766</v>
      </c>
      <c r="E9">
        <f t="shared" si="1"/>
        <v>824.03546763104782</v>
      </c>
      <c r="F9">
        <f t="shared" si="1"/>
        <v>312.54923124449732</v>
      </c>
      <c r="G9">
        <f t="shared" si="1"/>
        <v>221.47073334207553</v>
      </c>
      <c r="H9">
        <f t="shared" si="1"/>
        <v>175.35079067345438</v>
      </c>
      <c r="I9">
        <f t="shared" si="1"/>
        <v>86.241103046491077</v>
      </c>
      <c r="J9">
        <f t="shared" si="1"/>
        <v>76.108208165611643</v>
      </c>
      <c r="K9">
        <f t="shared" si="1"/>
        <v>82.860862925752102</v>
      </c>
      <c r="L9">
        <f t="shared" si="1"/>
        <v>18.361195112626355</v>
      </c>
      <c r="M9">
        <f t="shared" si="1"/>
        <v>0.10915596335233312</v>
      </c>
      <c r="N9">
        <f t="shared" si="1"/>
        <v>0.67878875346087297</v>
      </c>
      <c r="O9">
        <f t="shared" si="1"/>
        <v>1.2225365722858395E-2</v>
      </c>
      <c r="P9">
        <f t="shared" si="1"/>
        <v>3827.6013145010947</v>
      </c>
    </row>
    <row r="10" spans="1:16" x14ac:dyDescent="0.25">
      <c r="A10" t="str">
        <f>indonesia!B60</f>
        <v>INDONESIA</v>
      </c>
      <c r="B10">
        <f>indonesia!C60</f>
        <v>2027</v>
      </c>
      <c r="C10">
        <f t="shared" si="1"/>
        <v>1869.4790929367846</v>
      </c>
      <c r="D10">
        <f t="shared" si="1"/>
        <v>221.27123700994832</v>
      </c>
      <c r="E10">
        <f t="shared" si="1"/>
        <v>962.40320448740158</v>
      </c>
      <c r="F10">
        <f t="shared" si="1"/>
        <v>315.03779605550073</v>
      </c>
      <c r="G10">
        <f t="shared" si="1"/>
        <v>221.47073316903183</v>
      </c>
      <c r="H10">
        <f t="shared" si="1"/>
        <v>190.85852665125441</v>
      </c>
      <c r="I10">
        <f t="shared" si="1"/>
        <v>128.11120081991777</v>
      </c>
      <c r="J10">
        <f t="shared" si="1"/>
        <v>83.408898359032051</v>
      </c>
      <c r="K10">
        <f t="shared" si="1"/>
        <v>103.96959851599064</v>
      </c>
      <c r="L10">
        <f t="shared" si="1"/>
        <v>19.861712555297306</v>
      </c>
      <c r="M10">
        <f t="shared" si="1"/>
        <v>0.11060210085475715</v>
      </c>
      <c r="N10">
        <f t="shared" si="1"/>
        <v>0.67878875346087297</v>
      </c>
      <c r="O10">
        <f t="shared" si="1"/>
        <v>1.2440250150548279E-2</v>
      </c>
      <c r="P10">
        <f t="shared" si="1"/>
        <v>4116.6613914144746</v>
      </c>
    </row>
    <row r="11" spans="1:16" x14ac:dyDescent="0.25">
      <c r="A11" t="str">
        <f>indonesia!B61</f>
        <v>INDONESIA</v>
      </c>
      <c r="B11">
        <f>indonesia!C61</f>
        <v>2028</v>
      </c>
      <c r="C11">
        <f t="shared" si="1"/>
        <v>1908.6399093574853</v>
      </c>
      <c r="D11">
        <f t="shared" si="1"/>
        <v>237.74623708385943</v>
      </c>
      <c r="E11">
        <f t="shared" si="1"/>
        <v>1041.0235047964977</v>
      </c>
      <c r="F11">
        <f t="shared" si="1"/>
        <v>332.27305487843216</v>
      </c>
      <c r="G11">
        <f t="shared" si="1"/>
        <v>221.47073316903183</v>
      </c>
      <c r="H11">
        <f t="shared" si="1"/>
        <v>196.91278024037166</v>
      </c>
      <c r="I11">
        <f t="shared" si="1"/>
        <v>140.89072382119477</v>
      </c>
      <c r="J11">
        <f t="shared" si="1"/>
        <v>88.680777971315365</v>
      </c>
      <c r="K11">
        <f t="shared" si="1"/>
        <v>122.50422915905838</v>
      </c>
      <c r="L11">
        <f t="shared" si="1"/>
        <v>19.861712555297306</v>
      </c>
      <c r="M11">
        <f t="shared" si="1"/>
        <v>0.17627361927027752</v>
      </c>
      <c r="N11">
        <f t="shared" si="1"/>
        <v>0.67878875346087297</v>
      </c>
      <c r="O11">
        <f t="shared" si="1"/>
        <v>1.2795521570941852E-2</v>
      </c>
      <c r="P11">
        <f t="shared" si="1"/>
        <v>4310.8587254052745</v>
      </c>
    </row>
    <row r="12" spans="1:16" x14ac:dyDescent="0.25">
      <c r="A12" t="str">
        <f>indonesia!B62</f>
        <v>INDONESIA</v>
      </c>
      <c r="B12">
        <f>indonesia!C62</f>
        <v>2029</v>
      </c>
      <c r="C12">
        <f t="shared" si="1"/>
        <v>1912.9283698503966</v>
      </c>
      <c r="D12">
        <f t="shared" si="1"/>
        <v>262.34882141806065</v>
      </c>
      <c r="E12">
        <f t="shared" si="1"/>
        <v>1101.6984506739443</v>
      </c>
      <c r="F12">
        <f t="shared" si="1"/>
        <v>332.33173110453248</v>
      </c>
      <c r="G12">
        <f t="shared" si="1"/>
        <v>221.47073299598813</v>
      </c>
      <c r="H12">
        <f t="shared" si="1"/>
        <v>197.21614891205255</v>
      </c>
      <c r="I12">
        <f t="shared" si="1"/>
        <v>141.81520658585563</v>
      </c>
      <c r="J12">
        <f t="shared" si="1"/>
        <v>93.763840729827876</v>
      </c>
      <c r="K12">
        <f t="shared" si="1"/>
        <v>135.48499922288605</v>
      </c>
      <c r="L12">
        <f t="shared" si="1"/>
        <v>24.01265081528544</v>
      </c>
      <c r="M12">
        <f t="shared" si="1"/>
        <v>0.17627392785647639</v>
      </c>
      <c r="N12">
        <f t="shared" si="1"/>
        <v>0.67878875346087297</v>
      </c>
      <c r="O12">
        <f t="shared" si="1"/>
        <v>1.3210651775155588E-2</v>
      </c>
      <c r="P12">
        <f t="shared" si="1"/>
        <v>4423.9260149901465</v>
      </c>
    </row>
    <row r="13" spans="1:16" x14ac:dyDescent="0.25">
      <c r="A13" t="str">
        <f>indonesia!B63</f>
        <v>INDONESIA</v>
      </c>
      <c r="B13">
        <f>indonesia!C63</f>
        <v>2030</v>
      </c>
      <c r="C13">
        <f t="shared" si="1"/>
        <v>1946.8049388854431</v>
      </c>
      <c r="D13">
        <f t="shared" si="1"/>
        <v>305.26879112823747</v>
      </c>
      <c r="E13">
        <f t="shared" si="1"/>
        <v>1177.9456482584126</v>
      </c>
      <c r="F13">
        <f t="shared" si="1"/>
        <v>332.40523681352863</v>
      </c>
      <c r="G13">
        <f t="shared" si="1"/>
        <v>222.54594285029705</v>
      </c>
      <c r="H13">
        <f t="shared" si="1"/>
        <v>199.03159650810971</v>
      </c>
      <c r="I13">
        <f t="shared" si="1"/>
        <v>143.10044934939827</v>
      </c>
      <c r="J13">
        <f t="shared" si="1"/>
        <v>99.763377490914124</v>
      </c>
      <c r="K13">
        <f t="shared" si="1"/>
        <v>150.55960270539822</v>
      </c>
      <c r="L13">
        <f t="shared" si="1"/>
        <v>24.01265081528544</v>
      </c>
      <c r="M13">
        <f t="shared" si="1"/>
        <v>0.17697464151482745</v>
      </c>
      <c r="N13">
        <f t="shared" si="1"/>
        <v>0.67882589998222531</v>
      </c>
      <c r="O13">
        <f t="shared" si="1"/>
        <v>1.4653994804939334E-2</v>
      </c>
      <c r="P13">
        <f t="shared" si="1"/>
        <v>4602.2940353465201</v>
      </c>
    </row>
    <row r="14" spans="1:16" x14ac:dyDescent="0.25">
      <c r="A14" t="str">
        <f>indonesia!B64</f>
        <v>INDONESIA</v>
      </c>
      <c r="B14">
        <f>indonesia!C64</f>
        <v>2031</v>
      </c>
      <c r="C14">
        <f t="shared" si="1"/>
        <v>1978.0354615334948</v>
      </c>
      <c r="D14">
        <f t="shared" si="1"/>
        <v>356.71860642529936</v>
      </c>
      <c r="E14">
        <f t="shared" si="1"/>
        <v>1281.7674154863307</v>
      </c>
      <c r="F14">
        <f t="shared" si="1"/>
        <v>333.58523667002396</v>
      </c>
      <c r="G14">
        <f t="shared" si="1"/>
        <v>297.39769617299231</v>
      </c>
      <c r="H14">
        <f t="shared" si="1"/>
        <v>201.72578632036505</v>
      </c>
      <c r="I14">
        <f t="shared" si="1"/>
        <v>144.15396766100346</v>
      </c>
      <c r="J14">
        <f t="shared" si="1"/>
        <v>130.88723732734437</v>
      </c>
      <c r="K14">
        <f t="shared" si="1"/>
        <v>168.49062418156163</v>
      </c>
      <c r="L14">
        <f t="shared" si="1"/>
        <v>24.188244521620611</v>
      </c>
      <c r="M14">
        <f t="shared" si="1"/>
        <v>0.19701217929577913</v>
      </c>
      <c r="N14">
        <f t="shared" si="1"/>
        <v>0.92855128123635444</v>
      </c>
      <c r="O14">
        <f t="shared" si="1"/>
        <v>1.6360399436911612E-2</v>
      </c>
      <c r="P14">
        <f t="shared" si="1"/>
        <v>4918.0758397605678</v>
      </c>
    </row>
    <row r="15" spans="1:16" x14ac:dyDescent="0.25">
      <c r="A15" t="str">
        <f>indonesia!B65</f>
        <v>INDONESIA</v>
      </c>
      <c r="B15">
        <f>indonesia!C65</f>
        <v>2032</v>
      </c>
      <c r="C15">
        <f t="shared" si="1"/>
        <v>2014.8531925374518</v>
      </c>
      <c r="D15">
        <f t="shared" si="1"/>
        <v>413.87688496414893</v>
      </c>
      <c r="E15">
        <f t="shared" si="1"/>
        <v>1392.0752359333217</v>
      </c>
      <c r="F15">
        <f t="shared" si="1"/>
        <v>343.86689602740603</v>
      </c>
      <c r="G15">
        <f t="shared" si="1"/>
        <v>302.31121836626124</v>
      </c>
      <c r="H15">
        <f t="shared" si="1"/>
        <v>201.72601671809284</v>
      </c>
      <c r="I15">
        <f t="shared" si="1"/>
        <v>145.61286129716703</v>
      </c>
      <c r="J15">
        <f t="shared" si="1"/>
        <v>141.81357805387415</v>
      </c>
      <c r="K15">
        <f t="shared" si="1"/>
        <v>189.57403246228299</v>
      </c>
      <c r="L15">
        <f t="shared" si="1"/>
        <v>24.32663030831668</v>
      </c>
      <c r="M15">
        <f t="shared" si="1"/>
        <v>0.19770890659230331</v>
      </c>
      <c r="N15">
        <f t="shared" si="1"/>
        <v>0.9287034691124022</v>
      </c>
      <c r="O15">
        <f t="shared" si="1"/>
        <v>1.7219014497979485E-2</v>
      </c>
      <c r="P15">
        <f t="shared" si="1"/>
        <v>5171.162959044027</v>
      </c>
    </row>
    <row r="16" spans="1:16" x14ac:dyDescent="0.25">
      <c r="A16" t="str">
        <f>indonesia!B66</f>
        <v>INDONESIA</v>
      </c>
      <c r="B16">
        <f>indonesia!C66</f>
        <v>2033</v>
      </c>
      <c r="C16">
        <f t="shared" si="1"/>
        <v>2052.3789385739542</v>
      </c>
      <c r="D16">
        <f t="shared" si="1"/>
        <v>472.86865265011892</v>
      </c>
      <c r="E16">
        <f t="shared" si="1"/>
        <v>1505.5623076709101</v>
      </c>
      <c r="F16">
        <f t="shared" si="1"/>
        <v>345.62395567818083</v>
      </c>
      <c r="G16">
        <f t="shared" si="1"/>
        <v>536.35958073595509</v>
      </c>
      <c r="H16">
        <f t="shared" si="1"/>
        <v>202.20612107149458</v>
      </c>
      <c r="I16">
        <f t="shared" si="1"/>
        <v>147.89626584476645</v>
      </c>
      <c r="J16">
        <f t="shared" si="1"/>
        <v>146.02688177151521</v>
      </c>
      <c r="K16">
        <f t="shared" si="1"/>
        <v>218.1459210080447</v>
      </c>
      <c r="L16">
        <f t="shared" si="1"/>
        <v>25.432672121909114</v>
      </c>
      <c r="M16">
        <f t="shared" si="1"/>
        <v>0.20611803602797585</v>
      </c>
      <c r="N16">
        <f t="shared" si="1"/>
        <v>1.3039620016761053</v>
      </c>
      <c r="O16">
        <f t="shared" si="1"/>
        <v>1.7574320899439878E-2</v>
      </c>
      <c r="P16">
        <f t="shared" si="1"/>
        <v>5654.011377164552</v>
      </c>
    </row>
    <row r="17" spans="1:16" x14ac:dyDescent="0.25">
      <c r="A17" t="str">
        <f>indonesia!B67</f>
        <v>INDONESIA</v>
      </c>
      <c r="B17">
        <f>indonesia!C67</f>
        <v>2034</v>
      </c>
      <c r="C17">
        <f t="shared" si="1"/>
        <v>2167.6441538646613</v>
      </c>
      <c r="D17">
        <f t="shared" si="1"/>
        <v>526.7279353783955</v>
      </c>
      <c r="E17">
        <f t="shared" si="1"/>
        <v>1591.9686188535959</v>
      </c>
      <c r="F17">
        <f t="shared" si="1"/>
        <v>348.22198827824212</v>
      </c>
      <c r="G17">
        <f t="shared" si="1"/>
        <v>536.35962499598224</v>
      </c>
      <c r="H17">
        <f t="shared" si="1"/>
        <v>202.85577301625432</v>
      </c>
      <c r="I17">
        <f t="shared" si="1"/>
        <v>158.13391620986206</v>
      </c>
      <c r="J17">
        <f t="shared" si="1"/>
        <v>156.49259921258289</v>
      </c>
      <c r="K17">
        <f t="shared" si="1"/>
        <v>240.78816424997405</v>
      </c>
      <c r="L17">
        <f t="shared" si="1"/>
        <v>28.010350387918173</v>
      </c>
      <c r="M17">
        <f t="shared" si="1"/>
        <v>0.20666090709845872</v>
      </c>
      <c r="N17">
        <f t="shared" si="1"/>
        <v>1.3039651793997538</v>
      </c>
      <c r="O17">
        <f t="shared" si="1"/>
        <v>1.8548937166747798E-2</v>
      </c>
      <c r="P17">
        <f t="shared" si="1"/>
        <v>5958.713750533966</v>
      </c>
    </row>
    <row r="18" spans="1:16" x14ac:dyDescent="0.25">
      <c r="A18" t="str">
        <f>indonesia!B68</f>
        <v>INDONESIA</v>
      </c>
      <c r="B18">
        <f>indonesia!C68</f>
        <v>2035</v>
      </c>
      <c r="C18">
        <f t="shared" si="1"/>
        <v>2267.4723671854817</v>
      </c>
      <c r="D18">
        <f t="shared" si="1"/>
        <v>600.11215848171332</v>
      </c>
      <c r="E18">
        <f t="shared" si="1"/>
        <v>1692.8622542035346</v>
      </c>
      <c r="F18">
        <f t="shared" si="1"/>
        <v>355.05615850407042</v>
      </c>
      <c r="G18">
        <f t="shared" si="1"/>
        <v>536.36043045325926</v>
      </c>
      <c r="H18">
        <f t="shared" si="1"/>
        <v>202.99518937124063</v>
      </c>
      <c r="I18">
        <f t="shared" si="1"/>
        <v>160.00909670554873</v>
      </c>
      <c r="J18">
        <f t="shared" si="1"/>
        <v>168.02937174628687</v>
      </c>
      <c r="K18">
        <f t="shared" si="1"/>
        <v>264.88999170784052</v>
      </c>
      <c r="L18">
        <f t="shared" si="1"/>
        <v>29.124015926528266</v>
      </c>
      <c r="M18">
        <f t="shared" si="1"/>
        <v>0.20715354930181246</v>
      </c>
      <c r="N18">
        <f t="shared" si="1"/>
        <v>1.3040113341756376</v>
      </c>
      <c r="O18">
        <f t="shared" si="1"/>
        <v>1.8912646028991613E-2</v>
      </c>
      <c r="P18">
        <f t="shared" si="1"/>
        <v>6278.422199168981</v>
      </c>
    </row>
    <row r="19" spans="1:16" x14ac:dyDescent="0.25">
      <c r="A19" t="str">
        <f>indonesia!B69</f>
        <v>INDONESIA</v>
      </c>
      <c r="B19">
        <f>indonesia!C69</f>
        <v>2036</v>
      </c>
      <c r="C19">
        <f t="shared" ref="C19:P21" si="2">SUM(C39,C59,C79,C99,C119,C139)</f>
        <v>2379.4324064977677</v>
      </c>
      <c r="D19">
        <f t="shared" si="2"/>
        <v>639.52896364869446</v>
      </c>
      <c r="E19">
        <f t="shared" si="2"/>
        <v>1759.8099920394343</v>
      </c>
      <c r="F19">
        <f t="shared" si="2"/>
        <v>362.04604990644702</v>
      </c>
      <c r="G19">
        <f t="shared" si="2"/>
        <v>870.13978858468761</v>
      </c>
      <c r="H19">
        <f t="shared" si="2"/>
        <v>210.07251090320153</v>
      </c>
      <c r="I19">
        <f t="shared" si="2"/>
        <v>170.10899874171108</v>
      </c>
      <c r="J19">
        <f t="shared" si="2"/>
        <v>180.44395373923257</v>
      </c>
      <c r="K19">
        <f t="shared" si="2"/>
        <v>291.23945455878948</v>
      </c>
      <c r="L19">
        <f t="shared" si="2"/>
        <v>33.199798451954806</v>
      </c>
      <c r="M19">
        <f t="shared" si="2"/>
        <v>0.2248473803523772</v>
      </c>
      <c r="N19">
        <f t="shared" si="2"/>
        <v>7.1006457501505675</v>
      </c>
      <c r="O19">
        <f t="shared" si="2"/>
        <v>2.1550302784599171E-2</v>
      </c>
      <c r="P19">
        <f t="shared" si="2"/>
        <v>6903.347410202422</v>
      </c>
    </row>
    <row r="20" spans="1:16" x14ac:dyDescent="0.25">
      <c r="A20" t="str">
        <f>indonesia!B70</f>
        <v>INDONESIA</v>
      </c>
      <c r="B20">
        <f>indonesia!C70</f>
        <v>2037</v>
      </c>
      <c r="C20">
        <f t="shared" si="2"/>
        <v>2474.7293705695556</v>
      </c>
      <c r="D20">
        <f t="shared" si="2"/>
        <v>715.67996100965877</v>
      </c>
      <c r="E20">
        <f t="shared" si="2"/>
        <v>1811.1795171154565</v>
      </c>
      <c r="F20">
        <f t="shared" si="2"/>
        <v>364.48209692753704</v>
      </c>
      <c r="G20">
        <f t="shared" si="2"/>
        <v>880.02942524876607</v>
      </c>
      <c r="H20">
        <f t="shared" si="2"/>
        <v>211.9009866260956</v>
      </c>
      <c r="I20">
        <f t="shared" si="2"/>
        <v>170.3774007594493</v>
      </c>
      <c r="J20">
        <f t="shared" si="2"/>
        <v>192.31488402830342</v>
      </c>
      <c r="K20">
        <f t="shared" si="2"/>
        <v>312.31852054475803</v>
      </c>
      <c r="L20">
        <f t="shared" si="2"/>
        <v>33.953265501718356</v>
      </c>
      <c r="M20">
        <f t="shared" si="2"/>
        <v>0.22485505593682803</v>
      </c>
      <c r="N20">
        <f t="shared" si="2"/>
        <v>7.1006533337219153</v>
      </c>
      <c r="O20">
        <f t="shared" si="2"/>
        <v>2.3963146725870663E-2</v>
      </c>
      <c r="P20">
        <f t="shared" si="2"/>
        <v>7174.2909367209577</v>
      </c>
    </row>
    <row r="21" spans="1:16" x14ac:dyDescent="0.25">
      <c r="A21" t="str">
        <f>indonesia!B71</f>
        <v>INDONESIA</v>
      </c>
      <c r="B21">
        <f>indonesia!C71</f>
        <v>2038</v>
      </c>
      <c r="C21">
        <f t="shared" si="2"/>
        <v>2605.5778806216922</v>
      </c>
      <c r="D21">
        <f t="shared" si="2"/>
        <v>799.31408511500808</v>
      </c>
      <c r="E21">
        <f t="shared" si="2"/>
        <v>1907.8580557801529</v>
      </c>
      <c r="F21">
        <f t="shared" si="2"/>
        <v>365.18210687965478</v>
      </c>
      <c r="G21">
        <f t="shared" si="2"/>
        <v>969.2257774906908</v>
      </c>
      <c r="H21">
        <f t="shared" si="2"/>
        <v>213.69713745325146</v>
      </c>
      <c r="I21">
        <f t="shared" si="2"/>
        <v>181.38047585488255</v>
      </c>
      <c r="J21">
        <f t="shared" si="2"/>
        <v>244.80913876287178</v>
      </c>
      <c r="K21">
        <f t="shared" si="2"/>
        <v>339.02162341923963</v>
      </c>
      <c r="L21">
        <f t="shared" si="2"/>
        <v>33.953265503128044</v>
      </c>
      <c r="M21">
        <f t="shared" si="2"/>
        <v>0.26052425635750248</v>
      </c>
      <c r="N21">
        <f t="shared" si="2"/>
        <v>7.3244076526676736</v>
      </c>
      <c r="O21">
        <f t="shared" si="2"/>
        <v>2.6546671906741787E-2</v>
      </c>
      <c r="P21">
        <f t="shared" si="2"/>
        <v>7667.6044787895962</v>
      </c>
    </row>
    <row r="22" spans="1:16" x14ac:dyDescent="0.25">
      <c r="A22" t="str">
        <f>sumatera!B52</f>
        <v>SUMATERA</v>
      </c>
      <c r="B22">
        <f>sumatera!C52</f>
        <v>2019</v>
      </c>
      <c r="C22">
        <f>sumatera!D52</f>
        <v>240.55029771889659</v>
      </c>
      <c r="D22">
        <f>sumatera!E52</f>
        <v>37.828164129437816</v>
      </c>
      <c r="E22">
        <f>sumatera!F52</f>
        <v>22.022617400355163</v>
      </c>
      <c r="F22">
        <f>sumatera!G52</f>
        <v>97.55939496497659</v>
      </c>
      <c r="G22">
        <f>sumatera!H52</f>
        <v>117.1505796923077</v>
      </c>
      <c r="H22">
        <f>sumatera!I52</f>
        <v>32.97163230067045</v>
      </c>
      <c r="I22">
        <f>sumatera!J52</f>
        <v>1.8714306594461543</v>
      </c>
      <c r="J22">
        <f>sumatera!K52</f>
        <v>7.4834928000000007E-3</v>
      </c>
      <c r="K22">
        <f>sumatera!L52</f>
        <v>0</v>
      </c>
      <c r="L22">
        <f>sumatera!M52</f>
        <v>1.0615651450124068</v>
      </c>
      <c r="M22">
        <f>sumatera!N52</f>
        <v>0</v>
      </c>
      <c r="N22">
        <f>sumatera!O52</f>
        <v>0</v>
      </c>
      <c r="O22">
        <f>sumatera!P52</f>
        <v>0</v>
      </c>
      <c r="P22">
        <f>sumatera!Q52</f>
        <v>551.02316550390287</v>
      </c>
    </row>
    <row r="23" spans="1:16" x14ac:dyDescent="0.25">
      <c r="A23" t="str">
        <f>sumatera!B53</f>
        <v>SUMATERA</v>
      </c>
      <c r="B23">
        <f>sumatera!C53</f>
        <v>2020</v>
      </c>
      <c r="C23">
        <f>sumatera!D53</f>
        <v>253.76946421710733</v>
      </c>
      <c r="D23">
        <f>sumatera!E53</f>
        <v>37.828164129437816</v>
      </c>
      <c r="E23">
        <f>sumatera!F53</f>
        <v>38.726922903341936</v>
      </c>
      <c r="F23">
        <f>sumatera!G53</f>
        <v>97.55939496497659</v>
      </c>
      <c r="G23">
        <f>sumatera!H53</f>
        <v>117.1505796923077</v>
      </c>
      <c r="H23">
        <f>sumatera!I53</f>
        <v>35.396179758573687</v>
      </c>
      <c r="I23">
        <f>sumatera!J53</f>
        <v>5.438291985351893</v>
      </c>
      <c r="J23">
        <f>sumatera!K53</f>
        <v>2.9557693573892996</v>
      </c>
      <c r="K23">
        <f>sumatera!L53</f>
        <v>1.0879960154846169</v>
      </c>
      <c r="L23">
        <f>sumatera!M53</f>
        <v>1.0615651450124068</v>
      </c>
      <c r="M23">
        <f>sumatera!N53</f>
        <v>1.9354753538016255E-2</v>
      </c>
      <c r="N23">
        <f>sumatera!O53</f>
        <v>0</v>
      </c>
      <c r="O23">
        <f>sumatera!P53</f>
        <v>0</v>
      </c>
      <c r="P23">
        <f>sumatera!Q53</f>
        <v>590.9936829225212</v>
      </c>
    </row>
    <row r="24" spans="1:16" x14ac:dyDescent="0.25">
      <c r="A24" t="str">
        <f>sumatera!B54</f>
        <v>SUMATERA</v>
      </c>
      <c r="B24">
        <f>sumatera!C54</f>
        <v>2021</v>
      </c>
      <c r="C24">
        <f>sumatera!D54</f>
        <v>261.17158599129056</v>
      </c>
      <c r="D24">
        <f>sumatera!E54</f>
        <v>37.828164129437816</v>
      </c>
      <c r="E24">
        <f>sumatera!F54</f>
        <v>67.313771424544498</v>
      </c>
      <c r="F24">
        <f>sumatera!G54</f>
        <v>97.559394989644929</v>
      </c>
      <c r="G24">
        <f>sumatera!H54</f>
        <v>117.1505796923077</v>
      </c>
      <c r="H24">
        <f>sumatera!I54</f>
        <v>35.396179758573687</v>
      </c>
      <c r="I24">
        <f>sumatera!J54</f>
        <v>5.438291985351893</v>
      </c>
      <c r="J24">
        <f>sumatera!K54</f>
        <v>2.9557693573892996</v>
      </c>
      <c r="K24">
        <f>sumatera!L54</f>
        <v>2.6605064409576111</v>
      </c>
      <c r="L24">
        <f>sumatera!M54</f>
        <v>1.0615651450124068</v>
      </c>
      <c r="M24">
        <f>sumatera!N54</f>
        <v>1.9354753538016255E-2</v>
      </c>
      <c r="N24">
        <f>sumatera!O54</f>
        <v>0</v>
      </c>
      <c r="O24">
        <f>sumatera!P54</f>
        <v>0</v>
      </c>
      <c r="P24">
        <f>sumatera!Q54</f>
        <v>628.55516366804829</v>
      </c>
    </row>
    <row r="25" spans="1:16" x14ac:dyDescent="0.25">
      <c r="A25" t="str">
        <f>sumatera!B55</f>
        <v>SUMATERA</v>
      </c>
      <c r="B25">
        <f>sumatera!C55</f>
        <v>2022</v>
      </c>
      <c r="C25">
        <f>sumatera!D55</f>
        <v>266.75209400494987</v>
      </c>
      <c r="D25">
        <f>sumatera!E55</f>
        <v>37.828164129437816</v>
      </c>
      <c r="E25">
        <f>sumatera!F55</f>
        <v>99.964055576978922</v>
      </c>
      <c r="F25">
        <f>sumatera!G55</f>
        <v>98.859128402810583</v>
      </c>
      <c r="G25">
        <f>sumatera!H55</f>
        <v>117.1505796923077</v>
      </c>
      <c r="H25">
        <f>sumatera!I55</f>
        <v>35.396179758573687</v>
      </c>
      <c r="I25">
        <f>sumatera!J55</f>
        <v>5.438291985351893</v>
      </c>
      <c r="J25">
        <f>sumatera!K55</f>
        <v>2.9557693573892996</v>
      </c>
      <c r="K25">
        <f>sumatera!L55</f>
        <v>2.6605064409576111</v>
      </c>
      <c r="L25">
        <f>sumatera!M55</f>
        <v>1.0615651450124068</v>
      </c>
      <c r="M25">
        <f>sumatera!N55</f>
        <v>1.9354753538016255E-2</v>
      </c>
      <c r="N25">
        <f>sumatera!O55</f>
        <v>0</v>
      </c>
      <c r="O25">
        <f>sumatera!P55</f>
        <v>0</v>
      </c>
      <c r="P25">
        <f>sumatera!Q55</f>
        <v>668.08568924730776</v>
      </c>
    </row>
    <row r="26" spans="1:16" x14ac:dyDescent="0.25">
      <c r="A26" t="str">
        <f>sumatera!B56</f>
        <v>SUMATERA</v>
      </c>
      <c r="B26">
        <f>sumatera!C56</f>
        <v>2023</v>
      </c>
      <c r="C26">
        <f>sumatera!D56</f>
        <v>272.01296331317343</v>
      </c>
      <c r="D26">
        <f>sumatera!E56</f>
        <v>37.828164129437816</v>
      </c>
      <c r="E26">
        <f>sumatera!F56</f>
        <v>137.59466111436535</v>
      </c>
      <c r="F26">
        <f>sumatera!G56</f>
        <v>98.859128402810583</v>
      </c>
      <c r="G26">
        <f>sumatera!H56</f>
        <v>117.1505796923077</v>
      </c>
      <c r="H26">
        <f>sumatera!I56</f>
        <v>35.396179758573687</v>
      </c>
      <c r="I26">
        <f>sumatera!J56</f>
        <v>5.438291985351893</v>
      </c>
      <c r="J26">
        <f>sumatera!K56</f>
        <v>2.9557693573892996</v>
      </c>
      <c r="K26">
        <f>sumatera!L56</f>
        <v>2.9858959108296892</v>
      </c>
      <c r="L26">
        <f>sumatera!M56</f>
        <v>1.0615651450124068</v>
      </c>
      <c r="M26">
        <f>sumatera!N56</f>
        <v>1.9354753538016255E-2</v>
      </c>
      <c r="N26">
        <f>sumatera!O56</f>
        <v>0</v>
      </c>
      <c r="O26">
        <f>sumatera!P56</f>
        <v>0</v>
      </c>
      <c r="P26">
        <f>sumatera!Q56</f>
        <v>711.30255356278974</v>
      </c>
    </row>
    <row r="27" spans="1:16" x14ac:dyDescent="0.25">
      <c r="A27" t="str">
        <f>sumatera!B57</f>
        <v>SUMATERA</v>
      </c>
      <c r="B27">
        <f>sumatera!C57</f>
        <v>2024</v>
      </c>
      <c r="C27">
        <f>sumatera!D57</f>
        <v>281.10300576363653</v>
      </c>
      <c r="D27">
        <f>sumatera!E57</f>
        <v>37.828164129437816</v>
      </c>
      <c r="E27">
        <f>sumatera!F57</f>
        <v>160.46751457147528</v>
      </c>
      <c r="F27">
        <f>sumatera!G57</f>
        <v>108.52162519469753</v>
      </c>
      <c r="G27">
        <f>sumatera!H57</f>
        <v>117.1505796923077</v>
      </c>
      <c r="H27">
        <f>sumatera!I57</f>
        <v>35.396179758573687</v>
      </c>
      <c r="I27">
        <f>sumatera!J57</f>
        <v>5.438291985351893</v>
      </c>
      <c r="J27">
        <f>sumatera!K57</f>
        <v>2.9557693573892996</v>
      </c>
      <c r="K27">
        <f>sumatera!L57</f>
        <v>14.004529070585381</v>
      </c>
      <c r="L27">
        <f>sumatera!M57</f>
        <v>1.0615651450124068</v>
      </c>
      <c r="M27">
        <f>sumatera!N57</f>
        <v>1.9354753538016255E-2</v>
      </c>
      <c r="N27">
        <f>sumatera!O57</f>
        <v>0</v>
      </c>
      <c r="O27">
        <f>sumatera!P57</f>
        <v>0</v>
      </c>
      <c r="P27">
        <f>sumatera!Q57</f>
        <v>763.94657942200547</v>
      </c>
    </row>
    <row r="28" spans="1:16" x14ac:dyDescent="0.25">
      <c r="A28" t="str">
        <f>sumatera!B58</f>
        <v>SUMATERA</v>
      </c>
      <c r="B28">
        <f>sumatera!C58</f>
        <v>2025</v>
      </c>
      <c r="C28">
        <f>sumatera!D58</f>
        <v>287.17555674848899</v>
      </c>
      <c r="D28">
        <f>sumatera!E58</f>
        <v>37.828164129437816</v>
      </c>
      <c r="E28">
        <f>sumatera!F58</f>
        <v>163.99191435087019</v>
      </c>
      <c r="F28">
        <f>sumatera!G58</f>
        <v>140.89288540036375</v>
      </c>
      <c r="G28">
        <f>sumatera!H58</f>
        <v>117.1505796923077</v>
      </c>
      <c r="H28">
        <f>sumatera!I58</f>
        <v>35.396179758573687</v>
      </c>
      <c r="I28">
        <f>sumatera!J58</f>
        <v>5.438291985351893</v>
      </c>
      <c r="J28">
        <f>sumatera!K58</f>
        <v>3.3053898484308704</v>
      </c>
      <c r="K28">
        <f>sumatera!L58</f>
        <v>27.685480996703312</v>
      </c>
      <c r="L28">
        <f>sumatera!M58</f>
        <v>1.0615651450124068</v>
      </c>
      <c r="M28">
        <f>sumatera!N58</f>
        <v>1.9354753538016255E-2</v>
      </c>
      <c r="N28">
        <f>sumatera!O58</f>
        <v>0</v>
      </c>
      <c r="O28">
        <f>sumatera!P58</f>
        <v>0</v>
      </c>
      <c r="P28">
        <f>sumatera!Q58</f>
        <v>819.94536280907857</v>
      </c>
    </row>
    <row r="29" spans="1:16" x14ac:dyDescent="0.25">
      <c r="A29" t="str">
        <f>sumatera!B59</f>
        <v>SUMATERA</v>
      </c>
      <c r="B29">
        <f>sumatera!C59</f>
        <v>2026</v>
      </c>
      <c r="C29">
        <f>sumatera!D59</f>
        <v>322.03319338713442</v>
      </c>
      <c r="D29">
        <f>sumatera!E59</f>
        <v>37.828183871920324</v>
      </c>
      <c r="E29">
        <f>sumatera!F59</f>
        <v>163.99192949947536</v>
      </c>
      <c r="F29">
        <f>sumatera!G59</f>
        <v>140.8929306062459</v>
      </c>
      <c r="G29">
        <f>sumatera!H59</f>
        <v>117.15108293398778</v>
      </c>
      <c r="H29">
        <f>sumatera!I59</f>
        <v>35.396211215149648</v>
      </c>
      <c r="I29">
        <f>sumatera!J59</f>
        <v>26.493507021948208</v>
      </c>
      <c r="J29">
        <f>sumatera!K59</f>
        <v>5.7893542617290183</v>
      </c>
      <c r="K29">
        <f>sumatera!L59</f>
        <v>27.685495340221163</v>
      </c>
      <c r="L29">
        <f>sumatera!M59</f>
        <v>1.0615651450124068</v>
      </c>
      <c r="M29">
        <f>sumatera!N59</f>
        <v>1.9354753538016255E-2</v>
      </c>
      <c r="N29">
        <f>sumatera!O59</f>
        <v>3.2341857542965255E-5</v>
      </c>
      <c r="O29">
        <f>sumatera!P59</f>
        <v>0</v>
      </c>
      <c r="P29">
        <f>sumatera!Q59</f>
        <v>878.34284037821976</v>
      </c>
    </row>
    <row r="30" spans="1:16" x14ac:dyDescent="0.25">
      <c r="A30" t="str">
        <f>sumatera!B60</f>
        <v>SUMATERA</v>
      </c>
      <c r="B30">
        <f>sumatera!C60</f>
        <v>2027</v>
      </c>
      <c r="C30">
        <f>sumatera!D60</f>
        <v>359.22629371157331</v>
      </c>
      <c r="D30">
        <f>sumatera!E60</f>
        <v>37.828183841747105</v>
      </c>
      <c r="E30">
        <f>sumatera!F60</f>
        <v>163.99192949947536</v>
      </c>
      <c r="F30">
        <f>sumatera!G60</f>
        <v>140.89293056713703</v>
      </c>
      <c r="G30">
        <f>sumatera!H60</f>
        <v>117.15108276094406</v>
      </c>
      <c r="H30">
        <f>sumatera!I60</f>
        <v>47.370214812434504</v>
      </c>
      <c r="I30">
        <f>sumatera!J60</f>
        <v>67.912744781301299</v>
      </c>
      <c r="J30">
        <f>sumatera!K60</f>
        <v>13.022874306344773</v>
      </c>
      <c r="K30">
        <f>sumatera!L60</f>
        <v>27.87559411502124</v>
      </c>
      <c r="L30">
        <f>sumatera!M60</f>
        <v>1.0615651450124068</v>
      </c>
      <c r="M30">
        <f>sumatera!N60</f>
        <v>1.9354749938016259E-2</v>
      </c>
      <c r="N30">
        <f>sumatera!O60</f>
        <v>3.2341857542965255E-5</v>
      </c>
      <c r="O30">
        <f>sumatera!P60</f>
        <v>0</v>
      </c>
      <c r="P30">
        <f>sumatera!Q60</f>
        <v>976.35280063278651</v>
      </c>
    </row>
    <row r="31" spans="1:16" x14ac:dyDescent="0.25">
      <c r="A31" t="str">
        <f>sumatera!B61</f>
        <v>SUMATERA</v>
      </c>
      <c r="B31">
        <f>sumatera!C61</f>
        <v>2028</v>
      </c>
      <c r="C31">
        <f>sumatera!D61</f>
        <v>388.05457088924123</v>
      </c>
      <c r="D31">
        <f>sumatera!E61</f>
        <v>37.828183811573886</v>
      </c>
      <c r="E31">
        <f>sumatera!F61</f>
        <v>181.4256837758754</v>
      </c>
      <c r="F31">
        <f>sumatera!G61</f>
        <v>140.89293056713703</v>
      </c>
      <c r="G31">
        <f>sumatera!H61</f>
        <v>117.15108276094406</v>
      </c>
      <c r="H31">
        <f>sumatera!I61</f>
        <v>53.424468351436332</v>
      </c>
      <c r="I31">
        <f>sumatera!J61</f>
        <v>80.692267716374147</v>
      </c>
      <c r="J31">
        <f>sumatera!K61</f>
        <v>14.011138154057656</v>
      </c>
      <c r="K31">
        <f>sumatera!L61</f>
        <v>30.637253454979305</v>
      </c>
      <c r="L31">
        <f>sumatera!M61</f>
        <v>1.0615651450124068</v>
      </c>
      <c r="M31">
        <f>sumatera!N61</f>
        <v>8.4397886904657757E-2</v>
      </c>
      <c r="N31">
        <f>sumatera!O61</f>
        <v>3.2341857542965255E-5</v>
      </c>
      <c r="O31">
        <f>sumatera!P61</f>
        <v>0</v>
      </c>
      <c r="P31">
        <f>sumatera!Q61</f>
        <v>1045.2635748553937</v>
      </c>
    </row>
    <row r="32" spans="1:16" x14ac:dyDescent="0.25">
      <c r="A32" t="str">
        <f>sumatera!B62</f>
        <v>SUMATERA</v>
      </c>
      <c r="B32">
        <f>sumatera!C62</f>
        <v>2029</v>
      </c>
      <c r="C32">
        <f>sumatera!D62</f>
        <v>388.05457088924123</v>
      </c>
      <c r="D32">
        <f>sumatera!E62</f>
        <v>43.105886400753711</v>
      </c>
      <c r="E32">
        <f>sumatera!F62</f>
        <v>184.19133989670837</v>
      </c>
      <c r="F32">
        <f>sumatera!G62</f>
        <v>140.89293056713703</v>
      </c>
      <c r="G32">
        <f>sumatera!H62</f>
        <v>117.15108276094406</v>
      </c>
      <c r="H32">
        <f>sumatera!I62</f>
        <v>53.424468351436332</v>
      </c>
      <c r="I32">
        <f>sumatera!J62</f>
        <v>80.692267716374147</v>
      </c>
      <c r="J32">
        <f>sumatera!K62</f>
        <v>14.011138154057656</v>
      </c>
      <c r="K32">
        <f>sumatera!L62</f>
        <v>30.637253454979305</v>
      </c>
      <c r="L32">
        <f>sumatera!M62</f>
        <v>1.0615651450124068</v>
      </c>
      <c r="M32">
        <f>sumatera!N62</f>
        <v>8.4398046954489075E-2</v>
      </c>
      <c r="N32">
        <f>sumatera!O62</f>
        <v>3.2341857542965255E-5</v>
      </c>
      <c r="O32">
        <f>sumatera!P62</f>
        <v>0</v>
      </c>
      <c r="P32">
        <f>sumatera!Q62</f>
        <v>1053.3069337254562</v>
      </c>
    </row>
    <row r="33" spans="1:16" x14ac:dyDescent="0.25">
      <c r="A33" t="str">
        <f>sumatera!B63</f>
        <v>SUMATERA</v>
      </c>
      <c r="B33">
        <f>sumatera!C63</f>
        <v>2030</v>
      </c>
      <c r="C33">
        <f>sumatera!D63</f>
        <v>414.96745093756539</v>
      </c>
      <c r="D33">
        <f>sumatera!E63</f>
        <v>65.620049205542855</v>
      </c>
      <c r="E33">
        <f>sumatera!F63</f>
        <v>186.99514814986924</v>
      </c>
      <c r="F33">
        <f>sumatera!G63</f>
        <v>140.89298068232583</v>
      </c>
      <c r="G33">
        <f>sumatera!H63</f>
        <v>117.15172545009374</v>
      </c>
      <c r="H33">
        <f>sumatera!I63</f>
        <v>53.424511038390442</v>
      </c>
      <c r="I33">
        <f>sumatera!J63</f>
        <v>80.692357845250697</v>
      </c>
      <c r="J33">
        <f>sumatera!K63</f>
        <v>14.011145116663403</v>
      </c>
      <c r="K33">
        <f>sumatera!L63</f>
        <v>30.713147131439307</v>
      </c>
      <c r="L33">
        <f>sumatera!M63</f>
        <v>1.0615651450124068</v>
      </c>
      <c r="M33">
        <f>sumatera!N63</f>
        <v>8.4435320293009999E-2</v>
      </c>
      <c r="N33">
        <f>sumatera!O63</f>
        <v>6.9488378895310807E-5</v>
      </c>
      <c r="O33">
        <f>sumatera!P63</f>
        <v>0</v>
      </c>
      <c r="P33">
        <f>sumatera!Q63</f>
        <v>1105.6145855108248</v>
      </c>
    </row>
    <row r="34" spans="1:16" x14ac:dyDescent="0.25">
      <c r="A34" t="str">
        <f>sumatera!B64</f>
        <v>SUMATERA</v>
      </c>
      <c r="B34">
        <f>sumatera!C64</f>
        <v>2031</v>
      </c>
      <c r="C34">
        <f>sumatera!D64</f>
        <v>438.47001829060775</v>
      </c>
      <c r="D34">
        <f>sumatera!E64</f>
        <v>95.541982851744464</v>
      </c>
      <c r="E34">
        <f>sumatera!F64</f>
        <v>191.45513865988579</v>
      </c>
      <c r="F34">
        <f>sumatera!G64</f>
        <v>141.36642152925171</v>
      </c>
      <c r="G34">
        <f>sumatera!H64</f>
        <v>192.00347891916599</v>
      </c>
      <c r="H34">
        <f>sumatera!I64</f>
        <v>53.605483789647529</v>
      </c>
      <c r="I34">
        <f>sumatera!J64</f>
        <v>81.074379989535714</v>
      </c>
      <c r="J34">
        <f>sumatera!K64</f>
        <v>35.297043882988667</v>
      </c>
      <c r="K34">
        <f>sumatera!L64</f>
        <v>30.795681288620443</v>
      </c>
      <c r="L34">
        <f>sumatera!M64</f>
        <v>1.2371588513475762</v>
      </c>
      <c r="M34">
        <f>sumatera!N64</f>
        <v>0.10447285807396169</v>
      </c>
      <c r="N34">
        <f>sumatera!O64</f>
        <v>0.24979486963302444</v>
      </c>
      <c r="O34">
        <f>sumatera!P64</f>
        <v>0</v>
      </c>
      <c r="P34">
        <f>sumatera!Q64</f>
        <v>1261.2010557805024</v>
      </c>
    </row>
    <row r="35" spans="1:16" x14ac:dyDescent="0.25">
      <c r="A35" t="str">
        <f>sumatera!B65</f>
        <v>SUMATERA</v>
      </c>
      <c r="B35">
        <f>sumatera!C65</f>
        <v>2032</v>
      </c>
      <c r="C35">
        <f>sumatera!D65</f>
        <v>465.27474556483855</v>
      </c>
      <c r="D35">
        <f>sumatera!E65</f>
        <v>124.50746569623763</v>
      </c>
      <c r="E35">
        <f>sumatera!F65</f>
        <v>194.71216677973004</v>
      </c>
      <c r="F35">
        <f>sumatera!G65</f>
        <v>143.64680225483309</v>
      </c>
      <c r="G35">
        <f>sumatera!H65</f>
        <v>196.91700111243497</v>
      </c>
      <c r="H35">
        <f>sumatera!I65</f>
        <v>53.605660460451304</v>
      </c>
      <c r="I35">
        <f>sumatera!J65</f>
        <v>81.074752961650645</v>
      </c>
      <c r="J35">
        <f>sumatera!K65</f>
        <v>35.29707270397315</v>
      </c>
      <c r="K35">
        <f>sumatera!L65</f>
        <v>30.79576184717402</v>
      </c>
      <c r="L35">
        <f>sumatera!M65</f>
        <v>1.2371588513475762</v>
      </c>
      <c r="M35">
        <f>sumatera!N65</f>
        <v>0.10462717159467788</v>
      </c>
      <c r="N35">
        <f>sumatera!O65</f>
        <v>0.2499470575090722</v>
      </c>
      <c r="O35">
        <f>sumatera!P65</f>
        <v>0</v>
      </c>
      <c r="P35">
        <f>sumatera!Q65</f>
        <v>1327.4231624617746</v>
      </c>
    </row>
    <row r="36" spans="1:16" x14ac:dyDescent="0.25">
      <c r="A36" t="str">
        <f>sumatera!B66</f>
        <v>SUMATERA</v>
      </c>
      <c r="B36">
        <f>sumatera!C66</f>
        <v>2033</v>
      </c>
      <c r="C36">
        <f>sumatera!D66</f>
        <v>493.06539810691191</v>
      </c>
      <c r="D36">
        <f>sumatera!E66</f>
        <v>158.26114104410607</v>
      </c>
      <c r="E36">
        <f>sumatera!F66</f>
        <v>198.76433144372967</v>
      </c>
      <c r="F36">
        <f>sumatera!G66</f>
        <v>144.17973835171068</v>
      </c>
      <c r="G36">
        <f>sumatera!H66</f>
        <v>430.96536350879541</v>
      </c>
      <c r="H36">
        <f>sumatera!I66</f>
        <v>53.976817257725102</v>
      </c>
      <c r="I36">
        <f>sumatera!J66</f>
        <v>81.858232494625867</v>
      </c>
      <c r="J36">
        <f>sumatera!K66</f>
        <v>35.357649109209817</v>
      </c>
      <c r="K36">
        <f>sumatera!L66</f>
        <v>30.965025875640514</v>
      </c>
      <c r="L36">
        <f>sumatera!M66</f>
        <v>1.2371588513475762</v>
      </c>
      <c r="M36">
        <f>sumatera!N66</f>
        <v>0.11243585573911767</v>
      </c>
      <c r="N36">
        <f>sumatera!O66</f>
        <v>0.62520559007277532</v>
      </c>
      <c r="O36">
        <f>sumatera!P66</f>
        <v>0</v>
      </c>
      <c r="P36">
        <f>sumatera!Q66</f>
        <v>1629.3684974896146</v>
      </c>
    </row>
    <row r="37" spans="1:16" x14ac:dyDescent="0.25">
      <c r="A37" t="str">
        <f>sumatera!B67</f>
        <v>SUMATERA</v>
      </c>
      <c r="B37">
        <f>sumatera!C67</f>
        <v>2034</v>
      </c>
      <c r="C37">
        <f>sumatera!D67</f>
        <v>526.92030629029921</v>
      </c>
      <c r="D37">
        <f>sumatera!E67</f>
        <v>185.95772064743812</v>
      </c>
      <c r="E37">
        <f>sumatera!F67</f>
        <v>202.53112965475879</v>
      </c>
      <c r="F37">
        <f>sumatera!G67</f>
        <v>146.66167371944869</v>
      </c>
      <c r="G37">
        <f>sumatera!H67</f>
        <v>430.96540791519959</v>
      </c>
      <c r="H37">
        <f>sumatera!I67</f>
        <v>53.976821248254673</v>
      </c>
      <c r="I37">
        <f>sumatera!J67</f>
        <v>81.858238542252934</v>
      </c>
      <c r="J37">
        <f>sumatera!K67</f>
        <v>35.357650191695633</v>
      </c>
      <c r="K37">
        <f>sumatera!L67</f>
        <v>30.965934702938622</v>
      </c>
      <c r="L37">
        <f>sumatera!M67</f>
        <v>1.2371588513475762</v>
      </c>
      <c r="M37">
        <f>sumatera!N67</f>
        <v>0.11243631732731237</v>
      </c>
      <c r="N37">
        <f>sumatera!O67</f>
        <v>0.62520876023865257</v>
      </c>
      <c r="O37">
        <f>sumatera!P67</f>
        <v>0</v>
      </c>
      <c r="P37">
        <f>sumatera!Q67</f>
        <v>1697.1696868412002</v>
      </c>
    </row>
    <row r="38" spans="1:16" x14ac:dyDescent="0.25">
      <c r="A38" t="str">
        <f>sumatera!B68</f>
        <v>SUMATERA</v>
      </c>
      <c r="B38">
        <f>sumatera!C68</f>
        <v>2035</v>
      </c>
      <c r="C38">
        <f>sumatera!D68</f>
        <v>542.91093177874109</v>
      </c>
      <c r="D38">
        <f>sumatera!E68</f>
        <v>231.30177246217863</v>
      </c>
      <c r="E38">
        <f>sumatera!F68</f>
        <v>226.29268321064063</v>
      </c>
      <c r="F38">
        <f>sumatera!G68</f>
        <v>146.6618369325505</v>
      </c>
      <c r="G38">
        <f>sumatera!H68</f>
        <v>430.96621357218692</v>
      </c>
      <c r="H38">
        <f>sumatera!I68</f>
        <v>53.976874819984666</v>
      </c>
      <c r="I38">
        <f>sumatera!J68</f>
        <v>81.858351663958075</v>
      </c>
      <c r="J38">
        <f>sumatera!K68</f>
        <v>35.357658930923883</v>
      </c>
      <c r="K38">
        <f>sumatera!L68</f>
        <v>31.061235739182585</v>
      </c>
      <c r="L38">
        <f>sumatera!M68</f>
        <v>1.2371588513475762</v>
      </c>
      <c r="M38">
        <f>sumatera!N68</f>
        <v>0.1124831083479262</v>
      </c>
      <c r="N38">
        <f>sumatera!O68</f>
        <v>0.62525490804195427</v>
      </c>
      <c r="O38">
        <f>sumatera!P68</f>
        <v>0</v>
      </c>
      <c r="P38">
        <f>sumatera!Q68</f>
        <v>1782.3624559780847</v>
      </c>
    </row>
    <row r="39" spans="1:16" x14ac:dyDescent="0.25">
      <c r="A39" t="str">
        <f>sumatera!B69</f>
        <v>SUMATERA</v>
      </c>
      <c r="B39">
        <f>sumatera!C69</f>
        <v>2036</v>
      </c>
      <c r="C39">
        <f>sumatera!D69</f>
        <v>589.25085431457524</v>
      </c>
      <c r="D39">
        <f>sumatera!E69</f>
        <v>242.28850061915807</v>
      </c>
      <c r="E39">
        <f>sumatera!F69</f>
        <v>232.05001344365746</v>
      </c>
      <c r="F39">
        <f>sumatera!G69</f>
        <v>146.66183689344163</v>
      </c>
      <c r="G39">
        <f>sumatera!H69</f>
        <v>755.61742315575759</v>
      </c>
      <c r="H39">
        <f>sumatera!I69</f>
        <v>58.177561905291071</v>
      </c>
      <c r="I39">
        <f>sumatera!J69</f>
        <v>90.725648975628303</v>
      </c>
      <c r="J39">
        <f>sumatera!K69</f>
        <v>36.043258883315644</v>
      </c>
      <c r="K39">
        <f>sumatera!L69</f>
        <v>32.976944234569721</v>
      </c>
      <c r="L39">
        <f>sumatera!M69</f>
        <v>5.3129413767741127</v>
      </c>
      <c r="M39">
        <f>sumatera!N69</f>
        <v>0.12896435932604028</v>
      </c>
      <c r="N39">
        <f>sumatera!O69</f>
        <v>6.4218893240168846</v>
      </c>
      <c r="O39">
        <f>sumatera!P69</f>
        <v>0</v>
      </c>
      <c r="P39">
        <f>sumatera!Q69</f>
        <v>2195.6558374855113</v>
      </c>
    </row>
    <row r="40" spans="1:16" x14ac:dyDescent="0.25">
      <c r="A40" t="str">
        <f>sumatera!B70</f>
        <v>SUMATERA</v>
      </c>
      <c r="B40">
        <f>sumatera!C70</f>
        <v>2037</v>
      </c>
      <c r="C40">
        <f>sumatera!D70</f>
        <v>628.72941644239324</v>
      </c>
      <c r="D40">
        <f>sumatera!E70</f>
        <v>282.10523174905575</v>
      </c>
      <c r="E40">
        <f>sumatera!F70</f>
        <v>236.7488080930967</v>
      </c>
      <c r="F40">
        <f>sumatera!G70</f>
        <v>146.66184544885851</v>
      </c>
      <c r="G40">
        <f>sumatera!H70</f>
        <v>755.61755478552277</v>
      </c>
      <c r="H40">
        <f>sumatera!I70</f>
        <v>58.17757065918002</v>
      </c>
      <c r="I40">
        <f>sumatera!J70</f>
        <v>90.725685557500867</v>
      </c>
      <c r="J40">
        <f>sumatera!K70</f>
        <v>36.052548769945602</v>
      </c>
      <c r="K40">
        <f>sumatera!L70</f>
        <v>32.976948224280981</v>
      </c>
      <c r="L40">
        <f>sumatera!M70</f>
        <v>5.3129413767741127</v>
      </c>
      <c r="M40">
        <f>sumatera!N70</f>
        <v>0.12897200016003871</v>
      </c>
      <c r="N40">
        <f>sumatera!O70</f>
        <v>6.4218969075882315</v>
      </c>
      <c r="O40">
        <f>sumatera!P70</f>
        <v>0</v>
      </c>
      <c r="P40">
        <f>sumatera!Q70</f>
        <v>2279.6594200143572</v>
      </c>
    </row>
    <row r="41" spans="1:16" x14ac:dyDescent="0.25">
      <c r="A41" t="str">
        <f>sumatera!B71</f>
        <v>SUMATERA</v>
      </c>
      <c r="B41">
        <f>sumatera!C71</f>
        <v>2038</v>
      </c>
      <c r="C41">
        <f>sumatera!D71</f>
        <v>662.95950542488185</v>
      </c>
      <c r="D41">
        <f>sumatera!E71</f>
        <v>334.01979579180346</v>
      </c>
      <c r="E41">
        <f>sumatera!F71</f>
        <v>244.52036403615017</v>
      </c>
      <c r="F41">
        <f>sumatera!G71</f>
        <v>146.97962396805693</v>
      </c>
      <c r="G41">
        <f>sumatera!H71</f>
        <v>829.08122927959027</v>
      </c>
      <c r="H41">
        <f>sumatera!I71</f>
        <v>58.398879334480057</v>
      </c>
      <c r="I41">
        <f>sumatera!J71</f>
        <v>91.192854268469347</v>
      </c>
      <c r="J41">
        <f>sumatera!K71</f>
        <v>72.687067502268988</v>
      </c>
      <c r="K41">
        <f>sumatera!L71</f>
        <v>33.077875363197101</v>
      </c>
      <c r="L41">
        <f>sumatera!M71</f>
        <v>5.3129413767741127</v>
      </c>
      <c r="M41">
        <f>sumatera!N71</f>
        <v>0.16154614714575224</v>
      </c>
      <c r="N41">
        <f>sumatera!O71</f>
        <v>6.6456512265339907</v>
      </c>
      <c r="O41">
        <f>sumatera!P71</f>
        <v>0</v>
      </c>
      <c r="P41">
        <f>sumatera!Q71</f>
        <v>2485.0373337193528</v>
      </c>
    </row>
    <row r="42" spans="1:16" x14ac:dyDescent="0.25">
      <c r="A42" t="str">
        <f>Jawa!B52</f>
        <v>JAWA</v>
      </c>
      <c r="B42">
        <f>Jawa!C52</f>
        <v>2019</v>
      </c>
      <c r="C42">
        <f>Jawa!D52</f>
        <v>1040.4178597241378</v>
      </c>
      <c r="D42">
        <f>Jawa!E52</f>
        <v>87.403969179474942</v>
      </c>
      <c r="E42">
        <f>Jawa!F52</f>
        <v>168.41991489528266</v>
      </c>
      <c r="F42">
        <f>Jawa!G52</f>
        <v>1.2956764941270904</v>
      </c>
      <c r="G42">
        <f>Jawa!H52</f>
        <v>28.145210466461535</v>
      </c>
      <c r="H42">
        <f>Jawa!I52</f>
        <v>43.727837517473688</v>
      </c>
      <c r="I42">
        <f>Jawa!J52</f>
        <v>0.46213096984615398</v>
      </c>
      <c r="J42">
        <f>Jawa!K52</f>
        <v>6.6225600000000004E-3</v>
      </c>
      <c r="K42">
        <f>Jawa!L52</f>
        <v>0</v>
      </c>
      <c r="L42">
        <f>Jawa!M52</f>
        <v>0.23203609727047148</v>
      </c>
      <c r="M42">
        <f>Jawa!N52</f>
        <v>0</v>
      </c>
      <c r="N42">
        <f>Jawa!O52</f>
        <v>0</v>
      </c>
      <c r="O42">
        <f>Jawa!P52</f>
        <v>0</v>
      </c>
      <c r="P42">
        <f>Jawa!Q52</f>
        <v>1370.1112579040744</v>
      </c>
    </row>
    <row r="43" spans="1:16" x14ac:dyDescent="0.25">
      <c r="A43" t="str">
        <f>Jawa!B53</f>
        <v>JAWA</v>
      </c>
      <c r="B43">
        <f>Jawa!C53</f>
        <v>2020</v>
      </c>
      <c r="C43">
        <f>Jawa!D53</f>
        <v>1110.1857738222716</v>
      </c>
      <c r="D43">
        <f>Jawa!E53</f>
        <v>87.403969179474942</v>
      </c>
      <c r="E43">
        <f>Jawa!F53</f>
        <v>185.59764013479793</v>
      </c>
      <c r="F43">
        <f>Jawa!G53</f>
        <v>1.2956764941270904</v>
      </c>
      <c r="G43">
        <f>Jawa!H53</f>
        <v>28.145210466461535</v>
      </c>
      <c r="H43">
        <f>Jawa!I53</f>
        <v>79.046895161090248</v>
      </c>
      <c r="I43">
        <f>Jawa!J53</f>
        <v>1.2229303723965206</v>
      </c>
      <c r="J43">
        <f>Jawa!K53</f>
        <v>33.989697169355999</v>
      </c>
      <c r="K43">
        <f>Jawa!L53</f>
        <v>0.16685800044540094</v>
      </c>
      <c r="L43">
        <f>Jawa!M53</f>
        <v>0.23203609727047148</v>
      </c>
      <c r="M43">
        <f>Jawa!N53</f>
        <v>6.0265584516019155E-2</v>
      </c>
      <c r="N43">
        <f>Jawa!O53</f>
        <v>0</v>
      </c>
      <c r="O43">
        <f>Jawa!P53</f>
        <v>0</v>
      </c>
      <c r="P43">
        <f>Jawa!Q53</f>
        <v>1527.3469524822081</v>
      </c>
    </row>
    <row r="44" spans="1:16" x14ac:dyDescent="0.25">
      <c r="A44" t="str">
        <f>Jawa!B54</f>
        <v>JAWA</v>
      </c>
      <c r="B44">
        <f>Jawa!C54</f>
        <v>2021</v>
      </c>
      <c r="C44">
        <f>Jawa!D54</f>
        <v>1166.7975599855411</v>
      </c>
      <c r="D44">
        <f>Jawa!E54</f>
        <v>87.403969179474942</v>
      </c>
      <c r="E44">
        <f>Jawa!F54</f>
        <v>232.55856372200699</v>
      </c>
      <c r="F44">
        <f>Jawa!G54</f>
        <v>1.2956764941270904</v>
      </c>
      <c r="G44">
        <f>Jawa!H54</f>
        <v>28.145210466461535</v>
      </c>
      <c r="H44">
        <f>Jawa!I54</f>
        <v>96.706424899281942</v>
      </c>
      <c r="I44">
        <f>Jawa!J54</f>
        <v>39.597606240352114</v>
      </c>
      <c r="J44">
        <f>Jawa!K54</f>
        <v>37.382603163763818</v>
      </c>
      <c r="K44">
        <f>Jawa!L54</f>
        <v>19.719797681137553</v>
      </c>
      <c r="L44">
        <f>Jawa!M54</f>
        <v>0.23203609727047148</v>
      </c>
      <c r="M44">
        <f>Jawa!N54</f>
        <v>8.6145671872338639E-2</v>
      </c>
      <c r="N44">
        <f>Jawa!O54</f>
        <v>0</v>
      </c>
      <c r="O44">
        <f>Jawa!P54</f>
        <v>0</v>
      </c>
      <c r="P44">
        <f>Jawa!Q54</f>
        <v>1709.9255936012901</v>
      </c>
    </row>
    <row r="45" spans="1:16" x14ac:dyDescent="0.25">
      <c r="A45" t="str">
        <f>Jawa!B55</f>
        <v>JAWA</v>
      </c>
      <c r="B45">
        <f>Jawa!C55</f>
        <v>2022</v>
      </c>
      <c r="C45">
        <f>Jawa!D55</f>
        <v>1166.7975599855411</v>
      </c>
      <c r="D45">
        <f>Jawa!E55</f>
        <v>87.403969179474942</v>
      </c>
      <c r="E45">
        <f>Jawa!F55</f>
        <v>333.8213816694111</v>
      </c>
      <c r="F45">
        <f>Jawa!G55</f>
        <v>1.7951697284715222</v>
      </c>
      <c r="G45">
        <f>Jawa!H55</f>
        <v>28.145210710365618</v>
      </c>
      <c r="H45">
        <f>Jawa!I55</f>
        <v>96.706424899281942</v>
      </c>
      <c r="I45">
        <f>Jawa!J55</f>
        <v>39.597606240352114</v>
      </c>
      <c r="J45">
        <f>Jawa!K55</f>
        <v>37.382603163763818</v>
      </c>
      <c r="K45">
        <f>Jawa!L55</f>
        <v>19.719797681137553</v>
      </c>
      <c r="L45">
        <f>Jawa!M55</f>
        <v>0.23203609727047148</v>
      </c>
      <c r="M45">
        <f>Jawa!N55</f>
        <v>8.6145671872295798E-2</v>
      </c>
      <c r="N45">
        <f>Jawa!O55</f>
        <v>0</v>
      </c>
      <c r="O45">
        <f>Jawa!P55</f>
        <v>0</v>
      </c>
      <c r="P45">
        <f>Jawa!Q55</f>
        <v>1811.6879050269426</v>
      </c>
    </row>
    <row r="46" spans="1:16" x14ac:dyDescent="0.25">
      <c r="A46" t="str">
        <f>Jawa!B56</f>
        <v>JAWA</v>
      </c>
      <c r="B46">
        <f>Jawa!C56</f>
        <v>2023</v>
      </c>
      <c r="C46">
        <f>Jawa!D56</f>
        <v>1166.7975599855411</v>
      </c>
      <c r="D46">
        <f>Jawa!E56</f>
        <v>87.403969179474942</v>
      </c>
      <c r="E46">
        <f>Jawa!F56</f>
        <v>405.15713678902455</v>
      </c>
      <c r="F46">
        <f>Jawa!G56</f>
        <v>1.8418571418168124</v>
      </c>
      <c r="G46">
        <f>Jawa!H56</f>
        <v>28.145210710365618</v>
      </c>
      <c r="H46">
        <f>Jawa!I56</f>
        <v>96.706424899281942</v>
      </c>
      <c r="I46">
        <f>Jawa!J56</f>
        <v>39.597606240352114</v>
      </c>
      <c r="J46">
        <f>Jawa!K56</f>
        <v>37.382603163763818</v>
      </c>
      <c r="K46">
        <f>Jawa!L56</f>
        <v>19.719797681137553</v>
      </c>
      <c r="L46">
        <f>Jawa!M56</f>
        <v>0.23203609727047148</v>
      </c>
      <c r="M46">
        <f>Jawa!N56</f>
        <v>8.6145671872295798E-2</v>
      </c>
      <c r="N46">
        <f>Jawa!O56</f>
        <v>0</v>
      </c>
      <c r="O46">
        <f>Jawa!P56</f>
        <v>0</v>
      </c>
      <c r="P46">
        <f>Jawa!Q56</f>
        <v>1883.0703475599014</v>
      </c>
    </row>
    <row r="47" spans="1:16" x14ac:dyDescent="0.25">
      <c r="A47" t="str">
        <f>Jawa!B57</f>
        <v>JAWA</v>
      </c>
      <c r="B47">
        <f>Jawa!C57</f>
        <v>2024</v>
      </c>
      <c r="C47">
        <f>Jawa!D57</f>
        <v>1166.7975599855411</v>
      </c>
      <c r="D47">
        <f>Jawa!E57</f>
        <v>100.7939807204327</v>
      </c>
      <c r="E47">
        <f>Jawa!F57</f>
        <v>477.1251786307966</v>
      </c>
      <c r="F47">
        <f>Jawa!G57</f>
        <v>1.8959672161179393</v>
      </c>
      <c r="G47">
        <f>Jawa!H57</f>
        <v>28.145210710365618</v>
      </c>
      <c r="H47">
        <f>Jawa!I57</f>
        <v>96.706424899281942</v>
      </c>
      <c r="I47">
        <f>Jawa!J57</f>
        <v>39.597606240352114</v>
      </c>
      <c r="J47">
        <f>Jawa!K57</f>
        <v>37.382603163763818</v>
      </c>
      <c r="K47">
        <f>Jawa!L57</f>
        <v>19.719797681137553</v>
      </c>
      <c r="L47">
        <f>Jawa!M57</f>
        <v>0.23203609727047148</v>
      </c>
      <c r="M47">
        <f>Jawa!N57</f>
        <v>8.6145671872295798E-2</v>
      </c>
      <c r="N47">
        <f>Jawa!O57</f>
        <v>0</v>
      </c>
      <c r="O47">
        <f>Jawa!P57</f>
        <v>0</v>
      </c>
      <c r="P47">
        <f>Jawa!Q57</f>
        <v>1968.4825110169324</v>
      </c>
    </row>
    <row r="48" spans="1:16" x14ac:dyDescent="0.25">
      <c r="A48" t="str">
        <f>Jawa!B58</f>
        <v>JAWA</v>
      </c>
      <c r="B48">
        <f>Jawa!C58</f>
        <v>2025</v>
      </c>
      <c r="C48">
        <f>Jawa!D58</f>
        <v>1166.7975599855411</v>
      </c>
      <c r="D48">
        <f>Jawa!E58</f>
        <v>113.52318578686527</v>
      </c>
      <c r="E48">
        <f>Jawa!F58</f>
        <v>501.63127419760087</v>
      </c>
      <c r="F48">
        <f>Jawa!G58</f>
        <v>1.9426974428120658</v>
      </c>
      <c r="G48">
        <f>Jawa!H58</f>
        <v>28.145210710365618</v>
      </c>
      <c r="H48">
        <f>Jawa!I58</f>
        <v>103.80279780896768</v>
      </c>
      <c r="I48">
        <f>Jawa!J58</f>
        <v>39.597606240352114</v>
      </c>
      <c r="J48">
        <f>Jawa!K58</f>
        <v>37.382603163763818</v>
      </c>
      <c r="K48">
        <f>Jawa!L58</f>
        <v>38.552736509148787</v>
      </c>
      <c r="L48">
        <f>Jawa!M58</f>
        <v>0.23203609727047148</v>
      </c>
      <c r="M48">
        <f>Jawa!N58</f>
        <v>8.6145671872295798E-2</v>
      </c>
      <c r="N48">
        <f>Jawa!O58</f>
        <v>0</v>
      </c>
      <c r="O48">
        <f>Jawa!P58</f>
        <v>0</v>
      </c>
      <c r="P48">
        <f>Jawa!Q58</f>
        <v>2031.6938536145603</v>
      </c>
    </row>
    <row r="49" spans="1:16" x14ac:dyDescent="0.25">
      <c r="A49" t="str">
        <f>Jawa!B59</f>
        <v>JAWA</v>
      </c>
      <c r="B49">
        <f>Jawa!C59</f>
        <v>2026</v>
      </c>
      <c r="C49">
        <f>Jawa!D59</f>
        <v>1168.2159682337967</v>
      </c>
      <c r="D49">
        <f>Jawa!E59</f>
        <v>114.12859325249161</v>
      </c>
      <c r="E49">
        <f>Jawa!F59</f>
        <v>501.94023144374086</v>
      </c>
      <c r="F49">
        <f>Jawa!G59</f>
        <v>1.9426974428120658</v>
      </c>
      <c r="G49">
        <f>Jawa!H59</f>
        <v>32.153627257200746</v>
      </c>
      <c r="H49">
        <f>Jawa!I59</f>
        <v>108.02389074942961</v>
      </c>
      <c r="I49">
        <f>Jawa!J59</f>
        <v>44.894812498877599</v>
      </c>
      <c r="J49">
        <f>Jawa!K59</f>
        <v>37.814476500268576</v>
      </c>
      <c r="K49">
        <f>Jawa!L59</f>
        <v>39.753070365934612</v>
      </c>
      <c r="L49">
        <f>Jawa!M59</f>
        <v>2.7950219572098818</v>
      </c>
      <c r="M49">
        <f>Jawa!N59</f>
        <v>8.6145671872295798E-2</v>
      </c>
      <c r="N49">
        <f>Jawa!O59</f>
        <v>0.67875641160333</v>
      </c>
      <c r="O49">
        <f>Jawa!P59</f>
        <v>0</v>
      </c>
      <c r="P49">
        <f>Jawa!Q59</f>
        <v>2052.4272917852377</v>
      </c>
    </row>
    <row r="50" spans="1:16" x14ac:dyDescent="0.25">
      <c r="A50" t="str">
        <f>Jawa!B60</f>
        <v>JAWA</v>
      </c>
      <c r="B50">
        <f>Jawa!C60</f>
        <v>2027</v>
      </c>
      <c r="C50">
        <f>Jawa!D60</f>
        <v>1168.2159682337967</v>
      </c>
      <c r="D50">
        <f>Jawa!E60</f>
        <v>124.36882743657874</v>
      </c>
      <c r="E50">
        <f>Jawa!F60</f>
        <v>606.49556544561494</v>
      </c>
      <c r="F50">
        <f>Jawa!G60</f>
        <v>2.0391371701137029</v>
      </c>
      <c r="G50">
        <f>Jawa!H60</f>
        <v>32.153627257200746</v>
      </c>
      <c r="H50">
        <f>Jawa!I60</f>
        <v>111.19483779911717</v>
      </c>
      <c r="I50">
        <f>Jawa!J60</f>
        <v>44.894812498877599</v>
      </c>
      <c r="J50">
        <f>Jawa!K60</f>
        <v>37.814476500268576</v>
      </c>
      <c r="K50">
        <f>Jawa!L60</f>
        <v>50.983098573357815</v>
      </c>
      <c r="L50">
        <f>Jawa!M60</f>
        <v>2.7950219572098818</v>
      </c>
      <c r="M50">
        <f>Jawa!N60</f>
        <v>8.6145671872295798E-2</v>
      </c>
      <c r="N50">
        <f>Jawa!O60</f>
        <v>0.67875641160333</v>
      </c>
      <c r="O50">
        <f>Jawa!P60</f>
        <v>0</v>
      </c>
      <c r="P50">
        <f>Jawa!Q60</f>
        <v>2181.7202749556113</v>
      </c>
    </row>
    <row r="51" spans="1:16" x14ac:dyDescent="0.25">
      <c r="A51" t="str">
        <f>Jawa!B61</f>
        <v>JAWA</v>
      </c>
      <c r="B51">
        <f>Jawa!C61</f>
        <v>2028</v>
      </c>
      <c r="C51">
        <f>Jawa!D61</f>
        <v>1168.2159682337967</v>
      </c>
      <c r="D51">
        <f>Jawa!E61</f>
        <v>140.84382760100945</v>
      </c>
      <c r="E51">
        <f>Jawa!F61</f>
        <v>664.57007034774608</v>
      </c>
      <c r="F51">
        <f>Jawa!G61</f>
        <v>2.1005741078689706</v>
      </c>
      <c r="G51">
        <f>Jawa!H61</f>
        <v>32.153627257200746</v>
      </c>
      <c r="H51">
        <f>Jawa!I61</f>
        <v>111.19483779911717</v>
      </c>
      <c r="I51">
        <f>Jawa!J61</f>
        <v>44.894812498877599</v>
      </c>
      <c r="J51">
        <f>Jawa!K61</f>
        <v>41.829893163656706</v>
      </c>
      <c r="K51">
        <f>Jawa!L61</f>
        <v>64.192542872040704</v>
      </c>
      <c r="L51">
        <f>Jawa!M61</f>
        <v>2.7950219572098818</v>
      </c>
      <c r="M51">
        <f>Jawa!N61</f>
        <v>8.6145671872295798E-2</v>
      </c>
      <c r="N51">
        <f>Jawa!O61</f>
        <v>0.67875641160333</v>
      </c>
      <c r="O51">
        <f>Jawa!P61</f>
        <v>0</v>
      </c>
      <c r="P51">
        <f>Jawa!Q61</f>
        <v>2273.5560779219995</v>
      </c>
    </row>
    <row r="52" spans="1:16" x14ac:dyDescent="0.25">
      <c r="A52" t="str">
        <f>Jawa!B62</f>
        <v>JAWA</v>
      </c>
      <c r="B52">
        <f>Jawa!C62</f>
        <v>2029</v>
      </c>
      <c r="C52">
        <f>Jawa!D62</f>
        <v>1168.2159682337967</v>
      </c>
      <c r="D52">
        <f>Jawa!E62</f>
        <v>160.16870937620411</v>
      </c>
      <c r="E52">
        <f>Jawa!F62</f>
        <v>720.65732703158767</v>
      </c>
      <c r="F52">
        <f>Jawa!G62</f>
        <v>2.1592503339692448</v>
      </c>
      <c r="G52">
        <f>Jawa!H62</f>
        <v>32.153627257200746</v>
      </c>
      <c r="H52">
        <f>Jawa!I62</f>
        <v>111.19483779911717</v>
      </c>
      <c r="I52">
        <f>Jawa!J62</f>
        <v>44.894812498877599</v>
      </c>
      <c r="J52">
        <f>Jawa!K62</f>
        <v>46.683028709351838</v>
      </c>
      <c r="K52">
        <f>Jawa!L62</f>
        <v>76.999906726075679</v>
      </c>
      <c r="L52">
        <f>Jawa!M62</f>
        <v>2.7950219572098818</v>
      </c>
      <c r="M52">
        <f>Jawa!N62</f>
        <v>8.6145671872295798E-2</v>
      </c>
      <c r="N52">
        <f>Jawa!O62</f>
        <v>0.67875641160333</v>
      </c>
      <c r="O52">
        <f>Jawa!P62</f>
        <v>0</v>
      </c>
      <c r="P52">
        <f>Jawa!Q62</f>
        <v>2366.6873920068656</v>
      </c>
    </row>
    <row r="53" spans="1:16" x14ac:dyDescent="0.25">
      <c r="A53" t="str">
        <f>Jawa!B63</f>
        <v>JAWA</v>
      </c>
      <c r="B53">
        <f>Jawa!C63</f>
        <v>2030</v>
      </c>
      <c r="C53">
        <f>Jawa!D63</f>
        <v>1168.2159682337967</v>
      </c>
      <c r="D53">
        <f>Jawa!E63</f>
        <v>180.574516311765</v>
      </c>
      <c r="E53">
        <f>Jawa!F63</f>
        <v>788.92852833433096</v>
      </c>
      <c r="F53">
        <f>Jawa!G63</f>
        <v>2.2327059277765988</v>
      </c>
      <c r="G53">
        <f>Jawa!H63</f>
        <v>32.153627257200746</v>
      </c>
      <c r="H53">
        <f>Jawa!I63</f>
        <v>111.19483779911717</v>
      </c>
      <c r="I53">
        <f>Jawa!J63</f>
        <v>44.894812498877599</v>
      </c>
      <c r="J53">
        <f>Jawa!K63</f>
        <v>52.398508499863176</v>
      </c>
      <c r="K53">
        <f>Jawa!L63</f>
        <v>91.878100463704598</v>
      </c>
      <c r="L53">
        <f>Jawa!M63</f>
        <v>2.7950219572098818</v>
      </c>
      <c r="M53">
        <f>Jawa!N63</f>
        <v>8.6145671872295798E-2</v>
      </c>
      <c r="N53">
        <f>Jawa!O63</f>
        <v>0.67875641160333</v>
      </c>
      <c r="O53">
        <f>Jawa!P63</f>
        <v>0</v>
      </c>
      <c r="P53">
        <f>Jawa!Q63</f>
        <v>2476.0315293671174</v>
      </c>
    </row>
    <row r="54" spans="1:16" x14ac:dyDescent="0.25">
      <c r="A54" t="str">
        <f>Jawa!B64</f>
        <v>JAWA</v>
      </c>
      <c r="B54">
        <f>Jawa!C64</f>
        <v>2031</v>
      </c>
      <c r="C54">
        <f>Jawa!D64</f>
        <v>1168.2159682337967</v>
      </c>
      <c r="D54">
        <f>Jawa!E64</f>
        <v>202.10239799279853</v>
      </c>
      <c r="E54">
        <f>Jawa!F64</f>
        <v>883.24962480707006</v>
      </c>
      <c r="F54">
        <f>Jawa!G64</f>
        <v>2.3384248180900498</v>
      </c>
      <c r="G54">
        <f>Jawa!H64</f>
        <v>32.153627257200746</v>
      </c>
      <c r="H54">
        <f>Jawa!I64</f>
        <v>111.19483779911717</v>
      </c>
      <c r="I54">
        <f>Jawa!J64</f>
        <v>44.894812498877599</v>
      </c>
      <c r="J54">
        <f>Jawa!K64</f>
        <v>61.995150368280676</v>
      </c>
      <c r="K54">
        <f>Jawa!L64</f>
        <v>108.6339109115579</v>
      </c>
      <c r="L54">
        <f>Jawa!M64</f>
        <v>2.7950219572098818</v>
      </c>
      <c r="M54">
        <f>Jawa!N64</f>
        <v>8.6145671872295798E-2</v>
      </c>
      <c r="N54">
        <f>Jawa!O64</f>
        <v>0.67875641160333</v>
      </c>
      <c r="O54">
        <f>Jawa!P64</f>
        <v>0</v>
      </c>
      <c r="P54">
        <f>Jawa!Q64</f>
        <v>2618.3386787274744</v>
      </c>
    </row>
    <row r="55" spans="1:16" x14ac:dyDescent="0.25">
      <c r="A55" t="str">
        <f>Jawa!B65</f>
        <v>JAWA</v>
      </c>
      <c r="B55">
        <f>Jawa!C65</f>
        <v>2032</v>
      </c>
      <c r="C55">
        <f>Jawa!D65</f>
        <v>1168.2160333813956</v>
      </c>
      <c r="D55">
        <f>Jawa!E65</f>
        <v>224.84407107700775</v>
      </c>
      <c r="E55">
        <f>Jawa!F65</f>
        <v>987.87177352502204</v>
      </c>
      <c r="F55">
        <f>Jawa!G65</f>
        <v>2.45360983880891</v>
      </c>
      <c r="G55">
        <f>Jawa!H65</f>
        <v>32.153627257200746</v>
      </c>
      <c r="H55">
        <f>Jawa!I65</f>
        <v>111.1948476233721</v>
      </c>
      <c r="I55">
        <f>Jawa!J65</f>
        <v>44.894812498877599</v>
      </c>
      <c r="J55">
        <f>Jawa!K65</f>
        <v>72.845551123924409</v>
      </c>
      <c r="K55">
        <f>Jawa!L65</f>
        <v>127.07503871253574</v>
      </c>
      <c r="L55">
        <f>Jawa!M65</f>
        <v>2.7950219572098818</v>
      </c>
      <c r="M55">
        <f>Jawa!N65</f>
        <v>8.6145671872295798E-2</v>
      </c>
      <c r="N55">
        <f>Jawa!O65</f>
        <v>0.67875641160333</v>
      </c>
      <c r="O55">
        <f>Jawa!P65</f>
        <v>0</v>
      </c>
      <c r="P55">
        <f>Jawa!Q65</f>
        <v>2775.1092890788304</v>
      </c>
    </row>
    <row r="56" spans="1:16" x14ac:dyDescent="0.25">
      <c r="A56" t="str">
        <f>Jawa!B66</f>
        <v>JAWA</v>
      </c>
      <c r="B56">
        <f>Jawa!C66</f>
        <v>2033</v>
      </c>
      <c r="C56">
        <f>Jawa!D66</f>
        <v>1168.2160333813956</v>
      </c>
      <c r="D56">
        <f>Jawa!E66</f>
        <v>248.88695285320668</v>
      </c>
      <c r="E56">
        <f>Jawa!F66</f>
        <v>1089.8341874656239</v>
      </c>
      <c r="F56">
        <f>Jawa!G66</f>
        <v>2.5640841443941071</v>
      </c>
      <c r="G56">
        <f>Jawa!H66</f>
        <v>32.153627257200746</v>
      </c>
      <c r="H56">
        <f>Jawa!I66</f>
        <v>111.1948476233721</v>
      </c>
      <c r="I56">
        <f>Jawa!J66</f>
        <v>44.894812498877599</v>
      </c>
      <c r="J56">
        <f>Jawa!K66</f>
        <v>76.891641837783069</v>
      </c>
      <c r="K56">
        <f>Jawa!L66</f>
        <v>152.79309786245719</v>
      </c>
      <c r="L56">
        <f>Jawa!M66</f>
        <v>2.7950219572098818</v>
      </c>
      <c r="M56">
        <f>Jawa!N66</f>
        <v>8.6145671872295798E-2</v>
      </c>
      <c r="N56">
        <f>Jawa!O66</f>
        <v>0.67875641160333</v>
      </c>
      <c r="O56">
        <f>Jawa!P66</f>
        <v>0</v>
      </c>
      <c r="P56">
        <f>Jawa!Q66</f>
        <v>2930.9892089649961</v>
      </c>
    </row>
    <row r="57" spans="1:16" x14ac:dyDescent="0.25">
      <c r="A57" t="str">
        <f>Jawa!B67</f>
        <v>JAWA</v>
      </c>
      <c r="B57">
        <f>Jawa!C67</f>
        <v>2034</v>
      </c>
      <c r="C57">
        <f>Jawa!D67</f>
        <v>1230.5695255814794</v>
      </c>
      <c r="D57">
        <f>Jawa!E67</f>
        <v>274.29090595019835</v>
      </c>
      <c r="E57">
        <f>Jawa!F67</f>
        <v>1158.0907247696189</v>
      </c>
      <c r="F57">
        <f>Jawa!G67</f>
        <v>2.6801814158262238</v>
      </c>
      <c r="G57">
        <f>Jawa!H67</f>
        <v>32.153627257200746</v>
      </c>
      <c r="H57">
        <f>Jawa!I67</f>
        <v>111.1948476233721</v>
      </c>
      <c r="I57">
        <f>Jawa!J67</f>
        <v>44.894812498877599</v>
      </c>
      <c r="J57">
        <f>Jawa!K67</f>
        <v>87.189107586820256</v>
      </c>
      <c r="K57">
        <f>Jawa!L67</f>
        <v>174.82841722675906</v>
      </c>
      <c r="L57">
        <f>Jawa!M67</f>
        <v>2.7950219572098818</v>
      </c>
      <c r="M57">
        <f>Jawa!N67</f>
        <v>8.6145671872295798E-2</v>
      </c>
      <c r="N57">
        <f>Jawa!O67</f>
        <v>0.67875641916110119</v>
      </c>
      <c r="O57">
        <f>Jawa!P67</f>
        <v>0</v>
      </c>
      <c r="P57">
        <f>Jawa!Q67</f>
        <v>3119.452073958395</v>
      </c>
    </row>
    <row r="58" spans="1:16" x14ac:dyDescent="0.25">
      <c r="A58" t="str">
        <f>Jawa!B68</f>
        <v>JAWA</v>
      </c>
      <c r="B58">
        <f>Jawa!C68</f>
        <v>2035</v>
      </c>
      <c r="C58">
        <f>Jawa!D68</f>
        <v>1299.9108145563007</v>
      </c>
      <c r="D58">
        <f>Jawa!E68</f>
        <v>301.14291652312647</v>
      </c>
      <c r="E58">
        <f>Jawa!F68</f>
        <v>1222.7571641461659</v>
      </c>
      <c r="F58">
        <f>Jawa!G68</f>
        <v>2.7944011079652551</v>
      </c>
      <c r="G58">
        <f>Jawa!H68</f>
        <v>32.153627257200746</v>
      </c>
      <c r="H58">
        <f>Jawa!I68</f>
        <v>111.1948476233721</v>
      </c>
      <c r="I58">
        <f>Jawa!J68</f>
        <v>44.894812498877599</v>
      </c>
      <c r="J58">
        <f>Jawa!K68</f>
        <v>98.599154574085659</v>
      </c>
      <c r="K58">
        <f>Jawa!L68</f>
        <v>197.06375887081597</v>
      </c>
      <c r="L58">
        <f>Jawa!M68</f>
        <v>2.7950219572098818</v>
      </c>
      <c r="M58">
        <f>Jawa!N68</f>
        <v>8.6145671872295798E-2</v>
      </c>
      <c r="N58">
        <f>Jawa!O68</f>
        <v>0.67875642613368337</v>
      </c>
      <c r="O58">
        <f>Jawa!P68</f>
        <v>0</v>
      </c>
      <c r="P58">
        <f>Jawa!Q68</f>
        <v>3314.0714212131256</v>
      </c>
    </row>
    <row r="59" spans="1:16" x14ac:dyDescent="0.25">
      <c r="A59" t="str">
        <f>Jawa!B69</f>
        <v>JAWA</v>
      </c>
      <c r="B59">
        <f>Jawa!C69</f>
        <v>2036</v>
      </c>
      <c r="C59">
        <f>Jawa!D69</f>
        <v>1351.5770464419436</v>
      </c>
      <c r="D59">
        <f>Jawa!E69</f>
        <v>329.57299356330145</v>
      </c>
      <c r="E59">
        <f>Jawa!F69</f>
        <v>1268.010671372414</v>
      </c>
      <c r="F59">
        <f>Jawa!G69</f>
        <v>2.8678425830287297</v>
      </c>
      <c r="G59">
        <f>Jawa!H69</f>
        <v>32.153627257200746</v>
      </c>
      <c r="H59">
        <f>Jawa!I69</f>
        <v>111.1948476233721</v>
      </c>
      <c r="I59">
        <f>Jawa!J69</f>
        <v>44.894812498877599</v>
      </c>
      <c r="J59">
        <f>Jawa!K69</f>
        <v>109.74002005992648</v>
      </c>
      <c r="K59">
        <f>Jawa!L69</f>
        <v>214.14996045603468</v>
      </c>
      <c r="L59">
        <f>Jawa!M69</f>
        <v>2.7950219572098818</v>
      </c>
      <c r="M59">
        <f>Jawa!N69</f>
        <v>8.6145671872295798E-2</v>
      </c>
      <c r="N59">
        <f>Jawa!O69</f>
        <v>0.67875642613368337</v>
      </c>
      <c r="O59">
        <f>Jawa!P69</f>
        <v>0</v>
      </c>
      <c r="P59">
        <f>Jawa!Q69</f>
        <v>3467.721745911314</v>
      </c>
    </row>
    <row r="60" spans="1:16" x14ac:dyDescent="0.25">
      <c r="A60" t="str">
        <f>Jawa!B70</f>
        <v>JAWA</v>
      </c>
      <c r="B60">
        <f>Jawa!C70</f>
        <v>2037</v>
      </c>
      <c r="C60">
        <f>Jawa!D70</f>
        <v>1384.6485002315412</v>
      </c>
      <c r="D60">
        <f>Jawa!E70</f>
        <v>359.66952299070499</v>
      </c>
      <c r="E60">
        <f>Jawa!F70</f>
        <v>1292.5422121642039</v>
      </c>
      <c r="F60">
        <f>Jawa!G70</f>
        <v>2.9001190954188805</v>
      </c>
      <c r="G60">
        <f>Jawa!H70</f>
        <v>32.153627257200746</v>
      </c>
      <c r="H60">
        <f>Jawa!I70</f>
        <v>111.1948476233721</v>
      </c>
      <c r="I60">
        <f>Jawa!J70</f>
        <v>44.894812498877599</v>
      </c>
      <c r="J60">
        <f>Jawa!K70</f>
        <v>120.33461776727243</v>
      </c>
      <c r="K60">
        <f>Jawa!L70</f>
        <v>225.66277877986838</v>
      </c>
      <c r="L60">
        <f>Jawa!M70</f>
        <v>2.7950219572098818</v>
      </c>
      <c r="M60">
        <f>Jawa!N70</f>
        <v>8.6145671872295798E-2</v>
      </c>
      <c r="N60">
        <f>Jawa!O70</f>
        <v>0.67875642613368337</v>
      </c>
      <c r="O60">
        <f>Jawa!P70</f>
        <v>0</v>
      </c>
      <c r="P60">
        <f>Jawa!Q70</f>
        <v>3577.5609624636754</v>
      </c>
    </row>
    <row r="61" spans="1:16" x14ac:dyDescent="0.25">
      <c r="A61" t="str">
        <f>Jawa!B71</f>
        <v>JAWA</v>
      </c>
      <c r="B61">
        <f>Jawa!C71</f>
        <v>2038</v>
      </c>
      <c r="C61">
        <f>Jawa!D71</f>
        <v>1452.1510047548034</v>
      </c>
      <c r="D61">
        <f>Jawa!E71</f>
        <v>391.38908311365304</v>
      </c>
      <c r="E61">
        <f>Jawa!F71</f>
        <v>1354.3105283451696</v>
      </c>
      <c r="F61">
        <f>Jawa!G71</f>
        <v>3.002428265521865</v>
      </c>
      <c r="G61">
        <f>Jawa!H71</f>
        <v>32.153627257200746</v>
      </c>
      <c r="H61">
        <f>Jawa!I71</f>
        <v>111.1948476233721</v>
      </c>
      <c r="I61">
        <f>Jawa!J71</f>
        <v>53.320957723090515</v>
      </c>
      <c r="J61">
        <f>Jawa!K71</f>
        <v>135.0664406019992</v>
      </c>
      <c r="K61">
        <f>Jawa!L71</f>
        <v>240.11564187879571</v>
      </c>
      <c r="L61">
        <f>Jawa!M71</f>
        <v>2.7950219586195719</v>
      </c>
      <c r="M61">
        <f>Jawa!N71</f>
        <v>8.6145671872295798E-2</v>
      </c>
      <c r="N61">
        <f>Jawa!O71</f>
        <v>0.67875642613368337</v>
      </c>
      <c r="O61">
        <f>Jawa!P71</f>
        <v>0</v>
      </c>
      <c r="P61">
        <f>Jawa!Q71</f>
        <v>3776.2644836202307</v>
      </c>
    </row>
    <row r="62" spans="1:16" x14ac:dyDescent="0.25">
      <c r="A62" t="str">
        <f>bali_nt!B52</f>
        <v>BALI_NT</v>
      </c>
      <c r="B62">
        <f>bali_nt!C52</f>
        <v>2019</v>
      </c>
      <c r="C62">
        <f>bali_nt!D52</f>
        <v>23.44676117462069</v>
      </c>
      <c r="D62">
        <f>bali_nt!E52</f>
        <v>19.930316066377571</v>
      </c>
      <c r="E62">
        <f>bali_nt!F52</f>
        <v>0</v>
      </c>
      <c r="F62">
        <f>bali_nt!G52</f>
        <v>22.763311301137129</v>
      </c>
      <c r="G62">
        <f>bali_nt!H52</f>
        <v>4.256874830769231</v>
      </c>
      <c r="H62">
        <f>bali_nt!I52</f>
        <v>0.12280501428340081</v>
      </c>
      <c r="I62">
        <f>bali_nt!J52</f>
        <v>0.42617265230769236</v>
      </c>
      <c r="J62">
        <f>bali_nt!K52</f>
        <v>2.73511728E-2</v>
      </c>
      <c r="K62">
        <f>bali_nt!L52</f>
        <v>0</v>
      </c>
      <c r="L62">
        <f>bali_nt!M52</f>
        <v>0</v>
      </c>
      <c r="M62">
        <f>bali_nt!N52</f>
        <v>0</v>
      </c>
      <c r="N62">
        <f>bali_nt!O52</f>
        <v>0</v>
      </c>
      <c r="O62">
        <f>bali_nt!P52</f>
        <v>0</v>
      </c>
      <c r="P62">
        <f>bali_nt!Q52</f>
        <v>70.973592212295713</v>
      </c>
    </row>
    <row r="63" spans="1:16" x14ac:dyDescent="0.25">
      <c r="A63" t="str">
        <f>bali_nt!B53</f>
        <v>BALI_NT</v>
      </c>
      <c r="B63">
        <f>bali_nt!C53</f>
        <v>2020</v>
      </c>
      <c r="C63">
        <f>bali_nt!D53</f>
        <v>23.791767863130534</v>
      </c>
      <c r="D63">
        <f>bali_nt!E53</f>
        <v>19.930316066377571</v>
      </c>
      <c r="E63">
        <f>bali_nt!F53</f>
        <v>0</v>
      </c>
      <c r="F63">
        <f>bali_nt!G53</f>
        <v>22.763311301137129</v>
      </c>
      <c r="G63">
        <f>bali_nt!H53</f>
        <v>4.256874830769231</v>
      </c>
      <c r="H63">
        <f>bali_nt!I53</f>
        <v>0.12280501428340081</v>
      </c>
      <c r="I63">
        <f>bali_nt!J53</f>
        <v>0.42617265230769236</v>
      </c>
      <c r="J63">
        <f>bali_nt!K53</f>
        <v>8.7849097643007329E-2</v>
      </c>
      <c r="K63">
        <f>bali_nt!L53</f>
        <v>0</v>
      </c>
      <c r="L63">
        <f>bali_nt!M53</f>
        <v>1.9651088354141533</v>
      </c>
      <c r="M63">
        <f>bali_nt!N53</f>
        <v>0</v>
      </c>
      <c r="N63">
        <f>bali_nt!O53</f>
        <v>0</v>
      </c>
      <c r="O63">
        <f>bali_nt!P53</f>
        <v>8.789980563355804E-3</v>
      </c>
      <c r="P63">
        <f>bali_nt!Q53</f>
        <v>73.344205661062716</v>
      </c>
    </row>
    <row r="64" spans="1:16" x14ac:dyDescent="0.25">
      <c r="A64" t="str">
        <f>bali_nt!B54</f>
        <v>BALI_NT</v>
      </c>
      <c r="B64">
        <f>bali_nt!C54</f>
        <v>2021</v>
      </c>
      <c r="C64">
        <f>bali_nt!D54</f>
        <v>27.514833086605389</v>
      </c>
      <c r="D64">
        <f>bali_nt!E54</f>
        <v>19.930316066377571</v>
      </c>
      <c r="E64">
        <f>bali_nt!F54</f>
        <v>0</v>
      </c>
      <c r="F64">
        <f>bali_nt!G54</f>
        <v>22.763311301137129</v>
      </c>
      <c r="G64">
        <f>bali_nt!H54</f>
        <v>28.710629084834384</v>
      </c>
      <c r="H64">
        <f>bali_nt!I54</f>
        <v>0.12280501428340081</v>
      </c>
      <c r="I64">
        <f>bali_nt!J54</f>
        <v>0.42617265230769236</v>
      </c>
      <c r="J64">
        <f>bali_nt!K54</f>
        <v>0.27849980018835935</v>
      </c>
      <c r="K64">
        <f>bali_nt!L54</f>
        <v>0</v>
      </c>
      <c r="L64">
        <f>bali_nt!M54</f>
        <v>1.9651088064096405</v>
      </c>
      <c r="M64">
        <f>bali_nt!N54</f>
        <v>-3.5999999998653341E-9</v>
      </c>
      <c r="N64">
        <f>bali_nt!O54</f>
        <v>0</v>
      </c>
      <c r="O64">
        <f>bali_nt!P54</f>
        <v>1.0354177969624453E-2</v>
      </c>
      <c r="P64">
        <f>bali_nt!Q54</f>
        <v>101.71167580854357</v>
      </c>
    </row>
    <row r="65" spans="1:16" x14ac:dyDescent="0.25">
      <c r="A65" t="str">
        <f>bali_nt!B55</f>
        <v>BALI_NT</v>
      </c>
      <c r="B65">
        <f>bali_nt!C55</f>
        <v>2022</v>
      </c>
      <c r="C65">
        <f>bali_nt!D55</f>
        <v>30.048440228272678</v>
      </c>
      <c r="D65">
        <f>bali_nt!E55</f>
        <v>19.930316066377571</v>
      </c>
      <c r="E65">
        <f>bali_nt!F55</f>
        <v>2.3115780536622292</v>
      </c>
      <c r="F65">
        <f>bali_nt!G55</f>
        <v>22.763311262028264</v>
      </c>
      <c r="G65">
        <f>bali_nt!H55</f>
        <v>28.710629084834384</v>
      </c>
      <c r="H65">
        <f>bali_nt!I55</f>
        <v>1.3796810324642044</v>
      </c>
      <c r="I65">
        <f>bali_nt!J55</f>
        <v>0.42617265230769236</v>
      </c>
      <c r="J65">
        <f>bali_nt!K55</f>
        <v>0.36409291942189437</v>
      </c>
      <c r="K65">
        <f>bali_nt!L55</f>
        <v>0</v>
      </c>
      <c r="L65">
        <f>bali_nt!M55</f>
        <v>1.9651087774051288</v>
      </c>
      <c r="M65">
        <f>bali_nt!N55</f>
        <v>1.2696416234417321E-16</v>
      </c>
      <c r="N65">
        <f>bali_nt!O55</f>
        <v>0</v>
      </c>
      <c r="O65">
        <f>bali_nt!P55</f>
        <v>1.1485078513364859E-2</v>
      </c>
      <c r="P65">
        <f>bali_nt!Q55</f>
        <v>107.89933007677406</v>
      </c>
    </row>
    <row r="66" spans="1:16" x14ac:dyDescent="0.25">
      <c r="A66" t="str">
        <f>bali_nt!B56</f>
        <v>BALI_NT</v>
      </c>
      <c r="B66">
        <f>bali_nt!C56</f>
        <v>2023</v>
      </c>
      <c r="C66">
        <f>bali_nt!D56</f>
        <v>30.118113974395186</v>
      </c>
      <c r="D66">
        <f>bali_nt!E56</f>
        <v>19.969776431299799</v>
      </c>
      <c r="E66">
        <f>bali_nt!F56</f>
        <v>2.3379327015538567</v>
      </c>
      <c r="F66">
        <f>bali_nt!G56</f>
        <v>22.814464597360192</v>
      </c>
      <c r="G66">
        <f>bali_nt!H56</f>
        <v>28.97770817383492</v>
      </c>
      <c r="H66">
        <f>bali_nt!I56</f>
        <v>1.4016837860493607</v>
      </c>
      <c r="I66">
        <f>bali_nt!J56</f>
        <v>0.42618686128254862</v>
      </c>
      <c r="J66">
        <f>bali_nt!K56</f>
        <v>0.49776618684695834</v>
      </c>
      <c r="K66">
        <f>bali_nt!L56</f>
        <v>5.7614455932118636E-7</v>
      </c>
      <c r="L66">
        <f>bali_nt!M56</f>
        <v>2.0098641844366649</v>
      </c>
      <c r="M66">
        <f>bali_nt!N56</f>
        <v>5.7690397581471065E-7</v>
      </c>
      <c r="N66">
        <f>bali_nt!O56</f>
        <v>0</v>
      </c>
      <c r="O66">
        <f>bali_nt!P56</f>
        <v>1.1605833903140355E-2</v>
      </c>
      <c r="P66">
        <f>bali_nt!Q56</f>
        <v>108.55349805010802</v>
      </c>
    </row>
    <row r="67" spans="1:16" x14ac:dyDescent="0.25">
      <c r="A67" t="str">
        <f>bali_nt!B57</f>
        <v>BALI_NT</v>
      </c>
      <c r="B67">
        <f>bali_nt!C57</f>
        <v>2024</v>
      </c>
      <c r="C67">
        <f>bali_nt!D57</f>
        <v>30.118113974395186</v>
      </c>
      <c r="D67">
        <f>bali_nt!E57</f>
        <v>19.969776431299799</v>
      </c>
      <c r="E67">
        <f>bali_nt!F57</f>
        <v>2.3379327015538567</v>
      </c>
      <c r="F67">
        <f>bali_nt!G57</f>
        <v>22.814464597360192</v>
      </c>
      <c r="G67">
        <f>bali_nt!H57</f>
        <v>28.97770817383492</v>
      </c>
      <c r="H67">
        <f>bali_nt!I57</f>
        <v>1.4016837692267561</v>
      </c>
      <c r="I67">
        <f>bali_nt!J57</f>
        <v>0.42618686128254862</v>
      </c>
      <c r="J67">
        <f>bali_nt!K57</f>
        <v>0.49776618684695834</v>
      </c>
      <c r="K67">
        <f>bali_nt!L57</f>
        <v>5.7614455932118636E-7</v>
      </c>
      <c r="L67">
        <f>bali_nt!M57</f>
        <v>4.6226479534091638</v>
      </c>
      <c r="M67">
        <f>bali_nt!N57</f>
        <v>5.7690397581471065E-7</v>
      </c>
      <c r="N67">
        <f>bali_nt!O57</f>
        <v>0</v>
      </c>
      <c r="O67">
        <f>bali_nt!P57</f>
        <v>1.1854948106832342E-2</v>
      </c>
      <c r="P67">
        <f>bali_nt!Q57</f>
        <v>111.16628180225791</v>
      </c>
    </row>
    <row r="68" spans="1:16" x14ac:dyDescent="0.25">
      <c r="A68" t="str">
        <f>bali_nt!B58</f>
        <v>BALI_NT</v>
      </c>
      <c r="B68">
        <f>bali_nt!C58</f>
        <v>2025</v>
      </c>
      <c r="C68">
        <f>bali_nt!D58</f>
        <v>30.173896551724138</v>
      </c>
      <c r="D68">
        <f>bali_nt!E58</f>
        <v>19.969776431299799</v>
      </c>
      <c r="E68">
        <f>bali_nt!F58</f>
        <v>2.4572955534338434</v>
      </c>
      <c r="F68">
        <f>bali_nt!G58</f>
        <v>22.814464597360192</v>
      </c>
      <c r="G68">
        <f>bali_nt!H58</f>
        <v>28.97770817383492</v>
      </c>
      <c r="H68">
        <f>bali_nt!I58</f>
        <v>1.4016837692267561</v>
      </c>
      <c r="I68">
        <f>bali_nt!J58</f>
        <v>0.42618686128254862</v>
      </c>
      <c r="J68">
        <f>bali_nt!K58</f>
        <v>0.52989277991853856</v>
      </c>
      <c r="K68">
        <f>bali_nt!L58</f>
        <v>5.7614455932118636E-7</v>
      </c>
      <c r="L68">
        <f>bali_nt!M58</f>
        <v>6.6403118677034572</v>
      </c>
      <c r="M68">
        <f>bali_nt!N58</f>
        <v>5.7690397581471065E-7</v>
      </c>
      <c r="N68">
        <f>bali_nt!O58</f>
        <v>0</v>
      </c>
      <c r="O68">
        <f>bali_nt!P58</f>
        <v>1.209324759153748E-2</v>
      </c>
      <c r="P68">
        <f>bali_nt!Q58</f>
        <v>113.39121773883271</v>
      </c>
    </row>
    <row r="69" spans="1:16" x14ac:dyDescent="0.25">
      <c r="A69" t="str">
        <f>bali_nt!B59</f>
        <v>BALI_NT</v>
      </c>
      <c r="B69">
        <f>bali_nt!C59</f>
        <v>2026</v>
      </c>
      <c r="C69">
        <f>bali_nt!D59</f>
        <v>30.272381377254764</v>
      </c>
      <c r="D69">
        <f>bali_nt!E59</f>
        <v>19.969776431299799</v>
      </c>
      <c r="E69">
        <f>bali_nt!F59</f>
        <v>2.4572955363545002</v>
      </c>
      <c r="F69">
        <f>bali_nt!G59</f>
        <v>22.814464597360192</v>
      </c>
      <c r="G69">
        <f>bali_nt!H59</f>
        <v>28.977708000791225</v>
      </c>
      <c r="H69">
        <f>bali_nt!I59</f>
        <v>1.4016837692267561</v>
      </c>
      <c r="I69">
        <f>bali_nt!J59</f>
        <v>0.42618686128254862</v>
      </c>
      <c r="J69">
        <f>bali_nt!K59</f>
        <v>0.580263279741289</v>
      </c>
      <c r="K69">
        <f>bali_nt!L59</f>
        <v>5.7616920269153619E-7</v>
      </c>
      <c r="L69">
        <f>bali_nt!M59</f>
        <v>7.609178740134257</v>
      </c>
      <c r="M69">
        <f>bali_nt!N59</f>
        <v>5.7692769407244209E-7</v>
      </c>
      <c r="N69">
        <f>bali_nt!O59</f>
        <v>0</v>
      </c>
      <c r="O69">
        <f>bali_nt!P59</f>
        <v>1.2225365722858395E-2</v>
      </c>
      <c r="P69">
        <f>bali_nt!Q59</f>
        <v>114.50893974654221</v>
      </c>
    </row>
    <row r="70" spans="1:16" x14ac:dyDescent="0.25">
      <c r="A70" t="str">
        <f>bali_nt!B60</f>
        <v>BALI_NT</v>
      </c>
      <c r="B70">
        <f>bali_nt!C60</f>
        <v>2027</v>
      </c>
      <c r="C70">
        <f>bali_nt!D60</f>
        <v>30.562510344827583</v>
      </c>
      <c r="D70">
        <f>bali_nt!E60</f>
        <v>19.969776431299799</v>
      </c>
      <c r="E70">
        <f>bali_nt!F60</f>
        <v>2.4572955363545002</v>
      </c>
      <c r="F70">
        <f>bali_nt!G60</f>
        <v>22.814464597360192</v>
      </c>
      <c r="G70">
        <f>bali_nt!H60</f>
        <v>28.977708000791225</v>
      </c>
      <c r="H70">
        <f>bali_nt!I60</f>
        <v>1.4016837692267561</v>
      </c>
      <c r="I70">
        <f>bali_nt!J60</f>
        <v>0.42618686128254862</v>
      </c>
      <c r="J70">
        <f>bali_nt!K60</f>
        <v>0.64731967519248867</v>
      </c>
      <c r="K70">
        <f>bali_nt!L60</f>
        <v>5.7633222769948214E-7</v>
      </c>
      <c r="L70">
        <f>bali_nt!M60</f>
        <v>9.1096961828052088</v>
      </c>
      <c r="M70">
        <f>bali_nt!N60</f>
        <v>5.7708465128958147E-7</v>
      </c>
      <c r="N70">
        <f>bali_nt!O60</f>
        <v>0</v>
      </c>
      <c r="O70">
        <f>bali_nt!P60</f>
        <v>1.2440250150548279E-2</v>
      </c>
      <c r="P70">
        <f>bali_nt!Q60</f>
        <v>116.36664255255717</v>
      </c>
    </row>
    <row r="71" spans="1:16" x14ac:dyDescent="0.25">
      <c r="A71" t="str">
        <f>bali_nt!B61</f>
        <v>BALI_NT</v>
      </c>
      <c r="B71">
        <f>bali_nt!C61</f>
        <v>2028</v>
      </c>
      <c r="C71">
        <f>bali_nt!D61</f>
        <v>31.212763468445274</v>
      </c>
      <c r="D71">
        <f>bali_nt!E61</f>
        <v>19.96977640112658</v>
      </c>
      <c r="E71">
        <f>bali_nt!F61</f>
        <v>3.8979409651261796</v>
      </c>
      <c r="F71">
        <f>bali_nt!G61</f>
        <v>22.814464597360192</v>
      </c>
      <c r="G71">
        <f>bali_nt!H61</f>
        <v>28.977708000791225</v>
      </c>
      <c r="H71">
        <f>bali_nt!I61</f>
        <v>1.4016837692267561</v>
      </c>
      <c r="I71">
        <f>bali_nt!J61</f>
        <v>0.42618686128254862</v>
      </c>
      <c r="J71">
        <f>bali_nt!K61</f>
        <v>0.682311999365114</v>
      </c>
      <c r="K71">
        <f>bali_nt!L61</f>
        <v>5.7675775670454178E-7</v>
      </c>
      <c r="L71">
        <f>bali_nt!M61</f>
        <v>9.1096961828052088</v>
      </c>
      <c r="M71">
        <f>bali_nt!N61</f>
        <v>5.774941738748797E-7</v>
      </c>
      <c r="N71">
        <f>bali_nt!O61</f>
        <v>0</v>
      </c>
      <c r="O71">
        <f>bali_nt!P61</f>
        <v>1.2795521570941852E-2</v>
      </c>
      <c r="P71">
        <f>bali_nt!Q61</f>
        <v>118.492533399781</v>
      </c>
    </row>
    <row r="72" spans="1:16" x14ac:dyDescent="0.25">
      <c r="A72" t="str">
        <f>bali_nt!B62</f>
        <v>BALI_NT</v>
      </c>
      <c r="B72">
        <f>bali_nt!C62</f>
        <v>2029</v>
      </c>
      <c r="C72">
        <f>bali_nt!D62</f>
        <v>31.95194896551725</v>
      </c>
      <c r="D72">
        <f>bali_nt!E62</f>
        <v>19.969776370953362</v>
      </c>
      <c r="E72">
        <f>bali_nt!F62</f>
        <v>3.8979409651261796</v>
      </c>
      <c r="F72">
        <f>bali_nt!G62</f>
        <v>22.814464597360192</v>
      </c>
      <c r="G72">
        <f>bali_nt!H62</f>
        <v>28.977708000791225</v>
      </c>
      <c r="H72">
        <f>bali_nt!I62</f>
        <v>1.4016837692267561</v>
      </c>
      <c r="I72">
        <f>bali_nt!J62</f>
        <v>0.42618686128254862</v>
      </c>
      <c r="J72">
        <f>bali_nt!K62</f>
        <v>0.79320038875986087</v>
      </c>
      <c r="K72">
        <f>bali_nt!L62</f>
        <v>5.772868999148395E-7</v>
      </c>
      <c r="L72">
        <f>bali_nt!M62</f>
        <v>11.894512976244137</v>
      </c>
      <c r="M72">
        <f>bali_nt!N62</f>
        <v>5.7800329282254183E-7</v>
      </c>
      <c r="N72">
        <f>bali_nt!O62</f>
        <v>0</v>
      </c>
      <c r="O72">
        <f>bali_nt!P62</f>
        <v>1.3210651775155588E-2</v>
      </c>
      <c r="P72">
        <f>bali_nt!Q62</f>
        <v>122.1274240505517</v>
      </c>
    </row>
    <row r="73" spans="1:16" x14ac:dyDescent="0.25">
      <c r="A73" t="str">
        <f>bali_nt!B63</f>
        <v>BALI_NT</v>
      </c>
      <c r="B73">
        <f>bali_nt!C63</f>
        <v>2030</v>
      </c>
      <c r="C73">
        <f>bali_nt!D63</f>
        <v>35.155038658060597</v>
      </c>
      <c r="D73">
        <f>bali_nt!E63</f>
        <v>19.969776340780143</v>
      </c>
      <c r="E73">
        <f>bali_nt!F63</f>
        <v>7.0835028116392404</v>
      </c>
      <c r="F73">
        <f>bali_nt!G63</f>
        <v>22.814464597360192</v>
      </c>
      <c r="G73">
        <f>bali_nt!H63</f>
        <v>28.977708000791225</v>
      </c>
      <c r="H73">
        <f>bali_nt!I63</f>
        <v>2.7752202094623812</v>
      </c>
      <c r="I73">
        <f>bali_nt!J63</f>
        <v>0.42618686128254862</v>
      </c>
      <c r="J73">
        <f>bali_nt!K63</f>
        <v>0.95415323379588624</v>
      </c>
      <c r="K73">
        <f>bali_nt!L63</f>
        <v>5.772868999148395E-7</v>
      </c>
      <c r="L73">
        <f>bali_nt!M63</f>
        <v>11.894512976244137</v>
      </c>
      <c r="M73">
        <f>bali_nt!N63</f>
        <v>5.7800329282254183E-7</v>
      </c>
      <c r="N73">
        <f>bali_nt!O63</f>
        <v>0</v>
      </c>
      <c r="O73">
        <f>bali_nt!P63</f>
        <v>1.4653994804939334E-2</v>
      </c>
      <c r="P73">
        <f>bali_nt!Q63</f>
        <v>130.05056484470654</v>
      </c>
    </row>
    <row r="74" spans="1:16" x14ac:dyDescent="0.25">
      <c r="A74" t="str">
        <f>bali_nt!B64</f>
        <v>BALI_NT</v>
      </c>
      <c r="B74">
        <f>bali_nt!C64</f>
        <v>2031</v>
      </c>
      <c r="C74">
        <f>bali_nt!D64</f>
        <v>38.899544149994</v>
      </c>
      <c r="D74">
        <f>bali_nt!E64</f>
        <v>19.969776310606925</v>
      </c>
      <c r="E74">
        <f>bali_nt!F64</f>
        <v>9.9577087395000952</v>
      </c>
      <c r="F74">
        <f>bali_nt!G64</f>
        <v>22.814464558251334</v>
      </c>
      <c r="G74">
        <f>bali_nt!H64</f>
        <v>28.97770782774753</v>
      </c>
      <c r="H74">
        <f>bali_nt!I64</f>
        <v>4.8668414963625573</v>
      </c>
      <c r="I74">
        <f>bali_nt!J64</f>
        <v>0.42618686128254862</v>
      </c>
      <c r="J74">
        <f>bali_nt!K64</f>
        <v>1.1954724354833959</v>
      </c>
      <c r="K74">
        <f>bali_nt!L64</f>
        <v>5.772868999148395E-7</v>
      </c>
      <c r="L74">
        <f>bali_nt!M64</f>
        <v>11.894512976244137</v>
      </c>
      <c r="M74">
        <f>bali_nt!N64</f>
        <v>5.7800329282254183E-7</v>
      </c>
      <c r="N74">
        <f>bali_nt!O64</f>
        <v>0</v>
      </c>
      <c r="O74">
        <f>bali_nt!P64</f>
        <v>1.6360399436911612E-2</v>
      </c>
      <c r="P74">
        <f>bali_nt!Q64</f>
        <v>139.00221651076271</v>
      </c>
    </row>
    <row r="75" spans="1:16" x14ac:dyDescent="0.25">
      <c r="A75" t="str">
        <f>bali_nt!B65</f>
        <v>BALI_NT</v>
      </c>
      <c r="B75">
        <f>bali_nt!C65</f>
        <v>2032</v>
      </c>
      <c r="C75">
        <f>bali_nt!D65</f>
        <v>40.652335850752678</v>
      </c>
      <c r="D75">
        <f>bali_nt!E65</f>
        <v>25.420898920754109</v>
      </c>
      <c r="E75">
        <f>bali_nt!F65</f>
        <v>9.9577087395000952</v>
      </c>
      <c r="F75">
        <f>bali_nt!G65</f>
        <v>22.814464519142483</v>
      </c>
      <c r="G75">
        <f>bali_nt!H65</f>
        <v>28.97770782774753</v>
      </c>
      <c r="H75">
        <f>bali_nt!I65</f>
        <v>4.8668414963625573</v>
      </c>
      <c r="I75">
        <f>bali_nt!J65</f>
        <v>0.42618686128254862</v>
      </c>
      <c r="J75">
        <f>bali_nt!K65</f>
        <v>1.2655531651402645</v>
      </c>
      <c r="K75">
        <f>bali_nt!L65</f>
        <v>5.772868999148395E-7</v>
      </c>
      <c r="L75">
        <f>bali_nt!M65</f>
        <v>12.032898762940208</v>
      </c>
      <c r="M75">
        <f>bali_nt!N65</f>
        <v>5.7800329282254183E-7</v>
      </c>
      <c r="N75">
        <f>bali_nt!O65</f>
        <v>0</v>
      </c>
      <c r="O75">
        <f>bali_nt!P65</f>
        <v>1.7219014497979485E-2</v>
      </c>
      <c r="P75">
        <f>bali_nt!Q65</f>
        <v>146.4145972989127</v>
      </c>
    </row>
    <row r="76" spans="1:16" x14ac:dyDescent="0.25">
      <c r="A76" t="str">
        <f>bali_nt!B66</f>
        <v>BALI_NT</v>
      </c>
      <c r="B76">
        <f>bali_nt!C66</f>
        <v>2033</v>
      </c>
      <c r="C76">
        <f>bali_nt!D66</f>
        <v>41.153362768053171</v>
      </c>
      <c r="D76">
        <f>bali_nt!E66</f>
        <v>26.616109482656714</v>
      </c>
      <c r="E76">
        <f>bali_nt!F66</f>
        <v>9.9577087395000952</v>
      </c>
      <c r="F76">
        <f>bali_nt!G66</f>
        <v>22.814464519142483</v>
      </c>
      <c r="G76">
        <f>bali_nt!H66</f>
        <v>28.97770782774753</v>
      </c>
      <c r="H76">
        <f>bali_nt!I66</f>
        <v>4.8668414963625573</v>
      </c>
      <c r="I76">
        <f>bali_nt!J66</f>
        <v>0.42618686128254862</v>
      </c>
      <c r="J76">
        <f>bali_nt!K66</f>
        <v>1.3718580391517456</v>
      </c>
      <c r="K76">
        <f>bali_nt!L66</f>
        <v>5.772868999148395E-7</v>
      </c>
      <c r="L76">
        <f>bali_nt!M66</f>
        <v>13.13894057653264</v>
      </c>
      <c r="M76">
        <f>bali_nt!N66</f>
        <v>5.7800329282254183E-7</v>
      </c>
      <c r="N76">
        <f>bali_nt!O66</f>
        <v>0</v>
      </c>
      <c r="O76">
        <f>bali_nt!P66</f>
        <v>1.7574320899439878E-2</v>
      </c>
      <c r="P76">
        <f>bali_nt!Q66</f>
        <v>149.32318146571967</v>
      </c>
    </row>
    <row r="77" spans="1:16" x14ac:dyDescent="0.25">
      <c r="A77" t="str">
        <f>bali_nt!B67</f>
        <v>BALI_NT</v>
      </c>
      <c r="B77">
        <f>bali_nt!C67</f>
        <v>2034</v>
      </c>
      <c r="C77">
        <f>bali_nt!D67</f>
        <v>43.076861366322092</v>
      </c>
      <c r="D77">
        <f>bali_nt!E67</f>
        <v>27.374859570956051</v>
      </c>
      <c r="E77">
        <f>bali_nt!F67</f>
        <v>11.767519295442023</v>
      </c>
      <c r="F77">
        <f>bali_nt!G67</f>
        <v>22.814464480033617</v>
      </c>
      <c r="G77">
        <f>bali_nt!H67</f>
        <v>28.977707654703838</v>
      </c>
      <c r="H77">
        <f>bali_nt!I67</f>
        <v>4.8668414795399544</v>
      </c>
      <c r="I77">
        <f>bali_nt!J67</f>
        <v>0.42618686128254862</v>
      </c>
      <c r="J77">
        <f>bali_nt!K67</f>
        <v>1.5374813265869198</v>
      </c>
      <c r="K77">
        <f>bali_nt!L67</f>
        <v>5.772868999148395E-7</v>
      </c>
      <c r="L77">
        <f>bali_nt!M67</f>
        <v>15.716618842541695</v>
      </c>
      <c r="M77">
        <f>bali_nt!N67</f>
        <v>5.7833814803170554E-7</v>
      </c>
      <c r="N77">
        <f>bali_nt!O67</f>
        <v>0</v>
      </c>
      <c r="O77">
        <f>bali_nt!P67</f>
        <v>1.8548937166747798E-2</v>
      </c>
      <c r="P77">
        <f>bali_nt!Q67</f>
        <v>156.5585420330338</v>
      </c>
    </row>
    <row r="78" spans="1:16" x14ac:dyDescent="0.25">
      <c r="A78" t="str">
        <f>bali_nt!B68</f>
        <v>BALI_NT</v>
      </c>
      <c r="B78">
        <f>bali_nt!C68</f>
        <v>2035</v>
      </c>
      <c r="C78">
        <f>bali_nt!D68</f>
        <v>43.553420673244837</v>
      </c>
      <c r="D78">
        <f>bali_nt!E68</f>
        <v>28.563020316778406</v>
      </c>
      <c r="E78">
        <f>bali_nt!F68</f>
        <v>11.767519295442023</v>
      </c>
      <c r="F78">
        <f>bali_nt!G68</f>
        <v>22.814464480033617</v>
      </c>
      <c r="G78">
        <f>bali_nt!H68</f>
        <v>28.977707481660147</v>
      </c>
      <c r="H78">
        <f>bali_nt!I68</f>
        <v>4.866841462717348</v>
      </c>
      <c r="I78">
        <f>bali_nt!J68</f>
        <v>0.42618686128254862</v>
      </c>
      <c r="J78">
        <f>bali_nt!K68</f>
        <v>1.6641981337972112</v>
      </c>
      <c r="K78">
        <f>bali_nt!L68</f>
        <v>5.772868999148395E-7</v>
      </c>
      <c r="L78">
        <f>bali_nt!M68</f>
        <v>16.830284381151792</v>
      </c>
      <c r="M78">
        <f>bali_nt!N68</f>
        <v>5.7833814803170554E-7</v>
      </c>
      <c r="N78">
        <f>bali_nt!O68</f>
        <v>0</v>
      </c>
      <c r="O78">
        <f>bali_nt!P68</f>
        <v>1.8912646028991613E-2</v>
      </c>
      <c r="P78">
        <f>bali_nt!Q68</f>
        <v>159.46364424173302</v>
      </c>
    </row>
    <row r="79" spans="1:16" x14ac:dyDescent="0.25">
      <c r="A79" t="str">
        <f>bali_nt!B69</f>
        <v>BALI_NT</v>
      </c>
      <c r="B79">
        <f>bali_nt!C69</f>
        <v>2036</v>
      </c>
      <c r="C79">
        <f>bali_nt!D69</f>
        <v>49.065971766551712</v>
      </c>
      <c r="D79">
        <f>bali_nt!E69</f>
        <v>28.563020286605187</v>
      </c>
      <c r="E79">
        <f>bali_nt!F69</f>
        <v>14.193743606158568</v>
      </c>
      <c r="F79">
        <f>bali_nt!G69</f>
        <v>22.814464440924759</v>
      </c>
      <c r="G79">
        <f>bali_nt!H69</f>
        <v>38.105856002851311</v>
      </c>
      <c r="H79">
        <f>bali_nt!I69</f>
        <v>7.7434759037635148</v>
      </c>
      <c r="I79">
        <f>bali_nt!J69</f>
        <v>0.42618686128254862</v>
      </c>
      <c r="J79">
        <f>bali_nt!K69</f>
        <v>2.2523146731711523</v>
      </c>
      <c r="K79">
        <f>bali_nt!L69</f>
        <v>5.772868999148395E-7</v>
      </c>
      <c r="L79">
        <f>bali_nt!M69</f>
        <v>16.830284381151792</v>
      </c>
      <c r="M79">
        <f>bali_nt!N69</f>
        <v>5.6748976403199582E-7</v>
      </c>
      <c r="N79">
        <f>bali_nt!O69</f>
        <v>0</v>
      </c>
      <c r="O79">
        <f>bali_nt!P69</f>
        <v>2.1550302784599171E-2</v>
      </c>
      <c r="P79">
        <f>bali_nt!Q69</f>
        <v>179.9953190672372</v>
      </c>
    </row>
    <row r="80" spans="1:16" x14ac:dyDescent="0.25">
      <c r="A80" t="str">
        <f>bali_nt!B70</f>
        <v>BALI_NT</v>
      </c>
      <c r="B80">
        <f>bali_nt!C70</f>
        <v>2037</v>
      </c>
      <c r="C80">
        <f>bali_nt!D70</f>
        <v>54.034548748227373</v>
      </c>
      <c r="D80">
        <f>bali_nt!E70</f>
        <v>28.563020286605187</v>
      </c>
      <c r="E80">
        <f>bali_nt!F70</f>
        <v>18.249121976258611</v>
      </c>
      <c r="F80">
        <f>bali_nt!G70</f>
        <v>22.814464401815901</v>
      </c>
      <c r="G80">
        <f>bali_nt!H70</f>
        <v>47.887904006636049</v>
      </c>
      <c r="H80">
        <f>bali_nt!I70</f>
        <v>9.1817931242866049</v>
      </c>
      <c r="I80">
        <f>bali_nt!J70</f>
        <v>0.42618686128254862</v>
      </c>
      <c r="J80">
        <f>bali_nt!K70</f>
        <v>2.7338553776200967</v>
      </c>
      <c r="K80">
        <f>bali_nt!L70</f>
        <v>5.772868999148395E-7</v>
      </c>
      <c r="L80">
        <f>bali_nt!M70</f>
        <v>16.830284381151792</v>
      </c>
      <c r="M80">
        <f>bali_nt!N70</f>
        <v>5.6748976403199582E-7</v>
      </c>
      <c r="N80">
        <f>bali_nt!O70</f>
        <v>0</v>
      </c>
      <c r="O80">
        <f>bali_nt!P70</f>
        <v>2.3963146725870663E-2</v>
      </c>
      <c r="P80">
        <f>bali_nt!Q70</f>
        <v>200.72118030866082</v>
      </c>
    </row>
    <row r="81" spans="1:16" x14ac:dyDescent="0.25">
      <c r="A81" t="str">
        <f>bali_nt!B71</f>
        <v>BALI_NT</v>
      </c>
      <c r="B81">
        <f>bali_nt!C71</f>
        <v>2038</v>
      </c>
      <c r="C81">
        <f>bali_nt!D71</f>
        <v>59.281869692006246</v>
      </c>
      <c r="D81">
        <f>bali_nt!E71</f>
        <v>28.563020256431965</v>
      </c>
      <c r="E81">
        <f>bali_nt!F71</f>
        <v>22.662964663817334</v>
      </c>
      <c r="F81">
        <f>bali_nt!G71</f>
        <v>22.814464362707039</v>
      </c>
      <c r="G81">
        <f>bali_nt!H71</f>
        <v>63.620581754493251</v>
      </c>
      <c r="H81">
        <f>bali_nt!I71</f>
        <v>9.9009517345481619</v>
      </c>
      <c r="I81">
        <f>bali_nt!J71</f>
        <v>0.42618686128254862</v>
      </c>
      <c r="J81">
        <f>bali_nt!K71</f>
        <v>3.2805750132617044</v>
      </c>
      <c r="K81">
        <f>bali_nt!L71</f>
        <v>5.772868999148395E-7</v>
      </c>
      <c r="L81">
        <f>bali_nt!M71</f>
        <v>16.830284381151792</v>
      </c>
      <c r="M81">
        <f>bali_nt!N71</f>
        <v>5.6748976403199582E-7</v>
      </c>
      <c r="N81">
        <f>bali_nt!O71</f>
        <v>0</v>
      </c>
      <c r="O81">
        <f>bali_nt!P71</f>
        <v>2.6546671906741787E-2</v>
      </c>
      <c r="P81">
        <f>bali_nt!Q71</f>
        <v>227.3808998644767</v>
      </c>
    </row>
    <row r="82" spans="1:16" x14ac:dyDescent="0.25">
      <c r="A82" t="str">
        <f>kalimantan!B52</f>
        <v>KALIMANTAN</v>
      </c>
      <c r="B82">
        <f>kalimantan!C52</f>
        <v>2019</v>
      </c>
      <c r="C82">
        <f>kalimantan!D52</f>
        <v>110.63328120000001</v>
      </c>
      <c r="D82">
        <f>kalimantan!E52</f>
        <v>16.143577135018838</v>
      </c>
      <c r="E82">
        <f>kalimantan!F52</f>
        <v>1.0247605872527472</v>
      </c>
      <c r="F82">
        <f>kalimantan!G52</f>
        <v>67.449875615036788</v>
      </c>
      <c r="G82">
        <f>kalimantan!H52</f>
        <v>0</v>
      </c>
      <c r="H82">
        <f>kalimantan!I52</f>
        <v>4.4457097431060726</v>
      </c>
      <c r="I82">
        <f>kalimantan!J52</f>
        <v>9.2159836061538492E-2</v>
      </c>
      <c r="J82">
        <f>kalimantan!K52</f>
        <v>4.0397616000000004E-3</v>
      </c>
      <c r="K82">
        <f>kalimantan!L52</f>
        <v>0</v>
      </c>
      <c r="L82">
        <f>kalimantan!M52</f>
        <v>2.8351910635235731</v>
      </c>
      <c r="M82">
        <f>kalimantan!N52</f>
        <v>0</v>
      </c>
      <c r="N82">
        <f>kalimantan!O52</f>
        <v>0</v>
      </c>
      <c r="O82">
        <f>kalimantan!P52</f>
        <v>0</v>
      </c>
      <c r="P82">
        <f>kalimantan!Q52</f>
        <v>202.6285949415996</v>
      </c>
    </row>
    <row r="83" spans="1:16" x14ac:dyDescent="0.25">
      <c r="A83" t="str">
        <f>kalimantan!B53</f>
        <v>KALIMANTAN</v>
      </c>
      <c r="B83">
        <f>kalimantan!C53</f>
        <v>2020</v>
      </c>
      <c r="C83">
        <f>kalimantan!D53</f>
        <v>120.19911451405258</v>
      </c>
      <c r="D83">
        <f>kalimantan!E53</f>
        <v>16.143577104845619</v>
      </c>
      <c r="E83">
        <f>kalimantan!F53</f>
        <v>4.5310801340673015</v>
      </c>
      <c r="F83">
        <f>kalimantan!G53</f>
        <v>67.449875615036788</v>
      </c>
      <c r="G83">
        <f>kalimantan!H53</f>
        <v>0</v>
      </c>
      <c r="H83">
        <f>kalimantan!I53</f>
        <v>4.7984144297328593</v>
      </c>
      <c r="I83">
        <f>kalimantan!J53</f>
        <v>2.4607352045999837</v>
      </c>
      <c r="J83">
        <f>kalimantan!K53</f>
        <v>6.0585768262504835</v>
      </c>
      <c r="K83">
        <f>kalimantan!L53</f>
        <v>0</v>
      </c>
      <c r="L83">
        <f>kalimantan!M53</f>
        <v>2.8351910635235731</v>
      </c>
      <c r="M83">
        <f>kalimantan!N53</f>
        <v>0</v>
      </c>
      <c r="N83">
        <f>kalimantan!O53</f>
        <v>0</v>
      </c>
      <c r="O83">
        <f>kalimantan!P53</f>
        <v>0</v>
      </c>
      <c r="P83">
        <f>kalimantan!Q53</f>
        <v>224.47656489210922</v>
      </c>
    </row>
    <row r="84" spans="1:16" x14ac:dyDescent="0.25">
      <c r="A84" t="str">
        <f>kalimantan!B54</f>
        <v>KALIMANTAN</v>
      </c>
      <c r="B84">
        <f>kalimantan!C54</f>
        <v>2021</v>
      </c>
      <c r="C84">
        <f>kalimantan!D54</f>
        <v>125.67020009066948</v>
      </c>
      <c r="D84">
        <f>kalimantan!E54</f>
        <v>16.1435770746724</v>
      </c>
      <c r="E84">
        <f>kalimantan!F54</f>
        <v>15.876829930916966</v>
      </c>
      <c r="F84">
        <f>kalimantan!G54</f>
        <v>67.449875615036788</v>
      </c>
      <c r="G84">
        <f>kalimantan!H54</f>
        <v>0</v>
      </c>
      <c r="H84">
        <f>kalimantan!I54</f>
        <v>8.3040446009870426</v>
      </c>
      <c r="I84">
        <f>kalimantan!J54</f>
        <v>3.0674741367764704</v>
      </c>
      <c r="J84">
        <f>kalimantan!K54</f>
        <v>6.0585768262504835</v>
      </c>
      <c r="K84">
        <f>kalimantan!L54</f>
        <v>0</v>
      </c>
      <c r="L84">
        <f>kalimantan!M54</f>
        <v>2.8351910635235731</v>
      </c>
      <c r="M84">
        <f>kalimantan!N54</f>
        <v>0</v>
      </c>
      <c r="N84">
        <f>kalimantan!O54</f>
        <v>0</v>
      </c>
      <c r="O84">
        <f>kalimantan!P54</f>
        <v>0</v>
      </c>
      <c r="P84">
        <f>kalimantan!Q54</f>
        <v>245.40576933883324</v>
      </c>
    </row>
    <row r="85" spans="1:16" x14ac:dyDescent="0.25">
      <c r="A85" t="str">
        <f>kalimantan!B55</f>
        <v>KALIMANTAN</v>
      </c>
      <c r="B85">
        <f>kalimantan!C55</f>
        <v>2022</v>
      </c>
      <c r="C85">
        <f>kalimantan!D55</f>
        <v>130.78805213074889</v>
      </c>
      <c r="D85">
        <f>kalimantan!E55</f>
        <v>16.143577044499182</v>
      </c>
      <c r="E85">
        <f>kalimantan!F55</f>
        <v>29.138592107102856</v>
      </c>
      <c r="F85">
        <f>kalimantan!G55</f>
        <v>67.449875615036788</v>
      </c>
      <c r="G85">
        <f>kalimantan!H55</f>
        <v>0</v>
      </c>
      <c r="H85">
        <f>kalimantan!I55</f>
        <v>8.6689806260917024</v>
      </c>
      <c r="I85">
        <f>kalimantan!J55</f>
        <v>3.0674741101406782</v>
      </c>
      <c r="J85">
        <f>kalimantan!K55</f>
        <v>10.30710575945484</v>
      </c>
      <c r="K85">
        <f>kalimantan!L55</f>
        <v>0</v>
      </c>
      <c r="L85">
        <f>kalimantan!M55</f>
        <v>2.8351910635235731</v>
      </c>
      <c r="M85">
        <f>kalimantan!N55</f>
        <v>0</v>
      </c>
      <c r="N85">
        <f>kalimantan!O55</f>
        <v>0</v>
      </c>
      <c r="O85">
        <f>kalimantan!P55</f>
        <v>0</v>
      </c>
      <c r="P85">
        <f>kalimantan!Q55</f>
        <v>268.39884845659844</v>
      </c>
    </row>
    <row r="86" spans="1:16" x14ac:dyDescent="0.25">
      <c r="A86" t="str">
        <f>kalimantan!B56</f>
        <v>KALIMANTAN</v>
      </c>
      <c r="B86">
        <f>kalimantan!C56</f>
        <v>2023</v>
      </c>
      <c r="C86">
        <f>kalimantan!D56</f>
        <v>130.78805213074889</v>
      </c>
      <c r="D86">
        <f>kalimantan!E56</f>
        <v>23.260502675659716</v>
      </c>
      <c r="E86">
        <f>kalimantan!F56</f>
        <v>35.170330207991128</v>
      </c>
      <c r="F86">
        <f>kalimantan!G56</f>
        <v>67.449875615036831</v>
      </c>
      <c r="G86">
        <f>kalimantan!H56</f>
        <v>15.746991746976002</v>
      </c>
      <c r="H86">
        <f>kalimantan!I56</f>
        <v>9.8398157144355682</v>
      </c>
      <c r="I86">
        <f>kalimantan!J56</f>
        <v>3.5647957585345624</v>
      </c>
      <c r="J86">
        <f>kalimantan!K56</f>
        <v>10.413388719307147</v>
      </c>
      <c r="K86">
        <f>kalimantan!L56</f>
        <v>9.2159998183802119E-2</v>
      </c>
      <c r="L86">
        <f>kalimantan!M56</f>
        <v>4.6418020090168</v>
      </c>
      <c r="M86">
        <f>kalimantan!N56</f>
        <v>0</v>
      </c>
      <c r="N86">
        <f>kalimantan!O56</f>
        <v>0</v>
      </c>
      <c r="O86">
        <f>kalimantan!P56</f>
        <v>0</v>
      </c>
      <c r="P86">
        <f>kalimantan!Q56</f>
        <v>300.96771457589045</v>
      </c>
    </row>
    <row r="87" spans="1:16" x14ac:dyDescent="0.25">
      <c r="A87" t="str">
        <f>kalimantan!B57</f>
        <v>KALIMANTAN</v>
      </c>
      <c r="B87">
        <f>kalimantan!C57</f>
        <v>2024</v>
      </c>
      <c r="C87">
        <f>kalimantan!D57</f>
        <v>130.78805213074889</v>
      </c>
      <c r="D87">
        <f>kalimantan!E57</f>
        <v>24.835162671599559</v>
      </c>
      <c r="E87">
        <f>kalimantan!F57</f>
        <v>37.353385737627164</v>
      </c>
      <c r="F87">
        <f>kalimantan!G57</f>
        <v>67.449875615036831</v>
      </c>
      <c r="G87">
        <f>kalimantan!H57</f>
        <v>22.897406573606816</v>
      </c>
      <c r="H87">
        <f>kalimantan!I57</f>
        <v>9.8398157144355682</v>
      </c>
      <c r="I87">
        <f>kalimantan!J57</f>
        <v>6.2961537747647451</v>
      </c>
      <c r="J87">
        <f>kalimantan!K57</f>
        <v>10.694670368558709</v>
      </c>
      <c r="K87">
        <f>kalimantan!L57</f>
        <v>0.2330884918057777</v>
      </c>
      <c r="L87">
        <f>kalimantan!M57</f>
        <v>5.2642368162203983</v>
      </c>
      <c r="M87">
        <f>kalimantan!N57</f>
        <v>0</v>
      </c>
      <c r="N87">
        <f>kalimantan!O57</f>
        <v>0</v>
      </c>
      <c r="O87">
        <f>kalimantan!P57</f>
        <v>0</v>
      </c>
      <c r="P87">
        <f>kalimantan!Q57</f>
        <v>315.65184789440445</v>
      </c>
    </row>
    <row r="88" spans="1:16" x14ac:dyDescent="0.25">
      <c r="A88" t="str">
        <f>kalimantan!B58</f>
        <v>KALIMANTAN</v>
      </c>
      <c r="B88">
        <f>kalimantan!C58</f>
        <v>2025</v>
      </c>
      <c r="C88">
        <f>kalimantan!D58</f>
        <v>130.78805213074889</v>
      </c>
      <c r="D88">
        <f>kalimantan!E58</f>
        <v>28.338648668251455</v>
      </c>
      <c r="E88">
        <f>kalimantan!F58</f>
        <v>38.626008258312616</v>
      </c>
      <c r="F88">
        <f>kalimantan!G58</f>
        <v>67.449875615036831</v>
      </c>
      <c r="G88">
        <f>kalimantan!H58</f>
        <v>27.195683582977352</v>
      </c>
      <c r="H88">
        <f>kalimantan!I58</f>
        <v>10.708388476701426</v>
      </c>
      <c r="I88">
        <f>kalimantan!J58</f>
        <v>7.3249673847789136</v>
      </c>
      <c r="J88">
        <f>kalimantan!K58</f>
        <v>11.268868526431881</v>
      </c>
      <c r="K88">
        <f>kalimantan!L58</f>
        <v>1.045047515725827</v>
      </c>
      <c r="L88">
        <f>kalimantan!M58</f>
        <v>6.7891833192227917</v>
      </c>
      <c r="M88">
        <f>kalimantan!N58</f>
        <v>0</v>
      </c>
      <c r="N88">
        <f>kalimantan!O58</f>
        <v>0</v>
      </c>
      <c r="O88">
        <f>kalimantan!P58</f>
        <v>0</v>
      </c>
      <c r="P88">
        <f>kalimantan!Q58</f>
        <v>329.53472347818803</v>
      </c>
    </row>
    <row r="89" spans="1:16" x14ac:dyDescent="0.25">
      <c r="A89" t="str">
        <f>kalimantan!B59</f>
        <v>KALIMANTAN</v>
      </c>
      <c r="B89">
        <f>kalimantan!C59</f>
        <v>2026</v>
      </c>
      <c r="C89">
        <f>kalimantan!D59</f>
        <v>130.78805213074889</v>
      </c>
      <c r="D89">
        <f>kalimantan!E59</f>
        <v>30.094986144950312</v>
      </c>
      <c r="E89">
        <f>kalimantan!F59</f>
        <v>39.543805811813932</v>
      </c>
      <c r="F89">
        <f>kalimantan!G59</f>
        <v>67.449875615036831</v>
      </c>
      <c r="G89">
        <f>kalimantan!H59</f>
        <v>29.344819938524118</v>
      </c>
      <c r="H89">
        <f>kalimantan!I59</f>
        <v>10.831096368533469</v>
      </c>
      <c r="I89">
        <f>kalimantan!J59</f>
        <v>7.8929877193144353</v>
      </c>
      <c r="J89">
        <f>kalimantan!K59</f>
        <v>11.288772677823561</v>
      </c>
      <c r="K89">
        <f>kalimantan!L59</f>
        <v>1.1080130178105709</v>
      </c>
      <c r="L89">
        <f>kalimantan!M59</f>
        <v>6.880927014190406</v>
      </c>
      <c r="M89">
        <f>kalimantan!N59</f>
        <v>0</v>
      </c>
      <c r="N89">
        <f>kalimantan!O59</f>
        <v>0</v>
      </c>
      <c r="O89">
        <f>kalimantan!P59</f>
        <v>0</v>
      </c>
      <c r="P89">
        <f>kalimantan!Q59</f>
        <v>335.22333643874646</v>
      </c>
    </row>
    <row r="90" spans="1:16" x14ac:dyDescent="0.25">
      <c r="A90" t="str">
        <f>kalimantan!B60</f>
        <v>KALIMANTAN</v>
      </c>
      <c r="B90">
        <f>kalimantan!C60</f>
        <v>2027</v>
      </c>
      <c r="C90">
        <f>kalimantan!D60</f>
        <v>130.78805213074889</v>
      </c>
      <c r="D90">
        <f>kalimantan!E60</f>
        <v>30.094986144950312</v>
      </c>
      <c r="E90">
        <f>kalimantan!F60</f>
        <v>61.689786488088856</v>
      </c>
      <c r="F90">
        <f>kalimantan!G60</f>
        <v>69.842000737847499</v>
      </c>
      <c r="G90">
        <f>kalimantan!H60</f>
        <v>29.344819938524118</v>
      </c>
      <c r="H90">
        <f>kalimantan!I60</f>
        <v>10.831096368533469</v>
      </c>
      <c r="I90">
        <f>kalimantan!J60</f>
        <v>7.8929877193144353</v>
      </c>
      <c r="J90">
        <f>kalimantan!K60</f>
        <v>11.288772677823561</v>
      </c>
      <c r="K90">
        <f>kalimantan!L60</f>
        <v>6.0787695489717777</v>
      </c>
      <c r="L90">
        <f>kalimantan!M60</f>
        <v>6.880927014190406</v>
      </c>
      <c r="M90">
        <f>kalimantan!N60</f>
        <v>0</v>
      </c>
      <c r="N90">
        <f>kalimantan!O60</f>
        <v>0</v>
      </c>
      <c r="O90">
        <f>kalimantan!P60</f>
        <v>0</v>
      </c>
      <c r="P90">
        <f>kalimantan!Q60</f>
        <v>364.73219876899327</v>
      </c>
    </row>
    <row r="91" spans="1:16" x14ac:dyDescent="0.25">
      <c r="A91" t="str">
        <f>kalimantan!B61</f>
        <v>KALIMANTAN</v>
      </c>
      <c r="B91">
        <f>kalimantan!C61</f>
        <v>2028</v>
      </c>
      <c r="C91">
        <f>kalimantan!D61</f>
        <v>133.09027276740153</v>
      </c>
      <c r="D91">
        <f>kalimantan!E61</f>
        <v>30.094986144950312</v>
      </c>
      <c r="E91">
        <f>kalimantan!F61</f>
        <v>61.689786488088856</v>
      </c>
      <c r="F91">
        <f>kalimantan!G61</f>
        <v>75.91037118515419</v>
      </c>
      <c r="G91">
        <f>kalimantan!H61</f>
        <v>29.344819938524118</v>
      </c>
      <c r="H91">
        <f>kalimantan!I61</f>
        <v>10.831096368533469</v>
      </c>
      <c r="I91">
        <f>kalimantan!J61</f>
        <v>7.8929877193144353</v>
      </c>
      <c r="J91">
        <f>kalimantan!K61</f>
        <v>11.288772677823561</v>
      </c>
      <c r="K91">
        <f>kalimantan!L61</f>
        <v>7.9520883896095214</v>
      </c>
      <c r="L91">
        <f>kalimantan!M61</f>
        <v>6.880927014190406</v>
      </c>
      <c r="M91">
        <f>kalimantan!N61</f>
        <v>0</v>
      </c>
      <c r="N91">
        <f>kalimantan!O61</f>
        <v>0</v>
      </c>
      <c r="O91">
        <f>kalimantan!P61</f>
        <v>0</v>
      </c>
      <c r="P91">
        <f>kalimantan!Q61</f>
        <v>374.97610869359039</v>
      </c>
    </row>
    <row r="92" spans="1:16" x14ac:dyDescent="0.25">
      <c r="A92" t="str">
        <f>kalimantan!B62</f>
        <v>KALIMANTAN</v>
      </c>
      <c r="B92">
        <f>kalimantan!C62</f>
        <v>2029</v>
      </c>
      <c r="C92">
        <f>kalimantan!D62</f>
        <v>133.09027276740153</v>
      </c>
      <c r="D92">
        <f>kalimantan!E62</f>
        <v>30.094986144950312</v>
      </c>
      <c r="E92">
        <f>kalimantan!F62</f>
        <v>61.689786488088856</v>
      </c>
      <c r="F92">
        <f>kalimantan!G62</f>
        <v>75.91037118515419</v>
      </c>
      <c r="G92">
        <f>kalimantan!H62</f>
        <v>29.344819765480423</v>
      </c>
      <c r="H92">
        <f>kalimantan!I62</f>
        <v>10.832722266551615</v>
      </c>
      <c r="I92">
        <f>kalimantan!J62</f>
        <v>8.1542381539229538</v>
      </c>
      <c r="J92">
        <f>kalimantan!K62</f>
        <v>11.358550271214007</v>
      </c>
      <c r="K92">
        <f>kalimantan!L62</f>
        <v>7.9879459282559795</v>
      </c>
      <c r="L92">
        <f>kalimantan!M62</f>
        <v>8.2470484807396129</v>
      </c>
      <c r="M92">
        <f>kalimantan!N62</f>
        <v>0</v>
      </c>
      <c r="N92">
        <f>kalimantan!O62</f>
        <v>0</v>
      </c>
      <c r="O92">
        <f>kalimantan!P62</f>
        <v>0</v>
      </c>
      <c r="P92">
        <f>kalimantan!Q62</f>
        <v>376.71074145175959</v>
      </c>
    </row>
    <row r="93" spans="1:16" x14ac:dyDescent="0.25">
      <c r="A93" t="str">
        <f>kalimantan!B63</f>
        <v>KALIMANTAN</v>
      </c>
      <c r="B93">
        <f>kalimantan!C63</f>
        <v>2030</v>
      </c>
      <c r="C93">
        <f>kalimantan!D63</f>
        <v>133.09027276740153</v>
      </c>
      <c r="D93">
        <f>kalimantan!E63</f>
        <v>30.094986144950312</v>
      </c>
      <c r="E93">
        <f>kalimantan!F63</f>
        <v>61.689786488088856</v>
      </c>
      <c r="F93">
        <f>kalimantan!G63</f>
        <v>75.91037118515419</v>
      </c>
      <c r="G93">
        <f>kalimantan!H63</f>
        <v>30.41938695730633</v>
      </c>
      <c r="H93">
        <f>kalimantan!I63</f>
        <v>11.274590735419048</v>
      </c>
      <c r="I93">
        <f>kalimantan!J63</f>
        <v>8.1770749210809726</v>
      </c>
      <c r="J93">
        <f>kalimantan!K63</f>
        <v>11.400934655214007</v>
      </c>
      <c r="K93">
        <f>kalimantan!L63</f>
        <v>8.1084619911432068</v>
      </c>
      <c r="L93">
        <f>kalimantan!M63</f>
        <v>8.2470484807396129</v>
      </c>
      <c r="M93">
        <f>kalimantan!N63</f>
        <v>0</v>
      </c>
      <c r="N93">
        <f>kalimantan!O63</f>
        <v>0</v>
      </c>
      <c r="O93">
        <f>kalimantan!P63</f>
        <v>0</v>
      </c>
      <c r="P93">
        <f>kalimantan!Q63</f>
        <v>378.41291432649814</v>
      </c>
    </row>
    <row r="94" spans="1:16" x14ac:dyDescent="0.25">
      <c r="A94" t="str">
        <f>kalimantan!B64</f>
        <v>KALIMANTAN</v>
      </c>
      <c r="B94">
        <f>kalimantan!C64</f>
        <v>2031</v>
      </c>
      <c r="C94">
        <f>kalimantan!D64</f>
        <v>133.09027276740153</v>
      </c>
      <c r="D94">
        <f>kalimantan!E64</f>
        <v>30.094986144950312</v>
      </c>
      <c r="E94">
        <f>kalimantan!F64</f>
        <v>61.689786488088856</v>
      </c>
      <c r="F94">
        <f>kalimantan!G64</f>
        <v>76.511211343519051</v>
      </c>
      <c r="G94">
        <f>kalimantan!H64</f>
        <v>30.41938695730633</v>
      </c>
      <c r="H94">
        <f>kalimantan!I64</f>
        <v>11.274590735419048</v>
      </c>
      <c r="I94">
        <f>kalimantan!J64</f>
        <v>8.1770749210809726</v>
      </c>
      <c r="J94">
        <f>kalimantan!K64</f>
        <v>11.400934655214007</v>
      </c>
      <c r="K94">
        <f>kalimantan!L64</f>
        <v>8.9526254672259302</v>
      </c>
      <c r="L94">
        <f>kalimantan!M64</f>
        <v>8.2470484807396129</v>
      </c>
      <c r="M94">
        <f>kalimantan!N64</f>
        <v>0</v>
      </c>
      <c r="N94">
        <f>kalimantan!O64</f>
        <v>0</v>
      </c>
      <c r="O94">
        <f>kalimantan!P64</f>
        <v>0</v>
      </c>
      <c r="P94">
        <f>kalimantan!Q64</f>
        <v>379.85791796094566</v>
      </c>
    </row>
    <row r="95" spans="1:16" x14ac:dyDescent="0.25">
      <c r="A95" t="str">
        <f>kalimantan!B65</f>
        <v>KALIMANTAN</v>
      </c>
      <c r="B95">
        <f>kalimantan!C65</f>
        <v>2032</v>
      </c>
      <c r="C95">
        <f>kalimantan!D65</f>
        <v>137.13206935338815</v>
      </c>
      <c r="D95">
        <f>kalimantan!E65</f>
        <v>30.094986144950312</v>
      </c>
      <c r="E95">
        <f>kalimantan!F65</f>
        <v>61.755431516510335</v>
      </c>
      <c r="F95">
        <f>kalimantan!G65</f>
        <v>84.397304993709724</v>
      </c>
      <c r="G95">
        <f>kalimantan!H65</f>
        <v>30.41938695730633</v>
      </c>
      <c r="H95">
        <f>kalimantan!I65</f>
        <v>11.274590735419048</v>
      </c>
      <c r="I95">
        <f>kalimantan!J65</f>
        <v>8.1770749210809726</v>
      </c>
      <c r="J95">
        <f>kalimantan!K65</f>
        <v>11.400934655214007</v>
      </c>
      <c r="K95">
        <f>kalimantan!L65</f>
        <v>11.478301933724893</v>
      </c>
      <c r="L95">
        <f>kalimantan!M65</f>
        <v>8.2470484807396129</v>
      </c>
      <c r="M95">
        <f>kalimantan!N65</f>
        <v>0</v>
      </c>
      <c r="N95">
        <f>kalimantan!O65</f>
        <v>0</v>
      </c>
      <c r="O95">
        <f>kalimantan!P65</f>
        <v>0</v>
      </c>
      <c r="P95">
        <f>kalimantan!Q65</f>
        <v>394.37712969204341</v>
      </c>
    </row>
    <row r="96" spans="1:16" x14ac:dyDescent="0.25">
      <c r="A96" t="str">
        <f>kalimantan!B66</f>
        <v>KALIMANTAN</v>
      </c>
      <c r="B96">
        <f>kalimantan!C66</f>
        <v>2033</v>
      </c>
      <c r="C96">
        <f>kalimantan!D66</f>
        <v>141.90030052472403</v>
      </c>
      <c r="D96">
        <f>kalimantan!E66</f>
        <v>30.094986144950312</v>
      </c>
      <c r="E96">
        <f>kalimantan!F66</f>
        <v>66.650170452779321</v>
      </c>
      <c r="F96">
        <f>kalimantan!G66</f>
        <v>85.510954242021768</v>
      </c>
      <c r="G96">
        <f>kalimantan!H66</f>
        <v>30.41938695730633</v>
      </c>
      <c r="H96">
        <f>kalimantan!I66</f>
        <v>11.274590735419048</v>
      </c>
      <c r="I96">
        <f>kalimantan!J66</f>
        <v>8.1770749210809726</v>
      </c>
      <c r="J96">
        <f>kalimantan!K66</f>
        <v>11.400934655214007</v>
      </c>
      <c r="K96">
        <f>kalimantan!L66</f>
        <v>14.06464954895738</v>
      </c>
      <c r="L96">
        <f>kalimantan!M66</f>
        <v>8.2470484807396129</v>
      </c>
      <c r="M96">
        <f>kalimantan!N66</f>
        <v>0</v>
      </c>
      <c r="N96">
        <f>kalimantan!O66</f>
        <v>0</v>
      </c>
      <c r="O96">
        <f>kalimantan!P66</f>
        <v>0</v>
      </c>
      <c r="P96">
        <f>kalimantan!Q66</f>
        <v>407.74009666319279</v>
      </c>
    </row>
    <row r="97" spans="1:16" x14ac:dyDescent="0.25">
      <c r="A97" t="str">
        <f>kalimantan!B67</f>
        <v>KALIMANTAN</v>
      </c>
      <c r="B97">
        <f>kalimantan!C67</f>
        <v>2034</v>
      </c>
      <c r="C97">
        <f>kalimantan!D67</f>
        <v>154.30716763898948</v>
      </c>
      <c r="D97">
        <f>kalimantan!E67</f>
        <v>30.09498611477709</v>
      </c>
      <c r="E97">
        <f>kalimantan!F67</f>
        <v>76.410892562003667</v>
      </c>
      <c r="F97">
        <f>kalimantan!G67</f>
        <v>85.510954242021768</v>
      </c>
      <c r="G97">
        <f>kalimantan!H67</f>
        <v>30.41938695730633</v>
      </c>
      <c r="H97">
        <f>kalimantan!I67</f>
        <v>11.439663544241306</v>
      </c>
      <c r="I97">
        <f>kalimantan!J67</f>
        <v>17.822834755054544</v>
      </c>
      <c r="J97">
        <f>kalimantan!K67</f>
        <v>11.400934655214007</v>
      </c>
      <c r="K97">
        <f>kalimantan!L67</f>
        <v>14.082106734271038</v>
      </c>
      <c r="L97">
        <f>kalimantan!M67</f>
        <v>8.2470484807396129</v>
      </c>
      <c r="M97">
        <f>kalimantan!N67</f>
        <v>0</v>
      </c>
      <c r="N97">
        <f>kalimantan!O67</f>
        <v>0</v>
      </c>
      <c r="O97">
        <f>kalimantan!P67</f>
        <v>0</v>
      </c>
      <c r="P97">
        <f>kalimantan!Q67</f>
        <v>439.73597568461889</v>
      </c>
    </row>
    <row r="98" spans="1:16" x14ac:dyDescent="0.25">
      <c r="A98" t="str">
        <f>kalimantan!B68</f>
        <v>KALIMANTAN</v>
      </c>
      <c r="B98">
        <f>kalimantan!C68</f>
        <v>2035</v>
      </c>
      <c r="C98">
        <f>kalimantan!D68</f>
        <v>163.18911683496756</v>
      </c>
      <c r="D98">
        <f>kalimantan!E68</f>
        <v>30.09498611477709</v>
      </c>
      <c r="E98">
        <f>kalimantan!F68</f>
        <v>86.027677584273604</v>
      </c>
      <c r="F98">
        <f>kalimantan!G68</f>
        <v>91.949001758382295</v>
      </c>
      <c r="G98">
        <f>kalimantan!H68</f>
        <v>30.41938695730633</v>
      </c>
      <c r="H98">
        <f>kalimantan!I68</f>
        <v>11.439663544241306</v>
      </c>
      <c r="I98">
        <f>kalimantan!J68</f>
        <v>17.822834755054544</v>
      </c>
      <c r="J98">
        <f>kalimantan!K68</f>
        <v>11.400934655214007</v>
      </c>
      <c r="K98">
        <f>kalimantan!L68</f>
        <v>15.853291511836604</v>
      </c>
      <c r="L98">
        <f>kalimantan!M68</f>
        <v>8.2470484807396129</v>
      </c>
      <c r="M98">
        <f>kalimantan!N68</f>
        <v>0</v>
      </c>
      <c r="N98">
        <f>kalimantan!O68</f>
        <v>0</v>
      </c>
      <c r="O98">
        <f>kalimantan!P68</f>
        <v>0</v>
      </c>
      <c r="P98">
        <f>kalimantan!Q68</f>
        <v>466.44394219679299</v>
      </c>
    </row>
    <row r="99" spans="1:16" x14ac:dyDescent="0.25">
      <c r="A99" t="str">
        <f>kalimantan!B69</f>
        <v>KALIMANTAN</v>
      </c>
      <c r="B99">
        <f>kalimantan!C69</f>
        <v>2036</v>
      </c>
      <c r="C99">
        <f>kalimantan!D69</f>
        <v>166.86101470663499</v>
      </c>
      <c r="D99">
        <f>kalimantan!E69</f>
        <v>30.09498611477709</v>
      </c>
      <c r="E99">
        <f>kalimantan!F69</f>
        <v>89.259920501037044</v>
      </c>
      <c r="F99">
        <f>kalimantan!G69</f>
        <v>93.943954519428431</v>
      </c>
      <c r="G99">
        <f>kalimantan!H69</f>
        <v>30.41938695730633</v>
      </c>
      <c r="H99">
        <f>kalimantan!I69</f>
        <v>11.439663544241306</v>
      </c>
      <c r="I99">
        <f>kalimantan!J69</f>
        <v>17.822834755054544</v>
      </c>
      <c r="J99">
        <f>kalimantan!K69</f>
        <v>11.400934655214007</v>
      </c>
      <c r="K99">
        <f>kalimantan!L69</f>
        <v>18.358803811299126</v>
      </c>
      <c r="L99">
        <f>kalimantan!M69</f>
        <v>8.2470484807396129</v>
      </c>
      <c r="M99">
        <f>kalimantan!N69</f>
        <v>0</v>
      </c>
      <c r="N99">
        <f>kalimantan!O69</f>
        <v>0</v>
      </c>
      <c r="O99">
        <f>kalimantan!P69</f>
        <v>0</v>
      </c>
      <c r="P99">
        <f>kalimantan!Q69</f>
        <v>477.84854804573251</v>
      </c>
    </row>
    <row r="100" spans="1:16" x14ac:dyDescent="0.25">
      <c r="A100" t="str">
        <f>kalimantan!B70</f>
        <v>KALIMANTAN</v>
      </c>
      <c r="B100">
        <f>kalimantan!C70</f>
        <v>2037</v>
      </c>
      <c r="C100">
        <f>kalimantan!D70</f>
        <v>170.46064576033055</v>
      </c>
      <c r="D100">
        <f>kalimantan!E70</f>
        <v>36.332722918440119</v>
      </c>
      <c r="E100">
        <f>kalimantan!F70</f>
        <v>90.22073811126441</v>
      </c>
      <c r="F100">
        <f>kalimantan!G70</f>
        <v>93.943954519428431</v>
      </c>
      <c r="G100">
        <f>kalimantan!H70</f>
        <v>30.526843987834862</v>
      </c>
      <c r="H100">
        <f>kalimantan!I70</f>
        <v>11.828167639231763</v>
      </c>
      <c r="I100">
        <f>kalimantan!J70</f>
        <v>18.048582889137332</v>
      </c>
      <c r="J100">
        <f>kalimantan!K70</f>
        <v>11.832542675699806</v>
      </c>
      <c r="K100">
        <f>kalimantan!L70</f>
        <v>19.677044422189709</v>
      </c>
      <c r="L100">
        <f>kalimantan!M70</f>
        <v>9.000515530503165</v>
      </c>
      <c r="M100">
        <f>kalimantan!N70</f>
        <v>0</v>
      </c>
      <c r="N100">
        <f>kalimantan!O70</f>
        <v>0</v>
      </c>
      <c r="O100">
        <f>kalimantan!P70</f>
        <v>0</v>
      </c>
      <c r="P100">
        <f>kalimantan!Q70</f>
        <v>491.87175845406006</v>
      </c>
    </row>
    <row r="101" spans="1:16" x14ac:dyDescent="0.25">
      <c r="A101" t="str">
        <f>kalimantan!B71</f>
        <v>KALIMANTAN</v>
      </c>
      <c r="B101">
        <f>kalimantan!C71</f>
        <v>2038</v>
      </c>
      <c r="C101">
        <f>kalimantan!D71</f>
        <v>175.90913308131621</v>
      </c>
      <c r="D101">
        <f>kalimantan!E71</f>
        <v>36.332722918440119</v>
      </c>
      <c r="E101">
        <f>kalimantan!F71</f>
        <v>96.855991682819564</v>
      </c>
      <c r="F101">
        <f>kalimantan!G71</f>
        <v>94.223876821353642</v>
      </c>
      <c r="G101">
        <f>kalimantan!H71</f>
        <v>30.526843987834862</v>
      </c>
      <c r="H101">
        <f>kalimantan!I71</f>
        <v>11.828167639231763</v>
      </c>
      <c r="I101">
        <f>kalimantan!J71</f>
        <v>18.048582889137332</v>
      </c>
      <c r="J101">
        <f>kalimantan!K71</f>
        <v>11.832542675699806</v>
      </c>
      <c r="K101">
        <f>kalimantan!L71</f>
        <v>23.002966617712396</v>
      </c>
      <c r="L101">
        <f>kalimantan!M71</f>
        <v>9.000515530503165</v>
      </c>
      <c r="M101">
        <f>kalimantan!N71</f>
        <v>0</v>
      </c>
      <c r="N101">
        <f>kalimantan!O71</f>
        <v>0</v>
      </c>
      <c r="O101">
        <f>kalimantan!P71</f>
        <v>0</v>
      </c>
      <c r="P101">
        <f>kalimantan!Q71</f>
        <v>507.56134384404885</v>
      </c>
    </row>
    <row r="102" spans="1:16" x14ac:dyDescent="0.25">
      <c r="A102" t="str">
        <f>sulawesi!B52</f>
        <v>SULAWESI</v>
      </c>
      <c r="B102">
        <f>sulawesi!C52</f>
        <v>2019</v>
      </c>
      <c r="C102">
        <f>sulawesi!D52</f>
        <v>128.01496382068964</v>
      </c>
      <c r="D102">
        <f>sulawesi!E52</f>
        <v>8.7116116674254496</v>
      </c>
      <c r="E102">
        <f>sulawesi!F52</f>
        <v>5.3799930830769229</v>
      </c>
      <c r="F102">
        <f>sulawesi!G52</f>
        <v>35.038799921016725</v>
      </c>
      <c r="G102">
        <f>sulawesi!H52</f>
        <v>13.843495384615382</v>
      </c>
      <c r="H102">
        <f>sulawesi!I52</f>
        <v>13.945434615138463</v>
      </c>
      <c r="I102">
        <f>sulawesi!J52</f>
        <v>1.6660687126153846</v>
      </c>
      <c r="J102">
        <f>sulawesi!K52</f>
        <v>2.8079654399999997E-2</v>
      </c>
      <c r="K102">
        <f>sulawesi!L52</f>
        <v>0</v>
      </c>
      <c r="L102">
        <f>sulawesi!M52</f>
        <v>1.4502256079404467E-2</v>
      </c>
      <c r="M102">
        <f>sulawesi!N52</f>
        <v>0</v>
      </c>
      <c r="N102">
        <f>sulawesi!O52</f>
        <v>0</v>
      </c>
      <c r="O102">
        <f>sulawesi!P52</f>
        <v>0</v>
      </c>
      <c r="P102">
        <f>sulawesi!Q52</f>
        <v>206.64294911505735</v>
      </c>
    </row>
    <row r="103" spans="1:16" x14ac:dyDescent="0.25">
      <c r="A103" t="str">
        <f>sulawesi!B53</f>
        <v>SULAWESI</v>
      </c>
      <c r="B103">
        <f>sulawesi!C53</f>
        <v>2020</v>
      </c>
      <c r="C103">
        <f>sulawesi!D53</f>
        <v>128.01496382068964</v>
      </c>
      <c r="D103">
        <f>sulawesi!E53</f>
        <v>8.8887705224518623</v>
      </c>
      <c r="E103">
        <f>sulawesi!F53</f>
        <v>8.5236018879517381</v>
      </c>
      <c r="F103">
        <f>sulawesi!G53</f>
        <v>35.038799921016725</v>
      </c>
      <c r="G103">
        <f>sulawesi!H53</f>
        <v>13.843495384615382</v>
      </c>
      <c r="H103">
        <f>sulawesi!I53</f>
        <v>13.945434615138463</v>
      </c>
      <c r="I103">
        <f>sulawesi!J53</f>
        <v>1.6660687126153846</v>
      </c>
      <c r="J103">
        <f>sulawesi!K53</f>
        <v>0.88061816561366979</v>
      </c>
      <c r="K103">
        <f>sulawesi!L53</f>
        <v>0</v>
      </c>
      <c r="L103">
        <f>sulawesi!M53</f>
        <v>1.4502256079404467E-2</v>
      </c>
      <c r="M103">
        <f>sulawesi!N53</f>
        <v>0</v>
      </c>
      <c r="N103">
        <f>sulawesi!O53</f>
        <v>0</v>
      </c>
      <c r="O103">
        <f>sulawesi!P53</f>
        <v>0</v>
      </c>
      <c r="P103">
        <f>sulawesi!Q53</f>
        <v>210.81625528617226</v>
      </c>
    </row>
    <row r="104" spans="1:16" x14ac:dyDescent="0.25">
      <c r="A104" t="str">
        <f>sulawesi!B54</f>
        <v>SULAWESI</v>
      </c>
      <c r="B104">
        <f>sulawesi!C54</f>
        <v>2021</v>
      </c>
      <c r="C104">
        <f>sulawesi!D54</f>
        <v>128.01496377554241</v>
      </c>
      <c r="D104">
        <f>sulawesi!E54</f>
        <v>8.8887704922786455</v>
      </c>
      <c r="E104">
        <f>sulawesi!F54</f>
        <v>26.306641906848622</v>
      </c>
      <c r="F104">
        <f>sulawesi!G54</f>
        <v>35.038799921016725</v>
      </c>
      <c r="G104">
        <f>sulawesi!H54</f>
        <v>13.843495384615382</v>
      </c>
      <c r="H104">
        <f>sulawesi!I54</f>
        <v>13.945434615138463</v>
      </c>
      <c r="I104">
        <f>sulawesi!J54</f>
        <v>1.6660687126153846</v>
      </c>
      <c r="J104">
        <f>sulawesi!K54</f>
        <v>0.92712955813433406</v>
      </c>
      <c r="K104">
        <f>sulawesi!L54</f>
        <v>0</v>
      </c>
      <c r="L104">
        <f>sulawesi!M54</f>
        <v>1.4502256079404467E-2</v>
      </c>
      <c r="M104">
        <f>sulawesi!N54</f>
        <v>0</v>
      </c>
      <c r="N104">
        <f>sulawesi!O54</f>
        <v>0</v>
      </c>
      <c r="O104">
        <f>sulawesi!P54</f>
        <v>0</v>
      </c>
      <c r="P104">
        <f>sulawesi!Q54</f>
        <v>228.64580662226936</v>
      </c>
    </row>
    <row r="105" spans="1:16" x14ac:dyDescent="0.25">
      <c r="A105" t="str">
        <f>sulawesi!B55</f>
        <v>SULAWESI</v>
      </c>
      <c r="B105">
        <f>sulawesi!C55</f>
        <v>2022</v>
      </c>
      <c r="C105">
        <f>sulawesi!D55</f>
        <v>133.23378069455316</v>
      </c>
      <c r="D105">
        <f>sulawesi!E55</f>
        <v>8.8887704621054286</v>
      </c>
      <c r="E105">
        <f>sulawesi!F55</f>
        <v>36.900784446093567</v>
      </c>
      <c r="F105">
        <f>sulawesi!G55</f>
        <v>35.038799921016725</v>
      </c>
      <c r="G105">
        <f>sulawesi!H55</f>
        <v>13.843495384615382</v>
      </c>
      <c r="H105">
        <f>sulawesi!I55</f>
        <v>13.945434615138463</v>
      </c>
      <c r="I105">
        <f>sulawesi!J55</f>
        <v>1.6660686859795941</v>
      </c>
      <c r="J105">
        <f>sulawesi!K55</f>
        <v>10.981096185886798</v>
      </c>
      <c r="K105">
        <f>sulawesi!L55</f>
        <v>0</v>
      </c>
      <c r="L105">
        <f>sulawesi!M55</f>
        <v>1.4502256079404467E-2</v>
      </c>
      <c r="M105">
        <f>sulawesi!N55</f>
        <v>0</v>
      </c>
      <c r="N105">
        <f>sulawesi!O55</f>
        <v>0</v>
      </c>
      <c r="O105">
        <f>sulawesi!P55</f>
        <v>0</v>
      </c>
      <c r="P105">
        <f>sulawesi!Q55</f>
        <v>254.51273265146853</v>
      </c>
    </row>
    <row r="106" spans="1:16" x14ac:dyDescent="0.25">
      <c r="A106" t="str">
        <f>sulawesi!B56</f>
        <v>SULAWESI</v>
      </c>
      <c r="B106">
        <f>sulawesi!C56</f>
        <v>2023</v>
      </c>
      <c r="C106">
        <f>sulawesi!D56</f>
        <v>140.57804700054157</v>
      </c>
      <c r="D106">
        <f>sulawesi!E56</f>
        <v>8.8887704621054286</v>
      </c>
      <c r="E106">
        <f>sulawesi!F56</f>
        <v>45.353178231863119</v>
      </c>
      <c r="F106">
        <f>sulawesi!G56</f>
        <v>35.038799921016725</v>
      </c>
      <c r="G106">
        <f>sulawesi!H56</f>
        <v>13.843495211571691</v>
      </c>
      <c r="H106">
        <f>sulawesi!I56</f>
        <v>17.390704040129627</v>
      </c>
      <c r="I106">
        <f>sulawesi!J56</f>
        <v>1.6660686593438032</v>
      </c>
      <c r="J106">
        <f>sulawesi!K56</f>
        <v>18.092842026984741</v>
      </c>
      <c r="K106">
        <f>sulawesi!L56</f>
        <v>2.6211897150288843</v>
      </c>
      <c r="L106">
        <f>sulawesi!M56</f>
        <v>1.4502256079404467E-2</v>
      </c>
      <c r="M106">
        <f>sulawesi!N56</f>
        <v>0</v>
      </c>
      <c r="N106">
        <f>sulawesi!O56</f>
        <v>0</v>
      </c>
      <c r="O106">
        <f>sulawesi!P56</f>
        <v>0</v>
      </c>
      <c r="P106">
        <f>sulawesi!Q56</f>
        <v>283.48759752466503</v>
      </c>
    </row>
    <row r="107" spans="1:16" x14ac:dyDescent="0.25">
      <c r="A107" t="str">
        <f>sulawesi!B57</f>
        <v>SULAWESI</v>
      </c>
      <c r="B107">
        <f>sulawesi!C57</f>
        <v>2024</v>
      </c>
      <c r="C107">
        <f>sulawesi!D57</f>
        <v>142.73042013763606</v>
      </c>
      <c r="D107">
        <f>sulawesi!E57</f>
        <v>8.8887704621054286</v>
      </c>
      <c r="E107">
        <f>sulawesi!F57</f>
        <v>63.499166712828028</v>
      </c>
      <c r="F107">
        <f>sulawesi!G57</f>
        <v>35.038799921016725</v>
      </c>
      <c r="G107">
        <f>sulawesi!H57</f>
        <v>13.843495211571691</v>
      </c>
      <c r="H107">
        <f>sulawesi!I57</f>
        <v>17.390704040129627</v>
      </c>
      <c r="I107">
        <f>sulawesi!J57</f>
        <v>1.6660686593438032</v>
      </c>
      <c r="J107">
        <f>sulawesi!K57</f>
        <v>18.092842026984741</v>
      </c>
      <c r="K107">
        <f>sulawesi!L57</f>
        <v>11.383314868163524</v>
      </c>
      <c r="L107">
        <f>sulawesi!M57</f>
        <v>1.4502256079404467E-2</v>
      </c>
      <c r="M107">
        <f>sulawesi!N57</f>
        <v>0</v>
      </c>
      <c r="N107">
        <f>sulawesi!O57</f>
        <v>0</v>
      </c>
      <c r="O107">
        <f>sulawesi!P57</f>
        <v>0</v>
      </c>
      <c r="P107">
        <f>sulawesi!Q57</f>
        <v>312.54808429585904</v>
      </c>
    </row>
    <row r="108" spans="1:16" x14ac:dyDescent="0.25">
      <c r="A108" t="str">
        <f>sulawesi!B58</f>
        <v>SULAWESI</v>
      </c>
      <c r="B108">
        <f>sulawesi!C58</f>
        <v>2025</v>
      </c>
      <c r="C108">
        <f>sulawesi!D58</f>
        <v>142.73042013763606</v>
      </c>
      <c r="D108">
        <f>sulawesi!E58</f>
        <v>8.8887704621054286</v>
      </c>
      <c r="E108">
        <f>sulawesi!F58</f>
        <v>86.548784115807877</v>
      </c>
      <c r="F108">
        <f>sulawesi!G58</f>
        <v>35.038799921016725</v>
      </c>
      <c r="G108">
        <f>sulawesi!H58</f>
        <v>13.843495211571691</v>
      </c>
      <c r="H108">
        <f>sulawesi!I58</f>
        <v>17.390704040129627</v>
      </c>
      <c r="I108">
        <f>sulawesi!J58</f>
        <v>1.6660686593438032</v>
      </c>
      <c r="J108">
        <f>sulawesi!K58</f>
        <v>18.092842026984741</v>
      </c>
      <c r="K108">
        <f>sulawesi!L58</f>
        <v>12.067703956253235</v>
      </c>
      <c r="L108">
        <f>sulawesi!M58</f>
        <v>1.4502256079404467E-2</v>
      </c>
      <c r="M108">
        <f>sulawesi!N58</f>
        <v>0</v>
      </c>
      <c r="N108">
        <f>sulawesi!O58</f>
        <v>0</v>
      </c>
      <c r="O108">
        <f>sulawesi!P58</f>
        <v>0</v>
      </c>
      <c r="P108">
        <f>sulawesi!Q58</f>
        <v>336.28209078692856</v>
      </c>
    </row>
    <row r="109" spans="1:16" x14ac:dyDescent="0.25">
      <c r="A109" t="str">
        <f>sulawesi!B59</f>
        <v>SULAWESI</v>
      </c>
      <c r="B109">
        <f>sulawesi!C59</f>
        <v>2026</v>
      </c>
      <c r="C109">
        <f>sulawesi!D59</f>
        <v>143.63219777520851</v>
      </c>
      <c r="D109">
        <f>sulawesi!E59</f>
        <v>8.8887704621054286</v>
      </c>
      <c r="E109">
        <f>sulawesi!F59</f>
        <v>98.214697182251371</v>
      </c>
      <c r="F109">
        <f>sulawesi!G59</f>
        <v>44.522705486962067</v>
      </c>
      <c r="G109">
        <f>sulawesi!H59</f>
        <v>13.843495211571691</v>
      </c>
      <c r="H109">
        <f>sulawesi!I59</f>
        <v>17.390704040129627</v>
      </c>
      <c r="I109">
        <f>sulawesi!J59</f>
        <v>1.6660686593438032</v>
      </c>
      <c r="J109">
        <f>sulawesi!K59</f>
        <v>18.092842026984741</v>
      </c>
      <c r="K109">
        <f>sulawesi!L59</f>
        <v>12.067703956253235</v>
      </c>
      <c r="L109">
        <f>sulawesi!M59</f>
        <v>1.4502256079404467E-2</v>
      </c>
      <c r="M109">
        <f>sulawesi!N59</f>
        <v>0</v>
      </c>
      <c r="N109">
        <f>sulawesi!O59</f>
        <v>0</v>
      </c>
      <c r="O109">
        <f>sulawesi!P59</f>
        <v>0</v>
      </c>
      <c r="P109">
        <f>sulawesi!Q59</f>
        <v>358.33368705688986</v>
      </c>
    </row>
    <row r="110" spans="1:16" x14ac:dyDescent="0.25">
      <c r="A110" t="str">
        <f>sulawesi!B60</f>
        <v>SULAWESI</v>
      </c>
      <c r="B110">
        <f>sulawesi!C60</f>
        <v>2027</v>
      </c>
      <c r="C110">
        <f>sulawesi!D60</f>
        <v>153.66411313676727</v>
      </c>
      <c r="D110">
        <f>sulawesi!E60</f>
        <v>8.8887704621054286</v>
      </c>
      <c r="E110">
        <f>sulawesi!F60</f>
        <v>108.34759258146038</v>
      </c>
      <c r="F110">
        <f>sulawesi!G60</f>
        <v>44.522705486962067</v>
      </c>
      <c r="G110">
        <f>sulawesi!H60</f>
        <v>13.843495211571691</v>
      </c>
      <c r="H110">
        <f>sulawesi!I60</f>
        <v>17.390704040129627</v>
      </c>
      <c r="I110">
        <f>sulawesi!J60</f>
        <v>1.6660686593438032</v>
      </c>
      <c r="J110">
        <f>sulawesi!K60</f>
        <v>18.092842026984741</v>
      </c>
      <c r="K110">
        <f>sulawesi!L60</f>
        <v>16.641841374429735</v>
      </c>
      <c r="L110">
        <f>sulawesi!M60</f>
        <v>1.4502256079404467E-2</v>
      </c>
      <c r="M110">
        <f>sulawesi!N60</f>
        <v>0</v>
      </c>
      <c r="N110">
        <f>sulawesi!O60</f>
        <v>0</v>
      </c>
      <c r="O110">
        <f>sulawesi!P60</f>
        <v>0</v>
      </c>
      <c r="P110">
        <f>sulawesi!Q60</f>
        <v>383.07263523583418</v>
      </c>
    </row>
    <row r="111" spans="1:16" x14ac:dyDescent="0.25">
      <c r="A111" t="str">
        <f>sulawesi!B61</f>
        <v>SULAWESI</v>
      </c>
      <c r="B111">
        <f>sulawesi!C61</f>
        <v>2028</v>
      </c>
      <c r="C111">
        <f>sulawesi!D61</f>
        <v>157.695212862874</v>
      </c>
      <c r="D111">
        <f>sulawesi!E61</f>
        <v>8.8887704621054286</v>
      </c>
      <c r="E111">
        <f>sulawesi!F61</f>
        <v>108.34759258146038</v>
      </c>
      <c r="F111">
        <f>sulawesi!G61</f>
        <v>55.628156924831551</v>
      </c>
      <c r="G111">
        <f>sulawesi!H61</f>
        <v>13.843495211571691</v>
      </c>
      <c r="H111">
        <f>sulawesi!I61</f>
        <v>17.390704040129627</v>
      </c>
      <c r="I111">
        <f>sulawesi!J61</f>
        <v>1.6660686593438032</v>
      </c>
      <c r="J111">
        <f>sulawesi!K61</f>
        <v>18.092842026984741</v>
      </c>
      <c r="K111">
        <f>sulawesi!L61</f>
        <v>16.641841374429735</v>
      </c>
      <c r="L111">
        <f>sulawesi!M61</f>
        <v>1.4502256079404467E-2</v>
      </c>
      <c r="M111">
        <f>sulawesi!N61</f>
        <v>0</v>
      </c>
      <c r="N111">
        <f>sulawesi!O61</f>
        <v>0</v>
      </c>
      <c r="O111">
        <f>sulawesi!P61</f>
        <v>0</v>
      </c>
      <c r="P111">
        <f>sulawesi!Q61</f>
        <v>398.20918639981039</v>
      </c>
    </row>
    <row r="112" spans="1:16" x14ac:dyDescent="0.25">
      <c r="A112" t="str">
        <f>sulawesi!B62</f>
        <v>SULAWESI</v>
      </c>
      <c r="B112">
        <f>sulawesi!C62</f>
        <v>2029</v>
      </c>
      <c r="C112">
        <f>sulawesi!D62</f>
        <v>157.695212862874</v>
      </c>
      <c r="D112">
        <f>sulawesi!E62</f>
        <v>8.8887704621054286</v>
      </c>
      <c r="E112">
        <f>sulawesi!F62</f>
        <v>108.34759258146038</v>
      </c>
      <c r="F112">
        <f>sulawesi!G62</f>
        <v>55.628156924831551</v>
      </c>
      <c r="G112">
        <f>sulawesi!H62</f>
        <v>13.843495211571691</v>
      </c>
      <c r="H112">
        <f>sulawesi!I62</f>
        <v>17.390704040129627</v>
      </c>
      <c r="I112">
        <f>sulawesi!J62</f>
        <v>1.6660686593438032</v>
      </c>
      <c r="J112">
        <f>sulawesi!K62</f>
        <v>18.092842026984741</v>
      </c>
      <c r="K112">
        <f>sulawesi!L62</f>
        <v>16.641841374429735</v>
      </c>
      <c r="L112">
        <f>sulawesi!M62</f>
        <v>1.4502256079404467E-2</v>
      </c>
      <c r="M112">
        <f>sulawesi!N62</f>
        <v>0</v>
      </c>
      <c r="N112">
        <f>sulawesi!O62</f>
        <v>0</v>
      </c>
      <c r="O112">
        <f>sulawesi!P62</f>
        <v>0</v>
      </c>
      <c r="P112">
        <f>sulawesi!Q62</f>
        <v>398.20918639981039</v>
      </c>
    </row>
    <row r="113" spans="1:16" x14ac:dyDescent="0.25">
      <c r="A113" t="str">
        <f>sulawesi!B63</f>
        <v>SULAWESI</v>
      </c>
      <c r="B113">
        <f>sulawesi!C63</f>
        <v>2030</v>
      </c>
      <c r="C113">
        <f>sulawesi!D63</f>
        <v>157.695212862874</v>
      </c>
      <c r="D113">
        <f>sulawesi!E63</f>
        <v>8.8887704621054286</v>
      </c>
      <c r="E113">
        <f>sulawesi!F63</f>
        <v>108.34759258146038</v>
      </c>
      <c r="F113">
        <f>sulawesi!G63</f>
        <v>55.628156924831551</v>
      </c>
      <c r="G113">
        <f>sulawesi!H63</f>
        <v>13.843495211571691</v>
      </c>
      <c r="H113">
        <f>sulawesi!I63</f>
        <v>17.390704040129627</v>
      </c>
      <c r="I113">
        <f>sulawesi!J63</f>
        <v>1.6660686593438032</v>
      </c>
      <c r="J113">
        <f>sulawesi!K63</f>
        <v>18.092842026984741</v>
      </c>
      <c r="K113">
        <f>sulawesi!L63</f>
        <v>16.641841374429735</v>
      </c>
      <c r="L113">
        <f>sulawesi!M63</f>
        <v>1.4502256079404467E-2</v>
      </c>
      <c r="M113">
        <f>sulawesi!N63</f>
        <v>0</v>
      </c>
      <c r="N113">
        <f>sulawesi!O63</f>
        <v>0</v>
      </c>
      <c r="O113">
        <f>sulawesi!P63</f>
        <v>0</v>
      </c>
      <c r="P113">
        <f>sulawesi!Q63</f>
        <v>398.20918639981039</v>
      </c>
    </row>
    <row r="114" spans="1:16" x14ac:dyDescent="0.25">
      <c r="A114" t="str">
        <f>sulawesi!B64</f>
        <v>SULAWESI</v>
      </c>
      <c r="B114">
        <f>sulawesi!C64</f>
        <v>2031</v>
      </c>
      <c r="C114">
        <f>sulawesi!D64</f>
        <v>157.695212862874</v>
      </c>
      <c r="D114">
        <f>sulawesi!E64</f>
        <v>8.8887704621054286</v>
      </c>
      <c r="E114">
        <f>sulawesi!F64</f>
        <v>108.34759258146038</v>
      </c>
      <c r="F114">
        <f>sulawesi!G64</f>
        <v>55.628156924831551</v>
      </c>
      <c r="G114">
        <f>sulawesi!H64</f>
        <v>13.843495211571691</v>
      </c>
      <c r="H114">
        <f>sulawesi!I64</f>
        <v>17.390704040129627</v>
      </c>
      <c r="I114">
        <f>sulawesi!J64</f>
        <v>1.6660686593438032</v>
      </c>
      <c r="J114">
        <f>sulawesi!K64</f>
        <v>18.092842026984741</v>
      </c>
      <c r="K114">
        <f>sulawesi!L64</f>
        <v>16.641841374429735</v>
      </c>
      <c r="L114">
        <f>sulawesi!M64</f>
        <v>1.4502256079404467E-2</v>
      </c>
      <c r="M114">
        <f>sulawesi!N64</f>
        <v>0</v>
      </c>
      <c r="N114">
        <f>sulawesi!O64</f>
        <v>0</v>
      </c>
      <c r="O114">
        <f>sulawesi!P64</f>
        <v>0</v>
      </c>
      <c r="P114">
        <f>sulawesi!Q64</f>
        <v>398.20918639981039</v>
      </c>
    </row>
    <row r="115" spans="1:16" x14ac:dyDescent="0.25">
      <c r="A115" t="str">
        <f>sulawesi!B65</f>
        <v>SULAWESI</v>
      </c>
      <c r="B115">
        <f>sulawesi!C65</f>
        <v>2032</v>
      </c>
      <c r="C115">
        <f>sulawesi!D65</f>
        <v>157.695212862874</v>
      </c>
      <c r="D115">
        <f>sulawesi!E65</f>
        <v>8.8887704621054286</v>
      </c>
      <c r="E115">
        <f>sulawesi!F65</f>
        <v>108.34759258146038</v>
      </c>
      <c r="F115">
        <f>sulawesi!G65</f>
        <v>55.628156924831551</v>
      </c>
      <c r="G115">
        <f>sulawesi!H65</f>
        <v>13.843495211571691</v>
      </c>
      <c r="H115">
        <f>sulawesi!I65</f>
        <v>17.390704040129627</v>
      </c>
      <c r="I115">
        <f>sulawesi!J65</f>
        <v>1.6660686593438032</v>
      </c>
      <c r="J115">
        <f>sulawesi!K65</f>
        <v>18.092842026984741</v>
      </c>
      <c r="K115">
        <f>sulawesi!L65</f>
        <v>16.641841374429735</v>
      </c>
      <c r="L115">
        <f>sulawesi!M65</f>
        <v>1.4502256079404467E-2</v>
      </c>
      <c r="M115">
        <f>sulawesi!N65</f>
        <v>0</v>
      </c>
      <c r="N115">
        <f>sulawesi!O65</f>
        <v>0</v>
      </c>
      <c r="O115">
        <f>sulawesi!P65</f>
        <v>0</v>
      </c>
      <c r="P115">
        <f>sulawesi!Q65</f>
        <v>398.20918639981039</v>
      </c>
    </row>
    <row r="116" spans="1:16" x14ac:dyDescent="0.25">
      <c r="A116" t="str">
        <f>sulawesi!B66</f>
        <v>SULAWESI</v>
      </c>
      <c r="B116">
        <f>sulawesi!C66</f>
        <v>2033</v>
      </c>
      <c r="C116">
        <f>sulawesi!D66</f>
        <v>157.695212862874</v>
      </c>
      <c r="D116">
        <f>sulawesi!E66</f>
        <v>8.8887704621054286</v>
      </c>
      <c r="E116">
        <f>sulawesi!F66</f>
        <v>108.34759258146038</v>
      </c>
      <c r="F116">
        <f>sulawesi!G66</f>
        <v>55.628156924831551</v>
      </c>
      <c r="G116">
        <f>sulawesi!H66</f>
        <v>13.843495211571691</v>
      </c>
      <c r="H116">
        <f>sulawesi!I66</f>
        <v>17.390704040129627</v>
      </c>
      <c r="I116">
        <f>sulawesi!J66</f>
        <v>1.6660686593438032</v>
      </c>
      <c r="J116">
        <f>sulawesi!K66</f>
        <v>18.092842026984741</v>
      </c>
      <c r="K116">
        <f>sulawesi!L66</f>
        <v>16.641841374429735</v>
      </c>
      <c r="L116">
        <f>sulawesi!M66</f>
        <v>1.4502256079404467E-2</v>
      </c>
      <c r="M116">
        <f>sulawesi!N66</f>
        <v>0</v>
      </c>
      <c r="N116">
        <f>sulawesi!O66</f>
        <v>0</v>
      </c>
      <c r="O116">
        <f>sulawesi!P66</f>
        <v>0</v>
      </c>
      <c r="P116">
        <f>sulawesi!Q66</f>
        <v>398.20918639981039</v>
      </c>
    </row>
    <row r="117" spans="1:16" x14ac:dyDescent="0.25">
      <c r="A117" t="str">
        <f>sulawesi!B67</f>
        <v>SULAWESI</v>
      </c>
      <c r="B117">
        <f>sulawesi!C67</f>
        <v>2034</v>
      </c>
      <c r="C117">
        <f>sulawesi!D67</f>
        <v>157.695212862874</v>
      </c>
      <c r="D117">
        <f>sulawesi!E67</f>
        <v>8.8887704621054286</v>
      </c>
      <c r="E117">
        <f>sulawesi!F67</f>
        <v>108.34759258146038</v>
      </c>
      <c r="F117">
        <f>sulawesi!G67</f>
        <v>55.628156924831551</v>
      </c>
      <c r="G117">
        <f>sulawesi!H67</f>
        <v>13.843495211571691</v>
      </c>
      <c r="H117">
        <f>sulawesi!I67</f>
        <v>17.390704040129627</v>
      </c>
      <c r="I117">
        <f>sulawesi!J67</f>
        <v>1.6660686593438032</v>
      </c>
      <c r="J117">
        <f>sulawesi!K67</f>
        <v>18.092842026984741</v>
      </c>
      <c r="K117">
        <f>sulawesi!L67</f>
        <v>16.641841374429735</v>
      </c>
      <c r="L117">
        <f>sulawesi!M67</f>
        <v>1.4502256079404467E-2</v>
      </c>
      <c r="M117">
        <f>sulawesi!N67</f>
        <v>0</v>
      </c>
      <c r="N117">
        <f>sulawesi!O67</f>
        <v>0</v>
      </c>
      <c r="O117">
        <f>sulawesi!P67</f>
        <v>0</v>
      </c>
      <c r="P117">
        <f>sulawesi!Q67</f>
        <v>398.20918639981039</v>
      </c>
    </row>
    <row r="118" spans="1:16" x14ac:dyDescent="0.25">
      <c r="A118" t="str">
        <f>sulawesi!B68</f>
        <v>SULAWESI</v>
      </c>
      <c r="B118">
        <f>sulawesi!C68</f>
        <v>2035</v>
      </c>
      <c r="C118">
        <f>sulawesi!D68</f>
        <v>157.695212862874</v>
      </c>
      <c r="D118">
        <f>sulawesi!E68</f>
        <v>8.8887704621054286</v>
      </c>
      <c r="E118">
        <f>sulawesi!F68</f>
        <v>108.34759258146038</v>
      </c>
      <c r="F118">
        <f>sulawesi!G68</f>
        <v>55.909896729058502</v>
      </c>
      <c r="G118">
        <f>sulawesi!H68</f>
        <v>13.843495211571691</v>
      </c>
      <c r="H118">
        <f>sulawesi!I68</f>
        <v>17.390704040129627</v>
      </c>
      <c r="I118">
        <f>sulawesi!J68</f>
        <v>1.6660686593438032</v>
      </c>
      <c r="J118">
        <f>sulawesi!K68</f>
        <v>18.092842026984741</v>
      </c>
      <c r="K118">
        <f>sulawesi!L68</f>
        <v>16.641841374429735</v>
      </c>
      <c r="L118">
        <f>sulawesi!M68</f>
        <v>1.4502256079404467E-2</v>
      </c>
      <c r="M118">
        <f>sulawesi!N68</f>
        <v>0</v>
      </c>
      <c r="N118">
        <f>sulawesi!O68</f>
        <v>0</v>
      </c>
      <c r="O118">
        <f>sulawesi!P68</f>
        <v>0</v>
      </c>
      <c r="P118">
        <f>sulawesi!Q68</f>
        <v>398.49092620403735</v>
      </c>
    </row>
    <row r="119" spans="1:16" x14ac:dyDescent="0.25">
      <c r="A119" t="str">
        <f>sulawesi!B69</f>
        <v>SULAWESI</v>
      </c>
      <c r="B119">
        <f>sulawesi!C69</f>
        <v>2036</v>
      </c>
      <c r="C119">
        <f>sulawesi!D69</f>
        <v>157.695212862874</v>
      </c>
      <c r="D119">
        <f>sulawesi!E69</f>
        <v>8.8887704621054286</v>
      </c>
      <c r="E119">
        <f>sulawesi!F69</f>
        <v>114.4420257964248</v>
      </c>
      <c r="F119">
        <f>sulawesi!G69</f>
        <v>60.831393973543229</v>
      </c>
      <c r="G119">
        <f>sulawesi!H69</f>
        <v>13.843495211571691</v>
      </c>
      <c r="H119">
        <f>sulawesi!I69</f>
        <v>17.390704040129627</v>
      </c>
      <c r="I119">
        <f>sulawesi!J69</f>
        <v>1.6660686593438032</v>
      </c>
      <c r="J119">
        <f>sulawesi!K69</f>
        <v>18.092842026984741</v>
      </c>
      <c r="K119">
        <f>sulawesi!L69</f>
        <v>19.524069590435531</v>
      </c>
      <c r="L119">
        <f>sulawesi!M69</f>
        <v>1.4502256079404467E-2</v>
      </c>
      <c r="M119">
        <f>sulawesi!N69</f>
        <v>0</v>
      </c>
      <c r="N119">
        <f>sulawesi!O69</f>
        <v>0</v>
      </c>
      <c r="O119">
        <f>sulawesi!P69</f>
        <v>0</v>
      </c>
      <c r="P119">
        <f>sulawesi!Q69</f>
        <v>412.38908487949226</v>
      </c>
    </row>
    <row r="120" spans="1:16" x14ac:dyDescent="0.25">
      <c r="A120" t="str">
        <f>sulawesi!B70</f>
        <v>SULAWESI</v>
      </c>
      <c r="B120">
        <f>sulawesi!C70</f>
        <v>2037</v>
      </c>
      <c r="C120">
        <f>sulawesi!D70</f>
        <v>166.7500634896449</v>
      </c>
      <c r="D120">
        <f>sulawesi!E70</f>
        <v>8.8887704621054286</v>
      </c>
      <c r="E120">
        <f>sulawesi!F70</f>
        <v>127.15673602281379</v>
      </c>
      <c r="F120">
        <f>sulawesi!G70</f>
        <v>63.235155965935085</v>
      </c>
      <c r="G120">
        <f>sulawesi!H70</f>
        <v>13.843495211571691</v>
      </c>
      <c r="H120">
        <f>sulawesi!I70</f>
        <v>17.390704040129627</v>
      </c>
      <c r="I120">
        <f>sulawesi!J70</f>
        <v>1.6660686593438032</v>
      </c>
      <c r="J120">
        <f>sulawesi!K70</f>
        <v>18.092842026984741</v>
      </c>
      <c r="K120">
        <f>sulawesi!L70</f>
        <v>24.881012995917398</v>
      </c>
      <c r="L120">
        <f>sulawesi!M70</f>
        <v>1.4502256079404467E-2</v>
      </c>
      <c r="M120">
        <f>sulawesi!N70</f>
        <v>0</v>
      </c>
      <c r="N120">
        <f>sulawesi!O70</f>
        <v>0</v>
      </c>
      <c r="O120">
        <f>sulawesi!P70</f>
        <v>0</v>
      </c>
      <c r="P120">
        <f>sulawesi!Q70</f>
        <v>441.91935113052585</v>
      </c>
    </row>
    <row r="121" spans="1:16" x14ac:dyDescent="0.25">
      <c r="A121" t="str">
        <f>sulawesi!B71</f>
        <v>SULAWESI</v>
      </c>
      <c r="B121">
        <f>sulawesi!C71</f>
        <v>2038</v>
      </c>
      <c r="C121">
        <f>sulawesi!D71</f>
        <v>179.75354322400827</v>
      </c>
      <c r="D121">
        <f>sulawesi!E71</f>
        <v>8.8887704621054286</v>
      </c>
      <c r="E121">
        <f>sulawesi!F71</f>
        <v>138.46147628869093</v>
      </c>
      <c r="F121">
        <f>sulawesi!G71</f>
        <v>63.235155965935085</v>
      </c>
      <c r="G121">
        <f>sulawesi!H71</f>
        <v>13.843495211571691</v>
      </c>
      <c r="H121">
        <f>sulawesi!I71</f>
        <v>17.390704040129627</v>
      </c>
      <c r="I121">
        <f>sulawesi!J71</f>
        <v>1.6660686593438032</v>
      </c>
      <c r="J121">
        <f>sulawesi!K71</f>
        <v>18.092842026984741</v>
      </c>
      <c r="K121">
        <f>sulawesi!L71</f>
        <v>33.314169915793592</v>
      </c>
      <c r="L121">
        <f>sulawesi!M71</f>
        <v>1.4502256079404467E-2</v>
      </c>
      <c r="M121">
        <f>sulawesi!N71</f>
        <v>0</v>
      </c>
      <c r="N121">
        <f>sulawesi!O71</f>
        <v>0</v>
      </c>
      <c r="O121">
        <f>sulawesi!P71</f>
        <v>0</v>
      </c>
      <c r="P121">
        <f>sulawesi!Q71</f>
        <v>474.66072805064249</v>
      </c>
    </row>
    <row r="122" spans="1:16" x14ac:dyDescent="0.25">
      <c r="A122" t="str">
        <f>maluku_papua!B52</f>
        <v>MALUKU_PAPUA</v>
      </c>
      <c r="B122">
        <f>maluku_papua!C52</f>
        <v>2019</v>
      </c>
      <c r="C122">
        <f>maluku_papua!D52</f>
        <v>12.596076496551724</v>
      </c>
      <c r="D122">
        <f>maluku_papua!E52</f>
        <v>0.12069287430625449</v>
      </c>
      <c r="E122">
        <f>maluku_papua!F52</f>
        <v>0</v>
      </c>
      <c r="F122">
        <f>maluku_papua!G52</f>
        <v>34.926557496080264</v>
      </c>
      <c r="G122">
        <f>maluku_papua!H52</f>
        <v>0</v>
      </c>
      <c r="H122">
        <f>maluku_papua!I52</f>
        <v>0.50114539390445345</v>
      </c>
      <c r="I122">
        <f>maluku_papua!J52</f>
        <v>0</v>
      </c>
      <c r="J122">
        <f>maluku_papua!K52</f>
        <v>4.2450609600000008E-2</v>
      </c>
      <c r="K122">
        <f>maluku_papua!L52</f>
        <v>0</v>
      </c>
      <c r="L122">
        <f>maluku_papua!M52</f>
        <v>0</v>
      </c>
      <c r="M122">
        <f>maluku_papua!N52</f>
        <v>0</v>
      </c>
      <c r="N122">
        <f>maluku_papua!O52</f>
        <v>0</v>
      </c>
      <c r="O122">
        <f>maluku_papua!P52</f>
        <v>0</v>
      </c>
      <c r="P122">
        <f>maluku_papua!Q52</f>
        <v>48.186922870442693</v>
      </c>
    </row>
    <row r="123" spans="1:16" x14ac:dyDescent="0.25">
      <c r="A123" t="str">
        <f>maluku_papua!B53</f>
        <v>MALUKU_PAPUA</v>
      </c>
      <c r="B123">
        <f>maluku_papua!C53</f>
        <v>2020</v>
      </c>
      <c r="C123">
        <f>maluku_papua!D53</f>
        <v>12.596076496551724</v>
      </c>
      <c r="D123">
        <f>maluku_papua!E53</f>
        <v>0.12069284413303601</v>
      </c>
      <c r="E123">
        <f>maluku_papua!F53</f>
        <v>4.1958670510328977</v>
      </c>
      <c r="F123">
        <f>maluku_papua!G53</f>
        <v>34.926557496080264</v>
      </c>
      <c r="G123">
        <f>maluku_papua!H53</f>
        <v>0</v>
      </c>
      <c r="H123">
        <f>maluku_papua!I53</f>
        <v>0.50114539390445345</v>
      </c>
      <c r="I123">
        <f>maluku_papua!J53</f>
        <v>0</v>
      </c>
      <c r="J123">
        <f>maluku_papua!K53</f>
        <v>4.2450602977440008E-2</v>
      </c>
      <c r="K123">
        <f>maluku_papua!L53</f>
        <v>0</v>
      </c>
      <c r="L123">
        <f>maluku_papua!M53</f>
        <v>0</v>
      </c>
      <c r="M123">
        <f>maluku_papua!N53</f>
        <v>-3.5999999999970664E-9</v>
      </c>
      <c r="N123">
        <f>maluku_papua!O53</f>
        <v>0</v>
      </c>
      <c r="O123">
        <f>maluku_papua!P53</f>
        <v>0</v>
      </c>
      <c r="P123">
        <f>maluku_papua!Q53</f>
        <v>52.382789881079809</v>
      </c>
    </row>
    <row r="124" spans="1:16" x14ac:dyDescent="0.25">
      <c r="A124" t="str">
        <f>maluku_papua!B54</f>
        <v>MALUKU_PAPUA</v>
      </c>
      <c r="B124">
        <f>maluku_papua!C54</f>
        <v>2021</v>
      </c>
      <c r="C124">
        <f>maluku_papua!D54</f>
        <v>12.596076496551724</v>
      </c>
      <c r="D124">
        <f>maluku_papua!E54</f>
        <v>0.12069281395981744</v>
      </c>
      <c r="E124">
        <f>maluku_papua!F54</f>
        <v>8.6728571906315821</v>
      </c>
      <c r="F124">
        <f>maluku_papua!G54</f>
        <v>34.926557496080264</v>
      </c>
      <c r="G124">
        <f>maluku_papua!H54</f>
        <v>-5.8219113738729918E-16</v>
      </c>
      <c r="H124">
        <f>maluku_papua!I54</f>
        <v>0.50115389661138454</v>
      </c>
      <c r="I124">
        <f>maluku_papua!J54</f>
        <v>2.0112899809042024</v>
      </c>
      <c r="J124">
        <f>maluku_papua!K54</f>
        <v>2.2553612463713599</v>
      </c>
      <c r="K124">
        <f>maluku_papua!L54</f>
        <v>0.41139282554724649</v>
      </c>
      <c r="L124">
        <f>maluku_papua!M54</f>
        <v>0</v>
      </c>
      <c r="M124">
        <f>maluku_papua!N54</f>
        <v>2.6212748167076128E-3</v>
      </c>
      <c r="N124">
        <f>maluku_papua!O54</f>
        <v>0</v>
      </c>
      <c r="O124">
        <f>maluku_papua!P54</f>
        <v>0</v>
      </c>
      <c r="P124">
        <f>maluku_papua!Q54</f>
        <v>61.498003221474292</v>
      </c>
    </row>
    <row r="125" spans="1:16" x14ac:dyDescent="0.25">
      <c r="A125" t="str">
        <f>maluku_papua!B55</f>
        <v>MALUKU_PAPUA</v>
      </c>
      <c r="B125">
        <f>maluku_papua!C55</f>
        <v>2022</v>
      </c>
      <c r="C125">
        <f>maluku_papua!D55</f>
        <v>13.470310104516907</v>
      </c>
      <c r="D125">
        <f>maluku_papua!E55</f>
        <v>0.12069278378659895</v>
      </c>
      <c r="E125">
        <f>maluku_papua!F55</f>
        <v>12.045963846906382</v>
      </c>
      <c r="F125">
        <f>maluku_papua!G55</f>
        <v>34.926557496080264</v>
      </c>
      <c r="G125">
        <f>maluku_papua!H55</f>
        <v>0</v>
      </c>
      <c r="H125">
        <f>maluku_papua!I55</f>
        <v>0.83027704558096938</v>
      </c>
      <c r="I125">
        <f>maluku_papua!J55</f>
        <v>2.8493748029954244</v>
      </c>
      <c r="J125">
        <f>maluku_papua!K55</f>
        <v>2.3090778327166097</v>
      </c>
      <c r="K125">
        <f>maluku_papua!L55</f>
        <v>0.5614889143748063</v>
      </c>
      <c r="L125">
        <f>maluku_papua!M55</f>
        <v>0</v>
      </c>
      <c r="M125">
        <f>maluku_papua!N55</f>
        <v>3.0157009181347194E-3</v>
      </c>
      <c r="N125">
        <f>maluku_papua!O55</f>
        <v>0</v>
      </c>
      <c r="O125">
        <f>maluku_papua!P55</f>
        <v>0</v>
      </c>
      <c r="P125">
        <f>maluku_papua!Q55</f>
        <v>67.116758527876101</v>
      </c>
    </row>
    <row r="126" spans="1:16" x14ac:dyDescent="0.25">
      <c r="A126" t="str">
        <f>maluku_papua!B56</f>
        <v>MALUKU_PAPUA</v>
      </c>
      <c r="B126">
        <f>maluku_papua!C56</f>
        <v>2023</v>
      </c>
      <c r="C126">
        <f>maluku_papua!D56</f>
        <v>15.828601134781856</v>
      </c>
      <c r="D126">
        <f>maluku_papua!E56</f>
        <v>0.12069278378659895</v>
      </c>
      <c r="E126">
        <f>maluku_papua!F56</f>
        <v>13.356030937014088</v>
      </c>
      <c r="F126">
        <f>maluku_papua!G56</f>
        <v>34.926557496080264</v>
      </c>
      <c r="G126">
        <f>maluku_papua!H56</f>
        <v>-5.8219124731758072E-16</v>
      </c>
      <c r="H126">
        <f>maluku_papua!I56</f>
        <v>0.83933461248077224</v>
      </c>
      <c r="I126">
        <f>maluku_papua!J56</f>
        <v>2.8494671789060377</v>
      </c>
      <c r="J126">
        <f>maluku_papua!K56</f>
        <v>2.3514219513500394</v>
      </c>
      <c r="K126">
        <f>maluku_papua!L56</f>
        <v>1.7113863050630906</v>
      </c>
      <c r="L126">
        <f>maluku_papua!M56</f>
        <v>0</v>
      </c>
      <c r="M126">
        <f>maluku_papua!N56</f>
        <v>3.0743567187536129E-3</v>
      </c>
      <c r="N126">
        <f>maluku_papua!O56</f>
        <v>0</v>
      </c>
      <c r="O126">
        <f>maluku_papua!P56</f>
        <v>0</v>
      </c>
      <c r="P126">
        <f>maluku_papua!Q56</f>
        <v>71.986566756181489</v>
      </c>
    </row>
    <row r="127" spans="1:16" x14ac:dyDescent="0.25">
      <c r="A127" t="str">
        <f>maluku_papua!B57</f>
        <v>MALUKU_PAPUA</v>
      </c>
      <c r="B127">
        <f>maluku_papua!C57</f>
        <v>2024</v>
      </c>
      <c r="C127">
        <f>maluku_papua!D57</f>
        <v>18.299617743914979</v>
      </c>
      <c r="D127">
        <f>maluku_papua!E57</f>
        <v>0.12069275361338036</v>
      </c>
      <c r="E127">
        <f>maluku_papua!F57</f>
        <v>14.826582901532571</v>
      </c>
      <c r="F127">
        <f>maluku_papua!G57</f>
        <v>34.926557496080264</v>
      </c>
      <c r="G127">
        <f>maluku_papua!H57</f>
        <v>-2.6666666531998792E-8</v>
      </c>
      <c r="H127">
        <f>maluku_papua!I57</f>
        <v>1.062731922633857</v>
      </c>
      <c r="I127">
        <f>maluku_papua!J57</f>
        <v>4.1924041139361465</v>
      </c>
      <c r="J127">
        <f>maluku_papua!K57</f>
        <v>2.3514219513500394</v>
      </c>
      <c r="K127">
        <f>maluku_papua!L57</f>
        <v>1.8003619094788643</v>
      </c>
      <c r="L127">
        <f>maluku_papua!M57</f>
        <v>0</v>
      </c>
      <c r="M127">
        <f>maluku_papua!N57</f>
        <v>3.0743567187536129E-3</v>
      </c>
      <c r="N127">
        <f>maluku_papua!O57</f>
        <v>0</v>
      </c>
      <c r="O127">
        <f>maluku_papua!P57</f>
        <v>0</v>
      </c>
      <c r="P127">
        <f>maluku_papua!Q57</f>
        <v>77.583445122592195</v>
      </c>
    </row>
    <row r="128" spans="1:16" x14ac:dyDescent="0.25">
      <c r="A128" t="str">
        <f>maluku_papua!B58</f>
        <v>MALUKU_PAPUA</v>
      </c>
      <c r="B128">
        <f>maluku_papua!C58</f>
        <v>2025</v>
      </c>
      <c r="C128">
        <f>maluku_papua!D58</f>
        <v>20.883576756435385</v>
      </c>
      <c r="D128">
        <f>maluku_papua!E58</f>
        <v>0.12069272344016184</v>
      </c>
      <c r="E128">
        <f>maluku_papua!F58</f>
        <v>16.480152084902979</v>
      </c>
      <c r="F128">
        <f>maluku_papua!G58</f>
        <v>34.926557496080264</v>
      </c>
      <c r="G128">
        <f>maluku_papua!H58</f>
        <v>-2.6666666531998792E-8</v>
      </c>
      <c r="H128">
        <f>maluku_papua!I58</f>
        <v>2.0578169128531045</v>
      </c>
      <c r="I128">
        <f>maluku_papua!J58</f>
        <v>4.3635562141934745</v>
      </c>
      <c r="J128">
        <f>maluku_papua!K58</f>
        <v>2.5089942679656581</v>
      </c>
      <c r="K128">
        <f>maluku_papua!L58</f>
        <v>2.1375750500214319</v>
      </c>
      <c r="L128">
        <f>maluku_papua!M58</f>
        <v>0</v>
      </c>
      <c r="M128">
        <f>maluku_papua!N58</f>
        <v>3.0745189839207756E-3</v>
      </c>
      <c r="N128">
        <f>maluku_papua!O58</f>
        <v>0</v>
      </c>
      <c r="O128">
        <f>maluku_papua!P58</f>
        <v>0</v>
      </c>
      <c r="P128">
        <f>maluku_papua!Q58</f>
        <v>83.481995998209712</v>
      </c>
    </row>
    <row r="129" spans="1:16" x14ac:dyDescent="0.25">
      <c r="A129" t="str">
        <f>maluku_papua!B59</f>
        <v>MALUKU_PAPUA</v>
      </c>
      <c r="B129">
        <f>maluku_papua!C59</f>
        <v>2026</v>
      </c>
      <c r="C129">
        <f>maluku_papua!D59</f>
        <v>23.862981852374666</v>
      </c>
      <c r="D129">
        <f>maluku_papua!E59</f>
        <v>0.12069272344016184</v>
      </c>
      <c r="E129">
        <f>maluku_papua!F59</f>
        <v>17.887508157411688</v>
      </c>
      <c r="F129">
        <f>maluku_papua!G59</f>
        <v>34.926557496080264</v>
      </c>
      <c r="G129">
        <f>maluku_papua!H59</f>
        <v>0</v>
      </c>
      <c r="H129">
        <f>maluku_papua!I59</f>
        <v>2.3072045309852514</v>
      </c>
      <c r="I129">
        <f>maluku_papua!J59</f>
        <v>4.8675402857244823</v>
      </c>
      <c r="J129">
        <f>maluku_papua!K59</f>
        <v>2.5424994190644599</v>
      </c>
      <c r="K129">
        <f>maluku_papua!L59</f>
        <v>2.2465796693633155</v>
      </c>
      <c r="L129">
        <f>maluku_papua!M59</f>
        <v>0</v>
      </c>
      <c r="M129">
        <f>maluku_papua!N59</f>
        <v>3.6549610143269788E-3</v>
      </c>
      <c r="N129">
        <f>maluku_papua!O59</f>
        <v>0</v>
      </c>
      <c r="O129">
        <f>maluku_papua!P59</f>
        <v>0</v>
      </c>
      <c r="P129">
        <f>maluku_papua!Q59</f>
        <v>88.765219095458619</v>
      </c>
    </row>
    <row r="130" spans="1:16" x14ac:dyDescent="0.25">
      <c r="A130" t="str">
        <f>maluku_papua!B60</f>
        <v>MALUKU_PAPUA</v>
      </c>
      <c r="B130">
        <f>maluku_papua!C60</f>
        <v>2027</v>
      </c>
      <c r="C130">
        <f>maluku_papua!D60</f>
        <v>27.022155379070643</v>
      </c>
      <c r="D130">
        <f>maluku_papua!E60</f>
        <v>0.12069269326694325</v>
      </c>
      <c r="E130">
        <f>maluku_papua!F60</f>
        <v>19.421034936407501</v>
      </c>
      <c r="F130">
        <f>maluku_papua!G60</f>
        <v>34.926557496080264</v>
      </c>
      <c r="G130">
        <f>maluku_papua!H60</f>
        <v>-5.8219320316050625E-16</v>
      </c>
      <c r="H130">
        <f>maluku_papua!I60</f>
        <v>2.6699898618128728</v>
      </c>
      <c r="I130">
        <f>maluku_papua!J60</f>
        <v>5.318400299798073</v>
      </c>
      <c r="J130">
        <f>maluku_papua!K60</f>
        <v>2.5426131724179175</v>
      </c>
      <c r="K130">
        <f>maluku_papua!L60</f>
        <v>2.3902943278778586</v>
      </c>
      <c r="L130">
        <f>maluku_papua!M60</f>
        <v>0</v>
      </c>
      <c r="M130">
        <f>maluku_papua!N60</f>
        <v>5.1011019597938167E-3</v>
      </c>
      <c r="N130">
        <f>maluku_papua!O60</f>
        <v>0</v>
      </c>
      <c r="O130">
        <f>maluku_papua!P60</f>
        <v>0</v>
      </c>
      <c r="P130">
        <f>maluku_papua!Q60</f>
        <v>94.416839268691859</v>
      </c>
    </row>
    <row r="131" spans="1:16" x14ac:dyDescent="0.25">
      <c r="A131" t="str">
        <f>maluku_papua!B61</f>
        <v>MALUKU_PAPUA</v>
      </c>
      <c r="B131">
        <f>maluku_papua!C61</f>
        <v>2028</v>
      </c>
      <c r="C131">
        <f>maluku_papua!D61</f>
        <v>30.371121135726515</v>
      </c>
      <c r="D131">
        <f>maluku_papua!E61</f>
        <v>0.12069266309372469</v>
      </c>
      <c r="E131">
        <f>maluku_papua!F61</f>
        <v>21.092430638200845</v>
      </c>
      <c r="F131">
        <f>maluku_papua!G61</f>
        <v>34.926557496080264</v>
      </c>
      <c r="G131">
        <f>maluku_papua!H61</f>
        <v>-5.8219320316050625E-16</v>
      </c>
      <c r="H131">
        <f>maluku_papua!I61</f>
        <v>2.6699899119282833</v>
      </c>
      <c r="I131">
        <f>maluku_papua!J61</f>
        <v>5.3184003660022263</v>
      </c>
      <c r="J131">
        <f>maluku_papua!K61</f>
        <v>2.7758199494275924</v>
      </c>
      <c r="K131">
        <f>maluku_papua!L61</f>
        <v>3.0805024912413601</v>
      </c>
      <c r="L131">
        <f>maluku_papua!M61</f>
        <v>0</v>
      </c>
      <c r="M131">
        <f>maluku_papua!N61</f>
        <v>5.7294829991501178E-3</v>
      </c>
      <c r="N131">
        <f>maluku_papua!O61</f>
        <v>0</v>
      </c>
      <c r="O131">
        <f>maluku_papua!P61</f>
        <v>0</v>
      </c>
      <c r="P131">
        <f>maluku_papua!Q61</f>
        <v>100.36124413469994</v>
      </c>
    </row>
    <row r="132" spans="1:16" x14ac:dyDescent="0.25">
      <c r="A132" t="str">
        <f>maluku_papua!B62</f>
        <v>MALUKU_PAPUA</v>
      </c>
      <c r="B132">
        <f>maluku_papua!C62</f>
        <v>2029</v>
      </c>
      <c r="C132">
        <f>maluku_papua!D62</f>
        <v>33.92039613156588</v>
      </c>
      <c r="D132">
        <f>maluku_papua!E62</f>
        <v>0.12069266309372469</v>
      </c>
      <c r="E132">
        <f>maluku_papua!F62</f>
        <v>22.914463710972829</v>
      </c>
      <c r="F132">
        <f>maluku_papua!G62</f>
        <v>34.926557496080264</v>
      </c>
      <c r="G132">
        <f>maluku_papua!H62</f>
        <v>0</v>
      </c>
      <c r="H132">
        <f>maluku_papua!I62</f>
        <v>2.971732685591038</v>
      </c>
      <c r="I132">
        <f>maluku_papua!J62</f>
        <v>5.9816326960546009</v>
      </c>
      <c r="J132">
        <f>maluku_papua!K62</f>
        <v>2.8250811794597728</v>
      </c>
      <c r="K132">
        <f>maluku_papua!L62</f>
        <v>3.2180511618584613</v>
      </c>
      <c r="L132">
        <f>maluku_papua!M62</f>
        <v>0</v>
      </c>
      <c r="M132">
        <f>maluku_papua!N62</f>
        <v>5.7296310263986946E-3</v>
      </c>
      <c r="N132">
        <f>maluku_papua!O62</f>
        <v>0</v>
      </c>
      <c r="O132">
        <f>maluku_papua!P62</f>
        <v>0</v>
      </c>
      <c r="P132">
        <f>maluku_papua!Q62</f>
        <v>106.88433735570297</v>
      </c>
    </row>
    <row r="133" spans="1:16" x14ac:dyDescent="0.25">
      <c r="A133" t="str">
        <f>maluku_papua!B63</f>
        <v>MALUKU_PAPUA</v>
      </c>
      <c r="B133">
        <f>maluku_papua!C63</f>
        <v>2030</v>
      </c>
      <c r="C133">
        <f>maluku_papua!D63</f>
        <v>37.680995425744705</v>
      </c>
      <c r="D133">
        <f>maluku_papua!E63</f>
        <v>0.12069266309372469</v>
      </c>
      <c r="E133">
        <f>maluku_papua!F63</f>
        <v>24.901089893023958</v>
      </c>
      <c r="F133">
        <f>maluku_papua!G63</f>
        <v>34.926557496080264</v>
      </c>
      <c r="G133">
        <f>maluku_papua!H63</f>
        <v>-2.6666666410888568E-8</v>
      </c>
      <c r="H133">
        <f>maluku_papua!I63</f>
        <v>2.971732685591038</v>
      </c>
      <c r="I133">
        <f>maluku_papua!J63</f>
        <v>7.2439485635626273</v>
      </c>
      <c r="J133">
        <f>maluku_papua!K63</f>
        <v>2.9057939583929002</v>
      </c>
      <c r="K133">
        <f>maluku_papua!L63</f>
        <v>3.2180511673944854</v>
      </c>
      <c r="L133">
        <f>maluku_papua!M63</f>
        <v>0</v>
      </c>
      <c r="M133">
        <f>maluku_papua!N63</f>
        <v>6.3930713462288296E-3</v>
      </c>
      <c r="N133">
        <f>maluku_papua!O63</f>
        <v>0</v>
      </c>
      <c r="O133">
        <f>maluku_papua!P63</f>
        <v>0</v>
      </c>
      <c r="P133">
        <f>maluku_papua!Q63</f>
        <v>113.97525489756326</v>
      </c>
    </row>
    <row r="134" spans="1:16" x14ac:dyDescent="0.25">
      <c r="A134" t="str">
        <f>maluku_papua!B64</f>
        <v>MALUKU_PAPUA</v>
      </c>
      <c r="B134">
        <f>maluku_papua!C64</f>
        <v>2031</v>
      </c>
      <c r="C134">
        <f>maluku_papua!D64</f>
        <v>41.664445228820654</v>
      </c>
      <c r="D134">
        <f>maluku_papua!E64</f>
        <v>0.12069266309372469</v>
      </c>
      <c r="E134">
        <f>maluku_papua!F64</f>
        <v>27.0675642103255</v>
      </c>
      <c r="F134">
        <f>maluku_papua!G64</f>
        <v>34.926557496080264</v>
      </c>
      <c r="G134">
        <f>maluku_papua!H64</f>
        <v>0</v>
      </c>
      <c r="H134">
        <f>maluku_papua!I64</f>
        <v>3.3933284596891027</v>
      </c>
      <c r="I134">
        <f>maluku_papua!J64</f>
        <v>7.9154447308828209</v>
      </c>
      <c r="J134">
        <f>maluku_papua!K64</f>
        <v>2.9057939583929002</v>
      </c>
      <c r="K134">
        <f>maluku_papua!L64</f>
        <v>3.4665645624407135</v>
      </c>
      <c r="L134">
        <f>maluku_papua!M64</f>
        <v>0</v>
      </c>
      <c r="M134">
        <f>maluku_papua!N64</f>
        <v>6.3930713462288296E-3</v>
      </c>
      <c r="N134">
        <f>maluku_papua!O64</f>
        <v>0</v>
      </c>
      <c r="O134">
        <f>maluku_papua!P64</f>
        <v>0</v>
      </c>
      <c r="P134">
        <f>maluku_papua!Q64</f>
        <v>121.4667843810719</v>
      </c>
    </row>
    <row r="135" spans="1:16" x14ac:dyDescent="0.25">
      <c r="A135" t="str">
        <f>maluku_papua!B65</f>
        <v>MALUKU_PAPUA</v>
      </c>
      <c r="B135">
        <f>maluku_papua!C65</f>
        <v>2032</v>
      </c>
      <c r="C135">
        <f>maluku_papua!D65</f>
        <v>45.882795524202628</v>
      </c>
      <c r="D135">
        <f>maluku_papua!E65</f>
        <v>0.12069266309372469</v>
      </c>
      <c r="E135">
        <f>maluku_papua!F65</f>
        <v>29.430562791098986</v>
      </c>
      <c r="F135">
        <f>maluku_papua!G65</f>
        <v>34.926557496080264</v>
      </c>
      <c r="G135">
        <f>maluku_papua!H65</f>
        <v>-5.8219123815672382E-16</v>
      </c>
      <c r="H135">
        <f>maluku_papua!I65</f>
        <v>3.393372362358209</v>
      </c>
      <c r="I135">
        <f>maluku_papua!J65</f>
        <v>9.3739653949314441</v>
      </c>
      <c r="J135">
        <f>maluku_papua!K65</f>
        <v>2.9116243786376046</v>
      </c>
      <c r="K135">
        <f>maluku_papua!L65</f>
        <v>3.5830880171316641</v>
      </c>
      <c r="L135">
        <f>maluku_papua!M65</f>
        <v>0</v>
      </c>
      <c r="M135">
        <f>maluku_papua!N65</f>
        <v>6.9354851220368285E-3</v>
      </c>
      <c r="N135">
        <f>maluku_papua!O65</f>
        <v>0</v>
      </c>
      <c r="O135">
        <f>maluku_papua!P65</f>
        <v>0</v>
      </c>
      <c r="P135">
        <f>maluku_papua!Q65</f>
        <v>129.62959411265655</v>
      </c>
    </row>
    <row r="136" spans="1:16" x14ac:dyDescent="0.25">
      <c r="A136" t="str">
        <f>maluku_papua!B66</f>
        <v>MALUKU_PAPUA</v>
      </c>
      <c r="B136">
        <f>maluku_papua!C66</f>
        <v>2033</v>
      </c>
      <c r="C136">
        <f>maluku_papua!D66</f>
        <v>50.348630929994947</v>
      </c>
      <c r="D136">
        <f>maluku_papua!E66</f>
        <v>0.12069266309372469</v>
      </c>
      <c r="E136">
        <f>maluku_papua!F66</f>
        <v>32.008316987816968</v>
      </c>
      <c r="F136">
        <f>maluku_papua!G66</f>
        <v>34.926557496080264</v>
      </c>
      <c r="G136">
        <f>maluku_papua!H66</f>
        <v>-2.6666666531998782E-8</v>
      </c>
      <c r="H136">
        <f>maluku_papua!I66</f>
        <v>3.5023199184861418</v>
      </c>
      <c r="I136">
        <f>maluku_papua!J66</f>
        <v>10.873890409555653</v>
      </c>
      <c r="J136">
        <f>maluku_papua!K66</f>
        <v>2.9119561031718328</v>
      </c>
      <c r="K136">
        <f>maluku_papua!L66</f>
        <v>3.6813057692729805</v>
      </c>
      <c r="L136">
        <f>maluku_papua!M66</f>
        <v>0</v>
      </c>
      <c r="M136">
        <f>maluku_papua!N66</f>
        <v>7.5359304132695815E-3</v>
      </c>
      <c r="N136">
        <f>maluku_papua!O66</f>
        <v>0</v>
      </c>
      <c r="O136">
        <f>maluku_papua!P66</f>
        <v>0</v>
      </c>
      <c r="P136">
        <f>maluku_papua!Q66</f>
        <v>138.38120618121908</v>
      </c>
    </row>
    <row r="137" spans="1:16" x14ac:dyDescent="0.25">
      <c r="A137" t="str">
        <f>maluku_papua!B67</f>
        <v>MALUKU_PAPUA</v>
      </c>
      <c r="B137">
        <f>maluku_papua!C67</f>
        <v>2034</v>
      </c>
      <c r="C137">
        <f>maluku_papua!D67</f>
        <v>55.07508012469696</v>
      </c>
      <c r="D137">
        <f>maluku_papua!E67</f>
        <v>0.12069263292050614</v>
      </c>
      <c r="E137">
        <f>maluku_papua!F67</f>
        <v>34.820759990312176</v>
      </c>
      <c r="F137">
        <f>maluku_papua!G67</f>
        <v>34.926557496080264</v>
      </c>
      <c r="G137">
        <f>maluku_papua!H67</f>
        <v>0</v>
      </c>
      <c r="H137">
        <f>maluku_papua!I67</f>
        <v>3.9868950807166725</v>
      </c>
      <c r="I137">
        <f>maluku_papua!J67</f>
        <v>11.46577489305062</v>
      </c>
      <c r="J137">
        <f>maluku_papua!K67</f>
        <v>2.9145834252813603</v>
      </c>
      <c r="K137">
        <f>maluku_papua!L67</f>
        <v>4.2698636342887042</v>
      </c>
      <c r="L137">
        <f>maluku_papua!M67</f>
        <v>0</v>
      </c>
      <c r="M137">
        <f>maluku_papua!N67</f>
        <v>8.0783395607025126E-3</v>
      </c>
      <c r="N137">
        <f>maluku_papua!O67</f>
        <v>0</v>
      </c>
      <c r="O137">
        <f>maluku_papua!P67</f>
        <v>0</v>
      </c>
      <c r="P137">
        <f>maluku_papua!Q67</f>
        <v>147.58828561690797</v>
      </c>
    </row>
    <row r="138" spans="1:16" x14ac:dyDescent="0.25">
      <c r="A138" t="str">
        <f>maluku_papua!B68</f>
        <v>MALUKU_PAPUA</v>
      </c>
      <c r="B138">
        <f>maluku_papua!C68</f>
        <v>2035</v>
      </c>
      <c r="C138">
        <f>maluku_papua!D68</f>
        <v>60.21287047935369</v>
      </c>
      <c r="D138">
        <f>maluku_papua!E68</f>
        <v>0.12069260274728764</v>
      </c>
      <c r="E138">
        <f>maluku_papua!F68</f>
        <v>37.669617385552137</v>
      </c>
      <c r="F138">
        <f>maluku_papua!G68</f>
        <v>34.926557496080264</v>
      </c>
      <c r="G138">
        <f>maluku_papua!H68</f>
        <v>-2.6666666257194893E-8</v>
      </c>
      <c r="H138">
        <f>maluku_papua!I68</f>
        <v>4.1262578807955528</v>
      </c>
      <c r="I138">
        <f>maluku_papua!J68</f>
        <v>13.340842267032169</v>
      </c>
      <c r="J138">
        <f>maluku_papua!K68</f>
        <v>2.9145834252813603</v>
      </c>
      <c r="K138">
        <f>maluku_papua!L68</f>
        <v>4.2698636342887042</v>
      </c>
      <c r="L138">
        <f>maluku_papua!M68</f>
        <v>0</v>
      </c>
      <c r="M138">
        <f>maluku_papua!N68</f>
        <v>8.5241907434424006E-3</v>
      </c>
      <c r="N138">
        <f>maluku_papua!O68</f>
        <v>0</v>
      </c>
      <c r="O138">
        <f>maluku_papua!P68</f>
        <v>0</v>
      </c>
      <c r="P138">
        <f>maluku_papua!Q68</f>
        <v>157.58980933520792</v>
      </c>
    </row>
    <row r="139" spans="1:16" x14ac:dyDescent="0.25">
      <c r="A139" t="str">
        <f>maluku_papua!B69</f>
        <v>MALUKU_PAPUA</v>
      </c>
      <c r="B139">
        <f>maluku_papua!C69</f>
        <v>2036</v>
      </c>
      <c r="C139">
        <f>maluku_papua!D69</f>
        <v>64.982306405187899</v>
      </c>
      <c r="D139">
        <f>maluku_papua!E69</f>
        <v>0.12069260274728764</v>
      </c>
      <c r="E139">
        <f>maluku_papua!F69</f>
        <v>41.853617319742526</v>
      </c>
      <c r="F139">
        <f>maluku_papua!G69</f>
        <v>34.926557496080264</v>
      </c>
      <c r="G139">
        <f>maluku_papua!H69</f>
        <v>-5.8219123815672382E-16</v>
      </c>
      <c r="H139">
        <f>maluku_papua!I69</f>
        <v>4.1262578864038995</v>
      </c>
      <c r="I139">
        <f>maluku_papua!J69</f>
        <v>14.573446991524253</v>
      </c>
      <c r="J139">
        <f>maluku_papua!K69</f>
        <v>2.9145834406205329</v>
      </c>
      <c r="K139">
        <f>maluku_papua!L69</f>
        <v>6.2296758891635209</v>
      </c>
      <c r="L139">
        <f>maluku_papua!M69</f>
        <v>0</v>
      </c>
      <c r="M139">
        <f>maluku_papua!N69</f>
        <v>9.7367816642770794E-3</v>
      </c>
      <c r="N139">
        <f>maluku_papua!O69</f>
        <v>0</v>
      </c>
      <c r="O139">
        <f>maluku_papua!P69</f>
        <v>0</v>
      </c>
      <c r="P139">
        <f>maluku_papua!Q69</f>
        <v>169.73687481313448</v>
      </c>
    </row>
    <row r="140" spans="1:16" x14ac:dyDescent="0.25">
      <c r="A140" t="str">
        <f>maluku_papua!B70</f>
        <v>MALUKU_PAPUA</v>
      </c>
      <c r="B140">
        <f>maluku_papua!C70</f>
        <v>2037</v>
      </c>
      <c r="C140">
        <f>maluku_papua!D70</f>
        <v>70.106195897418388</v>
      </c>
      <c r="D140">
        <f>maluku_papua!E70</f>
        <v>0.12069260274728764</v>
      </c>
      <c r="E140">
        <f>maluku_papua!F70</f>
        <v>46.261900747819105</v>
      </c>
      <c r="F140">
        <f>maluku_papua!G70</f>
        <v>34.926557496080264</v>
      </c>
      <c r="G140">
        <f>maluku_papua!H70</f>
        <v>0</v>
      </c>
      <c r="H140">
        <f>maluku_papua!I70</f>
        <v>4.1279035398954713</v>
      </c>
      <c r="I140">
        <f>maluku_papua!J70</f>
        <v>14.616064293307154</v>
      </c>
      <c r="J140">
        <f>maluku_papua!K70</f>
        <v>3.2684774107807533</v>
      </c>
      <c r="K140">
        <f>maluku_papua!L70</f>
        <v>9.1207355452146945</v>
      </c>
      <c r="L140">
        <f>maluku_papua!M70</f>
        <v>0</v>
      </c>
      <c r="M140">
        <f>maluku_papua!N70</f>
        <v>9.7368164147294961E-3</v>
      </c>
      <c r="N140">
        <f>maluku_papua!O70</f>
        <v>0</v>
      </c>
      <c r="O140">
        <f>maluku_papua!P70</f>
        <v>0</v>
      </c>
      <c r="P140">
        <f>maluku_papua!Q70</f>
        <v>182.55826434967784</v>
      </c>
    </row>
    <row r="141" spans="1:16" x14ac:dyDescent="0.25">
      <c r="A141" t="str">
        <f>maluku_papua!B71</f>
        <v>MALUKU_PAPUA</v>
      </c>
      <c r="B141">
        <f>maluku_papua!C71</f>
        <v>2038</v>
      </c>
      <c r="C141">
        <f>maluku_papua!D71</f>
        <v>75.522824444676132</v>
      </c>
      <c r="D141">
        <f>maluku_papua!E71</f>
        <v>0.1206925725740691</v>
      </c>
      <c r="E141">
        <f>maluku_papua!F71</f>
        <v>51.046730763505394</v>
      </c>
      <c r="F141">
        <f>maluku_papua!G71</f>
        <v>34.926557496080264</v>
      </c>
      <c r="G141">
        <f>maluku_papua!H71</f>
        <v>0</v>
      </c>
      <c r="H141">
        <f>maluku_papua!I71</f>
        <v>4.9835870814897634</v>
      </c>
      <c r="I141">
        <f>maluku_papua!J71</f>
        <v>16.725825453558997</v>
      </c>
      <c r="J141">
        <f>maluku_papua!K71</f>
        <v>3.8496709426573124</v>
      </c>
      <c r="K141">
        <f>maluku_papua!L71</f>
        <v>9.5109690664539173</v>
      </c>
      <c r="L141">
        <f>maluku_papua!M71</f>
        <v>0</v>
      </c>
      <c r="M141">
        <f>maluku_papua!N71</f>
        <v>1.2831869849690418E-2</v>
      </c>
      <c r="N141">
        <f>maluku_papua!O71</f>
        <v>0</v>
      </c>
      <c r="O141">
        <f>maluku_papua!P71</f>
        <v>0</v>
      </c>
      <c r="P141">
        <f>maluku_papua!Q71</f>
        <v>196.69968969084556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EC35-A2FD-4D54-A9E3-C993CB6A19B4}">
  <dimension ref="A1:P141"/>
  <sheetViews>
    <sheetView workbookViewId="0">
      <selection activeCell="C2" sqref="C2"/>
    </sheetView>
  </sheetViews>
  <sheetFormatPr defaultRowHeight="15" x14ac:dyDescent="0.25"/>
  <cols>
    <col min="1" max="1" width="16.85546875" customWidth="1"/>
  </cols>
  <sheetData>
    <row r="1" spans="1:16" x14ac:dyDescent="0.25">
      <c r="A1" t="str">
        <f>indonesia!B75</f>
        <v>region</v>
      </c>
      <c r="B1" t="str">
        <f>indonesia!C75</f>
        <v>year</v>
      </c>
      <c r="C1" t="str">
        <f>indonesia!D75</f>
        <v>coal</v>
      </c>
      <c r="D1" t="str">
        <f>indonesia!E75</f>
        <v>ocgt</v>
      </c>
      <c r="E1" t="str">
        <f>indonesia!F75</f>
        <v>ccgt</v>
      </c>
      <c r="F1" t="str">
        <f>indonesia!G75</f>
        <v>reciprocating</v>
      </c>
      <c r="G1" t="str">
        <f>indonesia!H75</f>
        <v>geothermal</v>
      </c>
      <c r="H1" t="str">
        <f>indonesia!I75</f>
        <v>lhydro</v>
      </c>
      <c r="I1" t="str">
        <f>indonesia!J75</f>
        <v>mhydro</v>
      </c>
      <c r="J1" t="str">
        <f>indonesia!K75</f>
        <v>solar</v>
      </c>
      <c r="K1" t="str">
        <f>indonesia!L75</f>
        <v>wind</v>
      </c>
      <c r="L1" t="str">
        <f>indonesia!M75</f>
        <v>biomass</v>
      </c>
      <c r="M1" t="str">
        <f>indonesia!N75</f>
        <v>ocean</v>
      </c>
      <c r="N1" t="str">
        <f>indonesia!O75</f>
        <v>waste</v>
      </c>
      <c r="O1" t="str">
        <f>indonesia!P75</f>
        <v>storage</v>
      </c>
      <c r="P1" t="str">
        <f>indonesia!Q75</f>
        <v>total</v>
      </c>
    </row>
    <row r="2" spans="1:16" x14ac:dyDescent="0.25">
      <c r="A2" t="str">
        <f>indonesia!B76</f>
        <v>INDONESIA</v>
      </c>
      <c r="B2">
        <f>indonesia!C76</f>
        <v>2019</v>
      </c>
      <c r="C2">
        <f>SUM(C22,C42,C62,C82,C102,C122)</f>
        <v>601.52157285216003</v>
      </c>
      <c r="D2">
        <f t="shared" ref="D2:P2" si="0">SUM(D22,D42,D62,D82,D102,D122)</f>
        <v>60.682671408561241</v>
      </c>
      <c r="E2">
        <f t="shared" si="0"/>
        <v>114.82758348014771</v>
      </c>
      <c r="F2">
        <f t="shared" si="0"/>
        <v>119.15546326449233</v>
      </c>
      <c r="G2">
        <f t="shared" si="0"/>
        <v>46.404088704000003</v>
      </c>
      <c r="H2">
        <f t="shared" si="0"/>
        <v>90.928836355347713</v>
      </c>
      <c r="I2">
        <f t="shared" si="0"/>
        <v>3.614370264221539</v>
      </c>
      <c r="J2">
        <f t="shared" si="0"/>
        <v>0.11602725120000001</v>
      </c>
      <c r="K2">
        <f t="shared" si="0"/>
        <v>0</v>
      </c>
      <c r="L2">
        <f t="shared" si="0"/>
        <v>1.2844213141846155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1038.535034894315</v>
      </c>
    </row>
    <row r="3" spans="1:16" x14ac:dyDescent="0.25">
      <c r="A3" t="str">
        <f>indonesia!B77</f>
        <v>INDONESIA</v>
      </c>
      <c r="B3">
        <f>indonesia!C77</f>
        <v>2020</v>
      </c>
      <c r="C3">
        <f t="shared" ref="C3:P18" si="1">SUM(C23,C43,C63,C83,C103,C123)</f>
        <v>637.44210215040391</v>
      </c>
      <c r="D3">
        <f t="shared" si="1"/>
        <v>60.745858045330422</v>
      </c>
      <c r="E3">
        <f t="shared" si="1"/>
        <v>140.91881539819525</v>
      </c>
      <c r="F3">
        <f t="shared" si="1"/>
        <v>119.15546326449233</v>
      </c>
      <c r="G3">
        <f t="shared" si="1"/>
        <v>46.404088704000003</v>
      </c>
      <c r="H3">
        <f t="shared" si="1"/>
        <v>127.12033065408694</v>
      </c>
      <c r="I3">
        <f t="shared" si="1"/>
        <v>8.9713591418171799</v>
      </c>
      <c r="J3">
        <f t="shared" si="1"/>
        <v>44.014961219229903</v>
      </c>
      <c r="K3">
        <f t="shared" si="1"/>
        <v>1.2548540159300179</v>
      </c>
      <c r="L3">
        <f t="shared" si="1"/>
        <v>1.8936050531630029</v>
      </c>
      <c r="M3">
        <f t="shared" si="1"/>
        <v>7.9620334454035407E-2</v>
      </c>
      <c r="N3">
        <f t="shared" si="1"/>
        <v>0</v>
      </c>
      <c r="O3">
        <f t="shared" si="1"/>
        <v>3.9554912535101114E-5</v>
      </c>
      <c r="P3">
        <f t="shared" si="1"/>
        <v>1188.0010579811033</v>
      </c>
    </row>
    <row r="4" spans="1:16" x14ac:dyDescent="0.25">
      <c r="A4" t="str">
        <f>indonesia!B78</f>
        <v>INDONESIA</v>
      </c>
      <c r="B4">
        <f>indonesia!C78</f>
        <v>2021</v>
      </c>
      <c r="C4">
        <f t="shared" si="1"/>
        <v>665.74921817813106</v>
      </c>
      <c r="D4">
        <f t="shared" si="1"/>
        <v>60.74585801304508</v>
      </c>
      <c r="E4">
        <f t="shared" si="1"/>
        <v>204.59172076872005</v>
      </c>
      <c r="F4">
        <f t="shared" si="1"/>
        <v>119.15546327583975</v>
      </c>
      <c r="G4">
        <f t="shared" si="1"/>
        <v>49.705345528298793</v>
      </c>
      <c r="H4">
        <f t="shared" si="1"/>
        <v>147.22724064563215</v>
      </c>
      <c r="I4">
        <f t="shared" si="1"/>
        <v>41.765522966646202</v>
      </c>
      <c r="J4">
        <f t="shared" si="1"/>
        <v>49.857939952097652</v>
      </c>
      <c r="K4">
        <f t="shared" si="1"/>
        <v>22.791696947642411</v>
      </c>
      <c r="L4">
        <f t="shared" si="1"/>
        <v>1.8936050441716041</v>
      </c>
      <c r="M4">
        <f t="shared" si="1"/>
        <v>0.1081216966270625</v>
      </c>
      <c r="N4">
        <f t="shared" si="1"/>
        <v>0</v>
      </c>
      <c r="O4">
        <f t="shared" si="1"/>
        <v>4.6593800863310042E-5</v>
      </c>
      <c r="P4">
        <f t="shared" si="1"/>
        <v>1363.5917330168518</v>
      </c>
    </row>
    <row r="5" spans="1:16" x14ac:dyDescent="0.25">
      <c r="A5" t="str">
        <f>indonesia!B79</f>
        <v>INDONESIA</v>
      </c>
      <c r="B5">
        <f>indonesia!C79</f>
        <v>2022</v>
      </c>
      <c r="C5">
        <f t="shared" si="1"/>
        <v>673.22155836411866</v>
      </c>
      <c r="D5">
        <f t="shared" si="1"/>
        <v>60.745857980759737</v>
      </c>
      <c r="E5">
        <f t="shared" si="1"/>
        <v>299.93970749175713</v>
      </c>
      <c r="F5">
        <f t="shared" si="1"/>
        <v>119.9831075157043</v>
      </c>
      <c r="G5">
        <f t="shared" si="1"/>
        <v>49.705345772202875</v>
      </c>
      <c r="H5">
        <f t="shared" si="1"/>
        <v>149.08062907827443</v>
      </c>
      <c r="I5">
        <f t="shared" si="1"/>
        <v>42.435990781701918</v>
      </c>
      <c r="J5">
        <f t="shared" si="1"/>
        <v>64.299745218633262</v>
      </c>
      <c r="K5">
        <f t="shared" si="1"/>
        <v>22.941793036469971</v>
      </c>
      <c r="L5">
        <f t="shared" si="1"/>
        <v>1.8936050351802054</v>
      </c>
      <c r="M5">
        <f t="shared" si="1"/>
        <v>0.1085161263284469</v>
      </c>
      <c r="N5">
        <f t="shared" si="1"/>
        <v>0</v>
      </c>
      <c r="O5">
        <f t="shared" si="1"/>
        <v>5.1682853310141863E-5</v>
      </c>
      <c r="P5">
        <f t="shared" si="1"/>
        <v>1484.3558564011309</v>
      </c>
    </row>
    <row r="6" spans="1:16" x14ac:dyDescent="0.25">
      <c r="A6" t="str">
        <f>indonesia!B80</f>
        <v>INDONESIA</v>
      </c>
      <c r="B6">
        <f>indonesia!C80</f>
        <v>2023</v>
      </c>
      <c r="C6">
        <f t="shared" si="1"/>
        <v>679.0343571818172</v>
      </c>
      <c r="D6">
        <f t="shared" si="1"/>
        <v>63.298302319362591</v>
      </c>
      <c r="E6">
        <f t="shared" si="1"/>
        <v>372.73207415605708</v>
      </c>
      <c r="F6">
        <f t="shared" si="1"/>
        <v>120.02811426009585</v>
      </c>
      <c r="G6">
        <f t="shared" si="1"/>
        <v>51.867245311698809</v>
      </c>
      <c r="H6">
        <f t="shared" si="1"/>
        <v>153.49543567040342</v>
      </c>
      <c r="I6">
        <f t="shared" si="1"/>
        <v>42.833933347016767</v>
      </c>
      <c r="J6">
        <f t="shared" si="1"/>
        <v>71.693791405642003</v>
      </c>
      <c r="K6">
        <f t="shared" si="1"/>
        <v>27.130430186387578</v>
      </c>
      <c r="L6">
        <f t="shared" si="1"/>
        <v>2.4675286044628821</v>
      </c>
      <c r="M6">
        <f t="shared" si="1"/>
        <v>0.10857535903304148</v>
      </c>
      <c r="N6">
        <f t="shared" si="1"/>
        <v>0</v>
      </c>
      <c r="O6">
        <f t="shared" si="1"/>
        <v>5.2226252564131594E-5</v>
      </c>
      <c r="P6">
        <f t="shared" si="1"/>
        <v>1584.6897878019772</v>
      </c>
    </row>
    <row r="7" spans="1:16" x14ac:dyDescent="0.25">
      <c r="A7" t="str">
        <f>indonesia!B81</f>
        <v>INDONESIA</v>
      </c>
      <c r="B7">
        <f>indonesia!C81</f>
        <v>2024</v>
      </c>
      <c r="C7">
        <f t="shared" si="1"/>
        <v>684.33688429787082</v>
      </c>
      <c r="D7">
        <f t="shared" si="1"/>
        <v>68.63570182342761</v>
      </c>
      <c r="E7">
        <f t="shared" si="1"/>
        <v>440.7723607325579</v>
      </c>
      <c r="F7">
        <f t="shared" si="1"/>
        <v>124.49775341854239</v>
      </c>
      <c r="G7">
        <f t="shared" si="1"/>
        <v>52.832551309693969</v>
      </c>
      <c r="H7">
        <f t="shared" si="1"/>
        <v>153.70766309906736</v>
      </c>
      <c r="I7">
        <f t="shared" si="1"/>
        <v>46.093369308024997</v>
      </c>
      <c r="J7">
        <f t="shared" si="1"/>
        <v>71.975073054893556</v>
      </c>
      <c r="K7">
        <f t="shared" si="1"/>
        <v>47.141092597315662</v>
      </c>
      <c r="L7">
        <f t="shared" si="1"/>
        <v>3.470446363077472</v>
      </c>
      <c r="M7">
        <f t="shared" si="1"/>
        <v>0.10857535903304148</v>
      </c>
      <c r="N7">
        <f t="shared" si="1"/>
        <v>0</v>
      </c>
      <c r="O7">
        <f t="shared" si="1"/>
        <v>5.334726648074554E-5</v>
      </c>
      <c r="P7">
        <f t="shared" si="1"/>
        <v>1693.571471363505</v>
      </c>
    </row>
    <row r="8" spans="1:16" x14ac:dyDescent="0.25">
      <c r="A8" t="str">
        <f>indonesia!B82</f>
        <v>INDONESIA</v>
      </c>
      <c r="B8">
        <f>indonesia!C82</f>
        <v>2025</v>
      </c>
      <c r="C8">
        <f t="shared" si="1"/>
        <v>687.70563742675552</v>
      </c>
      <c r="D8">
        <f t="shared" si="1"/>
        <v>74.425361625165962</v>
      </c>
      <c r="E8">
        <f t="shared" si="1"/>
        <v>472.34566666054155</v>
      </c>
      <c r="F8">
        <f t="shared" si="1"/>
        <v>139.41002901742809</v>
      </c>
      <c r="G8">
        <f t="shared" si="1"/>
        <v>53.412818705958991</v>
      </c>
      <c r="H8">
        <f t="shared" si="1"/>
        <v>162.21969222812965</v>
      </c>
      <c r="I8">
        <f t="shared" si="1"/>
        <v>47.0533418762422</v>
      </c>
      <c r="J8">
        <f t="shared" si="1"/>
        <v>73.088590613495512</v>
      </c>
      <c r="K8">
        <f t="shared" si="1"/>
        <v>81.488544603997155</v>
      </c>
      <c r="L8">
        <f t="shared" si="1"/>
        <v>4.5686555924394447</v>
      </c>
      <c r="M8">
        <f t="shared" si="1"/>
        <v>0.10857552129820865</v>
      </c>
      <c r="N8">
        <f t="shared" si="1"/>
        <v>0</v>
      </c>
      <c r="O8">
        <f t="shared" si="1"/>
        <v>5.4419614161918657E-5</v>
      </c>
      <c r="P8">
        <f t="shared" si="1"/>
        <v>1795.8269138714525</v>
      </c>
    </row>
    <row r="9" spans="1:16" x14ac:dyDescent="0.25">
      <c r="A9" t="str">
        <f>indonesia!B83</f>
        <v>INDONESIA</v>
      </c>
      <c r="B9">
        <f>indonesia!C83</f>
        <v>2026</v>
      </c>
      <c r="C9">
        <f t="shared" si="1"/>
        <v>703.2711795725204</v>
      </c>
      <c r="D9">
        <f t="shared" si="1"/>
        <v>75.267724362747373</v>
      </c>
      <c r="E9">
        <f t="shared" si="1"/>
        <v>480.68735611811115</v>
      </c>
      <c r="F9">
        <f t="shared" si="1"/>
        <v>143.77264637246876</v>
      </c>
      <c r="G9">
        <f t="shared" si="1"/>
        <v>57.711436578658848</v>
      </c>
      <c r="H9">
        <f t="shared" si="1"/>
        <v>166.58325113978165</v>
      </c>
      <c r="I9">
        <f t="shared" si="1"/>
        <v>68.992882437192861</v>
      </c>
      <c r="J9">
        <f t="shared" si="1"/>
        <v>76.108208165611643</v>
      </c>
      <c r="K9">
        <f t="shared" si="1"/>
        <v>82.860862925752102</v>
      </c>
      <c r="L9">
        <f t="shared" si="1"/>
        <v>5.6919704849141715</v>
      </c>
      <c r="M9">
        <f t="shared" si="1"/>
        <v>0.10915596335233312</v>
      </c>
      <c r="N9">
        <f t="shared" si="1"/>
        <v>0.19458610932545026</v>
      </c>
      <c r="O9">
        <f t="shared" si="1"/>
        <v>5.5014145752862774E-5</v>
      </c>
      <c r="P9">
        <f t="shared" si="1"/>
        <v>1861.2512602304366</v>
      </c>
    </row>
    <row r="10" spans="1:16" x14ac:dyDescent="0.25">
      <c r="A10" t="str">
        <f>indonesia!B84</f>
        <v>INDONESIA</v>
      </c>
      <c r="B10">
        <f>indonesia!C84</f>
        <v>2027</v>
      </c>
      <c r="C10">
        <f t="shared" si="1"/>
        <v>722.86524926889001</v>
      </c>
      <c r="D10">
        <f t="shared" si="1"/>
        <v>78.920074533548217</v>
      </c>
      <c r="E10">
        <f t="shared" si="1"/>
        <v>561.40186928431751</v>
      </c>
      <c r="F10">
        <f t="shared" si="1"/>
        <v>144.91738618553038</v>
      </c>
      <c r="G10">
        <f t="shared" si="1"/>
        <v>57.711436555297951</v>
      </c>
      <c r="H10">
        <f t="shared" si="1"/>
        <v>181.31560031869168</v>
      </c>
      <c r="I10">
        <f t="shared" si="1"/>
        <v>102.48896065593422</v>
      </c>
      <c r="J10">
        <f t="shared" si="1"/>
        <v>83.408898359032051</v>
      </c>
      <c r="K10">
        <f t="shared" si="1"/>
        <v>103.96959851599064</v>
      </c>
      <c r="L10">
        <f t="shared" si="1"/>
        <v>6.157130892142165</v>
      </c>
      <c r="M10">
        <f t="shared" si="1"/>
        <v>0.11060210085475715</v>
      </c>
      <c r="N10">
        <f t="shared" si="1"/>
        <v>0.19458610932545026</v>
      </c>
      <c r="O10">
        <f t="shared" si="1"/>
        <v>5.5981125677467251E-5</v>
      </c>
      <c r="P10">
        <f t="shared" si="1"/>
        <v>2043.4613927795554</v>
      </c>
    </row>
    <row r="11" spans="1:16" x14ac:dyDescent="0.25">
      <c r="A11" t="str">
        <f>indonesia!B85</f>
        <v>INDONESIA</v>
      </c>
      <c r="B11">
        <f>indonesia!C85</f>
        <v>2028</v>
      </c>
      <c r="C11">
        <f t="shared" si="1"/>
        <v>738.00743161822766</v>
      </c>
      <c r="D11">
        <f t="shared" si="1"/>
        <v>84.796157893243162</v>
      </c>
      <c r="E11">
        <f t="shared" si="1"/>
        <v>607.26371113129039</v>
      </c>
      <c r="F11">
        <f t="shared" si="1"/>
        <v>152.84560524407883</v>
      </c>
      <c r="G11">
        <f t="shared" si="1"/>
        <v>57.711436555297951</v>
      </c>
      <c r="H11">
        <f t="shared" si="1"/>
        <v>187.06714122835305</v>
      </c>
      <c r="I11">
        <f t="shared" si="1"/>
        <v>112.7125790569558</v>
      </c>
      <c r="J11">
        <f t="shared" si="1"/>
        <v>88.680777971315365</v>
      </c>
      <c r="K11">
        <f t="shared" si="1"/>
        <v>122.50422915905838</v>
      </c>
      <c r="L11">
        <f t="shared" si="1"/>
        <v>6.157130892142165</v>
      </c>
      <c r="M11">
        <f t="shared" si="1"/>
        <v>0.17627361927027752</v>
      </c>
      <c r="N11">
        <f t="shared" si="1"/>
        <v>0.19458610932545026</v>
      </c>
      <c r="O11">
        <f t="shared" si="1"/>
        <v>5.7579847069238332E-5</v>
      </c>
      <c r="P11">
        <f t="shared" si="1"/>
        <v>2158.1170604785584</v>
      </c>
    </row>
    <row r="12" spans="1:16" x14ac:dyDescent="0.25">
      <c r="A12" t="str">
        <f>indonesia!B86</f>
        <v>INDONESIA</v>
      </c>
      <c r="B12">
        <f>indonesia!C86</f>
        <v>2029</v>
      </c>
      <c r="C12">
        <f t="shared" si="1"/>
        <v>739.66563634215333</v>
      </c>
      <c r="D12">
        <f t="shared" si="1"/>
        <v>93.571079639108277</v>
      </c>
      <c r="E12">
        <f t="shared" si="1"/>
        <v>642.6574295598009</v>
      </c>
      <c r="F12">
        <f t="shared" si="1"/>
        <v>152.87259630808492</v>
      </c>
      <c r="G12">
        <f t="shared" si="1"/>
        <v>57.711436531937053</v>
      </c>
      <c r="H12">
        <f t="shared" si="1"/>
        <v>187.35534146644989</v>
      </c>
      <c r="I12">
        <f t="shared" si="1"/>
        <v>113.45216526868452</v>
      </c>
      <c r="J12">
        <f t="shared" si="1"/>
        <v>93.763840729827876</v>
      </c>
      <c r="K12">
        <f t="shared" si="1"/>
        <v>135.48499922288605</v>
      </c>
      <c r="L12">
        <f t="shared" si="1"/>
        <v>7.4439217527384889</v>
      </c>
      <c r="M12">
        <f t="shared" si="1"/>
        <v>0.17627392785647639</v>
      </c>
      <c r="N12">
        <f t="shared" si="1"/>
        <v>0.19458610932545026</v>
      </c>
      <c r="O12">
        <f t="shared" si="1"/>
        <v>5.9447932988200141E-5</v>
      </c>
      <c r="P12">
        <f t="shared" si="1"/>
        <v>2224.3493068588532</v>
      </c>
    </row>
    <row r="13" spans="1:16" x14ac:dyDescent="0.25">
      <c r="A13" t="str">
        <f>indonesia!B87</f>
        <v>INDONESIA</v>
      </c>
      <c r="B13">
        <f>indonesia!C87</f>
        <v>2030</v>
      </c>
      <c r="C13">
        <f t="shared" si="1"/>
        <v>752.76457636903797</v>
      </c>
      <c r="D13">
        <f t="shared" si="1"/>
        <v>108.87920216907133</v>
      </c>
      <c r="E13">
        <f t="shared" si="1"/>
        <v>687.13496148407421</v>
      </c>
      <c r="F13">
        <f t="shared" si="1"/>
        <v>152.90640893422315</v>
      </c>
      <c r="G13">
        <f t="shared" si="1"/>
        <v>57.856589862268748</v>
      </c>
      <c r="H13">
        <f t="shared" si="1"/>
        <v>189.08001668270421</v>
      </c>
      <c r="I13">
        <f t="shared" si="1"/>
        <v>114.4803594795186</v>
      </c>
      <c r="J13">
        <f t="shared" si="1"/>
        <v>99.763377490914124</v>
      </c>
      <c r="K13">
        <f t="shared" si="1"/>
        <v>150.55960270539822</v>
      </c>
      <c r="L13">
        <f t="shared" si="1"/>
        <v>7.4439217527384889</v>
      </c>
      <c r="M13">
        <f t="shared" si="1"/>
        <v>0.17697464151482745</v>
      </c>
      <c r="N13">
        <f t="shared" si="1"/>
        <v>0.19459675799490461</v>
      </c>
      <c r="O13">
        <f t="shared" si="1"/>
        <v>6.5942976622226991E-5</v>
      </c>
      <c r="P13">
        <f t="shared" si="1"/>
        <v>2321.2405883294591</v>
      </c>
    </row>
    <row r="14" spans="1:16" x14ac:dyDescent="0.25">
      <c r="A14" t="str">
        <f>indonesia!B88</f>
        <v>INDONESIA</v>
      </c>
      <c r="B14">
        <f>indonesia!C88</f>
        <v>2031</v>
      </c>
      <c r="C14">
        <f t="shared" si="1"/>
        <v>764.84037845961791</v>
      </c>
      <c r="D14">
        <f t="shared" si="1"/>
        <v>127.2296362916901</v>
      </c>
      <c r="E14">
        <f t="shared" si="1"/>
        <v>747.69765903369307</v>
      </c>
      <c r="F14">
        <f t="shared" si="1"/>
        <v>153.449208868211</v>
      </c>
      <c r="G14">
        <f t="shared" si="1"/>
        <v>67.961576560832611</v>
      </c>
      <c r="H14">
        <f t="shared" si="1"/>
        <v>191.63949700434679</v>
      </c>
      <c r="I14">
        <f t="shared" si="1"/>
        <v>115.32317412880276</v>
      </c>
      <c r="J14">
        <f t="shared" si="1"/>
        <v>130.88723732734437</v>
      </c>
      <c r="K14">
        <f t="shared" si="1"/>
        <v>168.49062418156163</v>
      </c>
      <c r="L14">
        <f t="shared" si="1"/>
        <v>7.4983558017023908</v>
      </c>
      <c r="M14">
        <f t="shared" si="1"/>
        <v>0.19701217929577913</v>
      </c>
      <c r="N14">
        <f t="shared" si="1"/>
        <v>0.26618470062108829</v>
      </c>
      <c r="O14">
        <f t="shared" si="1"/>
        <v>7.362179746610226E-5</v>
      </c>
      <c r="P14">
        <f t="shared" si="1"/>
        <v>2475.4805445377201</v>
      </c>
    </row>
    <row r="15" spans="1:16" x14ac:dyDescent="0.25">
      <c r="A15" t="str">
        <f>indonesia!B89</f>
        <v>INDONESIA</v>
      </c>
      <c r="B15">
        <f>indonesia!C89</f>
        <v>2032</v>
      </c>
      <c r="C15">
        <f t="shared" si="1"/>
        <v>779.0765677811479</v>
      </c>
      <c r="D15">
        <f t="shared" si="1"/>
        <v>147.61608897054643</v>
      </c>
      <c r="E15">
        <f t="shared" si="1"/>
        <v>812.04388762777114</v>
      </c>
      <c r="F15">
        <f t="shared" si="1"/>
        <v>158.17877217260676</v>
      </c>
      <c r="G15">
        <f t="shared" si="1"/>
        <v>68.624902056923929</v>
      </c>
      <c r="H15">
        <f t="shared" si="1"/>
        <v>191.63971588218823</v>
      </c>
      <c r="I15">
        <f t="shared" si="1"/>
        <v>116.49028903773362</v>
      </c>
      <c r="J15">
        <f t="shared" si="1"/>
        <v>141.81357805387415</v>
      </c>
      <c r="K15">
        <f t="shared" si="1"/>
        <v>189.57403246228299</v>
      </c>
      <c r="L15">
        <f t="shared" si="1"/>
        <v>7.5412553955781734</v>
      </c>
      <c r="M15">
        <f t="shared" si="1"/>
        <v>0.19770890659230331</v>
      </c>
      <c r="N15">
        <f t="shared" si="1"/>
        <v>0.266228327812222</v>
      </c>
      <c r="O15">
        <f t="shared" si="1"/>
        <v>7.7485565240907676E-5</v>
      </c>
      <c r="P15">
        <f t="shared" si="1"/>
        <v>2613.0630266750582</v>
      </c>
    </row>
    <row r="16" spans="1:16" x14ac:dyDescent="0.25">
      <c r="A16" t="str">
        <f>indonesia!B90</f>
        <v>INDONESIA</v>
      </c>
      <c r="B16">
        <f>indonesia!C90</f>
        <v>2033</v>
      </c>
      <c r="C16">
        <f t="shared" si="1"/>
        <v>793.58652291526198</v>
      </c>
      <c r="D16">
        <f t="shared" si="1"/>
        <v>168.65648611187572</v>
      </c>
      <c r="E16">
        <f t="shared" si="1"/>
        <v>878.24467947469782</v>
      </c>
      <c r="F16">
        <f t="shared" si="1"/>
        <v>158.98701961196318</v>
      </c>
      <c r="G16">
        <f t="shared" si="1"/>
        <v>100.22143097683259</v>
      </c>
      <c r="H16">
        <f t="shared" si="1"/>
        <v>192.09581501791985</v>
      </c>
      <c r="I16">
        <f t="shared" si="1"/>
        <v>118.31701267581316</v>
      </c>
      <c r="J16">
        <f t="shared" si="1"/>
        <v>146.02688177151521</v>
      </c>
      <c r="K16">
        <f t="shared" si="1"/>
        <v>218.1459210080447</v>
      </c>
      <c r="L16">
        <f t="shared" si="1"/>
        <v>7.884128357791826</v>
      </c>
      <c r="M16">
        <f t="shared" si="1"/>
        <v>0.20611803602797585</v>
      </c>
      <c r="N16">
        <f t="shared" si="1"/>
        <v>0.3738024404804835</v>
      </c>
      <c r="O16">
        <f t="shared" si="1"/>
        <v>7.9084444047479454E-5</v>
      </c>
      <c r="P16">
        <f t="shared" si="1"/>
        <v>2782.7458183982249</v>
      </c>
    </row>
    <row r="17" spans="1:16" x14ac:dyDescent="0.25">
      <c r="A17" t="str">
        <f>indonesia!B91</f>
        <v>INDONESIA</v>
      </c>
      <c r="B17">
        <f>indonesia!C91</f>
        <v>2034</v>
      </c>
      <c r="C17">
        <f t="shared" si="1"/>
        <v>838.15573949433542</v>
      </c>
      <c r="D17">
        <f t="shared" si="1"/>
        <v>187.86629695162776</v>
      </c>
      <c r="E17">
        <f t="shared" si="1"/>
        <v>928.64836099793115</v>
      </c>
      <c r="F17">
        <f t="shared" si="1"/>
        <v>160.18211460799134</v>
      </c>
      <c r="G17">
        <f t="shared" si="1"/>
        <v>100.22143695193625</v>
      </c>
      <c r="H17">
        <f t="shared" si="1"/>
        <v>192.7129843654416</v>
      </c>
      <c r="I17">
        <f t="shared" si="1"/>
        <v>126.50713296788965</v>
      </c>
      <c r="J17">
        <f t="shared" si="1"/>
        <v>156.49259921258289</v>
      </c>
      <c r="K17">
        <f t="shared" si="1"/>
        <v>240.78816424997405</v>
      </c>
      <c r="L17">
        <f t="shared" si="1"/>
        <v>8.6832086202546321</v>
      </c>
      <c r="M17">
        <f t="shared" si="1"/>
        <v>0.20666090709845872</v>
      </c>
      <c r="N17">
        <f t="shared" si="1"/>
        <v>0.37380335142792942</v>
      </c>
      <c r="O17">
        <f t="shared" si="1"/>
        <v>8.347021725036509E-5</v>
      </c>
      <c r="P17">
        <f t="shared" si="1"/>
        <v>2940.8385026784913</v>
      </c>
    </row>
    <row r="18" spans="1:16" x14ac:dyDescent="0.25">
      <c r="A18" t="str">
        <f>indonesia!B92</f>
        <v>INDONESIA</v>
      </c>
      <c r="B18">
        <f>indonesia!C92</f>
        <v>2035</v>
      </c>
      <c r="C18">
        <f t="shared" si="1"/>
        <v>876.7559819783861</v>
      </c>
      <c r="D18">
        <f t="shared" si="1"/>
        <v>214.04000319181108</v>
      </c>
      <c r="E18">
        <f t="shared" si="1"/>
        <v>987.50298161872865</v>
      </c>
      <c r="F18">
        <f t="shared" si="1"/>
        <v>163.3258329118724</v>
      </c>
      <c r="G18">
        <f t="shared" si="1"/>
        <v>100.22154568866867</v>
      </c>
      <c r="H18">
        <f t="shared" si="1"/>
        <v>192.84542990267855</v>
      </c>
      <c r="I18">
        <f t="shared" si="1"/>
        <v>128.00727736443901</v>
      </c>
      <c r="J18">
        <f t="shared" si="1"/>
        <v>168.02937174628687</v>
      </c>
      <c r="K18">
        <f t="shared" si="1"/>
        <v>264.88999170784052</v>
      </c>
      <c r="L18">
        <f t="shared" si="1"/>
        <v>9.0284449372237621</v>
      </c>
      <c r="M18">
        <f t="shared" si="1"/>
        <v>0.20715354930181246</v>
      </c>
      <c r="N18">
        <f t="shared" si="1"/>
        <v>0.37381658246368277</v>
      </c>
      <c r="O18">
        <f t="shared" si="1"/>
        <v>8.5106907130462253E-5</v>
      </c>
      <c r="P18">
        <f t="shared" si="1"/>
        <v>3105.2278311797004</v>
      </c>
    </row>
    <row r="19" spans="1:16" x14ac:dyDescent="0.25">
      <c r="A19" t="str">
        <f>indonesia!B93</f>
        <v>INDONESIA</v>
      </c>
      <c r="B19">
        <f>indonesia!C93</f>
        <v>2036</v>
      </c>
      <c r="C19">
        <f t="shared" ref="C19:P21" si="2">SUM(C39,C59,C79,C99,C119,C139)</f>
        <v>920.04719717913667</v>
      </c>
      <c r="D19">
        <f t="shared" si="2"/>
        <v>228.09866370136768</v>
      </c>
      <c r="E19">
        <f t="shared" si="2"/>
        <v>1026.5558286896701</v>
      </c>
      <c r="F19">
        <f t="shared" si="2"/>
        <v>166.54118295696563</v>
      </c>
      <c r="G19">
        <f t="shared" si="2"/>
        <v>145.28175903641147</v>
      </c>
      <c r="H19">
        <f t="shared" si="2"/>
        <v>199.56888535804143</v>
      </c>
      <c r="I19">
        <f t="shared" si="2"/>
        <v>136.08719899336884</v>
      </c>
      <c r="J19">
        <f t="shared" si="2"/>
        <v>180.44395373923257</v>
      </c>
      <c r="K19">
        <f t="shared" si="2"/>
        <v>291.23945455878948</v>
      </c>
      <c r="L19">
        <f t="shared" si="2"/>
        <v>10.291937520105989</v>
      </c>
      <c r="M19">
        <f t="shared" si="2"/>
        <v>0.2248473803523772</v>
      </c>
      <c r="N19">
        <f t="shared" si="2"/>
        <v>2.0355184483764961</v>
      </c>
      <c r="O19">
        <f t="shared" si="2"/>
        <v>9.697636253069626E-5</v>
      </c>
      <c r="P19">
        <f t="shared" si="2"/>
        <v>3306.4164275618186</v>
      </c>
    </row>
    <row r="20" spans="1:16" x14ac:dyDescent="0.25">
      <c r="A20" t="str">
        <f>indonesia!B94</f>
        <v>INDONESIA</v>
      </c>
      <c r="B20">
        <f>indonesia!C94</f>
        <v>2037</v>
      </c>
      <c r="C20">
        <f t="shared" si="2"/>
        <v>956.8953566202282</v>
      </c>
      <c r="D20">
        <f t="shared" si="2"/>
        <v>255.25918609344498</v>
      </c>
      <c r="E20">
        <f t="shared" si="2"/>
        <v>1056.5213849840161</v>
      </c>
      <c r="F20">
        <f t="shared" si="2"/>
        <v>167.66176458666706</v>
      </c>
      <c r="G20">
        <f t="shared" si="2"/>
        <v>146.61685998606205</v>
      </c>
      <c r="H20">
        <f t="shared" si="2"/>
        <v>201.30593729479079</v>
      </c>
      <c r="I20">
        <f t="shared" si="2"/>
        <v>136.30192060755945</v>
      </c>
      <c r="J20">
        <f t="shared" si="2"/>
        <v>192.31488402830342</v>
      </c>
      <c r="K20">
        <f t="shared" si="2"/>
        <v>312.31852054475803</v>
      </c>
      <c r="L20">
        <f t="shared" si="2"/>
        <v>10.525512305532692</v>
      </c>
      <c r="M20">
        <f t="shared" si="2"/>
        <v>0.22485505593682803</v>
      </c>
      <c r="N20">
        <f t="shared" si="2"/>
        <v>2.0355206223336157</v>
      </c>
      <c r="O20">
        <f t="shared" si="2"/>
        <v>1.0783416026641799E-4</v>
      </c>
      <c r="P20">
        <f t="shared" si="2"/>
        <v>3437.981702729634</v>
      </c>
    </row>
    <row r="21" spans="1:16" x14ac:dyDescent="0.25">
      <c r="A21" t="str">
        <f>indonesia!B95</f>
        <v>INDONESIA</v>
      </c>
      <c r="B21">
        <f>indonesia!C95</f>
        <v>2038</v>
      </c>
      <c r="C21">
        <f t="shared" si="2"/>
        <v>1007.4901138403875</v>
      </c>
      <c r="D21">
        <f t="shared" si="2"/>
        <v>285.08869035768623</v>
      </c>
      <c r="E21">
        <f t="shared" si="2"/>
        <v>1112.9171992050894</v>
      </c>
      <c r="F21">
        <f t="shared" si="2"/>
        <v>167.98376916464122</v>
      </c>
      <c r="G21">
        <f t="shared" si="2"/>
        <v>158.6583675387219</v>
      </c>
      <c r="H21">
        <f t="shared" si="2"/>
        <v>203.01228058058891</v>
      </c>
      <c r="I21">
        <f t="shared" si="2"/>
        <v>145.10438068390604</v>
      </c>
      <c r="J21">
        <f t="shared" si="2"/>
        <v>244.80913876287178</v>
      </c>
      <c r="K21">
        <f t="shared" si="2"/>
        <v>339.02162341923963</v>
      </c>
      <c r="L21">
        <f t="shared" si="2"/>
        <v>10.525512305969693</v>
      </c>
      <c r="M21">
        <f t="shared" si="2"/>
        <v>0.26052425635750248</v>
      </c>
      <c r="N21">
        <f t="shared" si="2"/>
        <v>2.0996635270980666</v>
      </c>
      <c r="O21">
        <f t="shared" si="2"/>
        <v>1.1946002358033804E-4</v>
      </c>
      <c r="P21">
        <f t="shared" si="2"/>
        <v>3676.9712636425579</v>
      </c>
    </row>
    <row r="22" spans="1:16" x14ac:dyDescent="0.25">
      <c r="A22" t="str">
        <f>sumatera!B76</f>
        <v>SUMATERA</v>
      </c>
      <c r="B22">
        <f>sumatera!C76</f>
        <v>2019</v>
      </c>
      <c r="C22">
        <f>sumatera!D76</f>
        <v>93.012781784640012</v>
      </c>
      <c r="D22">
        <f>sumatera!E76</f>
        <v>13.49204520616615</v>
      </c>
      <c r="E22">
        <f>sumatera!F76</f>
        <v>12.846526816873848</v>
      </c>
      <c r="F22">
        <f>sumatera!G76</f>
        <v>44.877321683889235</v>
      </c>
      <c r="G22">
        <f>sumatera!H76</f>
        <v>15.815328258461541</v>
      </c>
      <c r="H22">
        <f>sumatera!I76</f>
        <v>31.323050685636925</v>
      </c>
      <c r="I22">
        <f>sumatera!J76</f>
        <v>1.4971445275569235</v>
      </c>
      <c r="J22">
        <f>sumatera!K76</f>
        <v>7.4834928000000007E-3</v>
      </c>
      <c r="K22">
        <f>sumatera!L76</f>
        <v>0</v>
      </c>
      <c r="L22">
        <f>sumatera!M76</f>
        <v>0.32908519495384614</v>
      </c>
      <c r="M22">
        <f>sumatera!N76</f>
        <v>0</v>
      </c>
      <c r="N22">
        <f>sumatera!O76</f>
        <v>0</v>
      </c>
      <c r="O22">
        <f>sumatera!P76</f>
        <v>0</v>
      </c>
      <c r="P22">
        <f>sumatera!Q76</f>
        <v>213.20076765097846</v>
      </c>
    </row>
    <row r="23" spans="1:16" x14ac:dyDescent="0.25">
      <c r="A23" t="str">
        <f>sumatera!B77</f>
        <v>SUMATERA</v>
      </c>
      <c r="B23">
        <f>sumatera!C77</f>
        <v>2020</v>
      </c>
      <c r="C23">
        <f>sumatera!D77</f>
        <v>98.124192830614831</v>
      </c>
      <c r="D23">
        <f>sumatera!E77</f>
        <v>13.49204520616615</v>
      </c>
      <c r="E23">
        <f>sumatera!F77</f>
        <v>22.590705026949465</v>
      </c>
      <c r="F23">
        <f>sumatera!G77</f>
        <v>44.877321683889235</v>
      </c>
      <c r="G23">
        <f>sumatera!H77</f>
        <v>15.815328258461541</v>
      </c>
      <c r="H23">
        <f>sumatera!I77</f>
        <v>33.626370770645003</v>
      </c>
      <c r="I23">
        <f>sumatera!J77</f>
        <v>4.3506335882815144</v>
      </c>
      <c r="J23">
        <f>sumatera!K77</f>
        <v>2.9557693573892996</v>
      </c>
      <c r="K23">
        <f>sumatera!L77</f>
        <v>1.0879960154846169</v>
      </c>
      <c r="L23">
        <f>sumatera!M77</f>
        <v>0.32908519495384614</v>
      </c>
      <c r="M23">
        <f>sumatera!N77</f>
        <v>1.9354753538016255E-2</v>
      </c>
      <c r="N23">
        <f>sumatera!O77</f>
        <v>0</v>
      </c>
      <c r="O23">
        <f>sumatera!P77</f>
        <v>0</v>
      </c>
      <c r="P23">
        <f>sumatera!Q77</f>
        <v>237.26880268637348</v>
      </c>
    </row>
    <row r="24" spans="1:16" x14ac:dyDescent="0.25">
      <c r="A24" t="str">
        <f>sumatera!B78</f>
        <v>SUMATERA</v>
      </c>
      <c r="B24">
        <f>sumatera!C78</f>
        <v>2021</v>
      </c>
      <c r="C24">
        <f>sumatera!D78</f>
        <v>100.98634658329902</v>
      </c>
      <c r="D24">
        <f>sumatera!E78</f>
        <v>13.49204520616615</v>
      </c>
      <c r="E24">
        <f>sumatera!F78</f>
        <v>39.266366664317623</v>
      </c>
      <c r="F24">
        <f>sumatera!G78</f>
        <v>44.877321695236674</v>
      </c>
      <c r="G24">
        <f>sumatera!H78</f>
        <v>15.815328258461541</v>
      </c>
      <c r="H24">
        <f>sumatera!I78</f>
        <v>33.626370770645003</v>
      </c>
      <c r="I24">
        <f>sumatera!J78</f>
        <v>4.3506335882815144</v>
      </c>
      <c r="J24">
        <f>sumatera!K78</f>
        <v>2.9557693573892996</v>
      </c>
      <c r="K24">
        <f>sumatera!L78</f>
        <v>2.6605064409576111</v>
      </c>
      <c r="L24">
        <f>sumatera!M78</f>
        <v>0.32908519495384614</v>
      </c>
      <c r="M24">
        <f>sumatera!N78</f>
        <v>1.9354753538016255E-2</v>
      </c>
      <c r="N24">
        <f>sumatera!O78</f>
        <v>0</v>
      </c>
      <c r="O24">
        <f>sumatera!P78</f>
        <v>0</v>
      </c>
      <c r="P24">
        <f>sumatera!Q78</f>
        <v>258.37912851324631</v>
      </c>
    </row>
    <row r="25" spans="1:16" x14ac:dyDescent="0.25">
      <c r="A25" t="str">
        <f>sumatera!B79</f>
        <v>SUMATERA</v>
      </c>
      <c r="B25">
        <f>sumatera!C79</f>
        <v>2022</v>
      </c>
      <c r="C25">
        <f>sumatera!D79</f>
        <v>103.14414301524728</v>
      </c>
      <c r="D25">
        <f>sumatera!E79</f>
        <v>13.49204520616615</v>
      </c>
      <c r="E25">
        <f>sumatera!F79</f>
        <v>58.312365753237714</v>
      </c>
      <c r="F25">
        <f>sumatera!G79</f>
        <v>45.47519906529287</v>
      </c>
      <c r="G25">
        <f>sumatera!H79</f>
        <v>15.815328258461541</v>
      </c>
      <c r="H25">
        <f>sumatera!I79</f>
        <v>33.626370770645003</v>
      </c>
      <c r="I25">
        <f>sumatera!J79</f>
        <v>4.3506335882815144</v>
      </c>
      <c r="J25">
        <f>sumatera!K79</f>
        <v>2.9557693573892996</v>
      </c>
      <c r="K25">
        <f>sumatera!L79</f>
        <v>2.6605064409576111</v>
      </c>
      <c r="L25">
        <f>sumatera!M79</f>
        <v>0.32908519495384614</v>
      </c>
      <c r="M25">
        <f>sumatera!N79</f>
        <v>1.9354753538016255E-2</v>
      </c>
      <c r="N25">
        <f>sumatera!O79</f>
        <v>0</v>
      </c>
      <c r="O25">
        <f>sumatera!P79</f>
        <v>0</v>
      </c>
      <c r="P25">
        <f>sumatera!Q79</f>
        <v>280.18080140417084</v>
      </c>
    </row>
    <row r="26" spans="1:16" x14ac:dyDescent="0.25">
      <c r="A26" t="str">
        <f>sumatera!B80</f>
        <v>SUMATERA</v>
      </c>
      <c r="B26">
        <f>sumatera!C80</f>
        <v>2023</v>
      </c>
      <c r="C26">
        <f>sumatera!D80</f>
        <v>105.17834581442708</v>
      </c>
      <c r="D26">
        <f>sumatera!E80</f>
        <v>13.49204520616615</v>
      </c>
      <c r="E26">
        <f>sumatera!F80</f>
        <v>80.263552316713131</v>
      </c>
      <c r="F26">
        <f>sumatera!G80</f>
        <v>45.47519906529287</v>
      </c>
      <c r="G26">
        <f>sumatera!H80</f>
        <v>15.815328258461541</v>
      </c>
      <c r="H26">
        <f>sumatera!I80</f>
        <v>33.626370770645003</v>
      </c>
      <c r="I26">
        <f>sumatera!J80</f>
        <v>4.3506335882815144</v>
      </c>
      <c r="J26">
        <f>sumatera!K80</f>
        <v>2.9557693573892996</v>
      </c>
      <c r="K26">
        <f>sumatera!L80</f>
        <v>2.9858959108296892</v>
      </c>
      <c r="L26">
        <f>sumatera!M80</f>
        <v>0.32908519495384614</v>
      </c>
      <c r="M26">
        <f>sumatera!N80</f>
        <v>1.9354753538016255E-2</v>
      </c>
      <c r="N26">
        <f>sumatera!O80</f>
        <v>0</v>
      </c>
      <c r="O26">
        <f>sumatera!P80</f>
        <v>0</v>
      </c>
      <c r="P26">
        <f>sumatera!Q80</f>
        <v>304.49158023669816</v>
      </c>
    </row>
    <row r="27" spans="1:16" x14ac:dyDescent="0.25">
      <c r="A27" t="str">
        <f>sumatera!B81</f>
        <v>SUMATERA</v>
      </c>
      <c r="B27">
        <f>sumatera!C81</f>
        <v>2024</v>
      </c>
      <c r="C27">
        <f>sumatera!D81</f>
        <v>108.69316222860613</v>
      </c>
      <c r="D27">
        <f>sumatera!E81</f>
        <v>13.49204520616615</v>
      </c>
      <c r="E27">
        <f>sumatera!F81</f>
        <v>93.606050166693905</v>
      </c>
      <c r="F27">
        <f>sumatera!G81</f>
        <v>49.91994758956087</v>
      </c>
      <c r="G27">
        <f>sumatera!H81</f>
        <v>15.815328258461541</v>
      </c>
      <c r="H27">
        <f>sumatera!I81</f>
        <v>33.626370770645003</v>
      </c>
      <c r="I27">
        <f>sumatera!J81</f>
        <v>4.3506335882815144</v>
      </c>
      <c r="J27">
        <f>sumatera!K81</f>
        <v>2.9557693573892996</v>
      </c>
      <c r="K27">
        <f>sumatera!L81</f>
        <v>14.004529070585381</v>
      </c>
      <c r="L27">
        <f>sumatera!M81</f>
        <v>0.32908519495384614</v>
      </c>
      <c r="M27">
        <f>sumatera!N81</f>
        <v>1.9354753538016255E-2</v>
      </c>
      <c r="N27">
        <f>sumatera!O81</f>
        <v>0</v>
      </c>
      <c r="O27">
        <f>sumatera!P81</f>
        <v>0</v>
      </c>
      <c r="P27">
        <f>sumatera!Q81</f>
        <v>336.81227618488163</v>
      </c>
    </row>
    <row r="28" spans="1:16" x14ac:dyDescent="0.25">
      <c r="A28" t="str">
        <f>sumatera!B82</f>
        <v>SUMATERA</v>
      </c>
      <c r="B28">
        <f>sumatera!C82</f>
        <v>2025</v>
      </c>
      <c r="C28">
        <f>sumatera!D82</f>
        <v>111.04121527608241</v>
      </c>
      <c r="D28">
        <f>sumatera!E82</f>
        <v>13.49204520616615</v>
      </c>
      <c r="E28">
        <f>sumatera!F82</f>
        <v>95.661950038007618</v>
      </c>
      <c r="F28">
        <f>sumatera!G82</f>
        <v>64.810727284167314</v>
      </c>
      <c r="G28">
        <f>sumatera!H82</f>
        <v>15.815328258461541</v>
      </c>
      <c r="H28">
        <f>sumatera!I82</f>
        <v>33.626370770645003</v>
      </c>
      <c r="I28">
        <f>sumatera!J82</f>
        <v>4.3506335882815144</v>
      </c>
      <c r="J28">
        <f>sumatera!K82</f>
        <v>3.3053898484308704</v>
      </c>
      <c r="K28">
        <f>sumatera!L82</f>
        <v>27.685480996703312</v>
      </c>
      <c r="L28">
        <f>sumatera!M82</f>
        <v>0.32908519495384614</v>
      </c>
      <c r="M28">
        <f>sumatera!N82</f>
        <v>1.9354753538016255E-2</v>
      </c>
      <c r="N28">
        <f>sumatera!O82</f>
        <v>0</v>
      </c>
      <c r="O28">
        <f>sumatera!P82</f>
        <v>0</v>
      </c>
      <c r="P28">
        <f>sumatera!Q82</f>
        <v>370.13758121543765</v>
      </c>
    </row>
    <row r="29" spans="1:16" x14ac:dyDescent="0.25">
      <c r="A29" t="str">
        <f>sumatera!B83</f>
        <v>SUMATERA</v>
      </c>
      <c r="B29">
        <f>sumatera!C83</f>
        <v>2026</v>
      </c>
      <c r="C29">
        <f>sumatera!D83</f>
        <v>124.51950144302531</v>
      </c>
      <c r="D29">
        <f>sumatera!E83</f>
        <v>13.49205224765158</v>
      </c>
      <c r="E29">
        <f>sumatera!F83</f>
        <v>95.661958874693966</v>
      </c>
      <c r="F29">
        <f>sumatera!G83</f>
        <v>64.810748078873118</v>
      </c>
      <c r="G29">
        <f>sumatera!H83</f>
        <v>15.815396196088352</v>
      </c>
      <c r="H29">
        <f>sumatera!I83</f>
        <v>33.626400654392164</v>
      </c>
      <c r="I29">
        <f>sumatera!J83</f>
        <v>21.194805617558565</v>
      </c>
      <c r="J29">
        <f>sumatera!K83</f>
        <v>5.7893542617290183</v>
      </c>
      <c r="K29">
        <f>sumatera!L83</f>
        <v>27.685495340221163</v>
      </c>
      <c r="L29">
        <f>sumatera!M83</f>
        <v>0.32908519495384614</v>
      </c>
      <c r="M29">
        <f>sumatera!N83</f>
        <v>1.9354753538016255E-2</v>
      </c>
      <c r="N29">
        <f>sumatera!O83</f>
        <v>9.2713324956500397E-6</v>
      </c>
      <c r="O29">
        <f>sumatera!P83</f>
        <v>0</v>
      </c>
      <c r="P29">
        <f>sumatera!Q83</f>
        <v>402.94416193405766</v>
      </c>
    </row>
    <row r="30" spans="1:16" x14ac:dyDescent="0.25">
      <c r="A30" t="str">
        <f>sumatera!B84</f>
        <v>SUMATERA</v>
      </c>
      <c r="B30">
        <f>sumatera!C84</f>
        <v>2027</v>
      </c>
      <c r="C30">
        <f>sumatera!D84</f>
        <v>138.90083356847501</v>
      </c>
      <c r="D30">
        <f>sumatera!E84</f>
        <v>13.492052236889799</v>
      </c>
      <c r="E30">
        <f>sumatera!F84</f>
        <v>95.661958874693966</v>
      </c>
      <c r="F30">
        <f>sumatera!G84</f>
        <v>64.810748060883043</v>
      </c>
      <c r="G30">
        <f>sumatera!H84</f>
        <v>15.81539617272745</v>
      </c>
      <c r="H30">
        <f>sumatera!I84</f>
        <v>45.001704071812775</v>
      </c>
      <c r="I30">
        <f>sumatera!J84</f>
        <v>54.330195825041045</v>
      </c>
      <c r="J30">
        <f>sumatera!K84</f>
        <v>13.022874306344773</v>
      </c>
      <c r="K30">
        <f>sumatera!L84</f>
        <v>27.87559411502124</v>
      </c>
      <c r="L30">
        <f>sumatera!M84</f>
        <v>0.32908519495384614</v>
      </c>
      <c r="M30">
        <f>sumatera!N84</f>
        <v>1.9354749938016259E-2</v>
      </c>
      <c r="N30">
        <f>sumatera!O84</f>
        <v>9.2713324956500397E-6</v>
      </c>
      <c r="O30">
        <f>sumatera!P84</f>
        <v>0</v>
      </c>
      <c r="P30">
        <f>sumatera!Q84</f>
        <v>469.25980644811335</v>
      </c>
    </row>
    <row r="31" spans="1:16" x14ac:dyDescent="0.25">
      <c r="A31" t="str">
        <f>sumatera!B85</f>
        <v>SUMATERA</v>
      </c>
      <c r="B31">
        <f>sumatera!C85</f>
        <v>2028</v>
      </c>
      <c r="C31">
        <f>sumatera!D85</f>
        <v>150.04776741050662</v>
      </c>
      <c r="D31">
        <f>sumatera!E85</f>
        <v>13.492052226128019</v>
      </c>
      <c r="E31">
        <f>sumatera!F85</f>
        <v>105.83164886926065</v>
      </c>
      <c r="F31">
        <f>sumatera!G85</f>
        <v>64.810748060883043</v>
      </c>
      <c r="G31">
        <f>sumatera!H85</f>
        <v>15.81539617272745</v>
      </c>
      <c r="H31">
        <f>sumatera!I85</f>
        <v>50.753244933864515</v>
      </c>
      <c r="I31">
        <f>sumatera!J85</f>
        <v>64.553814173099312</v>
      </c>
      <c r="J31">
        <f>sumatera!K85</f>
        <v>14.011138154057656</v>
      </c>
      <c r="K31">
        <f>sumatera!L85</f>
        <v>30.637253454979305</v>
      </c>
      <c r="L31">
        <f>sumatera!M85</f>
        <v>0.32908519495384614</v>
      </c>
      <c r="M31">
        <f>sumatera!N85</f>
        <v>8.4397886904657757E-2</v>
      </c>
      <c r="N31">
        <f>sumatera!O85</f>
        <v>9.2713324956500397E-6</v>
      </c>
      <c r="O31">
        <f>sumatera!P85</f>
        <v>0</v>
      </c>
      <c r="P31">
        <f>sumatera!Q85</f>
        <v>510.36655580869751</v>
      </c>
    </row>
    <row r="32" spans="1:16" x14ac:dyDescent="0.25">
      <c r="A32" t="str">
        <f>sumatera!B86</f>
        <v>SUMATERA</v>
      </c>
      <c r="B32">
        <f>sumatera!C86</f>
        <v>2029</v>
      </c>
      <c r="C32">
        <f>sumatera!D86</f>
        <v>150.04776741050662</v>
      </c>
      <c r="D32">
        <f>sumatera!E86</f>
        <v>15.374432816268822</v>
      </c>
      <c r="E32">
        <f>sumatera!F86</f>
        <v>107.44494827307989</v>
      </c>
      <c r="F32">
        <f>sumatera!G86</f>
        <v>64.810748060883043</v>
      </c>
      <c r="G32">
        <f>sumatera!H86</f>
        <v>15.81539617272745</v>
      </c>
      <c r="H32">
        <f>sumatera!I86</f>
        <v>50.753244933864515</v>
      </c>
      <c r="I32">
        <f>sumatera!J86</f>
        <v>64.553814173099312</v>
      </c>
      <c r="J32">
        <f>sumatera!K86</f>
        <v>14.011138154057656</v>
      </c>
      <c r="K32">
        <f>sumatera!L86</f>
        <v>30.637253454979305</v>
      </c>
      <c r="L32">
        <f>sumatera!M86</f>
        <v>0.32908519495384614</v>
      </c>
      <c r="M32">
        <f>sumatera!N86</f>
        <v>8.4398046954489075E-2</v>
      </c>
      <c r="N32">
        <f>sumatera!O86</f>
        <v>9.2713324956500397E-6</v>
      </c>
      <c r="O32">
        <f>sumatera!P86</f>
        <v>0</v>
      </c>
      <c r="P32">
        <f>sumatera!Q86</f>
        <v>513.86223596270725</v>
      </c>
    </row>
    <row r="33" spans="1:16" x14ac:dyDescent="0.25">
      <c r="A33" t="str">
        <f>sumatera!B87</f>
        <v>SUMATERA</v>
      </c>
      <c r="B33">
        <f>sumatera!C87</f>
        <v>2030</v>
      </c>
      <c r="C33">
        <f>sumatera!D87</f>
        <v>160.45408102919197</v>
      </c>
      <c r="D33">
        <f>sumatera!E87</f>
        <v>23.404484216643617</v>
      </c>
      <c r="E33">
        <f>sumatera!F87</f>
        <v>109.08050308742372</v>
      </c>
      <c r="F33">
        <f>sumatera!G87</f>
        <v>64.81077111386989</v>
      </c>
      <c r="G33">
        <f>sumatera!H87</f>
        <v>15.815482935762656</v>
      </c>
      <c r="H33">
        <f>sumatera!I87</f>
        <v>50.753285486470915</v>
      </c>
      <c r="I33">
        <f>sumatera!J87</f>
        <v>64.553886276200558</v>
      </c>
      <c r="J33">
        <f>sumatera!K87</f>
        <v>14.011145116663403</v>
      </c>
      <c r="K33">
        <f>sumatera!L87</f>
        <v>30.713147131439307</v>
      </c>
      <c r="L33">
        <f>sumatera!M87</f>
        <v>0.32908519495384614</v>
      </c>
      <c r="M33">
        <f>sumatera!N87</f>
        <v>8.4435320293009999E-2</v>
      </c>
      <c r="N33">
        <f>sumatera!O87</f>
        <v>1.9920001949989099E-5</v>
      </c>
      <c r="O33">
        <f>sumatera!P87</f>
        <v>0</v>
      </c>
      <c r="P33">
        <f>sumatera!Q87</f>
        <v>534.0103268289148</v>
      </c>
    </row>
    <row r="34" spans="1:16" x14ac:dyDescent="0.25">
      <c r="A34" t="str">
        <f>sumatera!B88</f>
        <v>SUMATERA</v>
      </c>
      <c r="B34">
        <f>sumatera!C88</f>
        <v>2031</v>
      </c>
      <c r="C34">
        <f>sumatera!D88</f>
        <v>169.54174040570169</v>
      </c>
      <c r="D34">
        <f>sumatera!E88</f>
        <v>34.076640550455522</v>
      </c>
      <c r="E34">
        <f>sumatera!F88</f>
        <v>111.68216421826671</v>
      </c>
      <c r="F34">
        <f>sumatera!G88</f>
        <v>65.028553903455787</v>
      </c>
      <c r="G34">
        <f>sumatera!H88</f>
        <v>25.920469654087409</v>
      </c>
      <c r="H34">
        <f>sumatera!I88</f>
        <v>50.925209600165154</v>
      </c>
      <c r="I34">
        <f>sumatera!J88</f>
        <v>64.859503991628571</v>
      </c>
      <c r="J34">
        <f>sumatera!K88</f>
        <v>35.297043882988667</v>
      </c>
      <c r="K34">
        <f>sumatera!L88</f>
        <v>30.795681288620443</v>
      </c>
      <c r="L34">
        <f>sumatera!M88</f>
        <v>0.38351924391774866</v>
      </c>
      <c r="M34">
        <f>sumatera!N88</f>
        <v>0.10447285807396169</v>
      </c>
      <c r="N34">
        <f>sumatera!O88</f>
        <v>7.1607862628133678E-2</v>
      </c>
      <c r="O34">
        <f>sumatera!P88</f>
        <v>0</v>
      </c>
      <c r="P34">
        <f>sumatera!Q88</f>
        <v>588.68660745998989</v>
      </c>
    </row>
    <row r="35" spans="1:16" x14ac:dyDescent="0.25">
      <c r="A35" t="str">
        <f>sumatera!B89</f>
        <v>SUMATERA</v>
      </c>
      <c r="B35">
        <f>sumatera!C89</f>
        <v>2032</v>
      </c>
      <c r="C35">
        <f>sumatera!D89</f>
        <v>179.90623495173756</v>
      </c>
      <c r="D35">
        <f>sumatera!E89</f>
        <v>44.407662764991414</v>
      </c>
      <c r="E35">
        <f>sumatera!F89</f>
        <v>113.58209728817586</v>
      </c>
      <c r="F35">
        <f>sumatera!G89</f>
        <v>66.077529037223215</v>
      </c>
      <c r="G35">
        <f>sumatera!H89</f>
        <v>26.583795150178723</v>
      </c>
      <c r="H35">
        <f>sumatera!I89</f>
        <v>50.925377437428736</v>
      </c>
      <c r="I35">
        <f>sumatera!J89</f>
        <v>64.859802369320519</v>
      </c>
      <c r="J35">
        <f>sumatera!K89</f>
        <v>35.29707270397315</v>
      </c>
      <c r="K35">
        <f>sumatera!L89</f>
        <v>30.79576184717402</v>
      </c>
      <c r="L35">
        <f>sumatera!M89</f>
        <v>0.38351924391774866</v>
      </c>
      <c r="M35">
        <f>sumatera!N89</f>
        <v>0.10462717159467788</v>
      </c>
      <c r="N35">
        <f>sumatera!O89</f>
        <v>7.1651489819267375E-2</v>
      </c>
      <c r="O35">
        <f>sumatera!P89</f>
        <v>0</v>
      </c>
      <c r="P35">
        <f>sumatera!Q89</f>
        <v>612.99513145553487</v>
      </c>
    </row>
    <row r="36" spans="1:16" x14ac:dyDescent="0.25">
      <c r="A36" t="str">
        <f>sumatera!B90</f>
        <v>SUMATERA</v>
      </c>
      <c r="B36">
        <f>sumatera!C90</f>
        <v>2033</v>
      </c>
      <c r="C36">
        <f>sumatera!D90</f>
        <v>190.6519539346726</v>
      </c>
      <c r="D36">
        <f>sumatera!E90</f>
        <v>56.446473639064493</v>
      </c>
      <c r="E36">
        <f>sumatera!F90</f>
        <v>115.94586000884232</v>
      </c>
      <c r="F36">
        <f>sumatera!G90</f>
        <v>66.32267964178692</v>
      </c>
      <c r="G36">
        <f>sumatera!H90</f>
        <v>58.18032407368738</v>
      </c>
      <c r="H36">
        <f>sumatera!I90</f>
        <v>51.277976394838845</v>
      </c>
      <c r="I36">
        <f>sumatera!J90</f>
        <v>65.486585995700693</v>
      </c>
      <c r="J36">
        <f>sumatera!K90</f>
        <v>35.357649109209817</v>
      </c>
      <c r="K36">
        <f>sumatera!L90</f>
        <v>30.965025875640514</v>
      </c>
      <c r="L36">
        <f>sumatera!M90</f>
        <v>0.38351924391774866</v>
      </c>
      <c r="M36">
        <f>sumatera!N90</f>
        <v>0.11243585573911767</v>
      </c>
      <c r="N36">
        <f>sumatera!O90</f>
        <v>0.17922560248752892</v>
      </c>
      <c r="O36">
        <f>sumatera!P90</f>
        <v>0</v>
      </c>
      <c r="P36">
        <f>sumatera!Q90</f>
        <v>671.309709375588</v>
      </c>
    </row>
    <row r="37" spans="1:16" x14ac:dyDescent="0.25">
      <c r="A37" t="str">
        <f>sumatera!B91</f>
        <v>SUMATERA</v>
      </c>
      <c r="B37">
        <f>sumatera!C91</f>
        <v>2034</v>
      </c>
      <c r="C37">
        <f>sumatera!D91</f>
        <v>203.74251843224903</v>
      </c>
      <c r="D37">
        <f>sumatera!E91</f>
        <v>66.324920364252918</v>
      </c>
      <c r="E37">
        <f>sumatera!F91</f>
        <v>118.14315896527597</v>
      </c>
      <c r="F37">
        <f>sumatera!G91</f>
        <v>67.464369910946388</v>
      </c>
      <c r="G37">
        <f>sumatera!H91</f>
        <v>58.180330068551953</v>
      </c>
      <c r="H37">
        <f>sumatera!I91</f>
        <v>51.27798018584194</v>
      </c>
      <c r="I37">
        <f>sumatera!J91</f>
        <v>65.486590833802353</v>
      </c>
      <c r="J37">
        <f>sumatera!K91</f>
        <v>35.357650191695633</v>
      </c>
      <c r="K37">
        <f>sumatera!L91</f>
        <v>30.965934702938622</v>
      </c>
      <c r="L37">
        <f>sumatera!M91</f>
        <v>0.38351924391774866</v>
      </c>
      <c r="M37">
        <f>sumatera!N91</f>
        <v>0.11243631732731237</v>
      </c>
      <c r="N37">
        <f>sumatera!O91</f>
        <v>0.17922651126841374</v>
      </c>
      <c r="O37">
        <f>sumatera!P91</f>
        <v>0</v>
      </c>
      <c r="P37">
        <f>sumatera!Q91</f>
        <v>697.61863572806828</v>
      </c>
    </row>
    <row r="38" spans="1:16" x14ac:dyDescent="0.25">
      <c r="A38" t="str">
        <f>sumatera!B92</f>
        <v>SUMATERA</v>
      </c>
      <c r="B38">
        <f>sumatera!C92</f>
        <v>2035</v>
      </c>
      <c r="C38">
        <f>sumatera!D92</f>
        <v>209.92556028777986</v>
      </c>
      <c r="D38">
        <f>sumatera!E92</f>
        <v>82.497632178177042</v>
      </c>
      <c r="E38">
        <f>sumatera!F92</f>
        <v>132.00406520620703</v>
      </c>
      <c r="F38">
        <f>sumatera!G92</f>
        <v>67.464444988973241</v>
      </c>
      <c r="G38">
        <f>sumatera!H92</f>
        <v>58.180438832245244</v>
      </c>
      <c r="H38">
        <f>sumatera!I92</f>
        <v>51.278031078985435</v>
      </c>
      <c r="I38">
        <f>sumatera!J92</f>
        <v>65.486681331166466</v>
      </c>
      <c r="J38">
        <f>sumatera!K92</f>
        <v>35.357658930923883</v>
      </c>
      <c r="K38">
        <f>sumatera!L92</f>
        <v>31.061235739182585</v>
      </c>
      <c r="L38">
        <f>sumatera!M92</f>
        <v>0.38351924391774866</v>
      </c>
      <c r="M38">
        <f>sumatera!N92</f>
        <v>0.1124831083479262</v>
      </c>
      <c r="N38">
        <f>sumatera!O92</f>
        <v>0.17923974030536025</v>
      </c>
      <c r="O38">
        <f>sumatera!P92</f>
        <v>0</v>
      </c>
      <c r="P38">
        <f>sumatera!Q92</f>
        <v>733.93099066621176</v>
      </c>
    </row>
    <row r="39" spans="1:16" x14ac:dyDescent="0.25">
      <c r="A39" t="str">
        <f>sumatera!B93</f>
        <v>SUMATERA</v>
      </c>
      <c r="B39">
        <f>sumatera!C93</f>
        <v>2036</v>
      </c>
      <c r="C39">
        <f>sumatera!D93</f>
        <v>227.84366366830241</v>
      </c>
      <c r="D39">
        <f>sumatera!E93</f>
        <v>86.416231887499706</v>
      </c>
      <c r="E39">
        <f>sumatera!F93</f>
        <v>135.36250784213351</v>
      </c>
      <c r="F39">
        <f>sumatera!G93</f>
        <v>67.464444970983152</v>
      </c>
      <c r="G39">
        <f>sumatera!H93</f>
        <v>102.00835212602728</v>
      </c>
      <c r="H39">
        <f>sumatera!I93</f>
        <v>55.268683810026516</v>
      </c>
      <c r="I39">
        <f>sumatera!J93</f>
        <v>72.580519180502634</v>
      </c>
      <c r="J39">
        <f>sumatera!K93</f>
        <v>36.043258883315644</v>
      </c>
      <c r="K39">
        <f>sumatera!L93</f>
        <v>32.976944234569721</v>
      </c>
      <c r="L39">
        <f>sumatera!M93</f>
        <v>1.6470118267999749</v>
      </c>
      <c r="M39">
        <f>sumatera!N93</f>
        <v>0.12896435932604028</v>
      </c>
      <c r="N39">
        <f>sumatera!O93</f>
        <v>1.8409416062181736</v>
      </c>
      <c r="O39">
        <f>sumatera!P93</f>
        <v>0</v>
      </c>
      <c r="P39">
        <f>sumatera!Q93</f>
        <v>819.58152439570461</v>
      </c>
    </row>
    <row r="40" spans="1:16" x14ac:dyDescent="0.25">
      <c r="A40" t="str">
        <f>sumatera!B94</f>
        <v>SUMATERA</v>
      </c>
      <c r="B40">
        <f>sumatera!C94</f>
        <v>2037</v>
      </c>
      <c r="C40">
        <f>sumatera!D94</f>
        <v>243.10870769105873</v>
      </c>
      <c r="D40">
        <f>sumatera!E94</f>
        <v>100.61753265716321</v>
      </c>
      <c r="E40">
        <f>sumatera!F94</f>
        <v>138.10347138763976</v>
      </c>
      <c r="F40">
        <f>sumatera!G94</f>
        <v>67.464448906474928</v>
      </c>
      <c r="G40">
        <f>sumatera!H94</f>
        <v>102.00836989604558</v>
      </c>
      <c r="H40">
        <f>sumatera!I94</f>
        <v>55.268692126221019</v>
      </c>
      <c r="I40">
        <f>sumatera!J94</f>
        <v>72.580548446000705</v>
      </c>
      <c r="J40">
        <f>sumatera!K94</f>
        <v>36.052548769945602</v>
      </c>
      <c r="K40">
        <f>sumatera!L94</f>
        <v>32.976948224280981</v>
      </c>
      <c r="L40">
        <f>sumatera!M94</f>
        <v>1.6470118267999749</v>
      </c>
      <c r="M40">
        <f>sumatera!N94</f>
        <v>0.12897200016003871</v>
      </c>
      <c r="N40">
        <f>sumatera!O94</f>
        <v>1.840943780175293</v>
      </c>
      <c r="O40">
        <f>sumatera!P94</f>
        <v>0</v>
      </c>
      <c r="P40">
        <f>sumatera!Q94</f>
        <v>851.79819571196572</v>
      </c>
    </row>
    <row r="41" spans="1:16" x14ac:dyDescent="0.25">
      <c r="A41" t="str">
        <f>sumatera!B95</f>
        <v>SUMATERA</v>
      </c>
      <c r="B41">
        <f>sumatera!C95</f>
        <v>2038</v>
      </c>
      <c r="C41">
        <f>sumatera!D95</f>
        <v>256.34434209762099</v>
      </c>
      <c r="D41">
        <f>sumatera!E95</f>
        <v>119.13372716574322</v>
      </c>
      <c r="E41">
        <f>sumatera!F95</f>
        <v>142.63687902108759</v>
      </c>
      <c r="F41">
        <f>sumatera!G95</f>
        <v>67.610627025306201</v>
      </c>
      <c r="G41">
        <f>sumatera!H95</f>
        <v>111.92596595274469</v>
      </c>
      <c r="H41">
        <f>sumatera!I95</f>
        <v>55.478935367756051</v>
      </c>
      <c r="I41">
        <f>sumatera!J95</f>
        <v>72.954283414775489</v>
      </c>
      <c r="J41">
        <f>sumatera!K95</f>
        <v>72.687067502268988</v>
      </c>
      <c r="K41">
        <f>sumatera!L95</f>
        <v>33.077875363197101</v>
      </c>
      <c r="L41">
        <f>sumatera!M95</f>
        <v>1.6470118267999749</v>
      </c>
      <c r="M41">
        <f>sumatera!N95</f>
        <v>0.16154614714575224</v>
      </c>
      <c r="N41">
        <f>sumatera!O95</f>
        <v>1.9050866849397441</v>
      </c>
      <c r="O41">
        <f>sumatera!P95</f>
        <v>0</v>
      </c>
      <c r="P41">
        <f>sumatera!Q95</f>
        <v>935.56334756938577</v>
      </c>
    </row>
    <row r="42" spans="1:16" x14ac:dyDescent="0.25">
      <c r="A42" t="str">
        <f>Jawa!B76</f>
        <v>JAWA</v>
      </c>
      <c r="B42">
        <f>Jawa!C76</f>
        <v>2019</v>
      </c>
      <c r="C42">
        <f>Jawa!D76</f>
        <v>402.29490575999995</v>
      </c>
      <c r="D42">
        <f>Jawa!E76</f>
        <v>31.174082340679391</v>
      </c>
      <c r="E42">
        <f>Jawa!F76</f>
        <v>98.244950355581551</v>
      </c>
      <c r="F42">
        <f>Jawa!G76</f>
        <v>0.59601118729846159</v>
      </c>
      <c r="G42">
        <f>Jawa!H76</f>
        <v>28.145210466461535</v>
      </c>
      <c r="H42">
        <f>Jawa!I76</f>
        <v>41.541445641600006</v>
      </c>
      <c r="I42">
        <f>Jawa!J76</f>
        <v>0.36970477587692319</v>
      </c>
      <c r="J42">
        <f>Jawa!K76</f>
        <v>6.6225600000000004E-3</v>
      </c>
      <c r="K42">
        <f>Jawa!L76</f>
        <v>0</v>
      </c>
      <c r="L42">
        <f>Jawa!M76</f>
        <v>7.1931190153846164E-2</v>
      </c>
      <c r="M42">
        <f>Jawa!N76</f>
        <v>0</v>
      </c>
      <c r="N42">
        <f>Jawa!O76</f>
        <v>0</v>
      </c>
      <c r="O42">
        <f>Jawa!P76</f>
        <v>0</v>
      </c>
      <c r="P42">
        <f>Jawa!Q76</f>
        <v>602.44486427765162</v>
      </c>
    </row>
    <row r="43" spans="1:16" x14ac:dyDescent="0.25">
      <c r="A43" t="str">
        <f>Jawa!B77</f>
        <v>JAWA</v>
      </c>
      <c r="B43">
        <f>Jawa!C77</f>
        <v>2020</v>
      </c>
      <c r="C43">
        <f>Jawa!D77</f>
        <v>429.27183254461164</v>
      </c>
      <c r="D43">
        <f>Jawa!E77</f>
        <v>31.174082340679391</v>
      </c>
      <c r="E43">
        <f>Jawa!F77</f>
        <v>108.26529007863212</v>
      </c>
      <c r="F43">
        <f>Jawa!G77</f>
        <v>0.59601118729846159</v>
      </c>
      <c r="G43">
        <f>Jawa!H77</f>
        <v>28.145210466461535</v>
      </c>
      <c r="H43">
        <f>Jawa!I77</f>
        <v>75.094550403035726</v>
      </c>
      <c r="I43">
        <f>Jawa!J77</f>
        <v>0.97834429791721655</v>
      </c>
      <c r="J43">
        <f>Jawa!K77</f>
        <v>33.989697169355999</v>
      </c>
      <c r="K43">
        <f>Jawa!L77</f>
        <v>0.16685800044540094</v>
      </c>
      <c r="L43">
        <f>Jawa!M77</f>
        <v>7.1931190153846164E-2</v>
      </c>
      <c r="M43">
        <f>Jawa!N77</f>
        <v>6.0265584516019155E-2</v>
      </c>
      <c r="N43">
        <f>Jawa!O77</f>
        <v>0</v>
      </c>
      <c r="O43">
        <f>Jawa!P77</f>
        <v>0</v>
      </c>
      <c r="P43">
        <f>Jawa!Q77</f>
        <v>707.81407326310739</v>
      </c>
    </row>
    <row r="44" spans="1:16" x14ac:dyDescent="0.25">
      <c r="A44" t="str">
        <f>Jawa!B78</f>
        <v>JAWA</v>
      </c>
      <c r="B44">
        <f>Jawa!C78</f>
        <v>2021</v>
      </c>
      <c r="C44">
        <f>Jawa!D78</f>
        <v>451.16172319440921</v>
      </c>
      <c r="D44">
        <f>Jawa!E78</f>
        <v>31.174082340679391</v>
      </c>
      <c r="E44">
        <f>Jawa!F78</f>
        <v>135.65916217117075</v>
      </c>
      <c r="F44">
        <f>Jawa!G78</f>
        <v>0.59601118729846159</v>
      </c>
      <c r="G44">
        <f>Jawa!H78</f>
        <v>28.145210466461535</v>
      </c>
      <c r="H44">
        <f>Jawa!I78</f>
        <v>91.871103654317849</v>
      </c>
      <c r="I44">
        <f>Jawa!J78</f>
        <v>31.678084992281693</v>
      </c>
      <c r="J44">
        <f>Jawa!K78</f>
        <v>37.382603163763818</v>
      </c>
      <c r="K44">
        <f>Jawa!L78</f>
        <v>19.719797681137553</v>
      </c>
      <c r="L44">
        <f>Jawa!M78</f>
        <v>7.1931190153846164E-2</v>
      </c>
      <c r="M44">
        <f>Jawa!N78</f>
        <v>8.6145671872338639E-2</v>
      </c>
      <c r="N44">
        <f>Jawa!O78</f>
        <v>0</v>
      </c>
      <c r="O44">
        <f>Jawa!P78</f>
        <v>0</v>
      </c>
      <c r="P44">
        <f>Jawa!Q78</f>
        <v>827.54585571354653</v>
      </c>
    </row>
    <row r="45" spans="1:16" x14ac:dyDescent="0.25">
      <c r="A45" t="str">
        <f>Jawa!B79</f>
        <v>JAWA</v>
      </c>
      <c r="B45">
        <f>Jawa!C79</f>
        <v>2022</v>
      </c>
      <c r="C45">
        <f>Jawa!D79</f>
        <v>451.16172319440921</v>
      </c>
      <c r="D45">
        <f>Jawa!E79</f>
        <v>31.174082340679391</v>
      </c>
      <c r="E45">
        <f>Jawa!F79</f>
        <v>194.72913930715649</v>
      </c>
      <c r="F45">
        <f>Jawa!G79</f>
        <v>0.82577807509690027</v>
      </c>
      <c r="G45">
        <f>Jawa!H79</f>
        <v>28.145210710365618</v>
      </c>
      <c r="H45">
        <f>Jawa!I79</f>
        <v>91.871103654317849</v>
      </c>
      <c r="I45">
        <f>Jawa!J79</f>
        <v>31.678084992281693</v>
      </c>
      <c r="J45">
        <f>Jawa!K79</f>
        <v>37.382603163763818</v>
      </c>
      <c r="K45">
        <f>Jawa!L79</f>
        <v>19.719797681137553</v>
      </c>
      <c r="L45">
        <f>Jawa!M79</f>
        <v>7.1931190153846164E-2</v>
      </c>
      <c r="M45">
        <f>Jawa!N79</f>
        <v>8.6145671872295798E-2</v>
      </c>
      <c r="N45">
        <f>Jawa!O79</f>
        <v>0</v>
      </c>
      <c r="O45">
        <f>Jawa!P79</f>
        <v>0</v>
      </c>
      <c r="P45">
        <f>Jawa!Q79</f>
        <v>886.84559998123461</v>
      </c>
    </row>
    <row r="46" spans="1:16" x14ac:dyDescent="0.25">
      <c r="A46" t="str">
        <f>Jawa!B80</f>
        <v>JAWA</v>
      </c>
      <c r="B46">
        <f>Jawa!C80</f>
        <v>2023</v>
      </c>
      <c r="C46">
        <f>Jawa!D80</f>
        <v>451.16172319440921</v>
      </c>
      <c r="D46">
        <f>Jawa!E80</f>
        <v>31.174082340679391</v>
      </c>
      <c r="E46">
        <f>Jawa!F80</f>
        <v>236.34166312693102</v>
      </c>
      <c r="F46">
        <f>Jawa!G80</f>
        <v>0.84725428523573376</v>
      </c>
      <c r="G46">
        <f>Jawa!H80</f>
        <v>28.145210710365618</v>
      </c>
      <c r="H46">
        <f>Jawa!I80</f>
        <v>91.871103654317849</v>
      </c>
      <c r="I46">
        <f>Jawa!J80</f>
        <v>31.678084992281693</v>
      </c>
      <c r="J46">
        <f>Jawa!K80</f>
        <v>37.382603163763818</v>
      </c>
      <c r="K46">
        <f>Jawa!L80</f>
        <v>19.719797681137553</v>
      </c>
      <c r="L46">
        <f>Jawa!M80</f>
        <v>7.1931190153846164E-2</v>
      </c>
      <c r="M46">
        <f>Jawa!N80</f>
        <v>8.6145671872295798E-2</v>
      </c>
      <c r="N46">
        <f>Jawa!O80</f>
        <v>0</v>
      </c>
      <c r="O46">
        <f>Jawa!P80</f>
        <v>0</v>
      </c>
      <c r="P46">
        <f>Jawa!Q80</f>
        <v>928.47960001114802</v>
      </c>
    </row>
    <row r="47" spans="1:16" x14ac:dyDescent="0.25">
      <c r="A47" t="str">
        <f>Jawa!B81</f>
        <v>JAWA</v>
      </c>
      <c r="B47">
        <f>Jawa!C81</f>
        <v>2024</v>
      </c>
      <c r="C47">
        <f>Jawa!D81</f>
        <v>451.16172319440921</v>
      </c>
      <c r="D47">
        <f>Jawa!E81</f>
        <v>35.94985312362099</v>
      </c>
      <c r="E47">
        <f>Jawa!F81</f>
        <v>278.32302086796471</v>
      </c>
      <c r="F47">
        <f>Jawa!G81</f>
        <v>0.8721449194142521</v>
      </c>
      <c r="G47">
        <f>Jawa!H81</f>
        <v>28.145210710365618</v>
      </c>
      <c r="H47">
        <f>Jawa!I81</f>
        <v>91.871103654317849</v>
      </c>
      <c r="I47">
        <f>Jawa!J81</f>
        <v>31.678084992281693</v>
      </c>
      <c r="J47">
        <f>Jawa!K81</f>
        <v>37.382603163763818</v>
      </c>
      <c r="K47">
        <f>Jawa!L81</f>
        <v>19.719797681137553</v>
      </c>
      <c r="L47">
        <f>Jawa!M81</f>
        <v>7.1931190153846164E-2</v>
      </c>
      <c r="M47">
        <f>Jawa!N81</f>
        <v>8.6145671872295798E-2</v>
      </c>
      <c r="N47">
        <f>Jawa!O81</f>
        <v>0</v>
      </c>
      <c r="O47">
        <f>Jawa!P81</f>
        <v>0</v>
      </c>
      <c r="P47">
        <f>Jawa!Q81</f>
        <v>975.26161916930187</v>
      </c>
    </row>
    <row r="48" spans="1:16" x14ac:dyDescent="0.25">
      <c r="A48" t="str">
        <f>Jawa!B82</f>
        <v>JAWA</v>
      </c>
      <c r="B48">
        <f>Jawa!C82</f>
        <v>2025</v>
      </c>
      <c r="C48">
        <f>Jawa!D82</f>
        <v>451.16172319440921</v>
      </c>
      <c r="D48">
        <f>Jawa!E82</f>
        <v>40.489936263981946</v>
      </c>
      <c r="E48">
        <f>Jawa!F82</f>
        <v>292.61824328193387</v>
      </c>
      <c r="F48">
        <f>Jawa!G82</f>
        <v>0.89364082369355036</v>
      </c>
      <c r="G48">
        <f>Jawa!H82</f>
        <v>28.145210710365618</v>
      </c>
      <c r="H48">
        <f>Jawa!I82</f>
        <v>98.612657918519275</v>
      </c>
      <c r="I48">
        <f>Jawa!J82</f>
        <v>31.678084992281693</v>
      </c>
      <c r="J48">
        <f>Jawa!K82</f>
        <v>37.382603163763818</v>
      </c>
      <c r="K48">
        <f>Jawa!L82</f>
        <v>38.552736509148787</v>
      </c>
      <c r="L48">
        <f>Jawa!M82</f>
        <v>7.1931190153846164E-2</v>
      </c>
      <c r="M48">
        <f>Jawa!N82</f>
        <v>8.6145671872295798E-2</v>
      </c>
      <c r="N48">
        <f>Jawa!O82</f>
        <v>0</v>
      </c>
      <c r="O48">
        <f>Jawa!P82</f>
        <v>0</v>
      </c>
      <c r="P48">
        <f>Jawa!Q82</f>
        <v>1019.6929137201239</v>
      </c>
    </row>
    <row r="49" spans="1:16" x14ac:dyDescent="0.25">
      <c r="A49" t="str">
        <f>Jawa!B83</f>
        <v>JAWA</v>
      </c>
      <c r="B49">
        <f>Jawa!C83</f>
        <v>2026</v>
      </c>
      <c r="C49">
        <f>Jawa!D83</f>
        <v>451.71017438373474</v>
      </c>
      <c r="D49">
        <f>Jawa!E83</f>
        <v>40.705864926722001</v>
      </c>
      <c r="E49">
        <f>Jawa!F83</f>
        <v>292.79846834218216</v>
      </c>
      <c r="F49">
        <f>Jawa!G83</f>
        <v>0.89364082369355036</v>
      </c>
      <c r="G49">
        <f>Jawa!H83</f>
        <v>32.153627257200746</v>
      </c>
      <c r="H49">
        <f>Jawa!I83</f>
        <v>102.62269621195813</v>
      </c>
      <c r="I49">
        <f>Jawa!J83</f>
        <v>35.915849999102079</v>
      </c>
      <c r="J49">
        <f>Jawa!K83</f>
        <v>37.814476500268576</v>
      </c>
      <c r="K49">
        <f>Jawa!L83</f>
        <v>39.753070365934612</v>
      </c>
      <c r="L49">
        <f>Jawa!M83</f>
        <v>0.86645680673506331</v>
      </c>
      <c r="M49">
        <f>Jawa!N83</f>
        <v>8.6145671872295798E-2</v>
      </c>
      <c r="N49">
        <f>Jawa!O83</f>
        <v>0.19457683799295461</v>
      </c>
      <c r="O49">
        <f>Jawa!P83</f>
        <v>0</v>
      </c>
      <c r="P49">
        <f>Jawa!Q83</f>
        <v>1035.515048127397</v>
      </c>
    </row>
    <row r="50" spans="1:16" x14ac:dyDescent="0.25">
      <c r="A50" t="str">
        <f>Jawa!B84</f>
        <v>JAWA</v>
      </c>
      <c r="B50">
        <f>Jawa!C84</f>
        <v>2027</v>
      </c>
      <c r="C50">
        <f>Jawa!D84</f>
        <v>451.71017438373474</v>
      </c>
      <c r="D50">
        <f>Jawa!E84</f>
        <v>44.358215119046413</v>
      </c>
      <c r="E50">
        <f>Jawa!F84</f>
        <v>353.78907984327543</v>
      </c>
      <c r="F50">
        <f>Jawa!G84</f>
        <v>0.93800309825230332</v>
      </c>
      <c r="G50">
        <f>Jawa!H84</f>
        <v>32.153627257200746</v>
      </c>
      <c r="H50">
        <f>Jawa!I84</f>
        <v>105.63509590916131</v>
      </c>
      <c r="I50">
        <f>Jawa!J84</f>
        <v>35.915849999102079</v>
      </c>
      <c r="J50">
        <f>Jawa!K84</f>
        <v>37.814476500268576</v>
      </c>
      <c r="K50">
        <f>Jawa!L84</f>
        <v>50.983098573357815</v>
      </c>
      <c r="L50">
        <f>Jawa!M84</f>
        <v>0.86645680673506331</v>
      </c>
      <c r="M50">
        <f>Jawa!N84</f>
        <v>8.6145671872295798E-2</v>
      </c>
      <c r="N50">
        <f>Jawa!O84</f>
        <v>0.19457683799295461</v>
      </c>
      <c r="O50">
        <f>Jawa!P84</f>
        <v>0</v>
      </c>
      <c r="P50">
        <f>Jawa!Q84</f>
        <v>1114.4448</v>
      </c>
    </row>
    <row r="51" spans="1:16" x14ac:dyDescent="0.25">
      <c r="A51" t="str">
        <f>Jawa!B85</f>
        <v>JAWA</v>
      </c>
      <c r="B51">
        <f>Jawa!C85</f>
        <v>2028</v>
      </c>
      <c r="C51">
        <f>Jawa!D85</f>
        <v>451.71017438373474</v>
      </c>
      <c r="D51">
        <f>Jawa!E85</f>
        <v>50.234298511026701</v>
      </c>
      <c r="E51">
        <f>Jawa!F85</f>
        <v>387.66587436951858</v>
      </c>
      <c r="F51">
        <f>Jawa!G85</f>
        <v>0.96626408961972654</v>
      </c>
      <c r="G51">
        <f>Jawa!H85</f>
        <v>32.153627257200746</v>
      </c>
      <c r="H51">
        <f>Jawa!I85</f>
        <v>105.63509590916131</v>
      </c>
      <c r="I51">
        <f>Jawa!J85</f>
        <v>35.915849999102079</v>
      </c>
      <c r="J51">
        <f>Jawa!K85</f>
        <v>41.829893163656706</v>
      </c>
      <c r="K51">
        <f>Jawa!L85</f>
        <v>64.192542872040704</v>
      </c>
      <c r="L51">
        <f>Jawa!M85</f>
        <v>0.86645680673506331</v>
      </c>
      <c r="M51">
        <f>Jawa!N85</f>
        <v>8.6145671872295798E-2</v>
      </c>
      <c r="N51">
        <f>Jawa!O85</f>
        <v>0.19457683799295461</v>
      </c>
      <c r="O51">
        <f>Jawa!P85</f>
        <v>0</v>
      </c>
      <c r="P51">
        <f>Jawa!Q85</f>
        <v>1171.4507998716615</v>
      </c>
    </row>
    <row r="52" spans="1:16" x14ac:dyDescent="0.25">
      <c r="A52" t="str">
        <f>Jawa!B86</f>
        <v>JAWA</v>
      </c>
      <c r="B52">
        <f>Jawa!C86</f>
        <v>2029</v>
      </c>
      <c r="C52">
        <f>Jawa!D86</f>
        <v>451.71017438373474</v>
      </c>
      <c r="D52">
        <f>Jawa!E86</f>
        <v>57.126839677512798</v>
      </c>
      <c r="E52">
        <f>Jawa!F86</f>
        <v>420.38344076842617</v>
      </c>
      <c r="F52">
        <f>Jawa!G86</f>
        <v>0.9932551536258527</v>
      </c>
      <c r="G52">
        <f>Jawa!H86</f>
        <v>32.153627257200746</v>
      </c>
      <c r="H52">
        <f>Jawa!I86</f>
        <v>105.63509590916131</v>
      </c>
      <c r="I52">
        <f>Jawa!J86</f>
        <v>35.915849999102079</v>
      </c>
      <c r="J52">
        <f>Jawa!K86</f>
        <v>46.683028709351838</v>
      </c>
      <c r="K52">
        <f>Jawa!L86</f>
        <v>76.999906726075679</v>
      </c>
      <c r="L52">
        <f>Jawa!M86</f>
        <v>0.86645680673506331</v>
      </c>
      <c r="M52">
        <f>Jawa!N86</f>
        <v>8.6145671872295798E-2</v>
      </c>
      <c r="N52">
        <f>Jawa!O86</f>
        <v>0.19457683799295461</v>
      </c>
      <c r="O52">
        <f>Jawa!P86</f>
        <v>0</v>
      </c>
      <c r="P52">
        <f>Jawa!Q86</f>
        <v>1228.7483979007918</v>
      </c>
    </row>
    <row r="53" spans="1:16" x14ac:dyDescent="0.25">
      <c r="A53" t="str">
        <f>Jawa!B87</f>
        <v>JAWA</v>
      </c>
      <c r="B53">
        <f>Jawa!C87</f>
        <v>2030</v>
      </c>
      <c r="C53">
        <f>Jawa!D87</f>
        <v>451.71017438373474</v>
      </c>
      <c r="D53">
        <f>Jawa!E87</f>
        <v>64.404910817862842</v>
      </c>
      <c r="E53">
        <f>Jawa!F87</f>
        <v>460.20830819502646</v>
      </c>
      <c r="F53">
        <f>Jawa!G87</f>
        <v>1.0270447267772356</v>
      </c>
      <c r="G53">
        <f>Jawa!H87</f>
        <v>32.153627257200746</v>
      </c>
      <c r="H53">
        <f>Jawa!I87</f>
        <v>105.63509590916131</v>
      </c>
      <c r="I53">
        <f>Jawa!J87</f>
        <v>35.915849999102079</v>
      </c>
      <c r="J53">
        <f>Jawa!K87</f>
        <v>52.398508499863176</v>
      </c>
      <c r="K53">
        <f>Jawa!L87</f>
        <v>91.878100463704598</v>
      </c>
      <c r="L53">
        <f>Jawa!M87</f>
        <v>0.86645680673506331</v>
      </c>
      <c r="M53">
        <f>Jawa!N87</f>
        <v>8.6145671872295798E-2</v>
      </c>
      <c r="N53">
        <f>Jawa!O87</f>
        <v>0.19457683799295461</v>
      </c>
      <c r="O53">
        <f>Jawa!P87</f>
        <v>0</v>
      </c>
      <c r="P53">
        <f>Jawa!Q87</f>
        <v>1296.4787995690338</v>
      </c>
    </row>
    <row r="54" spans="1:16" x14ac:dyDescent="0.25">
      <c r="A54" t="str">
        <f>Jawa!B88</f>
        <v>JAWA</v>
      </c>
      <c r="B54">
        <f>Jawa!C88</f>
        <v>2031</v>
      </c>
      <c r="C54">
        <f>Jawa!D88</f>
        <v>451.71017438373474</v>
      </c>
      <c r="D54">
        <f>Jawa!E88</f>
        <v>72.083188617431475</v>
      </c>
      <c r="E54">
        <f>Jawa!F88</f>
        <v>515.22894780412423</v>
      </c>
      <c r="F54">
        <f>Jawa!G88</f>
        <v>1.0756754163214231</v>
      </c>
      <c r="G54">
        <f>Jawa!H88</f>
        <v>32.153627257200746</v>
      </c>
      <c r="H54">
        <f>Jawa!I88</f>
        <v>105.63509590916131</v>
      </c>
      <c r="I54">
        <f>Jawa!J88</f>
        <v>35.915849999102079</v>
      </c>
      <c r="J54">
        <f>Jawa!K88</f>
        <v>61.995150368280676</v>
      </c>
      <c r="K54">
        <f>Jawa!L88</f>
        <v>108.6339109115579</v>
      </c>
      <c r="L54">
        <f>Jawa!M88</f>
        <v>0.86645680673506331</v>
      </c>
      <c r="M54">
        <f>Jawa!N88</f>
        <v>8.6145671872295798E-2</v>
      </c>
      <c r="N54">
        <f>Jawa!O88</f>
        <v>0.19457683799295461</v>
      </c>
      <c r="O54">
        <f>Jawa!P88</f>
        <v>0</v>
      </c>
      <c r="P54">
        <f>Jawa!Q88</f>
        <v>1385.5787999835152</v>
      </c>
    </row>
    <row r="55" spans="1:16" x14ac:dyDescent="0.25">
      <c r="A55" t="str">
        <f>Jawa!B89</f>
        <v>JAWA</v>
      </c>
      <c r="B55">
        <f>Jawa!C89</f>
        <v>2032</v>
      </c>
      <c r="C55">
        <f>Jawa!D89</f>
        <v>451.71019957413955</v>
      </c>
      <c r="D55">
        <f>Jawa!E89</f>
        <v>80.194385350799422</v>
      </c>
      <c r="E55">
        <f>Jawa!F89</f>
        <v>576.25853455626293</v>
      </c>
      <c r="F55">
        <f>Jawa!G89</f>
        <v>1.1286605258520985</v>
      </c>
      <c r="G55">
        <f>Jawa!H89</f>
        <v>32.153627257200746</v>
      </c>
      <c r="H55">
        <f>Jawa!I89</f>
        <v>105.63510524220348</v>
      </c>
      <c r="I55">
        <f>Jawa!J89</f>
        <v>35.915849999102079</v>
      </c>
      <c r="J55">
        <f>Jawa!K89</f>
        <v>72.845551123924409</v>
      </c>
      <c r="K55">
        <f>Jawa!L89</f>
        <v>127.07503871253574</v>
      </c>
      <c r="L55">
        <f>Jawa!M89</f>
        <v>0.86645680673506331</v>
      </c>
      <c r="M55">
        <f>Jawa!N89</f>
        <v>8.6145671872295798E-2</v>
      </c>
      <c r="N55">
        <f>Jawa!O89</f>
        <v>0.19457683799295461</v>
      </c>
      <c r="O55">
        <f>Jawa!P89</f>
        <v>0</v>
      </c>
      <c r="P55">
        <f>Jawa!Q89</f>
        <v>1484.0641316586209</v>
      </c>
    </row>
    <row r="56" spans="1:16" x14ac:dyDescent="0.25">
      <c r="A56" t="str">
        <f>Jawa!B90</f>
        <v>JAWA</v>
      </c>
      <c r="B56">
        <f>Jawa!C90</f>
        <v>2033</v>
      </c>
      <c r="C56">
        <f>Jawa!D90</f>
        <v>451.71019957413955</v>
      </c>
      <c r="D56">
        <f>Jawa!E90</f>
        <v>88.769679850977042</v>
      </c>
      <c r="E56">
        <f>Jawa!F90</f>
        <v>635.73660935494729</v>
      </c>
      <c r="F56">
        <f>Jawa!G90</f>
        <v>1.1794787064212895</v>
      </c>
      <c r="G56">
        <f>Jawa!H90</f>
        <v>32.153627257200746</v>
      </c>
      <c r="H56">
        <f>Jawa!I90</f>
        <v>105.63510524220348</v>
      </c>
      <c r="I56">
        <f>Jawa!J90</f>
        <v>35.915849999102079</v>
      </c>
      <c r="J56">
        <f>Jawa!K90</f>
        <v>76.891641837783069</v>
      </c>
      <c r="K56">
        <f>Jawa!L90</f>
        <v>152.79309786245719</v>
      </c>
      <c r="L56">
        <f>Jawa!M90</f>
        <v>0.86645680673506331</v>
      </c>
      <c r="M56">
        <f>Jawa!N90</f>
        <v>8.6145671872295798E-2</v>
      </c>
      <c r="N56">
        <f>Jawa!O90</f>
        <v>0.19457683799295461</v>
      </c>
      <c r="O56">
        <f>Jawa!P90</f>
        <v>0</v>
      </c>
      <c r="P56">
        <f>Jawa!Q90</f>
        <v>1581.9324690018323</v>
      </c>
    </row>
    <row r="57" spans="1:16" x14ac:dyDescent="0.25">
      <c r="A57" t="str">
        <f>Jawa!B91</f>
        <v>JAWA</v>
      </c>
      <c r="B57">
        <f>Jawa!C91</f>
        <v>2034</v>
      </c>
      <c r="C57">
        <f>Jawa!D91</f>
        <v>475.82021655817198</v>
      </c>
      <c r="D57">
        <f>Jawa!E91</f>
        <v>97.830423122237406</v>
      </c>
      <c r="E57">
        <f>Jawa!F91</f>
        <v>675.55292278227773</v>
      </c>
      <c r="F57">
        <f>Jawa!G91</f>
        <v>1.2328834512800628</v>
      </c>
      <c r="G57">
        <f>Jawa!H91</f>
        <v>32.153627257200746</v>
      </c>
      <c r="H57">
        <f>Jawa!I91</f>
        <v>105.63510524220348</v>
      </c>
      <c r="I57">
        <f>Jawa!J91</f>
        <v>35.915849999102079</v>
      </c>
      <c r="J57">
        <f>Jawa!K91</f>
        <v>87.189107586820256</v>
      </c>
      <c r="K57">
        <f>Jawa!L91</f>
        <v>174.82841722675906</v>
      </c>
      <c r="L57">
        <f>Jawa!M91</f>
        <v>0.86645680673506331</v>
      </c>
      <c r="M57">
        <f>Jawa!N91</f>
        <v>8.6145671872295798E-2</v>
      </c>
      <c r="N57">
        <f>Jawa!O91</f>
        <v>0.19457684015951568</v>
      </c>
      <c r="O57">
        <f>Jawa!P91</f>
        <v>0</v>
      </c>
      <c r="P57">
        <f>Jawa!Q91</f>
        <v>1687.3057325448196</v>
      </c>
    </row>
    <row r="58" spans="1:16" x14ac:dyDescent="0.25">
      <c r="A58" t="str">
        <f>Jawa!B92</f>
        <v>JAWA</v>
      </c>
      <c r="B58">
        <f>Jawa!C92</f>
        <v>2035</v>
      </c>
      <c r="C58">
        <f>Jawa!D92</f>
        <v>502.63218162843617</v>
      </c>
      <c r="D58">
        <f>Jawa!E92</f>
        <v>107.40764022658178</v>
      </c>
      <c r="E58">
        <f>Jawa!F92</f>
        <v>713.27501241859682</v>
      </c>
      <c r="F58">
        <f>Jawa!G92</f>
        <v>1.2854245096640176</v>
      </c>
      <c r="G58">
        <f>Jawa!H92</f>
        <v>32.153627257200746</v>
      </c>
      <c r="H58">
        <f>Jawa!I92</f>
        <v>105.63510524220348</v>
      </c>
      <c r="I58">
        <f>Jawa!J92</f>
        <v>35.915849999102079</v>
      </c>
      <c r="J58">
        <f>Jawa!K92</f>
        <v>98.599154574085659</v>
      </c>
      <c r="K58">
        <f>Jawa!L92</f>
        <v>197.06375887081597</v>
      </c>
      <c r="L58">
        <f>Jawa!M92</f>
        <v>0.86645680673506331</v>
      </c>
      <c r="M58">
        <f>Jawa!N92</f>
        <v>8.6145671872295798E-2</v>
      </c>
      <c r="N58">
        <f>Jawa!O92</f>
        <v>0.19457684215832255</v>
      </c>
      <c r="O58">
        <f>Jawa!P92</f>
        <v>0</v>
      </c>
      <c r="P58">
        <f>Jawa!Q92</f>
        <v>1795.1149340474524</v>
      </c>
    </row>
    <row r="59" spans="1:16" x14ac:dyDescent="0.25">
      <c r="A59" t="str">
        <f>Jawa!B93</f>
        <v>JAWA</v>
      </c>
      <c r="B59">
        <f>Jawa!C93</f>
        <v>2036</v>
      </c>
      <c r="C59">
        <f>Jawa!D93</f>
        <v>522.60979129088491</v>
      </c>
      <c r="D59">
        <f>Jawa!E93</f>
        <v>117.5477010375775</v>
      </c>
      <c r="E59">
        <f>Jawa!F93</f>
        <v>739.67289163390819</v>
      </c>
      <c r="F59">
        <f>Jawa!G93</f>
        <v>1.3192075881932157</v>
      </c>
      <c r="G59">
        <f>Jawa!H93</f>
        <v>32.153627257200746</v>
      </c>
      <c r="H59">
        <f>Jawa!I93</f>
        <v>105.63510524220348</v>
      </c>
      <c r="I59">
        <f>Jawa!J93</f>
        <v>35.915849999102079</v>
      </c>
      <c r="J59">
        <f>Jawa!K93</f>
        <v>109.74002005992648</v>
      </c>
      <c r="K59">
        <f>Jawa!L93</f>
        <v>214.14996045603468</v>
      </c>
      <c r="L59">
        <f>Jawa!M93</f>
        <v>0.86645680673506331</v>
      </c>
      <c r="M59">
        <f>Jawa!N93</f>
        <v>8.6145671872295798E-2</v>
      </c>
      <c r="N59">
        <f>Jawa!O93</f>
        <v>0.19457684215832255</v>
      </c>
      <c r="O59">
        <f>Jawa!P93</f>
        <v>0</v>
      </c>
      <c r="P59">
        <f>Jawa!Q93</f>
        <v>1879.8913338857969</v>
      </c>
    </row>
    <row r="60" spans="1:16" x14ac:dyDescent="0.25">
      <c r="A60" t="str">
        <f>Jawa!B94</f>
        <v>JAWA</v>
      </c>
      <c r="B60">
        <f>Jawa!C94</f>
        <v>2037</v>
      </c>
      <c r="C60">
        <f>Jawa!D94</f>
        <v>535.39742008952919</v>
      </c>
      <c r="D60">
        <f>Jawa!E94</f>
        <v>128.28212986668478</v>
      </c>
      <c r="E60">
        <f>Jawa!F94</f>
        <v>753.98295709578565</v>
      </c>
      <c r="F60">
        <f>Jawa!G94</f>
        <v>1.3340547838926851</v>
      </c>
      <c r="G60">
        <f>Jawa!H94</f>
        <v>32.153627257200746</v>
      </c>
      <c r="H60">
        <f>Jawa!I94</f>
        <v>105.63510524220348</v>
      </c>
      <c r="I60">
        <f>Jawa!J94</f>
        <v>35.915849999102079</v>
      </c>
      <c r="J60">
        <f>Jawa!K94</f>
        <v>120.33461776727243</v>
      </c>
      <c r="K60">
        <f>Jawa!L94</f>
        <v>225.66277877986838</v>
      </c>
      <c r="L60">
        <f>Jawa!M94</f>
        <v>0.86645680673506331</v>
      </c>
      <c r="M60">
        <f>Jawa!N94</f>
        <v>8.6145671872295798E-2</v>
      </c>
      <c r="N60">
        <f>Jawa!O94</f>
        <v>0.19457684215832255</v>
      </c>
      <c r="O60">
        <f>Jawa!P94</f>
        <v>0</v>
      </c>
      <c r="P60">
        <f>Jawa!Q94</f>
        <v>1939.8457202023051</v>
      </c>
    </row>
    <row r="61" spans="1:16" x14ac:dyDescent="0.25">
      <c r="A61" t="str">
        <f>Jawa!B95</f>
        <v>JAWA</v>
      </c>
      <c r="B61">
        <f>Jawa!C95</f>
        <v>2038</v>
      </c>
      <c r="C61">
        <f>Jawa!D95</f>
        <v>561.49838850519063</v>
      </c>
      <c r="D61">
        <f>Jawa!E95</f>
        <v>139.59543964386958</v>
      </c>
      <c r="E61">
        <f>Jawa!F95</f>
        <v>790.01447486801567</v>
      </c>
      <c r="F61">
        <f>Jawa!G95</f>
        <v>1.3811170021400578</v>
      </c>
      <c r="G61">
        <f>Jawa!H95</f>
        <v>32.153627257200746</v>
      </c>
      <c r="H61">
        <f>Jawa!I95</f>
        <v>105.63510524220348</v>
      </c>
      <c r="I61">
        <f>Jawa!J95</f>
        <v>42.656766178472409</v>
      </c>
      <c r="J61">
        <f>Jawa!K95</f>
        <v>135.0664406019992</v>
      </c>
      <c r="K61">
        <f>Jawa!L95</f>
        <v>240.11564187879571</v>
      </c>
      <c r="L61">
        <f>Jawa!M95</f>
        <v>0.86645680717206719</v>
      </c>
      <c r="M61">
        <f>Jawa!N95</f>
        <v>8.6145671872295798E-2</v>
      </c>
      <c r="N61">
        <f>Jawa!O95</f>
        <v>0.19457684215832255</v>
      </c>
      <c r="O61">
        <f>Jawa!P95</f>
        <v>0</v>
      </c>
      <c r="P61">
        <f>Jawa!Q95</f>
        <v>2049.2641804990899</v>
      </c>
    </row>
    <row r="62" spans="1:16" x14ac:dyDescent="0.25">
      <c r="A62" t="str">
        <f>bali_nt!B76</f>
        <v>BALI_NT</v>
      </c>
      <c r="B62">
        <f>bali_nt!C76</f>
        <v>2019</v>
      </c>
      <c r="C62">
        <f>bali_nt!D76</f>
        <v>9.0660809875199995</v>
      </c>
      <c r="D62">
        <f>bali_nt!E76</f>
        <v>7.1084793970079989</v>
      </c>
      <c r="E62">
        <f>bali_nt!F76</f>
        <v>0</v>
      </c>
      <c r="F62">
        <f>bali_nt!G76</f>
        <v>10.471123198523079</v>
      </c>
      <c r="G62">
        <f>bali_nt!H76</f>
        <v>0.57467810215384618</v>
      </c>
      <c r="H62">
        <f>bali_nt!I76</f>
        <v>0.11666476356923075</v>
      </c>
      <c r="I62">
        <f>bali_nt!J76</f>
        <v>0.34093812184615391</v>
      </c>
      <c r="J62">
        <f>bali_nt!K76</f>
        <v>2.73511728E-2</v>
      </c>
      <c r="K62">
        <f>bali_nt!L76</f>
        <v>0</v>
      </c>
      <c r="L62">
        <f>bali_nt!M76</f>
        <v>0</v>
      </c>
      <c r="M62">
        <f>bali_nt!N76</f>
        <v>0</v>
      </c>
      <c r="N62">
        <f>bali_nt!O76</f>
        <v>0</v>
      </c>
      <c r="O62">
        <f>bali_nt!P76</f>
        <v>0</v>
      </c>
      <c r="P62">
        <f>bali_nt!Q76</f>
        <v>27.705315743420311</v>
      </c>
    </row>
    <row r="63" spans="1:16" x14ac:dyDescent="0.25">
      <c r="A63" t="str">
        <f>bali_nt!B77</f>
        <v>BALI_NT</v>
      </c>
      <c r="B63">
        <f>bali_nt!C77</f>
        <v>2020</v>
      </c>
      <c r="C63">
        <f>bali_nt!D77</f>
        <v>9.199483573743807</v>
      </c>
      <c r="D63">
        <f>bali_nt!E77</f>
        <v>7.1084793970079989</v>
      </c>
      <c r="E63">
        <f>bali_nt!F77</f>
        <v>0</v>
      </c>
      <c r="F63">
        <f>bali_nt!G77</f>
        <v>10.471123198523079</v>
      </c>
      <c r="G63">
        <f>bali_nt!H77</f>
        <v>0.57467810215384618</v>
      </c>
      <c r="H63">
        <f>bali_nt!I77</f>
        <v>0.11666476356923075</v>
      </c>
      <c r="I63">
        <f>bali_nt!J77</f>
        <v>0.34093812184615391</v>
      </c>
      <c r="J63">
        <f>bali_nt!K77</f>
        <v>8.7849097643007329E-2</v>
      </c>
      <c r="K63">
        <f>bali_nt!L77</f>
        <v>0</v>
      </c>
      <c r="L63">
        <f>bali_nt!M77</f>
        <v>0.60918373897838751</v>
      </c>
      <c r="M63">
        <f>bali_nt!N77</f>
        <v>0</v>
      </c>
      <c r="N63">
        <f>bali_nt!O77</f>
        <v>0</v>
      </c>
      <c r="O63">
        <f>bali_nt!P77</f>
        <v>3.9554912535101114E-5</v>
      </c>
      <c r="P63">
        <f>bali_nt!Q77</f>
        <v>28.50839999346551</v>
      </c>
    </row>
    <row r="64" spans="1:16" x14ac:dyDescent="0.25">
      <c r="A64" t="str">
        <f>bali_nt!B78</f>
        <v>BALI_NT</v>
      </c>
      <c r="B64">
        <f>bali_nt!C78</f>
        <v>2021</v>
      </c>
      <c r="C64">
        <f>bali_nt!D78</f>
        <v>10.639068793487416</v>
      </c>
      <c r="D64">
        <f>bali_nt!E78</f>
        <v>7.1084793970079989</v>
      </c>
      <c r="E64">
        <f>bali_nt!F78</f>
        <v>0</v>
      </c>
      <c r="F64">
        <f>bali_nt!G78</f>
        <v>10.471123198523079</v>
      </c>
      <c r="G64">
        <f>bali_nt!H78</f>
        <v>3.8759349264526421</v>
      </c>
      <c r="H64">
        <f>bali_nt!I78</f>
        <v>0.11666476356923075</v>
      </c>
      <c r="I64">
        <f>bali_nt!J78</f>
        <v>0.34093812184615391</v>
      </c>
      <c r="J64">
        <f>bali_nt!K78</f>
        <v>0.27849980018835935</v>
      </c>
      <c r="K64">
        <f>bali_nt!L78</f>
        <v>0</v>
      </c>
      <c r="L64">
        <f>bali_nt!M78</f>
        <v>0.60918372998698855</v>
      </c>
      <c r="M64">
        <f>bali_nt!N78</f>
        <v>-3.5999999998653341E-9</v>
      </c>
      <c r="N64">
        <f>bali_nt!O78</f>
        <v>0</v>
      </c>
      <c r="O64">
        <f>bali_nt!P78</f>
        <v>4.6593800863310042E-5</v>
      </c>
      <c r="P64">
        <f>bali_nt!Q78</f>
        <v>33.439892727461867</v>
      </c>
    </row>
    <row r="65" spans="1:16" x14ac:dyDescent="0.25">
      <c r="A65" t="str">
        <f>bali_nt!B79</f>
        <v>BALI_NT</v>
      </c>
      <c r="B65">
        <f>bali_nt!C79</f>
        <v>2022</v>
      </c>
      <c r="C65">
        <f>bali_nt!D79</f>
        <v>11.618730221598767</v>
      </c>
      <c r="D65">
        <f>bali_nt!E79</f>
        <v>7.1084793970079989</v>
      </c>
      <c r="E65">
        <f>bali_nt!F79</f>
        <v>1.3484205313029671</v>
      </c>
      <c r="F65">
        <f>bali_nt!G79</f>
        <v>10.471123180533001</v>
      </c>
      <c r="G65">
        <f>bali_nt!H79</f>
        <v>3.8759349264526421</v>
      </c>
      <c r="H65">
        <f>bali_nt!I79</f>
        <v>1.3106969808409943</v>
      </c>
      <c r="I65">
        <f>bali_nt!J79</f>
        <v>0.34093812184615391</v>
      </c>
      <c r="J65">
        <f>bali_nt!K79</f>
        <v>0.36409291942189437</v>
      </c>
      <c r="K65">
        <f>bali_nt!L79</f>
        <v>0</v>
      </c>
      <c r="L65">
        <f>bali_nt!M79</f>
        <v>0.60918372099558993</v>
      </c>
      <c r="M65">
        <f>bali_nt!N79</f>
        <v>1.2696416234417321E-16</v>
      </c>
      <c r="N65">
        <f>bali_nt!O79</f>
        <v>0</v>
      </c>
      <c r="O65">
        <f>bali_nt!P79</f>
        <v>5.1682853310141863E-5</v>
      </c>
      <c r="P65">
        <f>bali_nt!Q79</f>
        <v>37.047600000000003</v>
      </c>
    </row>
    <row r="66" spans="1:16" x14ac:dyDescent="0.25">
      <c r="A66" t="str">
        <f>bali_nt!B80</f>
        <v>BALI_NT</v>
      </c>
      <c r="B66">
        <f>bali_nt!C80</f>
        <v>2023</v>
      </c>
      <c r="C66">
        <f>bali_nt!D80</f>
        <v>11.645670736766139</v>
      </c>
      <c r="D66">
        <f>bali_nt!E80</f>
        <v>7.1225535938302613</v>
      </c>
      <c r="E66">
        <f>bali_nt!F80</f>
        <v>1.3637940759064162</v>
      </c>
      <c r="F66">
        <f>bali_nt!G80</f>
        <v>10.494653714785688</v>
      </c>
      <c r="G66">
        <f>bali_nt!H80</f>
        <v>3.9119906034677143</v>
      </c>
      <c r="H66">
        <f>bali_nt!I80</f>
        <v>1.3315995967468928</v>
      </c>
      <c r="I66">
        <f>bali_nt!J80</f>
        <v>0.34094948902603894</v>
      </c>
      <c r="J66">
        <f>bali_nt!K80</f>
        <v>0.49776618684695834</v>
      </c>
      <c r="K66">
        <f>bali_nt!L80</f>
        <v>5.7614455932118636E-7</v>
      </c>
      <c r="L66">
        <f>bali_nt!M80</f>
        <v>0.62305789717536608</v>
      </c>
      <c r="M66">
        <f>bali_nt!N80</f>
        <v>5.7690397581471065E-7</v>
      </c>
      <c r="N66">
        <f>bali_nt!O80</f>
        <v>0</v>
      </c>
      <c r="O66">
        <f>bali_nt!P80</f>
        <v>5.2226252564131594E-5</v>
      </c>
      <c r="P66">
        <f>bali_nt!Q80</f>
        <v>37.332037047600011</v>
      </c>
    </row>
    <row r="67" spans="1:16" x14ac:dyDescent="0.25">
      <c r="A67" t="str">
        <f>bali_nt!B81</f>
        <v>BALI_NT</v>
      </c>
      <c r="B67">
        <f>bali_nt!C81</f>
        <v>2024</v>
      </c>
      <c r="C67">
        <f>bali_nt!D81</f>
        <v>11.645670736766139</v>
      </c>
      <c r="D67">
        <f>bali_nt!E81</f>
        <v>7.1225535938302613</v>
      </c>
      <c r="E67">
        <f>bali_nt!F81</f>
        <v>1.3637940759064162</v>
      </c>
      <c r="F67">
        <f>bali_nt!G81</f>
        <v>10.494653714785688</v>
      </c>
      <c r="G67">
        <f>bali_nt!H81</f>
        <v>3.9119906034677143</v>
      </c>
      <c r="H67">
        <f>bali_nt!I81</f>
        <v>1.3315995807654184</v>
      </c>
      <c r="I67">
        <f>bali_nt!J81</f>
        <v>0.34094948902603894</v>
      </c>
      <c r="J67">
        <f>bali_nt!K81</f>
        <v>0.49776618684695834</v>
      </c>
      <c r="K67">
        <f>bali_nt!L81</f>
        <v>5.7614455932118636E-7</v>
      </c>
      <c r="L67">
        <f>bali_nt!M81</f>
        <v>1.4330208655568408</v>
      </c>
      <c r="M67">
        <f>bali_nt!N81</f>
        <v>5.7690397581471065E-7</v>
      </c>
      <c r="N67">
        <f>bali_nt!O81</f>
        <v>0</v>
      </c>
      <c r="O67">
        <f>bali_nt!P81</f>
        <v>5.334726648074554E-5</v>
      </c>
      <c r="P67">
        <f>bali_nt!Q81</f>
        <v>38.142000000000017</v>
      </c>
    </row>
    <row r="68" spans="1:16" x14ac:dyDescent="0.25">
      <c r="A68" t="str">
        <f>bali_nt!B82</f>
        <v>BALI_NT</v>
      </c>
      <c r="B68">
        <f>bali_nt!C82</f>
        <v>2025</v>
      </c>
      <c r="C68">
        <f>bali_nt!D82</f>
        <v>11.66724</v>
      </c>
      <c r="D68">
        <f>bali_nt!E82</f>
        <v>7.1225535938302613</v>
      </c>
      <c r="E68">
        <f>bali_nt!F82</f>
        <v>1.433422406169742</v>
      </c>
      <c r="F68">
        <f>bali_nt!G82</f>
        <v>10.494653714785688</v>
      </c>
      <c r="G68">
        <f>bali_nt!H82</f>
        <v>3.9119906034677143</v>
      </c>
      <c r="H68">
        <f>bali_nt!I82</f>
        <v>1.3315995807654184</v>
      </c>
      <c r="I68">
        <f>bali_nt!J82</f>
        <v>0.34094948902603894</v>
      </c>
      <c r="J68">
        <f>bali_nt!K82</f>
        <v>0.52989277991853856</v>
      </c>
      <c r="K68">
        <f>bali_nt!L82</f>
        <v>5.7614455932118636E-7</v>
      </c>
      <c r="L68">
        <f>bali_nt!M82</f>
        <v>2.0584966789880719</v>
      </c>
      <c r="M68">
        <f>bali_nt!N82</f>
        <v>5.7690397581471065E-7</v>
      </c>
      <c r="N68">
        <f>bali_nt!O82</f>
        <v>0</v>
      </c>
      <c r="O68">
        <f>bali_nt!P82</f>
        <v>5.4419614161918657E-5</v>
      </c>
      <c r="P68">
        <f>bali_nt!Q82</f>
        <v>38.890800000000013</v>
      </c>
    </row>
    <row r="69" spans="1:16" x14ac:dyDescent="0.25">
      <c r="A69" t="str">
        <f>bali_nt!B83</f>
        <v>BALI_NT</v>
      </c>
      <c r="B69">
        <f>bali_nt!C83</f>
        <v>2026</v>
      </c>
      <c r="C69">
        <f>bali_nt!D83</f>
        <v>11.705320799205174</v>
      </c>
      <c r="D69">
        <f>bali_nt!E83</f>
        <v>7.1225535938302613</v>
      </c>
      <c r="E69">
        <f>bali_nt!F83</f>
        <v>1.433422396206792</v>
      </c>
      <c r="F69">
        <f>bali_nt!G83</f>
        <v>10.494653714785688</v>
      </c>
      <c r="G69">
        <f>bali_nt!H83</f>
        <v>3.9119905801068158</v>
      </c>
      <c r="H69">
        <f>bali_nt!I83</f>
        <v>1.3315995807654184</v>
      </c>
      <c r="I69">
        <f>bali_nt!J83</f>
        <v>0.34094948902603894</v>
      </c>
      <c r="J69">
        <f>bali_nt!K83</f>
        <v>0.580263279741289</v>
      </c>
      <c r="K69">
        <f>bali_nt!L83</f>
        <v>5.7616920269153619E-7</v>
      </c>
      <c r="L69">
        <f>bali_nt!M83</f>
        <v>2.3588454094416198</v>
      </c>
      <c r="M69">
        <f>bali_nt!N83</f>
        <v>5.7692769407244209E-7</v>
      </c>
      <c r="N69">
        <f>bali_nt!O83</f>
        <v>0</v>
      </c>
      <c r="O69">
        <f>bali_nt!P83</f>
        <v>5.5014145752862774E-5</v>
      </c>
      <c r="P69">
        <f>bali_nt!Q83</f>
        <v>39.279599996205995</v>
      </c>
    </row>
    <row r="70" spans="1:16" x14ac:dyDescent="0.25">
      <c r="A70" t="str">
        <f>bali_nt!B84</f>
        <v>BALI_NT</v>
      </c>
      <c r="B70">
        <f>bali_nt!C84</f>
        <v>2027</v>
      </c>
      <c r="C70">
        <f>bali_nt!D84</f>
        <v>11.817504</v>
      </c>
      <c r="D70">
        <f>bali_nt!E84</f>
        <v>7.1225535938302613</v>
      </c>
      <c r="E70">
        <f>bali_nt!F84</f>
        <v>1.433422396206792</v>
      </c>
      <c r="F70">
        <f>bali_nt!G84</f>
        <v>10.494653714785688</v>
      </c>
      <c r="G70">
        <f>bali_nt!H84</f>
        <v>3.9119905801068158</v>
      </c>
      <c r="H70">
        <f>bali_nt!I84</f>
        <v>1.3315995807654184</v>
      </c>
      <c r="I70">
        <f>bali_nt!J84</f>
        <v>0.34094948902603894</v>
      </c>
      <c r="J70">
        <f>bali_nt!K84</f>
        <v>0.64731967519248867</v>
      </c>
      <c r="K70">
        <f>bali_nt!L84</f>
        <v>5.7633222769948214E-7</v>
      </c>
      <c r="L70">
        <f>bali_nt!M84</f>
        <v>2.8240058166696143</v>
      </c>
      <c r="M70">
        <f>bali_nt!N84</f>
        <v>5.7708465128958147E-7</v>
      </c>
      <c r="N70">
        <f>bali_nt!O84</f>
        <v>0</v>
      </c>
      <c r="O70">
        <f>bali_nt!P84</f>
        <v>5.5981125677467251E-5</v>
      </c>
      <c r="P70">
        <f>bali_nt!Q84</f>
        <v>39.923999999999992</v>
      </c>
    </row>
    <row r="71" spans="1:16" x14ac:dyDescent="0.25">
      <c r="A71" t="str">
        <f>bali_nt!B85</f>
        <v>BALI_NT</v>
      </c>
      <c r="B71">
        <f>bali_nt!C85</f>
        <v>2028</v>
      </c>
      <c r="C71">
        <f>bali_nt!D85</f>
        <v>12.068935207798839</v>
      </c>
      <c r="D71">
        <f>bali_nt!E85</f>
        <v>7.1225535830684796</v>
      </c>
      <c r="E71">
        <f>bali_nt!F85</f>
        <v>2.2737988963236049</v>
      </c>
      <c r="F71">
        <f>bali_nt!G85</f>
        <v>10.494653714785688</v>
      </c>
      <c r="G71">
        <f>bali_nt!H85</f>
        <v>3.9119905801068158</v>
      </c>
      <c r="H71">
        <f>bali_nt!I85</f>
        <v>1.3315995807654184</v>
      </c>
      <c r="I71">
        <f>bali_nt!J85</f>
        <v>0.34094948902603894</v>
      </c>
      <c r="J71">
        <f>bali_nt!K85</f>
        <v>0.682311999365114</v>
      </c>
      <c r="K71">
        <f>bali_nt!L85</f>
        <v>5.7675775670454178E-7</v>
      </c>
      <c r="L71">
        <f>bali_nt!M85</f>
        <v>2.8240058166696143</v>
      </c>
      <c r="M71">
        <f>bali_nt!N85</f>
        <v>5.774941738748797E-7</v>
      </c>
      <c r="N71">
        <f>bali_nt!O85</f>
        <v>0</v>
      </c>
      <c r="O71">
        <f>bali_nt!P85</f>
        <v>5.7579847069238332E-5</v>
      </c>
      <c r="P71">
        <f>bali_nt!Q85</f>
        <v>41.050800022161539</v>
      </c>
    </row>
    <row r="72" spans="1:16" x14ac:dyDescent="0.25">
      <c r="A72" t="str">
        <f>bali_nt!B86</f>
        <v>BALI_NT</v>
      </c>
      <c r="B72">
        <f>bali_nt!C86</f>
        <v>2029</v>
      </c>
      <c r="C72">
        <f>bali_nt!D86</f>
        <v>12.354753600000004</v>
      </c>
      <c r="D72">
        <f>bali_nt!E86</f>
        <v>7.1225535723066988</v>
      </c>
      <c r="E72">
        <f>bali_nt!F86</f>
        <v>2.2737988963236049</v>
      </c>
      <c r="F72">
        <f>bali_nt!G86</f>
        <v>10.494653714785688</v>
      </c>
      <c r="G72">
        <f>bali_nt!H86</f>
        <v>3.9119905801068158</v>
      </c>
      <c r="H72">
        <f>bali_nt!I86</f>
        <v>1.3315995807654184</v>
      </c>
      <c r="I72">
        <f>bali_nt!J86</f>
        <v>0.34094948902603894</v>
      </c>
      <c r="J72">
        <f>bali_nt!K86</f>
        <v>0.79320038875986087</v>
      </c>
      <c r="K72">
        <f>bali_nt!L86</f>
        <v>5.772868999148395E-7</v>
      </c>
      <c r="L72">
        <f>bali_nt!M86</f>
        <v>3.687299022635683</v>
      </c>
      <c r="M72">
        <f>bali_nt!N86</f>
        <v>5.7800329282254183E-7</v>
      </c>
      <c r="N72">
        <f>bali_nt!O86</f>
        <v>0</v>
      </c>
      <c r="O72">
        <f>bali_nt!P86</f>
        <v>5.9447932988200141E-5</v>
      </c>
      <c r="P72">
        <f>bali_nt!Q86</f>
        <v>42.310800000000008</v>
      </c>
    </row>
    <row r="73" spans="1:16" x14ac:dyDescent="0.25">
      <c r="A73" t="str">
        <f>bali_nt!B87</f>
        <v>BALI_NT</v>
      </c>
      <c r="B73">
        <f>bali_nt!C87</f>
        <v>2030</v>
      </c>
      <c r="C73">
        <f>bali_nt!D87</f>
        <v>13.593281614450099</v>
      </c>
      <c r="D73">
        <f>bali_nt!E87</f>
        <v>7.1225535615449171</v>
      </c>
      <c r="E73">
        <f>bali_nt!F87</f>
        <v>4.1320433067895577</v>
      </c>
      <c r="F73">
        <f>bali_nt!G87</f>
        <v>10.494653714785688</v>
      </c>
      <c r="G73">
        <f>bali_nt!H87</f>
        <v>3.9119905801068158</v>
      </c>
      <c r="H73">
        <f>bali_nt!I87</f>
        <v>2.6364591989892618</v>
      </c>
      <c r="I73">
        <f>bali_nt!J87</f>
        <v>0.34094948902603894</v>
      </c>
      <c r="J73">
        <f>bali_nt!K87</f>
        <v>0.95415323379588624</v>
      </c>
      <c r="K73">
        <f>bali_nt!L87</f>
        <v>5.772868999148395E-7</v>
      </c>
      <c r="L73">
        <f>bali_nt!M87</f>
        <v>3.687299022635683</v>
      </c>
      <c r="M73">
        <f>bali_nt!N87</f>
        <v>5.7800329282254183E-7</v>
      </c>
      <c r="N73">
        <f>bali_nt!O87</f>
        <v>0</v>
      </c>
      <c r="O73">
        <f>bali_nt!P87</f>
        <v>6.5942976622226991E-5</v>
      </c>
      <c r="P73">
        <f>bali_nt!Q87</f>
        <v>46.873384877414146</v>
      </c>
    </row>
    <row r="74" spans="1:16" x14ac:dyDescent="0.25">
      <c r="A74" t="str">
        <f>bali_nt!B88</f>
        <v>BALI_NT</v>
      </c>
      <c r="B74">
        <f>bali_nt!C88</f>
        <v>2031</v>
      </c>
      <c r="C74">
        <f>bali_nt!D88</f>
        <v>15.041157071331012</v>
      </c>
      <c r="D74">
        <f>bali_nt!E88</f>
        <v>7.1225535507831363</v>
      </c>
      <c r="E74">
        <f>bali_nt!F88</f>
        <v>5.8086634313750558</v>
      </c>
      <c r="F74">
        <f>bali_nt!G88</f>
        <v>10.494653696795615</v>
      </c>
      <c r="G74">
        <f>bali_nt!H88</f>
        <v>3.9119905567459168</v>
      </c>
      <c r="H74">
        <f>bali_nt!I88</f>
        <v>4.6234994215444294</v>
      </c>
      <c r="I74">
        <f>bali_nt!J88</f>
        <v>0.34094948902603894</v>
      </c>
      <c r="J74">
        <f>bali_nt!K88</f>
        <v>1.1954724354833959</v>
      </c>
      <c r="K74">
        <f>bali_nt!L88</f>
        <v>5.772868999148395E-7</v>
      </c>
      <c r="L74">
        <f>bali_nt!M88</f>
        <v>3.687299022635683</v>
      </c>
      <c r="M74">
        <f>bali_nt!N88</f>
        <v>5.7800329282254183E-7</v>
      </c>
      <c r="N74">
        <f>bali_nt!O88</f>
        <v>0</v>
      </c>
      <c r="O74">
        <f>bali_nt!P88</f>
        <v>7.362179746610226E-5</v>
      </c>
      <c r="P74">
        <f>bali_nt!Q88</f>
        <v>52.226239831010481</v>
      </c>
    </row>
    <row r="75" spans="1:16" x14ac:dyDescent="0.25">
      <c r="A75" t="str">
        <f>bali_nt!B89</f>
        <v>BALI_NT</v>
      </c>
      <c r="B75">
        <f>bali_nt!C89</f>
        <v>2032</v>
      </c>
      <c r="C75">
        <f>bali_nt!D89</f>
        <v>15.718903195624369</v>
      </c>
      <c r="D75">
        <f>bali_nt!E89</f>
        <v>9.0667872817356319</v>
      </c>
      <c r="E75">
        <f>bali_nt!F89</f>
        <v>5.8086634313750558</v>
      </c>
      <c r="F75">
        <f>bali_nt!G89</f>
        <v>10.494653678805541</v>
      </c>
      <c r="G75">
        <f>bali_nt!H89</f>
        <v>3.9119905567459168</v>
      </c>
      <c r="H75">
        <f>bali_nt!I89</f>
        <v>4.6234994215444294</v>
      </c>
      <c r="I75">
        <f>bali_nt!J89</f>
        <v>0.34094948902603894</v>
      </c>
      <c r="J75">
        <f>bali_nt!K89</f>
        <v>1.2655531651402645</v>
      </c>
      <c r="K75">
        <f>bali_nt!L89</f>
        <v>5.772868999148395E-7</v>
      </c>
      <c r="L75">
        <f>bali_nt!M89</f>
        <v>3.7301986165114651</v>
      </c>
      <c r="M75">
        <f>bali_nt!N89</f>
        <v>5.7800329282254183E-7</v>
      </c>
      <c r="N75">
        <f>bali_nt!O89</f>
        <v>0</v>
      </c>
      <c r="O75">
        <f>bali_nt!P89</f>
        <v>7.7485565240907676E-5</v>
      </c>
      <c r="P75">
        <f>bali_nt!Q89</f>
        <v>54.9611999917989</v>
      </c>
    </row>
    <row r="76" spans="1:16" x14ac:dyDescent="0.25">
      <c r="A76" t="str">
        <f>bali_nt!B90</f>
        <v>BALI_NT</v>
      </c>
      <c r="B76">
        <f>bali_nt!C90</f>
        <v>2033</v>
      </c>
      <c r="C76">
        <f>bali_nt!D90</f>
        <v>15.912633603647226</v>
      </c>
      <c r="D76">
        <f>bali_nt!E90</f>
        <v>9.4930790488142271</v>
      </c>
      <c r="E76">
        <f>bali_nt!F90</f>
        <v>5.8086634313750558</v>
      </c>
      <c r="F76">
        <f>bali_nt!G90</f>
        <v>10.494653678805541</v>
      </c>
      <c r="G76">
        <f>bali_nt!H90</f>
        <v>3.9119905567459168</v>
      </c>
      <c r="H76">
        <f>bali_nt!I90</f>
        <v>4.6234994215444294</v>
      </c>
      <c r="I76">
        <f>bali_nt!J90</f>
        <v>0.34094948902603894</v>
      </c>
      <c r="J76">
        <f>bali_nt!K90</f>
        <v>1.3718580391517456</v>
      </c>
      <c r="K76">
        <f>bali_nt!L90</f>
        <v>5.772868999148395E-7</v>
      </c>
      <c r="L76">
        <f>bali_nt!M90</f>
        <v>4.073071578725119</v>
      </c>
      <c r="M76">
        <f>bali_nt!N90</f>
        <v>5.7800329282254183E-7</v>
      </c>
      <c r="N76">
        <f>bali_nt!O90</f>
        <v>0</v>
      </c>
      <c r="O76">
        <f>bali_nt!P90</f>
        <v>7.9084444047479454E-5</v>
      </c>
      <c r="P76">
        <f>bali_nt!Q90</f>
        <v>56.030400003125493</v>
      </c>
    </row>
    <row r="77" spans="1:16" x14ac:dyDescent="0.25">
      <c r="A77" t="str">
        <f>bali_nt!B91</f>
        <v>BALI_NT</v>
      </c>
      <c r="B77">
        <f>bali_nt!C91</f>
        <v>2034</v>
      </c>
      <c r="C77">
        <f>bali_nt!D91</f>
        <v>16.656386394977876</v>
      </c>
      <c r="D77">
        <f>bali_nt!E91</f>
        <v>9.7636999136409912</v>
      </c>
      <c r="E77">
        <f>bali_nt!F91</f>
        <v>6.8643862556745141</v>
      </c>
      <c r="F77">
        <f>bali_nt!G91</f>
        <v>10.494653660815464</v>
      </c>
      <c r="G77">
        <f>bali_nt!H91</f>
        <v>3.9119905333850182</v>
      </c>
      <c r="H77">
        <f>bali_nt!I91</f>
        <v>4.6234994055629555</v>
      </c>
      <c r="I77">
        <f>bali_nt!J91</f>
        <v>0.34094948902603894</v>
      </c>
      <c r="J77">
        <f>bali_nt!K91</f>
        <v>1.5374813265869198</v>
      </c>
      <c r="K77">
        <f>bali_nt!L91</f>
        <v>5.772868999148395E-7</v>
      </c>
      <c r="L77">
        <f>bali_nt!M91</f>
        <v>4.8721518411879252</v>
      </c>
      <c r="M77">
        <f>bali_nt!N91</f>
        <v>5.7833814803170554E-7</v>
      </c>
      <c r="N77">
        <f>bali_nt!O91</f>
        <v>0</v>
      </c>
      <c r="O77">
        <f>bali_nt!P91</f>
        <v>8.347021725036509E-5</v>
      </c>
      <c r="P77">
        <f>bali_nt!Q91</f>
        <v>59.065199976482745</v>
      </c>
    </row>
    <row r="78" spans="1:16" x14ac:dyDescent="0.25">
      <c r="A78" t="str">
        <f>bali_nt!B92</f>
        <v>BALI_NT</v>
      </c>
      <c r="B78">
        <f>bali_nt!C92</f>
        <v>2035</v>
      </c>
      <c r="C78">
        <f>bali_nt!D92</f>
        <v>16.840655993654668</v>
      </c>
      <c r="D78">
        <f>bali_nt!E92</f>
        <v>10.187477246317631</v>
      </c>
      <c r="E78">
        <f>bali_nt!F92</f>
        <v>6.8643862556745141</v>
      </c>
      <c r="F78">
        <f>bali_nt!G92</f>
        <v>10.494653660815464</v>
      </c>
      <c r="G78">
        <f>bali_nt!H92</f>
        <v>3.9119905100241197</v>
      </c>
      <c r="H78">
        <f>bali_nt!I92</f>
        <v>4.6234993895814807</v>
      </c>
      <c r="I78">
        <f>bali_nt!J92</f>
        <v>0.34094948902603894</v>
      </c>
      <c r="J78">
        <f>bali_nt!K92</f>
        <v>1.6641981337972112</v>
      </c>
      <c r="K78">
        <f>bali_nt!L92</f>
        <v>5.772868999148395E-7</v>
      </c>
      <c r="L78">
        <f>bali_nt!M92</f>
        <v>5.217388158157056</v>
      </c>
      <c r="M78">
        <f>bali_nt!N92</f>
        <v>5.7833814803170554E-7</v>
      </c>
      <c r="N78">
        <f>bali_nt!O92</f>
        <v>0</v>
      </c>
      <c r="O78">
        <f>bali_nt!P92</f>
        <v>8.5106907130462253E-5</v>
      </c>
      <c r="P78">
        <f>bali_nt!Q92</f>
        <v>60.145199992673227</v>
      </c>
    </row>
    <row r="79" spans="1:16" x14ac:dyDescent="0.25">
      <c r="A79" t="str">
        <f>bali_nt!B93</f>
        <v>BALI_NT</v>
      </c>
      <c r="B79">
        <f>bali_nt!C93</f>
        <v>2036</v>
      </c>
      <c r="C79">
        <f>bali_nt!D93</f>
        <v>18.972175749733328</v>
      </c>
      <c r="D79">
        <f>bali_nt!E93</f>
        <v>10.187477235555848</v>
      </c>
      <c r="E79">
        <f>bali_nt!F93</f>
        <v>8.2796837702591652</v>
      </c>
      <c r="F79">
        <f>bali_nt!G93</f>
        <v>10.494653642825389</v>
      </c>
      <c r="G79">
        <f>bali_nt!H93</f>
        <v>5.1442905603849267</v>
      </c>
      <c r="H79">
        <f>bali_nt!I93</f>
        <v>7.3563021085753393</v>
      </c>
      <c r="I79">
        <f>bali_nt!J93</f>
        <v>0.34094948902603894</v>
      </c>
      <c r="J79">
        <f>bali_nt!K93</f>
        <v>2.2523146731711523</v>
      </c>
      <c r="K79">
        <f>bali_nt!L93</f>
        <v>5.772868999148395E-7</v>
      </c>
      <c r="L79">
        <f>bali_nt!M93</f>
        <v>5.217388158157056</v>
      </c>
      <c r="M79">
        <f>bali_nt!N93</f>
        <v>5.6748976403199582E-7</v>
      </c>
      <c r="N79">
        <f>bali_nt!O93</f>
        <v>0</v>
      </c>
      <c r="O79">
        <f>bali_nt!P93</f>
        <v>9.697636253069626E-5</v>
      </c>
      <c r="P79">
        <f>bali_nt!Q93</f>
        <v>68.245236532464901</v>
      </c>
    </row>
    <row r="80" spans="1:16" x14ac:dyDescent="0.25">
      <c r="A80" t="str">
        <f>bali_nt!B94</f>
        <v>BALI_NT</v>
      </c>
      <c r="B80">
        <f>bali_nt!C94</f>
        <v>2037</v>
      </c>
      <c r="C80">
        <f>bali_nt!D94</f>
        <v>20.893358849314584</v>
      </c>
      <c r="D80">
        <f>bali_nt!E94</f>
        <v>10.187477235555848</v>
      </c>
      <c r="E80">
        <f>bali_nt!F94</f>
        <v>10.645321152817523</v>
      </c>
      <c r="F80">
        <f>bali_nt!G94</f>
        <v>10.494653624835315</v>
      </c>
      <c r="G80">
        <f>bali_nt!H94</f>
        <v>6.4648670408958671</v>
      </c>
      <c r="H80">
        <f>bali_nt!I94</f>
        <v>8.7227034680722753</v>
      </c>
      <c r="I80">
        <f>bali_nt!J94</f>
        <v>0.34094948902603894</v>
      </c>
      <c r="J80">
        <f>bali_nt!K94</f>
        <v>2.7338553776200967</v>
      </c>
      <c r="K80">
        <f>bali_nt!L94</f>
        <v>5.772868999148395E-7</v>
      </c>
      <c r="L80">
        <f>bali_nt!M94</f>
        <v>5.217388158157056</v>
      </c>
      <c r="M80">
        <f>bali_nt!N94</f>
        <v>5.6748976403199582E-7</v>
      </c>
      <c r="N80">
        <f>bali_nt!O94</f>
        <v>0</v>
      </c>
      <c r="O80">
        <f>bali_nt!P94</f>
        <v>1.0783416026641799E-4</v>
      </c>
      <c r="P80">
        <f>bali_nt!Q94</f>
        <v>75.700575541071274</v>
      </c>
    </row>
    <row r="81" spans="1:16" x14ac:dyDescent="0.25">
      <c r="A81" t="str">
        <f>bali_nt!B95</f>
        <v>BALI_NT</v>
      </c>
      <c r="B81">
        <f>bali_nt!C95</f>
        <v>2038</v>
      </c>
      <c r="C81">
        <f>bali_nt!D95</f>
        <v>22.922322947575747</v>
      </c>
      <c r="D81">
        <f>bali_nt!E95</f>
        <v>10.187477224794067</v>
      </c>
      <c r="E81">
        <f>bali_nt!F95</f>
        <v>13.220062720560112</v>
      </c>
      <c r="F81">
        <f>bali_nt!G95</f>
        <v>10.494653606845239</v>
      </c>
      <c r="G81">
        <f>bali_nt!H95</f>
        <v>8.588778536856589</v>
      </c>
      <c r="H81">
        <f>bali_nt!I95</f>
        <v>9.4059041478207526</v>
      </c>
      <c r="I81">
        <f>bali_nt!J95</f>
        <v>0.34094948902603894</v>
      </c>
      <c r="J81">
        <f>bali_nt!K95</f>
        <v>3.2805750132617044</v>
      </c>
      <c r="K81">
        <f>bali_nt!L95</f>
        <v>5.772868999148395E-7</v>
      </c>
      <c r="L81">
        <f>bali_nt!M95</f>
        <v>5.217388158157056</v>
      </c>
      <c r="M81">
        <f>bali_nt!N95</f>
        <v>5.6748976403199582E-7</v>
      </c>
      <c r="N81">
        <f>bali_nt!O95</f>
        <v>0</v>
      </c>
      <c r="O81">
        <f>bali_nt!P95</f>
        <v>1.1946002358033804E-4</v>
      </c>
      <c r="P81">
        <f>bali_nt!Q95</f>
        <v>83.658112989673967</v>
      </c>
    </row>
    <row r="82" spans="1:16" x14ac:dyDescent="0.25">
      <c r="A82" t="str">
        <f>kalimantan!B76</f>
        <v>KALIMANTAN</v>
      </c>
      <c r="B82">
        <f>kalimantan!C76</f>
        <v>2019</v>
      </c>
      <c r="C82">
        <f>kalimantan!D76</f>
        <v>42.778202064000006</v>
      </c>
      <c r="D82">
        <f>kalimantan!E76</f>
        <v>5.7578758448233849</v>
      </c>
      <c r="E82">
        <f>kalimantan!F76</f>
        <v>0.59777700923076915</v>
      </c>
      <c r="F82">
        <f>kalimantan!G76</f>
        <v>31.026942782916922</v>
      </c>
      <c r="G82">
        <f>kalimantan!H76</f>
        <v>0</v>
      </c>
      <c r="H82">
        <f>kalimantan!I76</f>
        <v>4.2234242559507695</v>
      </c>
      <c r="I82">
        <f>kalimantan!J76</f>
        <v>7.3727868849230785E-2</v>
      </c>
      <c r="J82">
        <f>kalimantan!K76</f>
        <v>4.0397616000000004E-3</v>
      </c>
      <c r="K82">
        <f>kalimantan!L76</f>
        <v>0</v>
      </c>
      <c r="L82">
        <f>kalimantan!M76</f>
        <v>0.87890922969230767</v>
      </c>
      <c r="M82">
        <f>kalimantan!N76</f>
        <v>0</v>
      </c>
      <c r="N82">
        <f>kalimantan!O76</f>
        <v>0</v>
      </c>
      <c r="O82">
        <f>kalimantan!P76</f>
        <v>0</v>
      </c>
      <c r="P82">
        <f>kalimantan!Q76</f>
        <v>85.34089881706339</v>
      </c>
    </row>
    <row r="83" spans="1:16" x14ac:dyDescent="0.25">
      <c r="A83" t="str">
        <f>kalimantan!B77</f>
        <v>KALIMANTAN</v>
      </c>
      <c r="B83">
        <f>kalimantan!C77</f>
        <v>2020</v>
      </c>
      <c r="C83">
        <f>kalimantan!D77</f>
        <v>46.476990945433663</v>
      </c>
      <c r="D83">
        <f>kalimantan!E77</f>
        <v>5.7578758340616032</v>
      </c>
      <c r="E83">
        <f>kalimantan!F77</f>
        <v>2.6431300782059259</v>
      </c>
      <c r="F83">
        <f>kalimantan!G77</f>
        <v>31.026942782916922</v>
      </c>
      <c r="G83">
        <f>kalimantan!H77</f>
        <v>0</v>
      </c>
      <c r="H83">
        <f>kalimantan!I77</f>
        <v>4.5584937082462167</v>
      </c>
      <c r="I83">
        <f>kalimantan!J77</f>
        <v>1.9685881636799871</v>
      </c>
      <c r="J83">
        <f>kalimantan!K77</f>
        <v>6.0585768262504835</v>
      </c>
      <c r="K83">
        <f>kalimantan!L77</f>
        <v>0</v>
      </c>
      <c r="L83">
        <f>kalimantan!M77</f>
        <v>0.87890922969230767</v>
      </c>
      <c r="M83">
        <f>kalimantan!N77</f>
        <v>0</v>
      </c>
      <c r="N83">
        <f>kalimantan!O77</f>
        <v>0</v>
      </c>
      <c r="O83">
        <f>kalimantan!P77</f>
        <v>0</v>
      </c>
      <c r="P83">
        <f>kalimantan!Q77</f>
        <v>99.369507568487109</v>
      </c>
    </row>
    <row r="84" spans="1:16" x14ac:dyDescent="0.25">
      <c r="A84" t="str">
        <f>kalimantan!B78</f>
        <v>KALIMANTAN</v>
      </c>
      <c r="B84">
        <f>kalimantan!C78</f>
        <v>2021</v>
      </c>
      <c r="C84">
        <f>kalimantan!D78</f>
        <v>48.592477368392203</v>
      </c>
      <c r="D84">
        <f>kalimantan!E78</f>
        <v>5.7578758232998215</v>
      </c>
      <c r="E84">
        <f>kalimantan!F78</f>
        <v>9.2614841263682308</v>
      </c>
      <c r="F84">
        <f>kalimantan!G78</f>
        <v>31.026942782916922</v>
      </c>
      <c r="G84">
        <f>kalimantan!H78</f>
        <v>0</v>
      </c>
      <c r="H84">
        <f>kalimantan!I78</f>
        <v>7.8888423709376916</v>
      </c>
      <c r="I84">
        <f>kalimantan!J78</f>
        <v>2.4539793094211761</v>
      </c>
      <c r="J84">
        <f>kalimantan!K78</f>
        <v>6.0585768262504835</v>
      </c>
      <c r="K84">
        <f>kalimantan!L78</f>
        <v>0</v>
      </c>
      <c r="L84">
        <f>kalimantan!M78</f>
        <v>0.87890922969230767</v>
      </c>
      <c r="M84">
        <f>kalimantan!N78</f>
        <v>0</v>
      </c>
      <c r="N84">
        <f>kalimantan!O78</f>
        <v>0</v>
      </c>
      <c r="O84">
        <f>kalimantan!P78</f>
        <v>0</v>
      </c>
      <c r="P84">
        <f>kalimantan!Q78</f>
        <v>111.91908783727884</v>
      </c>
    </row>
    <row r="85" spans="1:16" x14ac:dyDescent="0.25">
      <c r="A85" t="str">
        <f>kalimantan!B79</f>
        <v>KALIMANTAN</v>
      </c>
      <c r="B85">
        <f>kalimantan!C79</f>
        <v>2022</v>
      </c>
      <c r="C85">
        <f>kalimantan!D79</f>
        <v>50.571380157222904</v>
      </c>
      <c r="D85">
        <f>kalimantan!E79</f>
        <v>5.7578758125380407</v>
      </c>
      <c r="E85">
        <f>kalimantan!F79</f>
        <v>16.997512062476666</v>
      </c>
      <c r="F85">
        <f>kalimantan!G79</f>
        <v>31.026942782916922</v>
      </c>
      <c r="G85">
        <f>kalimantan!H79</f>
        <v>0</v>
      </c>
      <c r="H85">
        <f>kalimantan!I79</f>
        <v>8.2355315947871173</v>
      </c>
      <c r="I85">
        <f>kalimantan!J79</f>
        <v>2.4539792881125426</v>
      </c>
      <c r="J85">
        <f>kalimantan!K79</f>
        <v>10.30710575945484</v>
      </c>
      <c r="K85">
        <f>kalimantan!L79</f>
        <v>0</v>
      </c>
      <c r="L85">
        <f>kalimantan!M79</f>
        <v>0.87890922969230767</v>
      </c>
      <c r="M85">
        <f>kalimantan!N79</f>
        <v>0</v>
      </c>
      <c r="N85">
        <f>kalimantan!O79</f>
        <v>0</v>
      </c>
      <c r="O85">
        <f>kalimantan!P79</f>
        <v>0</v>
      </c>
      <c r="P85">
        <f>kalimantan!Q79</f>
        <v>126.22923668720135</v>
      </c>
    </row>
    <row r="86" spans="1:16" x14ac:dyDescent="0.25">
      <c r="A86" t="str">
        <f>kalimantan!B80</f>
        <v>KALIMANTAN</v>
      </c>
      <c r="B86">
        <f>kalimantan!C80</f>
        <v>2023</v>
      </c>
      <c r="C86">
        <f>kalimantan!D80</f>
        <v>50.571380157222904</v>
      </c>
      <c r="D86">
        <f>kalimantan!E80</f>
        <v>8.2962459543186302</v>
      </c>
      <c r="E86">
        <f>kalimantan!F80</f>
        <v>20.516025954661494</v>
      </c>
      <c r="F86">
        <f>kalimantan!G80</f>
        <v>31.026942782916944</v>
      </c>
      <c r="G86">
        <f>kalimantan!H80</f>
        <v>2.1258438858417601</v>
      </c>
      <c r="H86">
        <f>kalimantan!I80</f>
        <v>9.3478249287137896</v>
      </c>
      <c r="I86">
        <f>kalimantan!J80</f>
        <v>2.8518366068276499</v>
      </c>
      <c r="J86">
        <f>kalimantan!K80</f>
        <v>10.413388719307147</v>
      </c>
      <c r="K86">
        <f>kalimantan!L80</f>
        <v>9.2159998183802119E-2</v>
      </c>
      <c r="L86">
        <f>kalimantan!M80</f>
        <v>1.438958622795208</v>
      </c>
      <c r="M86">
        <f>kalimantan!N80</f>
        <v>0</v>
      </c>
      <c r="N86">
        <f>kalimantan!O80</f>
        <v>0</v>
      </c>
      <c r="O86">
        <f>kalimantan!P80</f>
        <v>0</v>
      </c>
      <c r="P86">
        <f>kalimantan!Q80</f>
        <v>136.68060761078934</v>
      </c>
    </row>
    <row r="87" spans="1:16" x14ac:dyDescent="0.25">
      <c r="A87" t="str">
        <f>kalimantan!B81</f>
        <v>KALIMANTAN</v>
      </c>
      <c r="B87">
        <f>kalimantan!C81</f>
        <v>2024</v>
      </c>
      <c r="C87">
        <f>kalimantan!D81</f>
        <v>50.571380157222904</v>
      </c>
      <c r="D87">
        <f>kalimantan!E81</f>
        <v>8.8578746862038429</v>
      </c>
      <c r="E87">
        <f>kalimantan!F81</f>
        <v>21.789475013615846</v>
      </c>
      <c r="F87">
        <f>kalimantan!G81</f>
        <v>31.026942782916944</v>
      </c>
      <c r="G87">
        <f>kalimantan!H81</f>
        <v>3.0911498874369205</v>
      </c>
      <c r="H87">
        <f>kalimantan!I81</f>
        <v>9.3478249287137896</v>
      </c>
      <c r="I87">
        <f>kalimantan!J81</f>
        <v>5.0369230198117965</v>
      </c>
      <c r="J87">
        <f>kalimantan!K81</f>
        <v>10.694670368558709</v>
      </c>
      <c r="K87">
        <f>kalimantan!L81</f>
        <v>0.2330884918057777</v>
      </c>
      <c r="L87">
        <f>kalimantan!M81</f>
        <v>1.6319134130283235</v>
      </c>
      <c r="M87">
        <f>kalimantan!N81</f>
        <v>0</v>
      </c>
      <c r="N87">
        <f>kalimantan!O81</f>
        <v>0</v>
      </c>
      <c r="O87">
        <f>kalimantan!P81</f>
        <v>0</v>
      </c>
      <c r="P87">
        <f>kalimantan!Q81</f>
        <v>142.28124274931486</v>
      </c>
    </row>
    <row r="88" spans="1:16" x14ac:dyDescent="0.25">
      <c r="A88" t="str">
        <f>kalimantan!B82</f>
        <v>KALIMANTAN</v>
      </c>
      <c r="B88">
        <f>kalimantan!C82</f>
        <v>2025</v>
      </c>
      <c r="C88">
        <f>kalimantan!D82</f>
        <v>50.571380157222904</v>
      </c>
      <c r="D88">
        <f>kalimantan!E82</f>
        <v>10.107451358343019</v>
      </c>
      <c r="E88">
        <f>kalimantan!F82</f>
        <v>22.531838150682358</v>
      </c>
      <c r="F88">
        <f>kalimantan!G82</f>
        <v>31.026942782916944</v>
      </c>
      <c r="G88">
        <f>kalimantan!H82</f>
        <v>3.6714172837019428</v>
      </c>
      <c r="H88">
        <f>kalimantan!I82</f>
        <v>10.172969052866353</v>
      </c>
      <c r="I88">
        <f>kalimantan!J82</f>
        <v>5.8599739078231314</v>
      </c>
      <c r="J88">
        <f>kalimantan!K82</f>
        <v>11.268868526431881</v>
      </c>
      <c r="K88">
        <f>kalimantan!L82</f>
        <v>1.045047515725827</v>
      </c>
      <c r="L88">
        <f>kalimantan!M82</f>
        <v>2.1046468289590652</v>
      </c>
      <c r="M88">
        <f>kalimantan!N82</f>
        <v>0</v>
      </c>
      <c r="N88">
        <f>kalimantan!O82</f>
        <v>0</v>
      </c>
      <c r="O88">
        <f>kalimantan!P82</f>
        <v>0</v>
      </c>
      <c r="P88">
        <f>kalimantan!Q82</f>
        <v>148.36053556467343</v>
      </c>
    </row>
    <row r="89" spans="1:16" x14ac:dyDescent="0.25">
      <c r="A89" t="str">
        <f>kalimantan!B83</f>
        <v>KALIMANTAN</v>
      </c>
      <c r="B89">
        <f>kalimantan!C83</f>
        <v>2026</v>
      </c>
      <c r="C89">
        <f>kalimantan!D83</f>
        <v>50.571380157222904</v>
      </c>
      <c r="D89">
        <f>kalimantan!E83</f>
        <v>10.733878391698942</v>
      </c>
      <c r="E89">
        <f>kalimantan!F83</f>
        <v>23.067220056891461</v>
      </c>
      <c r="F89">
        <f>kalimantan!G83</f>
        <v>31.026942782916944</v>
      </c>
      <c r="G89">
        <f>kalimantan!H83</f>
        <v>3.9615506917007561</v>
      </c>
      <c r="H89">
        <f>kalimantan!I83</f>
        <v>10.289541550106797</v>
      </c>
      <c r="I89">
        <f>kalimantan!J83</f>
        <v>6.3143901754515488</v>
      </c>
      <c r="J89">
        <f>kalimantan!K83</f>
        <v>11.288772677823561</v>
      </c>
      <c r="K89">
        <f>kalimantan!L83</f>
        <v>1.1080130178105709</v>
      </c>
      <c r="L89">
        <f>kalimantan!M83</f>
        <v>2.1330873743990262</v>
      </c>
      <c r="M89">
        <f>kalimantan!N83</f>
        <v>0</v>
      </c>
      <c r="N89">
        <f>kalimantan!O83</f>
        <v>0</v>
      </c>
      <c r="O89">
        <f>kalimantan!P83</f>
        <v>0</v>
      </c>
      <c r="P89">
        <f>kalimantan!Q83</f>
        <v>150.49477687602251</v>
      </c>
    </row>
    <row r="90" spans="1:16" x14ac:dyDescent="0.25">
      <c r="A90" t="str">
        <f>kalimantan!B84</f>
        <v>KALIMANTAN</v>
      </c>
      <c r="B90">
        <f>kalimantan!C84</f>
        <v>2027</v>
      </c>
      <c r="C90">
        <f>kalimantan!D84</f>
        <v>50.571380157222904</v>
      </c>
      <c r="D90">
        <f>kalimantan!E84</f>
        <v>10.733878391698942</v>
      </c>
      <c r="E90">
        <f>kalimantan!F84</f>
        <v>35.985708784718504</v>
      </c>
      <c r="F90">
        <f>kalimantan!G84</f>
        <v>32.127320339409856</v>
      </c>
      <c r="G90">
        <f>kalimantan!H84</f>
        <v>3.9615506917007561</v>
      </c>
      <c r="H90">
        <f>kalimantan!I84</f>
        <v>10.289541550106797</v>
      </c>
      <c r="I90">
        <f>kalimantan!J84</f>
        <v>6.3143901754515488</v>
      </c>
      <c r="J90">
        <f>kalimantan!K84</f>
        <v>11.288772677823561</v>
      </c>
      <c r="K90">
        <f>kalimantan!L84</f>
        <v>6.0787695489717777</v>
      </c>
      <c r="L90">
        <f>kalimantan!M84</f>
        <v>2.1330873743990262</v>
      </c>
      <c r="M90">
        <f>kalimantan!N84</f>
        <v>0</v>
      </c>
      <c r="N90">
        <f>kalimantan!O84</f>
        <v>0</v>
      </c>
      <c r="O90">
        <f>kalimantan!P84</f>
        <v>0</v>
      </c>
      <c r="P90">
        <f>kalimantan!Q84</f>
        <v>169.48439969150368</v>
      </c>
    </row>
    <row r="91" spans="1:16" x14ac:dyDescent="0.25">
      <c r="A91" t="str">
        <f>kalimantan!B85</f>
        <v>KALIMANTAN</v>
      </c>
      <c r="B91">
        <f>kalimantan!C85</f>
        <v>2028</v>
      </c>
      <c r="C91">
        <f>kalimantan!D85</f>
        <v>51.461572136728584</v>
      </c>
      <c r="D91">
        <f>kalimantan!E85</f>
        <v>10.733878391698942</v>
      </c>
      <c r="E91">
        <f>kalimantan!F85</f>
        <v>35.985708784718504</v>
      </c>
      <c r="F91">
        <f>kalimantan!G85</f>
        <v>34.918770745170931</v>
      </c>
      <c r="G91">
        <f>kalimantan!H85</f>
        <v>3.9615506917007561</v>
      </c>
      <c r="H91">
        <f>kalimantan!I85</f>
        <v>10.289541550106797</v>
      </c>
      <c r="I91">
        <f>kalimantan!J85</f>
        <v>6.3143901754515488</v>
      </c>
      <c r="J91">
        <f>kalimantan!K85</f>
        <v>11.288772677823561</v>
      </c>
      <c r="K91">
        <f>kalimantan!L85</f>
        <v>7.9520883896095214</v>
      </c>
      <c r="L91">
        <f>kalimantan!M85</f>
        <v>2.1330873743990262</v>
      </c>
      <c r="M91">
        <f>kalimantan!N85</f>
        <v>0</v>
      </c>
      <c r="N91">
        <f>kalimantan!O85</f>
        <v>0</v>
      </c>
      <c r="O91">
        <f>kalimantan!P85</f>
        <v>0</v>
      </c>
      <c r="P91">
        <f>kalimantan!Q85</f>
        <v>175.03936091740815</v>
      </c>
    </row>
    <row r="92" spans="1:16" x14ac:dyDescent="0.25">
      <c r="A92" t="str">
        <f>kalimantan!B86</f>
        <v>KALIMANTAN</v>
      </c>
      <c r="B92">
        <f>kalimantan!C86</f>
        <v>2029</v>
      </c>
      <c r="C92">
        <f>kalimantan!D86</f>
        <v>51.461572136728584</v>
      </c>
      <c r="D92">
        <f>kalimantan!E86</f>
        <v>10.733878391698942</v>
      </c>
      <c r="E92">
        <f>kalimantan!F86</f>
        <v>35.985708784718504</v>
      </c>
      <c r="F92">
        <f>kalimantan!G86</f>
        <v>34.918770745170931</v>
      </c>
      <c r="G92">
        <f>kalimantan!H86</f>
        <v>3.9615506683398576</v>
      </c>
      <c r="H92">
        <f>kalimantan!I86</f>
        <v>10.291086153224034</v>
      </c>
      <c r="I92">
        <f>kalimantan!J86</f>
        <v>6.5233905231383629</v>
      </c>
      <c r="J92">
        <f>kalimantan!K86</f>
        <v>11.358550271214007</v>
      </c>
      <c r="K92">
        <f>kalimantan!L86</f>
        <v>7.9879459282559795</v>
      </c>
      <c r="L92">
        <f>kalimantan!M86</f>
        <v>2.55658502902928</v>
      </c>
      <c r="M92">
        <f>kalimantan!N86</f>
        <v>0</v>
      </c>
      <c r="N92">
        <f>kalimantan!O86</f>
        <v>0</v>
      </c>
      <c r="O92">
        <f>kalimantan!P86</f>
        <v>0</v>
      </c>
      <c r="P92">
        <f>kalimantan!Q86</f>
        <v>175.77903863151849</v>
      </c>
    </row>
    <row r="93" spans="1:16" x14ac:dyDescent="0.25">
      <c r="A93" t="str">
        <f>kalimantan!B87</f>
        <v>KALIMANTAN</v>
      </c>
      <c r="B93">
        <f>kalimantan!C87</f>
        <v>2030</v>
      </c>
      <c r="C93">
        <f>kalimantan!D87</f>
        <v>51.461572136728584</v>
      </c>
      <c r="D93">
        <f>kalimantan!E87</f>
        <v>10.733878391698942</v>
      </c>
      <c r="E93">
        <f>kalimantan!F87</f>
        <v>35.985708784718504</v>
      </c>
      <c r="F93">
        <f>kalimantan!G87</f>
        <v>34.918770745170931</v>
      </c>
      <c r="G93">
        <f>kalimantan!H87</f>
        <v>4.1066172392363551</v>
      </c>
      <c r="H93">
        <f>kalimantan!I87</f>
        <v>10.710861198648095</v>
      </c>
      <c r="I93">
        <f>kalimantan!J87</f>
        <v>6.5416599368647788</v>
      </c>
      <c r="J93">
        <f>kalimantan!K87</f>
        <v>11.400934655214007</v>
      </c>
      <c r="K93">
        <f>kalimantan!L87</f>
        <v>8.1084619911432068</v>
      </c>
      <c r="L93">
        <f>kalimantan!M87</f>
        <v>2.55658502902928</v>
      </c>
      <c r="M93">
        <f>kalimantan!N87</f>
        <v>0</v>
      </c>
      <c r="N93">
        <f>kalimantan!O87</f>
        <v>0</v>
      </c>
      <c r="O93">
        <f>kalimantan!P87</f>
        <v>0</v>
      </c>
      <c r="P93">
        <f>kalimantan!Q87</f>
        <v>176.52505010845269</v>
      </c>
    </row>
    <row r="94" spans="1:16" x14ac:dyDescent="0.25">
      <c r="A94" t="str">
        <f>kalimantan!B88</f>
        <v>KALIMANTAN</v>
      </c>
      <c r="B94">
        <f>kalimantan!C88</f>
        <v>2031</v>
      </c>
      <c r="C94">
        <f>kalimantan!D88</f>
        <v>51.461572136728584</v>
      </c>
      <c r="D94">
        <f>kalimantan!E88</f>
        <v>10.733878391698942</v>
      </c>
      <c r="E94">
        <f>kalimantan!F88</f>
        <v>35.985708784718504</v>
      </c>
      <c r="F94">
        <f>kalimantan!G88</f>
        <v>35.195157218018764</v>
      </c>
      <c r="G94">
        <f>kalimantan!H88</f>
        <v>4.1066172392363551</v>
      </c>
      <c r="H94">
        <f>kalimantan!I88</f>
        <v>10.710861198648095</v>
      </c>
      <c r="I94">
        <f>kalimantan!J88</f>
        <v>6.5416599368647788</v>
      </c>
      <c r="J94">
        <f>kalimantan!K88</f>
        <v>11.400934655214007</v>
      </c>
      <c r="K94">
        <f>kalimantan!L88</f>
        <v>8.9526254672259302</v>
      </c>
      <c r="L94">
        <f>kalimantan!M88</f>
        <v>2.55658502902928</v>
      </c>
      <c r="M94">
        <f>kalimantan!N88</f>
        <v>0</v>
      </c>
      <c r="N94">
        <f>kalimantan!O88</f>
        <v>0</v>
      </c>
      <c r="O94">
        <f>kalimantan!P88</f>
        <v>0</v>
      </c>
      <c r="P94">
        <f>kalimantan!Q88</f>
        <v>177.64560005738326</v>
      </c>
    </row>
    <row r="95" spans="1:16" x14ac:dyDescent="0.25">
      <c r="A95" t="str">
        <f>kalimantan!B89</f>
        <v>KALIMANTAN</v>
      </c>
      <c r="B95">
        <f>kalimantan!C89</f>
        <v>2032</v>
      </c>
      <c r="C95">
        <f>kalimantan!D89</f>
        <v>53.024400149976749</v>
      </c>
      <c r="D95">
        <f>kalimantan!E89</f>
        <v>10.733878391698942</v>
      </c>
      <c r="E95">
        <f>kalimantan!F89</f>
        <v>36.02400171796436</v>
      </c>
      <c r="F95">
        <f>kalimantan!G89</f>
        <v>38.822760297106477</v>
      </c>
      <c r="G95">
        <f>kalimantan!H89</f>
        <v>4.1066172392363551</v>
      </c>
      <c r="H95">
        <f>kalimantan!I89</f>
        <v>10.710861198648095</v>
      </c>
      <c r="I95">
        <f>kalimantan!J89</f>
        <v>6.5416599368647788</v>
      </c>
      <c r="J95">
        <f>kalimantan!K89</f>
        <v>11.400934655214007</v>
      </c>
      <c r="K95">
        <f>kalimantan!L89</f>
        <v>11.478301933724893</v>
      </c>
      <c r="L95">
        <f>kalimantan!M89</f>
        <v>2.55658502902928</v>
      </c>
      <c r="M95">
        <f>kalimantan!N89</f>
        <v>0</v>
      </c>
      <c r="N95">
        <f>kalimantan!O89</f>
        <v>0</v>
      </c>
      <c r="O95">
        <f>kalimantan!P89</f>
        <v>0</v>
      </c>
      <c r="P95">
        <f>kalimantan!Q89</f>
        <v>185.40000054946398</v>
      </c>
    </row>
    <row r="96" spans="1:16" x14ac:dyDescent="0.25">
      <c r="A96" t="str">
        <f>kalimantan!B90</f>
        <v>KALIMANTAN</v>
      </c>
      <c r="B96">
        <f>kalimantan!C90</f>
        <v>2033</v>
      </c>
      <c r="C96">
        <f>kalimantan!D90</f>
        <v>54.86811620289329</v>
      </c>
      <c r="D96">
        <f>kalimantan!E90</f>
        <v>10.733878391698942</v>
      </c>
      <c r="E96">
        <f>kalimantan!F90</f>
        <v>38.879266097454611</v>
      </c>
      <c r="F96">
        <f>kalimantan!G90</f>
        <v>39.335038951330013</v>
      </c>
      <c r="G96">
        <f>kalimantan!H90</f>
        <v>4.1066172392363551</v>
      </c>
      <c r="H96">
        <f>kalimantan!I90</f>
        <v>10.710861198648095</v>
      </c>
      <c r="I96">
        <f>kalimantan!J90</f>
        <v>6.5416599368647788</v>
      </c>
      <c r="J96">
        <f>kalimantan!K90</f>
        <v>11.400934655214007</v>
      </c>
      <c r="K96">
        <f>kalimantan!L90</f>
        <v>14.06464954895738</v>
      </c>
      <c r="L96">
        <f>kalimantan!M90</f>
        <v>2.55658502902928</v>
      </c>
      <c r="M96">
        <f>kalimantan!N90</f>
        <v>0</v>
      </c>
      <c r="N96">
        <f>kalimantan!O90</f>
        <v>0</v>
      </c>
      <c r="O96">
        <f>kalimantan!P90</f>
        <v>0</v>
      </c>
      <c r="P96">
        <f>kalimantan!Q90</f>
        <v>193.19760725132679</v>
      </c>
    </row>
    <row r="97" spans="1:16" x14ac:dyDescent="0.25">
      <c r="A97" t="str">
        <f>kalimantan!B91</f>
        <v>KALIMANTAN</v>
      </c>
      <c r="B97">
        <f>kalimantan!C91</f>
        <v>2034</v>
      </c>
      <c r="C97">
        <f>kalimantan!D91</f>
        <v>59.665438153742599</v>
      </c>
      <c r="D97">
        <f>kalimantan!E91</f>
        <v>10.733878380937162</v>
      </c>
      <c r="E97">
        <f>kalimantan!F91</f>
        <v>44.573020661168805</v>
      </c>
      <c r="F97">
        <f>kalimantan!G91</f>
        <v>39.335038951330013</v>
      </c>
      <c r="G97">
        <f>kalimantan!H91</f>
        <v>4.1066172392363551</v>
      </c>
      <c r="H97">
        <f>kalimantan!I91</f>
        <v>10.867680367029241</v>
      </c>
      <c r="I97">
        <f>kalimantan!J91</f>
        <v>14.258267804043637</v>
      </c>
      <c r="J97">
        <f>kalimantan!K91</f>
        <v>11.400934655214007</v>
      </c>
      <c r="K97">
        <f>kalimantan!L91</f>
        <v>14.082106734271038</v>
      </c>
      <c r="L97">
        <f>kalimantan!M91</f>
        <v>2.55658502902928</v>
      </c>
      <c r="M97">
        <f>kalimantan!N91</f>
        <v>0</v>
      </c>
      <c r="N97">
        <f>kalimantan!O91</f>
        <v>0</v>
      </c>
      <c r="O97">
        <f>kalimantan!P91</f>
        <v>0</v>
      </c>
      <c r="P97">
        <f>kalimantan!Q91</f>
        <v>211.57956797600212</v>
      </c>
    </row>
    <row r="98" spans="1:16" x14ac:dyDescent="0.25">
      <c r="A98" t="str">
        <f>kalimantan!B92</f>
        <v>KALIMANTAN</v>
      </c>
      <c r="B98">
        <f>kalimantan!C92</f>
        <v>2035</v>
      </c>
      <c r="C98">
        <f>kalimantan!D92</f>
        <v>63.099791842854131</v>
      </c>
      <c r="D98">
        <f>kalimantan!E92</f>
        <v>10.733878380937162</v>
      </c>
      <c r="E98">
        <f>kalimantan!F92</f>
        <v>50.182811924159608</v>
      </c>
      <c r="F98">
        <f>kalimantan!G92</f>
        <v>42.296540808855852</v>
      </c>
      <c r="G98">
        <f>kalimantan!H92</f>
        <v>4.1066172392363551</v>
      </c>
      <c r="H98">
        <f>kalimantan!I92</f>
        <v>10.867680367029241</v>
      </c>
      <c r="I98">
        <f>kalimantan!J92</f>
        <v>14.258267804043637</v>
      </c>
      <c r="J98">
        <f>kalimantan!K92</f>
        <v>11.400934655214007</v>
      </c>
      <c r="K98">
        <f>kalimantan!L92</f>
        <v>15.853291511836604</v>
      </c>
      <c r="L98">
        <f>kalimantan!M92</f>
        <v>2.55658502902928</v>
      </c>
      <c r="M98">
        <f>kalimantan!N92</f>
        <v>0</v>
      </c>
      <c r="N98">
        <f>kalimantan!O92</f>
        <v>0</v>
      </c>
      <c r="O98">
        <f>kalimantan!P92</f>
        <v>0</v>
      </c>
      <c r="P98">
        <f>kalimantan!Q92</f>
        <v>225.35639956319588</v>
      </c>
    </row>
    <row r="99" spans="1:16" x14ac:dyDescent="0.25">
      <c r="A99" t="str">
        <f>kalimantan!B93</f>
        <v>KALIMANTAN</v>
      </c>
      <c r="B99">
        <f>kalimantan!C93</f>
        <v>2036</v>
      </c>
      <c r="C99">
        <f>kalimantan!D93</f>
        <v>64.519592353232198</v>
      </c>
      <c r="D99">
        <f>kalimantan!E93</f>
        <v>10.733878380937162</v>
      </c>
      <c r="E99">
        <f>kalimantan!F93</f>
        <v>52.06828695893828</v>
      </c>
      <c r="F99">
        <f>kalimantan!G93</f>
        <v>43.214219078937077</v>
      </c>
      <c r="G99">
        <f>kalimantan!H93</f>
        <v>4.1066172392363551</v>
      </c>
      <c r="H99">
        <f>kalimantan!I93</f>
        <v>10.867680367029241</v>
      </c>
      <c r="I99">
        <f>kalimantan!J93</f>
        <v>14.258267804043637</v>
      </c>
      <c r="J99">
        <f>kalimantan!K93</f>
        <v>11.400934655214007</v>
      </c>
      <c r="K99">
        <f>kalimantan!L93</f>
        <v>18.358803811299126</v>
      </c>
      <c r="L99">
        <f>kalimantan!M93</f>
        <v>2.55658502902928</v>
      </c>
      <c r="M99">
        <f>kalimantan!N93</f>
        <v>0</v>
      </c>
      <c r="N99">
        <f>kalimantan!O93</f>
        <v>0</v>
      </c>
      <c r="O99">
        <f>kalimantan!P93</f>
        <v>0</v>
      </c>
      <c r="P99">
        <f>kalimantan!Q93</f>
        <v>232.08486567789635</v>
      </c>
    </row>
    <row r="100" spans="1:16" x14ac:dyDescent="0.25">
      <c r="A100" t="str">
        <f>kalimantan!B94</f>
        <v>KALIMANTAN</v>
      </c>
      <c r="B100">
        <f>kalimantan!C94</f>
        <v>2037</v>
      </c>
      <c r="C100">
        <f>kalimantan!D94</f>
        <v>65.911449693994484</v>
      </c>
      <c r="D100">
        <f>kalimantan!E94</f>
        <v>12.958671174243642</v>
      </c>
      <c r="E100">
        <f>kalimantan!F94</f>
        <v>52.628763898237573</v>
      </c>
      <c r="F100">
        <f>kalimantan!G94</f>
        <v>43.214219078937077</v>
      </c>
      <c r="G100">
        <f>kalimantan!H94</f>
        <v>4.121123938357707</v>
      </c>
      <c r="H100">
        <f>kalimantan!I94</f>
        <v>11.236759257270176</v>
      </c>
      <c r="I100">
        <f>kalimantan!J94</f>
        <v>14.438866311309866</v>
      </c>
      <c r="J100">
        <f>kalimantan!K94</f>
        <v>11.832542675699806</v>
      </c>
      <c r="K100">
        <f>kalimantan!L94</f>
        <v>19.677044422189709</v>
      </c>
      <c r="L100">
        <f>kalimantan!M94</f>
        <v>2.7901598144559818</v>
      </c>
      <c r="M100">
        <f>kalimantan!N94</f>
        <v>0</v>
      </c>
      <c r="N100">
        <f>kalimantan!O94</f>
        <v>0</v>
      </c>
      <c r="O100">
        <f>kalimantan!P94</f>
        <v>0</v>
      </c>
      <c r="P100">
        <f>kalimantan!Q94</f>
        <v>238.809600264696</v>
      </c>
    </row>
    <row r="101" spans="1:16" x14ac:dyDescent="0.25">
      <c r="A101" t="str">
        <f>kalimantan!B95</f>
        <v>KALIMANTAN</v>
      </c>
      <c r="B101">
        <f>kalimantan!C95</f>
        <v>2038</v>
      </c>
      <c r="C101">
        <f>kalimantan!D95</f>
        <v>68.018198124775608</v>
      </c>
      <c r="D101">
        <f>kalimantan!E95</f>
        <v>12.958671174243642</v>
      </c>
      <c r="E101">
        <f>kalimantan!F95</f>
        <v>56.499328481644753</v>
      </c>
      <c r="F101">
        <f>kalimantan!G95</f>
        <v>43.342983337822673</v>
      </c>
      <c r="G101">
        <f>kalimantan!H95</f>
        <v>4.121123938357707</v>
      </c>
      <c r="H101">
        <f>kalimantan!I95</f>
        <v>11.236759257270176</v>
      </c>
      <c r="I101">
        <f>kalimantan!J95</f>
        <v>14.438866311309866</v>
      </c>
      <c r="J101">
        <f>kalimantan!K95</f>
        <v>11.832542675699806</v>
      </c>
      <c r="K101">
        <f>kalimantan!L95</f>
        <v>23.002966617712396</v>
      </c>
      <c r="L101">
        <f>kalimantan!M95</f>
        <v>2.7901598144559818</v>
      </c>
      <c r="M101">
        <f>kalimantan!N95</f>
        <v>0</v>
      </c>
      <c r="N101">
        <f>kalimantan!O95</f>
        <v>0</v>
      </c>
      <c r="O101">
        <f>kalimantan!P95</f>
        <v>0</v>
      </c>
      <c r="P101">
        <f>kalimantan!Q95</f>
        <v>248.24159973329256</v>
      </c>
    </row>
    <row r="102" spans="1:16" x14ac:dyDescent="0.25">
      <c r="A102" t="str">
        <f>sulawesi!B76</f>
        <v>SULAWESI</v>
      </c>
      <c r="B102">
        <f>sulawesi!C76</f>
        <v>2019</v>
      </c>
      <c r="C102">
        <f>sulawesi!D76</f>
        <v>49.499119344</v>
      </c>
      <c r="D102">
        <f>sulawesi!E76</f>
        <v>3.1071414947150768</v>
      </c>
      <c r="E102">
        <f>sulawesi!F76</f>
        <v>3.1383292984615383</v>
      </c>
      <c r="F102">
        <f>sulawesi!G76</f>
        <v>16.117847963667693</v>
      </c>
      <c r="G102">
        <f>sulawesi!H76</f>
        <v>1.8688718769230768</v>
      </c>
      <c r="H102">
        <f>sulawesi!I76</f>
        <v>13.248162884381539</v>
      </c>
      <c r="I102">
        <f>sulawesi!J76</f>
        <v>1.3328549700923076</v>
      </c>
      <c r="J102">
        <f>sulawesi!K76</f>
        <v>2.8079654399999997E-2</v>
      </c>
      <c r="K102">
        <f>sulawesi!L76</f>
        <v>0</v>
      </c>
      <c r="L102">
        <f>sulawesi!M76</f>
        <v>4.4956993846153852E-3</v>
      </c>
      <c r="M102">
        <f>sulawesi!N76</f>
        <v>0</v>
      </c>
      <c r="N102">
        <f>sulawesi!O76</f>
        <v>0</v>
      </c>
      <c r="O102">
        <f>sulawesi!P76</f>
        <v>0</v>
      </c>
      <c r="P102">
        <f>sulawesi!Q76</f>
        <v>88.344903186025874</v>
      </c>
    </row>
    <row r="103" spans="1:16" x14ac:dyDescent="0.25">
      <c r="A103" t="str">
        <f>sulawesi!B77</f>
        <v>SULAWESI</v>
      </c>
      <c r="B103">
        <f>sulawesi!C77</f>
        <v>2020</v>
      </c>
      <c r="C103">
        <f>sulawesi!D77</f>
        <v>49.499119344</v>
      </c>
      <c r="D103">
        <f>sulawesi!E77</f>
        <v>3.1703281530078313</v>
      </c>
      <c r="E103">
        <f>sulawesi!F77</f>
        <v>4.9721011013051806</v>
      </c>
      <c r="F103">
        <f>sulawesi!G77</f>
        <v>16.117847963667693</v>
      </c>
      <c r="G103">
        <f>sulawesi!H77</f>
        <v>1.8688718769230768</v>
      </c>
      <c r="H103">
        <f>sulawesi!I77</f>
        <v>13.248162884381539</v>
      </c>
      <c r="I103">
        <f>sulawesi!J77</f>
        <v>1.3328549700923076</v>
      </c>
      <c r="J103">
        <f>sulawesi!K77</f>
        <v>0.88061816561366979</v>
      </c>
      <c r="K103">
        <f>sulawesi!L77</f>
        <v>0</v>
      </c>
      <c r="L103">
        <f>sulawesi!M77</f>
        <v>4.4956993846153852E-3</v>
      </c>
      <c r="M103">
        <f>sulawesi!N77</f>
        <v>0</v>
      </c>
      <c r="N103">
        <f>sulawesi!O77</f>
        <v>0</v>
      </c>
      <c r="O103">
        <f>sulawesi!P77</f>
        <v>0</v>
      </c>
      <c r="P103">
        <f>sulawesi!Q77</f>
        <v>91.094400158375933</v>
      </c>
    </row>
    <row r="104" spans="1:16" x14ac:dyDescent="0.25">
      <c r="A104" t="str">
        <f>sulawesi!B78</f>
        <v>SULAWESI</v>
      </c>
      <c r="B104">
        <f>sulawesi!C78</f>
        <v>2021</v>
      </c>
      <c r="C104">
        <f>sulawesi!D78</f>
        <v>49.499119326543067</v>
      </c>
      <c r="D104">
        <f>sulawesi!E78</f>
        <v>3.1703281422460501</v>
      </c>
      <c r="E104">
        <f>sulawesi!F78</f>
        <v>15.345541112328362</v>
      </c>
      <c r="F104">
        <f>sulawesi!G78</f>
        <v>16.117847963667693</v>
      </c>
      <c r="G104">
        <f>sulawesi!H78</f>
        <v>1.8688718769230768</v>
      </c>
      <c r="H104">
        <f>sulawesi!I78</f>
        <v>13.248162884381539</v>
      </c>
      <c r="I104">
        <f>sulawesi!J78</f>
        <v>1.3328549700923076</v>
      </c>
      <c r="J104">
        <f>sulawesi!K78</f>
        <v>0.92712955813433406</v>
      </c>
      <c r="K104">
        <f>sulawesi!L78</f>
        <v>0</v>
      </c>
      <c r="L104">
        <f>sulawesi!M78</f>
        <v>4.4956993846153852E-3</v>
      </c>
      <c r="M104">
        <f>sulawesi!N78</f>
        <v>0</v>
      </c>
      <c r="N104">
        <f>sulawesi!O78</f>
        <v>0</v>
      </c>
      <c r="O104">
        <f>sulawesi!P78</f>
        <v>0</v>
      </c>
      <c r="P104">
        <f>sulawesi!Q78</f>
        <v>101.51435153370106</v>
      </c>
    </row>
    <row r="105" spans="1:16" x14ac:dyDescent="0.25">
      <c r="A105" t="str">
        <f>sulawesi!B79</f>
        <v>SULAWESI</v>
      </c>
      <c r="B105">
        <f>sulawesi!C79</f>
        <v>2022</v>
      </c>
      <c r="C105">
        <f>sulawesi!D79</f>
        <v>51.51706186856056</v>
      </c>
      <c r="D105">
        <f>sulawesi!E79</f>
        <v>3.1703281314842693</v>
      </c>
      <c r="E105">
        <f>sulawesi!F79</f>
        <v>21.525457593554584</v>
      </c>
      <c r="F105">
        <f>sulawesi!G79</f>
        <v>16.117847963667693</v>
      </c>
      <c r="G105">
        <f>sulawesi!H79</f>
        <v>1.8688718769230768</v>
      </c>
      <c r="H105">
        <f>sulawesi!I79</f>
        <v>13.248162884381539</v>
      </c>
      <c r="I105">
        <f>sulawesi!J79</f>
        <v>1.3328549487836754</v>
      </c>
      <c r="J105">
        <f>sulawesi!K79</f>
        <v>10.981096185886798</v>
      </c>
      <c r="K105">
        <f>sulawesi!L79</f>
        <v>0</v>
      </c>
      <c r="L105">
        <f>sulawesi!M79</f>
        <v>4.4956993846153852E-3</v>
      </c>
      <c r="M105">
        <f>sulawesi!N79</f>
        <v>0</v>
      </c>
      <c r="N105">
        <f>sulawesi!O79</f>
        <v>0</v>
      </c>
      <c r="O105">
        <f>sulawesi!P79</f>
        <v>0</v>
      </c>
      <c r="P105">
        <f>sulawesi!Q79</f>
        <v>119.76617715262681</v>
      </c>
    </row>
    <row r="106" spans="1:16" x14ac:dyDescent="0.25">
      <c r="A106" t="str">
        <f>sulawesi!B80</f>
        <v>SULAWESI</v>
      </c>
      <c r="B106">
        <f>sulawesi!C80</f>
        <v>2023</v>
      </c>
      <c r="C106">
        <f>sulawesi!D80</f>
        <v>54.356844840209412</v>
      </c>
      <c r="D106">
        <f>sulawesi!E80</f>
        <v>3.1703281314842693</v>
      </c>
      <c r="E106">
        <f>sulawesi!F80</f>
        <v>26.456020635253484</v>
      </c>
      <c r="F106">
        <f>sulawesi!G80</f>
        <v>16.117847963667693</v>
      </c>
      <c r="G106">
        <f>sulawesi!H80</f>
        <v>1.8688718535621787</v>
      </c>
      <c r="H106">
        <f>sulawesi!I80</f>
        <v>16.521168838123142</v>
      </c>
      <c r="I106">
        <f>sulawesi!J80</f>
        <v>1.3328549274750425</v>
      </c>
      <c r="J106">
        <f>sulawesi!K80</f>
        <v>18.092842026984741</v>
      </c>
      <c r="K106">
        <f>sulawesi!L80</f>
        <v>2.6211897150288843</v>
      </c>
      <c r="L106">
        <f>sulawesi!M80</f>
        <v>4.4956993846153852E-3</v>
      </c>
      <c r="M106">
        <f>sulawesi!N80</f>
        <v>0</v>
      </c>
      <c r="N106">
        <f>sulawesi!O80</f>
        <v>0</v>
      </c>
      <c r="O106">
        <f>sulawesi!P80</f>
        <v>0</v>
      </c>
      <c r="P106">
        <f>sulawesi!Q80</f>
        <v>140.54246463117346</v>
      </c>
    </row>
    <row r="107" spans="1:16" x14ac:dyDescent="0.25">
      <c r="A107" t="str">
        <f>sulawesi!B81</f>
        <v>SULAWESI</v>
      </c>
      <c r="B107">
        <f>sulawesi!C81</f>
        <v>2024</v>
      </c>
      <c r="C107">
        <f>sulawesi!D81</f>
        <v>55.189095786552613</v>
      </c>
      <c r="D107">
        <f>sulawesi!E81</f>
        <v>3.1703281314842693</v>
      </c>
      <c r="E107">
        <f>sulawesi!F81</f>
        <v>37.041180582483022</v>
      </c>
      <c r="F107">
        <f>sulawesi!G81</f>
        <v>16.117847963667693</v>
      </c>
      <c r="G107">
        <f>sulawesi!H81</f>
        <v>1.8688718535621787</v>
      </c>
      <c r="H107">
        <f>sulawesi!I81</f>
        <v>16.521168838123142</v>
      </c>
      <c r="I107">
        <f>sulawesi!J81</f>
        <v>1.3328549274750425</v>
      </c>
      <c r="J107">
        <f>sulawesi!K81</f>
        <v>18.092842026984741</v>
      </c>
      <c r="K107">
        <f>sulawesi!L81</f>
        <v>11.383314868163524</v>
      </c>
      <c r="L107">
        <f>sulawesi!M81</f>
        <v>4.4956993846153852E-3</v>
      </c>
      <c r="M107">
        <f>sulawesi!N81</f>
        <v>0</v>
      </c>
      <c r="N107">
        <f>sulawesi!O81</f>
        <v>0</v>
      </c>
      <c r="O107">
        <f>sulawesi!P81</f>
        <v>0</v>
      </c>
      <c r="P107">
        <f>sulawesi!Q81</f>
        <v>160.72200067788086</v>
      </c>
    </row>
    <row r="108" spans="1:16" x14ac:dyDescent="0.25">
      <c r="A108" t="str">
        <f>sulawesi!B82</f>
        <v>SULAWESI</v>
      </c>
      <c r="B108">
        <f>sulawesi!C82</f>
        <v>2025</v>
      </c>
      <c r="C108">
        <f>sulawesi!D82</f>
        <v>55.189095786552613</v>
      </c>
      <c r="D108">
        <f>sulawesi!E82</f>
        <v>3.1703281314842693</v>
      </c>
      <c r="E108">
        <f>sulawesi!F82</f>
        <v>50.486790734221273</v>
      </c>
      <c r="F108">
        <f>sulawesi!G82</f>
        <v>16.117847963667693</v>
      </c>
      <c r="G108">
        <f>sulawesi!H82</f>
        <v>1.8688718535621787</v>
      </c>
      <c r="H108">
        <f>sulawesi!I82</f>
        <v>16.521168838123142</v>
      </c>
      <c r="I108">
        <f>sulawesi!J82</f>
        <v>1.3328549274750425</v>
      </c>
      <c r="J108">
        <f>sulawesi!K82</f>
        <v>18.092842026984741</v>
      </c>
      <c r="K108">
        <f>sulawesi!L82</f>
        <v>12.067703956253235</v>
      </c>
      <c r="L108">
        <f>sulawesi!M82</f>
        <v>4.4956993846153852E-3</v>
      </c>
      <c r="M108">
        <f>sulawesi!N82</f>
        <v>0</v>
      </c>
      <c r="N108">
        <f>sulawesi!O82</f>
        <v>0</v>
      </c>
      <c r="O108">
        <f>sulawesi!P82</f>
        <v>0</v>
      </c>
      <c r="P108">
        <f>sulawesi!Q82</f>
        <v>174.85199991770884</v>
      </c>
    </row>
    <row r="109" spans="1:16" x14ac:dyDescent="0.25">
      <c r="A109" t="str">
        <f>sulawesi!B83</f>
        <v>SULAWESI</v>
      </c>
      <c r="B109">
        <f>sulawesi!C83</f>
        <v>2026</v>
      </c>
      <c r="C109">
        <f>sulawesi!D83</f>
        <v>55.53778313974729</v>
      </c>
      <c r="D109">
        <f>sulawesi!E83</f>
        <v>3.1703281314842693</v>
      </c>
      <c r="E109">
        <f>sulawesi!F83</f>
        <v>57.291906689646638</v>
      </c>
      <c r="F109">
        <f>sulawesi!G83</f>
        <v>20.480444524002554</v>
      </c>
      <c r="G109">
        <f>sulawesi!H83</f>
        <v>1.8688718535621787</v>
      </c>
      <c r="H109">
        <f>sulawesi!I83</f>
        <v>16.521168838123142</v>
      </c>
      <c r="I109">
        <f>sulawesi!J83</f>
        <v>1.3328549274750425</v>
      </c>
      <c r="J109">
        <f>sulawesi!K83</f>
        <v>18.092842026984741</v>
      </c>
      <c r="K109">
        <f>sulawesi!L83</f>
        <v>12.067703956253235</v>
      </c>
      <c r="L109">
        <f>sulawesi!M83</f>
        <v>4.4956993846153852E-3</v>
      </c>
      <c r="M109">
        <f>sulawesi!N83</f>
        <v>0</v>
      </c>
      <c r="N109">
        <f>sulawesi!O83</f>
        <v>0</v>
      </c>
      <c r="O109">
        <f>sulawesi!P83</f>
        <v>0</v>
      </c>
      <c r="P109">
        <f>sulawesi!Q83</f>
        <v>186.3683997866637</v>
      </c>
    </row>
    <row r="110" spans="1:16" x14ac:dyDescent="0.25">
      <c r="A110" t="str">
        <f>sulawesi!B84</f>
        <v>SULAWESI</v>
      </c>
      <c r="B110">
        <f>sulawesi!C84</f>
        <v>2027</v>
      </c>
      <c r="C110">
        <f>sulawesi!D84</f>
        <v>59.416790412883337</v>
      </c>
      <c r="D110">
        <f>sulawesi!E84</f>
        <v>3.1703281314842693</v>
      </c>
      <c r="E110">
        <f>sulawesi!F84</f>
        <v>63.20276233918522</v>
      </c>
      <c r="F110">
        <f>sulawesi!G84</f>
        <v>20.480444524002554</v>
      </c>
      <c r="G110">
        <f>sulawesi!H84</f>
        <v>1.8688718535621787</v>
      </c>
      <c r="H110">
        <f>sulawesi!I84</f>
        <v>16.521168838123142</v>
      </c>
      <c r="I110">
        <f>sulawesi!J84</f>
        <v>1.3328549274750425</v>
      </c>
      <c r="J110">
        <f>sulawesi!K84</f>
        <v>18.092842026984741</v>
      </c>
      <c r="K110">
        <f>sulawesi!L84</f>
        <v>16.641841374429735</v>
      </c>
      <c r="L110">
        <f>sulawesi!M84</f>
        <v>4.4956993846153852E-3</v>
      </c>
      <c r="M110">
        <f>sulawesi!N84</f>
        <v>0</v>
      </c>
      <c r="N110">
        <f>sulawesi!O84</f>
        <v>0</v>
      </c>
      <c r="O110">
        <f>sulawesi!P84</f>
        <v>0</v>
      </c>
      <c r="P110">
        <f>sulawesi!Q84</f>
        <v>200.73240012751486</v>
      </c>
    </row>
    <row r="111" spans="1:16" x14ac:dyDescent="0.25">
      <c r="A111" t="str">
        <f>sulawesi!B85</f>
        <v>SULAWESI</v>
      </c>
      <c r="B111">
        <f>sulawesi!C85</f>
        <v>2028</v>
      </c>
      <c r="C111">
        <f>sulawesi!D85</f>
        <v>60.975482306977945</v>
      </c>
      <c r="D111">
        <f>sulawesi!E85</f>
        <v>3.1703281314842693</v>
      </c>
      <c r="E111">
        <f>sulawesi!F85</f>
        <v>63.20276233918522</v>
      </c>
      <c r="F111">
        <f>sulawesi!G85</f>
        <v>25.588952185422514</v>
      </c>
      <c r="G111">
        <f>sulawesi!H85</f>
        <v>1.8688718535621787</v>
      </c>
      <c r="H111">
        <f>sulawesi!I85</f>
        <v>16.521168838123142</v>
      </c>
      <c r="I111">
        <f>sulawesi!J85</f>
        <v>1.3328549274750425</v>
      </c>
      <c r="J111">
        <f>sulawesi!K85</f>
        <v>18.092842026984741</v>
      </c>
      <c r="K111">
        <f>sulawesi!L85</f>
        <v>16.641841374429735</v>
      </c>
      <c r="L111">
        <f>sulawesi!M85</f>
        <v>4.4956993846153852E-3</v>
      </c>
      <c r="M111">
        <f>sulawesi!N85</f>
        <v>0</v>
      </c>
      <c r="N111">
        <f>sulawesi!O85</f>
        <v>0</v>
      </c>
      <c r="O111">
        <f>sulawesi!P85</f>
        <v>0</v>
      </c>
      <c r="P111">
        <f>sulawesi!Q85</f>
        <v>207.39959968302944</v>
      </c>
    </row>
    <row r="112" spans="1:16" x14ac:dyDescent="0.25">
      <c r="A112" t="str">
        <f>sulawesi!B86</f>
        <v>SULAWESI</v>
      </c>
      <c r="B112">
        <f>sulawesi!C86</f>
        <v>2029</v>
      </c>
      <c r="C112">
        <f>sulawesi!D86</f>
        <v>60.975482306977945</v>
      </c>
      <c r="D112">
        <f>sulawesi!E86</f>
        <v>3.1703281314842693</v>
      </c>
      <c r="E112">
        <f>sulawesi!F86</f>
        <v>63.20276233918522</v>
      </c>
      <c r="F112">
        <f>sulawesi!G86</f>
        <v>25.588952185422514</v>
      </c>
      <c r="G112">
        <f>sulawesi!H86</f>
        <v>1.8688718535621787</v>
      </c>
      <c r="H112">
        <f>sulawesi!I86</f>
        <v>16.521168838123142</v>
      </c>
      <c r="I112">
        <f>sulawesi!J86</f>
        <v>1.3328549274750425</v>
      </c>
      <c r="J112">
        <f>sulawesi!K86</f>
        <v>18.092842026984741</v>
      </c>
      <c r="K112">
        <f>sulawesi!L86</f>
        <v>16.641841374429735</v>
      </c>
      <c r="L112">
        <f>sulawesi!M86</f>
        <v>4.4956993846153852E-3</v>
      </c>
      <c r="M112">
        <f>sulawesi!N86</f>
        <v>0</v>
      </c>
      <c r="N112">
        <f>sulawesi!O86</f>
        <v>0</v>
      </c>
      <c r="O112">
        <f>sulawesi!P86</f>
        <v>0</v>
      </c>
      <c r="P112">
        <f>sulawesi!Q86</f>
        <v>207.39959968302944</v>
      </c>
    </row>
    <row r="113" spans="1:16" x14ac:dyDescent="0.25">
      <c r="A113" t="str">
        <f>sulawesi!B87</f>
        <v>SULAWESI</v>
      </c>
      <c r="B113">
        <f>sulawesi!C87</f>
        <v>2030</v>
      </c>
      <c r="C113">
        <f>sulawesi!D87</f>
        <v>60.975482306977945</v>
      </c>
      <c r="D113">
        <f>sulawesi!E87</f>
        <v>3.1703281314842693</v>
      </c>
      <c r="E113">
        <f>sulawesi!F87</f>
        <v>63.20276233918522</v>
      </c>
      <c r="F113">
        <f>sulawesi!G87</f>
        <v>25.588952185422514</v>
      </c>
      <c r="G113">
        <f>sulawesi!H87</f>
        <v>1.8688718535621787</v>
      </c>
      <c r="H113">
        <f>sulawesi!I87</f>
        <v>16.521168838123142</v>
      </c>
      <c r="I113">
        <f>sulawesi!J87</f>
        <v>1.3328549274750425</v>
      </c>
      <c r="J113">
        <f>sulawesi!K87</f>
        <v>18.092842026984741</v>
      </c>
      <c r="K113">
        <f>sulawesi!L87</f>
        <v>16.641841374429735</v>
      </c>
      <c r="L113">
        <f>sulawesi!M87</f>
        <v>4.4956993846153852E-3</v>
      </c>
      <c r="M113">
        <f>sulawesi!N87</f>
        <v>0</v>
      </c>
      <c r="N113">
        <f>sulawesi!O87</f>
        <v>0</v>
      </c>
      <c r="O113">
        <f>sulawesi!P87</f>
        <v>0</v>
      </c>
      <c r="P113">
        <f>sulawesi!Q87</f>
        <v>207.39959968302944</v>
      </c>
    </row>
    <row r="114" spans="1:16" x14ac:dyDescent="0.25">
      <c r="A114" t="str">
        <f>sulawesi!B88</f>
        <v>SULAWESI</v>
      </c>
      <c r="B114">
        <f>sulawesi!C88</f>
        <v>2031</v>
      </c>
      <c r="C114">
        <f>sulawesi!D88</f>
        <v>60.975482306977945</v>
      </c>
      <c r="D114">
        <f>sulawesi!E88</f>
        <v>3.1703281314842693</v>
      </c>
      <c r="E114">
        <f>sulawesi!F88</f>
        <v>63.20276233918522</v>
      </c>
      <c r="F114">
        <f>sulawesi!G88</f>
        <v>25.588952185422514</v>
      </c>
      <c r="G114">
        <f>sulawesi!H88</f>
        <v>1.8688718535621787</v>
      </c>
      <c r="H114">
        <f>sulawesi!I88</f>
        <v>16.521168838123142</v>
      </c>
      <c r="I114">
        <f>sulawesi!J88</f>
        <v>1.3328549274750425</v>
      </c>
      <c r="J114">
        <f>sulawesi!K88</f>
        <v>18.092842026984741</v>
      </c>
      <c r="K114">
        <f>sulawesi!L88</f>
        <v>16.641841374429735</v>
      </c>
      <c r="L114">
        <f>sulawesi!M88</f>
        <v>4.4956993846153852E-3</v>
      </c>
      <c r="M114">
        <f>sulawesi!N88</f>
        <v>0</v>
      </c>
      <c r="N114">
        <f>sulawesi!O88</f>
        <v>0</v>
      </c>
      <c r="O114">
        <f>sulawesi!P88</f>
        <v>0</v>
      </c>
      <c r="P114">
        <f>sulawesi!Q88</f>
        <v>207.39959968302944</v>
      </c>
    </row>
    <row r="115" spans="1:16" x14ac:dyDescent="0.25">
      <c r="A115" t="str">
        <f>sulawesi!B89</f>
        <v>SULAWESI</v>
      </c>
      <c r="B115">
        <f>sulawesi!C89</f>
        <v>2032</v>
      </c>
      <c r="C115">
        <f>sulawesi!D89</f>
        <v>60.975482306977945</v>
      </c>
      <c r="D115">
        <f>sulawesi!E89</f>
        <v>3.1703281314842693</v>
      </c>
      <c r="E115">
        <f>sulawesi!F89</f>
        <v>63.20276233918522</v>
      </c>
      <c r="F115">
        <f>sulawesi!G89</f>
        <v>25.588952185422514</v>
      </c>
      <c r="G115">
        <f>sulawesi!H89</f>
        <v>1.8688718535621787</v>
      </c>
      <c r="H115">
        <f>sulawesi!I89</f>
        <v>16.521168838123142</v>
      </c>
      <c r="I115">
        <f>sulawesi!J89</f>
        <v>1.3328549274750425</v>
      </c>
      <c r="J115">
        <f>sulawesi!K89</f>
        <v>18.092842026984741</v>
      </c>
      <c r="K115">
        <f>sulawesi!L89</f>
        <v>16.641841374429735</v>
      </c>
      <c r="L115">
        <f>sulawesi!M89</f>
        <v>4.4956993846153852E-3</v>
      </c>
      <c r="M115">
        <f>sulawesi!N89</f>
        <v>0</v>
      </c>
      <c r="N115">
        <f>sulawesi!O89</f>
        <v>0</v>
      </c>
      <c r="O115">
        <f>sulawesi!P89</f>
        <v>0</v>
      </c>
      <c r="P115">
        <f>sulawesi!Q89</f>
        <v>207.39959968302944</v>
      </c>
    </row>
    <row r="116" spans="1:16" x14ac:dyDescent="0.25">
      <c r="A116" t="str">
        <f>sulawesi!B90</f>
        <v>SULAWESI</v>
      </c>
      <c r="B116">
        <f>sulawesi!C90</f>
        <v>2033</v>
      </c>
      <c r="C116">
        <f>sulawesi!D90</f>
        <v>60.975482306977945</v>
      </c>
      <c r="D116">
        <f>sulawesi!E90</f>
        <v>3.1703281314842693</v>
      </c>
      <c r="E116">
        <f>sulawesi!F90</f>
        <v>63.20276233918522</v>
      </c>
      <c r="F116">
        <f>sulawesi!G90</f>
        <v>25.588952185422514</v>
      </c>
      <c r="G116">
        <f>sulawesi!H90</f>
        <v>1.8688718535621787</v>
      </c>
      <c r="H116">
        <f>sulawesi!I90</f>
        <v>16.521168838123142</v>
      </c>
      <c r="I116">
        <f>sulawesi!J90</f>
        <v>1.3328549274750425</v>
      </c>
      <c r="J116">
        <f>sulawesi!K90</f>
        <v>18.092842026984741</v>
      </c>
      <c r="K116">
        <f>sulawesi!L90</f>
        <v>16.641841374429735</v>
      </c>
      <c r="L116">
        <f>sulawesi!M90</f>
        <v>4.4956993846153852E-3</v>
      </c>
      <c r="M116">
        <f>sulawesi!N90</f>
        <v>0</v>
      </c>
      <c r="N116">
        <f>sulawesi!O90</f>
        <v>0</v>
      </c>
      <c r="O116">
        <f>sulawesi!P90</f>
        <v>0</v>
      </c>
      <c r="P116">
        <f>sulawesi!Q90</f>
        <v>207.39959968302944</v>
      </c>
    </row>
    <row r="117" spans="1:16" x14ac:dyDescent="0.25">
      <c r="A117" t="str">
        <f>sulawesi!B91</f>
        <v>SULAWESI</v>
      </c>
      <c r="B117">
        <f>sulawesi!C91</f>
        <v>2034</v>
      </c>
      <c r="C117">
        <f>sulawesi!D91</f>
        <v>60.975482306977945</v>
      </c>
      <c r="D117">
        <f>sulawesi!E91</f>
        <v>3.1703281314842693</v>
      </c>
      <c r="E117">
        <f>sulawesi!F91</f>
        <v>63.20276233918522</v>
      </c>
      <c r="F117">
        <f>sulawesi!G91</f>
        <v>25.588952185422514</v>
      </c>
      <c r="G117">
        <f>sulawesi!H91</f>
        <v>1.8688718535621787</v>
      </c>
      <c r="H117">
        <f>sulawesi!I91</f>
        <v>16.521168838123142</v>
      </c>
      <c r="I117">
        <f>sulawesi!J91</f>
        <v>1.3328549274750425</v>
      </c>
      <c r="J117">
        <f>sulawesi!K91</f>
        <v>18.092842026984741</v>
      </c>
      <c r="K117">
        <f>sulawesi!L91</f>
        <v>16.641841374429735</v>
      </c>
      <c r="L117">
        <f>sulawesi!M91</f>
        <v>4.4956993846153852E-3</v>
      </c>
      <c r="M117">
        <f>sulawesi!N91</f>
        <v>0</v>
      </c>
      <c r="N117">
        <f>sulawesi!O91</f>
        <v>0</v>
      </c>
      <c r="O117">
        <f>sulawesi!P91</f>
        <v>0</v>
      </c>
      <c r="P117">
        <f>sulawesi!Q91</f>
        <v>207.39959968302944</v>
      </c>
    </row>
    <row r="118" spans="1:16" x14ac:dyDescent="0.25">
      <c r="A118" t="str">
        <f>sulawesi!B92</f>
        <v>SULAWESI</v>
      </c>
      <c r="B118">
        <f>sulawesi!C92</f>
        <v>2035</v>
      </c>
      <c r="C118">
        <f>sulawesi!D92</f>
        <v>60.975482306977945</v>
      </c>
      <c r="D118">
        <f>sulawesi!E92</f>
        <v>3.1703281314842693</v>
      </c>
      <c r="E118">
        <f>sulawesi!F92</f>
        <v>63.20276233918522</v>
      </c>
      <c r="F118">
        <f>sulawesi!G92</f>
        <v>25.718552495366911</v>
      </c>
      <c r="G118">
        <f>sulawesi!H92</f>
        <v>1.8688718535621787</v>
      </c>
      <c r="H118">
        <f>sulawesi!I92</f>
        <v>16.521168838123142</v>
      </c>
      <c r="I118">
        <f>sulawesi!J92</f>
        <v>1.3328549274750425</v>
      </c>
      <c r="J118">
        <f>sulawesi!K92</f>
        <v>18.092842026984741</v>
      </c>
      <c r="K118">
        <f>sulawesi!L92</f>
        <v>16.641841374429735</v>
      </c>
      <c r="L118">
        <f>sulawesi!M92</f>
        <v>4.4956993846153852E-3</v>
      </c>
      <c r="M118">
        <f>sulawesi!N92</f>
        <v>0</v>
      </c>
      <c r="N118">
        <f>sulawesi!O92</f>
        <v>0</v>
      </c>
      <c r="O118">
        <f>sulawesi!P92</f>
        <v>0</v>
      </c>
      <c r="P118">
        <f>sulawesi!Q92</f>
        <v>207.52919999297379</v>
      </c>
    </row>
    <row r="119" spans="1:16" x14ac:dyDescent="0.25">
      <c r="A119" t="str">
        <f>sulawesi!B93</f>
        <v>SULAWESI</v>
      </c>
      <c r="B119">
        <f>sulawesi!C93</f>
        <v>2036</v>
      </c>
      <c r="C119">
        <f>sulawesi!D93</f>
        <v>60.975482306977945</v>
      </c>
      <c r="D119">
        <f>sulawesi!E93</f>
        <v>3.1703281314842693</v>
      </c>
      <c r="E119">
        <f>sulawesi!F93</f>
        <v>66.757848381247811</v>
      </c>
      <c r="F119">
        <f>sulawesi!G93</f>
        <v>27.982441227829888</v>
      </c>
      <c r="G119">
        <f>sulawesi!H93</f>
        <v>1.8688718535621787</v>
      </c>
      <c r="H119">
        <f>sulawesi!I93</f>
        <v>16.521168838123142</v>
      </c>
      <c r="I119">
        <f>sulawesi!J93</f>
        <v>1.3328549274750425</v>
      </c>
      <c r="J119">
        <f>sulawesi!K93</f>
        <v>18.092842026984741</v>
      </c>
      <c r="K119">
        <f>sulawesi!L93</f>
        <v>19.524069590435531</v>
      </c>
      <c r="L119">
        <f>sulawesi!M93</f>
        <v>4.4956993846153852E-3</v>
      </c>
      <c r="M119">
        <f>sulawesi!N93</f>
        <v>0</v>
      </c>
      <c r="N119">
        <f>sulawesi!O93</f>
        <v>0</v>
      </c>
      <c r="O119">
        <f>sulawesi!P93</f>
        <v>0</v>
      </c>
      <c r="P119">
        <f>sulawesi!Q93</f>
        <v>216.2304029835052</v>
      </c>
    </row>
    <row r="120" spans="1:16" x14ac:dyDescent="0.25">
      <c r="A120" t="str">
        <f>sulawesi!B94</f>
        <v>SULAWESI</v>
      </c>
      <c r="B120">
        <f>sulawesi!C94</f>
        <v>2037</v>
      </c>
      <c r="C120">
        <f>sulawesi!D94</f>
        <v>64.476691215996027</v>
      </c>
      <c r="D120">
        <f>sulawesi!E94</f>
        <v>3.1703281314842693</v>
      </c>
      <c r="E120">
        <f>sulawesi!F94</f>
        <v>74.174762679974705</v>
      </c>
      <c r="F120">
        <f>sulawesi!G94</f>
        <v>29.08817174433014</v>
      </c>
      <c r="G120">
        <f>sulawesi!H94</f>
        <v>1.8688718535621787</v>
      </c>
      <c r="H120">
        <f>sulawesi!I94</f>
        <v>16.521168838123142</v>
      </c>
      <c r="I120">
        <f>sulawesi!J94</f>
        <v>1.3328549274750425</v>
      </c>
      <c r="J120">
        <f>sulawesi!K94</f>
        <v>18.092842026984741</v>
      </c>
      <c r="K120">
        <f>sulawesi!L94</f>
        <v>24.881012995917398</v>
      </c>
      <c r="L120">
        <f>sulawesi!M94</f>
        <v>4.4956993846153852E-3</v>
      </c>
      <c r="M120">
        <f>sulawesi!N94</f>
        <v>0</v>
      </c>
      <c r="N120">
        <f>sulawesi!O94</f>
        <v>0</v>
      </c>
      <c r="O120">
        <f>sulawesi!P94</f>
        <v>0</v>
      </c>
      <c r="P120">
        <f>sulawesi!Q94</f>
        <v>233.61120011323226</v>
      </c>
    </row>
    <row r="121" spans="1:16" x14ac:dyDescent="0.25">
      <c r="A121" t="str">
        <f>sulawesi!B95</f>
        <v>SULAWESI</v>
      </c>
      <c r="B121">
        <f>sulawesi!C95</f>
        <v>2038</v>
      </c>
      <c r="C121">
        <f>sulawesi!D95</f>
        <v>69.504703379949859</v>
      </c>
      <c r="D121">
        <f>sulawesi!E95</f>
        <v>3.1703281314842693</v>
      </c>
      <c r="E121">
        <f>sulawesi!F95</f>
        <v>80.769194501736379</v>
      </c>
      <c r="F121">
        <f>sulawesi!G95</f>
        <v>29.08817174433014</v>
      </c>
      <c r="G121">
        <f>sulawesi!H95</f>
        <v>1.8688718535621787</v>
      </c>
      <c r="H121">
        <f>sulawesi!I95</f>
        <v>16.521168838123142</v>
      </c>
      <c r="I121">
        <f>sulawesi!J95</f>
        <v>1.3328549274750425</v>
      </c>
      <c r="J121">
        <f>sulawesi!K95</f>
        <v>18.092842026984741</v>
      </c>
      <c r="K121">
        <f>sulawesi!L95</f>
        <v>33.314169915793592</v>
      </c>
      <c r="L121">
        <f>sulawesi!M95</f>
        <v>4.4956993846153852E-3</v>
      </c>
      <c r="M121">
        <f>sulawesi!N95</f>
        <v>0</v>
      </c>
      <c r="N121">
        <f>sulawesi!O95</f>
        <v>0</v>
      </c>
      <c r="O121">
        <f>sulawesi!P95</f>
        <v>0</v>
      </c>
      <c r="P121">
        <f>sulawesi!Q95</f>
        <v>253.66680101882397</v>
      </c>
    </row>
    <row r="122" spans="1:16" x14ac:dyDescent="0.25">
      <c r="A122" t="str">
        <f>maluku_papua!B76</f>
        <v>MALUKU_PAPUA</v>
      </c>
      <c r="B122">
        <f>maluku_papua!C76</f>
        <v>2019</v>
      </c>
      <c r="C122">
        <f>maluku_papua!D76</f>
        <v>4.8704829120000008</v>
      </c>
      <c r="D122">
        <f>maluku_papua!E76</f>
        <v>4.304712516923076E-2</v>
      </c>
      <c r="E122">
        <f>maluku_papua!F76</f>
        <v>0</v>
      </c>
      <c r="F122">
        <f>maluku_papua!G76</f>
        <v>16.066216448196922</v>
      </c>
      <c r="G122">
        <f>maluku_papua!H76</f>
        <v>0</v>
      </c>
      <c r="H122">
        <f>maluku_papua!I76</f>
        <v>0.47608812420923075</v>
      </c>
      <c r="I122">
        <f>maluku_papua!J76</f>
        <v>0</v>
      </c>
      <c r="J122">
        <f>maluku_papua!K76</f>
        <v>4.2450609600000008E-2</v>
      </c>
      <c r="K122">
        <f>maluku_papua!L76</f>
        <v>0</v>
      </c>
      <c r="L122">
        <f>maluku_papua!M76</f>
        <v>0</v>
      </c>
      <c r="M122">
        <f>maluku_papua!N76</f>
        <v>0</v>
      </c>
      <c r="N122">
        <f>maluku_papua!O76</f>
        <v>0</v>
      </c>
      <c r="O122">
        <f>maluku_papua!P76</f>
        <v>0</v>
      </c>
      <c r="P122">
        <f>maluku_papua!Q76</f>
        <v>21.498285219175383</v>
      </c>
    </row>
    <row r="123" spans="1:16" x14ac:dyDescent="0.25">
      <c r="A123" t="str">
        <f>maluku_papua!B77</f>
        <v>MALUKU_PAPUA</v>
      </c>
      <c r="B123">
        <f>maluku_papua!C77</f>
        <v>2020</v>
      </c>
      <c r="C123">
        <f>maluku_papua!D77</f>
        <v>4.8704829120000008</v>
      </c>
      <c r="D123">
        <f>maluku_papua!E77</f>
        <v>4.3047114407449509E-2</v>
      </c>
      <c r="E123">
        <f>maluku_papua!F77</f>
        <v>2.4475891131025236</v>
      </c>
      <c r="F123">
        <f>maluku_papua!G77</f>
        <v>16.066216448196922</v>
      </c>
      <c r="G123">
        <f>maluku_papua!H77</f>
        <v>0</v>
      </c>
      <c r="H123">
        <f>maluku_papua!I77</f>
        <v>0.47608812420923075</v>
      </c>
      <c r="I123">
        <f>maluku_papua!J77</f>
        <v>0</v>
      </c>
      <c r="J123">
        <f>maluku_papua!K77</f>
        <v>4.2450602977440008E-2</v>
      </c>
      <c r="K123">
        <f>maluku_papua!L77</f>
        <v>0</v>
      </c>
      <c r="L123">
        <f>maluku_papua!M77</f>
        <v>0</v>
      </c>
      <c r="M123">
        <f>maluku_papua!N77</f>
        <v>-3.5999999999970664E-9</v>
      </c>
      <c r="N123">
        <f>maluku_papua!O77</f>
        <v>0</v>
      </c>
      <c r="O123">
        <f>maluku_papua!P77</f>
        <v>0</v>
      </c>
      <c r="P123">
        <f>maluku_papua!Q77</f>
        <v>23.945874311293565</v>
      </c>
    </row>
    <row r="124" spans="1:16" x14ac:dyDescent="0.25">
      <c r="A124" t="str">
        <f>maluku_papua!B78</f>
        <v>MALUKU_PAPUA</v>
      </c>
      <c r="B124">
        <f>maluku_papua!C78</f>
        <v>2021</v>
      </c>
      <c r="C124">
        <f>maluku_papua!D78</f>
        <v>4.8704829120000008</v>
      </c>
      <c r="D124">
        <f>maluku_papua!E78</f>
        <v>4.3047103645668217E-2</v>
      </c>
      <c r="E124">
        <f>maluku_papua!F78</f>
        <v>5.059166694535091</v>
      </c>
      <c r="F124">
        <f>maluku_papua!G78</f>
        <v>16.066216448196922</v>
      </c>
      <c r="G124">
        <f>maluku_papua!H78</f>
        <v>-7.8595803547285404E-17</v>
      </c>
      <c r="H124">
        <f>maluku_papua!I78</f>
        <v>0.47609620178081535</v>
      </c>
      <c r="I124">
        <f>maluku_papua!J78</f>
        <v>1.6090319847233621</v>
      </c>
      <c r="J124">
        <f>maluku_papua!K78</f>
        <v>2.2553612463713599</v>
      </c>
      <c r="K124">
        <f>maluku_papua!L78</f>
        <v>0.41139282554724649</v>
      </c>
      <c r="L124">
        <f>maluku_papua!M78</f>
        <v>0</v>
      </c>
      <c r="M124">
        <f>maluku_papua!N78</f>
        <v>2.6212748167076128E-3</v>
      </c>
      <c r="N124">
        <f>maluku_papua!O78</f>
        <v>0</v>
      </c>
      <c r="O124">
        <f>maluku_papua!P78</f>
        <v>0</v>
      </c>
      <c r="P124">
        <f>maluku_papua!Q78</f>
        <v>30.793416691617175</v>
      </c>
    </row>
    <row r="125" spans="1:16" x14ac:dyDescent="0.25">
      <c r="A125" t="str">
        <f>maluku_papua!B79</f>
        <v>MALUKU_PAPUA</v>
      </c>
      <c r="B125">
        <f>maluku_papua!C79</f>
        <v>2022</v>
      </c>
      <c r="C125">
        <f>maluku_papua!D79</f>
        <v>5.2085199070798698</v>
      </c>
      <c r="D125">
        <f>maluku_papua!E79</f>
        <v>4.3047092883886952E-2</v>
      </c>
      <c r="E125">
        <f>maluku_papua!F79</f>
        <v>7.0268122440287222</v>
      </c>
      <c r="F125">
        <f>maluku_papua!G79</f>
        <v>16.066216448196922</v>
      </c>
      <c r="G125">
        <f>maluku_papua!H79</f>
        <v>0</v>
      </c>
      <c r="H125">
        <f>maluku_papua!I79</f>
        <v>0.78876319330192091</v>
      </c>
      <c r="I125">
        <f>maluku_papua!J79</f>
        <v>2.2794998423963397</v>
      </c>
      <c r="J125">
        <f>maluku_papua!K79</f>
        <v>2.3090778327166097</v>
      </c>
      <c r="K125">
        <f>maluku_papua!L79</f>
        <v>0.5614889143748063</v>
      </c>
      <c r="L125">
        <f>maluku_papua!M79</f>
        <v>0</v>
      </c>
      <c r="M125">
        <f>maluku_papua!N79</f>
        <v>3.0157009181347194E-3</v>
      </c>
      <c r="N125">
        <f>maluku_papua!O79</f>
        <v>0</v>
      </c>
      <c r="O125">
        <f>maluku_papua!P79</f>
        <v>0</v>
      </c>
      <c r="P125">
        <f>maluku_papua!Q79</f>
        <v>34.28644117589721</v>
      </c>
    </row>
    <row r="126" spans="1:16" x14ac:dyDescent="0.25">
      <c r="A126" t="str">
        <f>maluku_papua!B80</f>
        <v>MALUKU_PAPUA</v>
      </c>
      <c r="B126">
        <f>maluku_papua!C80</f>
        <v>2023</v>
      </c>
      <c r="C126">
        <f>maluku_papua!D80</f>
        <v>6.1203924387823179</v>
      </c>
      <c r="D126">
        <f>maluku_papua!E80</f>
        <v>4.3047092883886952E-2</v>
      </c>
      <c r="E126">
        <f>maluku_papua!F80</f>
        <v>7.7910180465915522</v>
      </c>
      <c r="F126">
        <f>maluku_papua!G80</f>
        <v>16.066216448196922</v>
      </c>
      <c r="G126">
        <f>maluku_papua!H80</f>
        <v>-7.85958183878734E-17</v>
      </c>
      <c r="H126">
        <f>maluku_papua!I80</f>
        <v>0.79736788185673357</v>
      </c>
      <c r="I126">
        <f>maluku_papua!J80</f>
        <v>2.2795737431248302</v>
      </c>
      <c r="J126">
        <f>maluku_papua!K80</f>
        <v>2.3514219513500394</v>
      </c>
      <c r="K126">
        <f>maluku_papua!L80</f>
        <v>1.7113863050630906</v>
      </c>
      <c r="L126">
        <f>maluku_papua!M80</f>
        <v>0</v>
      </c>
      <c r="M126">
        <f>maluku_papua!N80</f>
        <v>3.0743567187536129E-3</v>
      </c>
      <c r="N126">
        <f>maluku_papua!O80</f>
        <v>0</v>
      </c>
      <c r="O126">
        <f>maluku_papua!P80</f>
        <v>0</v>
      </c>
      <c r="P126">
        <f>maluku_papua!Q80</f>
        <v>37.163498264568133</v>
      </c>
    </row>
    <row r="127" spans="1:16" x14ac:dyDescent="0.25">
      <c r="A127" t="str">
        <f>maluku_papua!B81</f>
        <v>MALUKU_PAPUA</v>
      </c>
      <c r="B127">
        <f>maluku_papua!C81</f>
        <v>2024</v>
      </c>
      <c r="C127">
        <f>maluku_papua!D81</f>
        <v>7.075852194313792</v>
      </c>
      <c r="D127">
        <f>maluku_papua!E81</f>
        <v>4.3047082122105659E-2</v>
      </c>
      <c r="E127">
        <f>maluku_papua!F81</f>
        <v>8.6488400258939997</v>
      </c>
      <c r="F127">
        <f>maluku_papua!G81</f>
        <v>16.066216448196922</v>
      </c>
      <c r="G127">
        <f>maluku_papua!H81</f>
        <v>-3.5999999818198374E-9</v>
      </c>
      <c r="H127">
        <f>maluku_papua!I81</f>
        <v>1.0095953265021642</v>
      </c>
      <c r="I127">
        <f>maluku_papua!J81</f>
        <v>3.353923291148917</v>
      </c>
      <c r="J127">
        <f>maluku_papua!K81</f>
        <v>2.3514219513500394</v>
      </c>
      <c r="K127">
        <f>maluku_papua!L81</f>
        <v>1.8003619094788643</v>
      </c>
      <c r="L127">
        <f>maluku_papua!M81</f>
        <v>0</v>
      </c>
      <c r="M127">
        <f>maluku_papua!N81</f>
        <v>3.0743567187536129E-3</v>
      </c>
      <c r="N127">
        <f>maluku_papua!O81</f>
        <v>0</v>
      </c>
      <c r="O127">
        <f>maluku_papua!P81</f>
        <v>0</v>
      </c>
      <c r="P127">
        <f>maluku_papua!Q81</f>
        <v>40.352332582125563</v>
      </c>
    </row>
    <row r="128" spans="1:16" x14ac:dyDescent="0.25">
      <c r="A128" t="str">
        <f>maluku_papua!B82</f>
        <v>MALUKU_PAPUA</v>
      </c>
      <c r="B128">
        <f>maluku_papua!C82</f>
        <v>2025</v>
      </c>
      <c r="C128">
        <f>maluku_papua!D82</f>
        <v>8.0749830124883495</v>
      </c>
      <c r="D128">
        <f>maluku_papua!E82</f>
        <v>4.3047071360324388E-2</v>
      </c>
      <c r="E128">
        <f>maluku_papua!F82</f>
        <v>9.6134220495267382</v>
      </c>
      <c r="F128">
        <f>maluku_papua!G82</f>
        <v>16.066216448196922</v>
      </c>
      <c r="G128">
        <f>maluku_papua!H82</f>
        <v>-3.5999999818198374E-9</v>
      </c>
      <c r="H128">
        <f>maluku_papua!I82</f>
        <v>1.9549260672104489</v>
      </c>
      <c r="I128">
        <f>maluku_papua!J82</f>
        <v>3.4908449713547793</v>
      </c>
      <c r="J128">
        <f>maluku_papua!K82</f>
        <v>2.5089942679656581</v>
      </c>
      <c r="K128">
        <f>maluku_papua!L82</f>
        <v>2.1375750500214319</v>
      </c>
      <c r="L128">
        <f>maluku_papua!M82</f>
        <v>0</v>
      </c>
      <c r="M128">
        <f>maluku_papua!N82</f>
        <v>3.0745189839207756E-3</v>
      </c>
      <c r="N128">
        <f>maluku_papua!O82</f>
        <v>0</v>
      </c>
      <c r="O128">
        <f>maluku_papua!P82</f>
        <v>0</v>
      </c>
      <c r="P128">
        <f>maluku_papua!Q82</f>
        <v>43.893083453508588</v>
      </c>
    </row>
    <row r="129" spans="1:16" x14ac:dyDescent="0.25">
      <c r="A129" t="str">
        <f>maluku_papua!B83</f>
        <v>MALUKU_PAPUA</v>
      </c>
      <c r="B129">
        <f>maluku_papua!C83</f>
        <v>2026</v>
      </c>
      <c r="C129">
        <f>maluku_papua!D83</f>
        <v>9.2270196495848698</v>
      </c>
      <c r="D129">
        <f>maluku_papua!E83</f>
        <v>4.3047071360324388E-2</v>
      </c>
      <c r="E129">
        <f>maluku_papua!F83</f>
        <v>10.434379758490151</v>
      </c>
      <c r="F129">
        <f>maluku_papua!G83</f>
        <v>16.066216448196922</v>
      </c>
      <c r="G129">
        <f>maluku_papua!H83</f>
        <v>0</v>
      </c>
      <c r="H129">
        <f>maluku_papua!I83</f>
        <v>2.1918443044359885</v>
      </c>
      <c r="I129">
        <f>maluku_papua!J83</f>
        <v>3.8940322285795861</v>
      </c>
      <c r="J129">
        <f>maluku_papua!K83</f>
        <v>2.5424994190644599</v>
      </c>
      <c r="K129">
        <f>maluku_papua!L83</f>
        <v>2.2465796693633155</v>
      </c>
      <c r="L129">
        <f>maluku_papua!M83</f>
        <v>0</v>
      </c>
      <c r="M129">
        <f>maluku_papua!N83</f>
        <v>3.6549610143269788E-3</v>
      </c>
      <c r="N129">
        <f>maluku_papua!O83</f>
        <v>0</v>
      </c>
      <c r="O129">
        <f>maluku_papua!P83</f>
        <v>0</v>
      </c>
      <c r="P129">
        <f>maluku_papua!Q83</f>
        <v>46.649273510089948</v>
      </c>
    </row>
    <row r="130" spans="1:16" x14ac:dyDescent="0.25">
      <c r="A130" t="str">
        <f>maluku_papua!B84</f>
        <v>MALUKU_PAPUA</v>
      </c>
      <c r="B130">
        <f>maluku_papua!C84</f>
        <v>2027</v>
      </c>
      <c r="C130">
        <f>maluku_papua!D84</f>
        <v>10.448566746573981</v>
      </c>
      <c r="D130">
        <f>maluku_papua!E84</f>
        <v>4.3047060598543088E-2</v>
      </c>
      <c r="E130">
        <f>maluku_papua!F84</f>
        <v>11.32893704623771</v>
      </c>
      <c r="F130">
        <f>maluku_papua!G84</f>
        <v>16.066216448196922</v>
      </c>
      <c r="G130">
        <f>maluku_papua!H84</f>
        <v>-7.8596082426668341E-17</v>
      </c>
      <c r="H130">
        <f>maluku_papua!I84</f>
        <v>2.5364903687222289</v>
      </c>
      <c r="I130">
        <f>maluku_papua!J84</f>
        <v>4.2547202398384592</v>
      </c>
      <c r="J130">
        <f>maluku_papua!K84</f>
        <v>2.5426131724179175</v>
      </c>
      <c r="K130">
        <f>maluku_papua!L84</f>
        <v>2.3902943278778586</v>
      </c>
      <c r="L130">
        <f>maluku_papua!M84</f>
        <v>0</v>
      </c>
      <c r="M130">
        <f>maluku_papua!N84</f>
        <v>5.1011019597938167E-3</v>
      </c>
      <c r="N130">
        <f>maluku_papua!O84</f>
        <v>0</v>
      </c>
      <c r="O130">
        <f>maluku_papua!P84</f>
        <v>0</v>
      </c>
      <c r="P130">
        <f>maluku_papua!Q84</f>
        <v>49.615986512423412</v>
      </c>
    </row>
    <row r="131" spans="1:16" x14ac:dyDescent="0.25">
      <c r="A131" t="str">
        <f>maluku_papua!B85</f>
        <v>MALUKU_PAPUA</v>
      </c>
      <c r="B131">
        <f>maluku_papua!C85</f>
        <v>2028</v>
      </c>
      <c r="C131">
        <f>maluku_papua!D85</f>
        <v>11.743500172480919</v>
      </c>
      <c r="D131">
        <f>maluku_papua!E85</f>
        <v>4.3047049836761803E-2</v>
      </c>
      <c r="E131">
        <f>maluku_papua!F85</f>
        <v>12.303917872283826</v>
      </c>
      <c r="F131">
        <f>maluku_papua!G85</f>
        <v>16.066216448196922</v>
      </c>
      <c r="G131">
        <f>maluku_papua!H85</f>
        <v>-7.8596082426668341E-17</v>
      </c>
      <c r="H131">
        <f>maluku_papua!I85</f>
        <v>2.5364904163318687</v>
      </c>
      <c r="I131">
        <f>maluku_papua!J85</f>
        <v>4.2547202928017818</v>
      </c>
      <c r="J131">
        <f>maluku_papua!K85</f>
        <v>2.7758199494275924</v>
      </c>
      <c r="K131">
        <f>maluku_papua!L85</f>
        <v>3.0805024912413601</v>
      </c>
      <c r="L131">
        <f>maluku_papua!M85</f>
        <v>0</v>
      </c>
      <c r="M131">
        <f>maluku_papua!N85</f>
        <v>5.7294829991501178E-3</v>
      </c>
      <c r="N131">
        <f>maluku_papua!O85</f>
        <v>0</v>
      </c>
      <c r="O131">
        <f>maluku_papua!P85</f>
        <v>0</v>
      </c>
      <c r="P131">
        <f>maluku_papua!Q85</f>
        <v>52.80994417560018</v>
      </c>
    </row>
    <row r="132" spans="1:16" x14ac:dyDescent="0.25">
      <c r="A132" t="str">
        <f>maluku_papua!B86</f>
        <v>MALUKU_PAPUA</v>
      </c>
      <c r="B132">
        <f>maluku_papua!C86</f>
        <v>2029</v>
      </c>
      <c r="C132">
        <f>maluku_papua!D86</f>
        <v>13.115886504205474</v>
      </c>
      <c r="D132">
        <f>maluku_papua!E86</f>
        <v>4.3047049836761803E-2</v>
      </c>
      <c r="E132">
        <f>maluku_papua!F86</f>
        <v>13.366770498067485</v>
      </c>
      <c r="F132">
        <f>maluku_papua!G86</f>
        <v>16.066216448196922</v>
      </c>
      <c r="G132">
        <f>maluku_papua!H86</f>
        <v>0</v>
      </c>
      <c r="H132">
        <f>maluku_papua!I86</f>
        <v>2.8231460513114857</v>
      </c>
      <c r="I132">
        <f>maluku_papua!J86</f>
        <v>4.7853061568436814</v>
      </c>
      <c r="J132">
        <f>maluku_papua!K86</f>
        <v>2.8250811794597728</v>
      </c>
      <c r="K132">
        <f>maluku_papua!L86</f>
        <v>3.2180511618584613</v>
      </c>
      <c r="L132">
        <f>maluku_papua!M86</f>
        <v>0</v>
      </c>
      <c r="M132">
        <f>maluku_papua!N86</f>
        <v>5.7296310263986946E-3</v>
      </c>
      <c r="N132">
        <f>maluku_papua!O86</f>
        <v>0</v>
      </c>
      <c r="O132">
        <f>maluku_papua!P86</f>
        <v>0</v>
      </c>
      <c r="P132">
        <f>maluku_papua!Q86</f>
        <v>56.249234680806438</v>
      </c>
    </row>
    <row r="133" spans="1:16" x14ac:dyDescent="0.25">
      <c r="A133" t="str">
        <f>maluku_papua!B87</f>
        <v>MALUKU_PAPUA</v>
      </c>
      <c r="B133">
        <f>maluku_papua!C87</f>
        <v>2030</v>
      </c>
      <c r="C133">
        <f>maluku_papua!D87</f>
        <v>14.569984897954619</v>
      </c>
      <c r="D133">
        <f>maluku_papua!E87</f>
        <v>4.3047049836761803E-2</v>
      </c>
      <c r="E133">
        <f>maluku_papua!F87</f>
        <v>14.525635770930643</v>
      </c>
      <c r="F133">
        <f>maluku_papua!G87</f>
        <v>16.066216448196922</v>
      </c>
      <c r="G133">
        <f>maluku_papua!H87</f>
        <v>-3.5999999654699566E-9</v>
      </c>
      <c r="H133">
        <f>maluku_papua!I87</f>
        <v>2.8231460513114857</v>
      </c>
      <c r="I133">
        <f>maluku_papua!J87</f>
        <v>5.7951588508501022</v>
      </c>
      <c r="J133">
        <f>maluku_papua!K87</f>
        <v>2.9057939583929002</v>
      </c>
      <c r="K133">
        <f>maluku_papua!L87</f>
        <v>3.2180511673944854</v>
      </c>
      <c r="L133">
        <f>maluku_papua!M87</f>
        <v>0</v>
      </c>
      <c r="M133">
        <f>maluku_papua!N87</f>
        <v>6.3930713462288296E-3</v>
      </c>
      <c r="N133">
        <f>maluku_papua!O87</f>
        <v>0</v>
      </c>
      <c r="O133">
        <f>maluku_papua!P87</f>
        <v>0</v>
      </c>
      <c r="P133">
        <f>maluku_papua!Q87</f>
        <v>59.953427262614142</v>
      </c>
    </row>
    <row r="134" spans="1:16" x14ac:dyDescent="0.25">
      <c r="A134" t="str">
        <f>maluku_papua!B88</f>
        <v>MALUKU_PAPUA</v>
      </c>
      <c r="B134">
        <f>maluku_papua!C88</f>
        <v>2031</v>
      </c>
      <c r="C134">
        <f>maluku_papua!D88</f>
        <v>16.110252155143986</v>
      </c>
      <c r="D134">
        <f>maluku_papua!E88</f>
        <v>4.3047049836761803E-2</v>
      </c>
      <c r="E134">
        <f>maluku_papua!F88</f>
        <v>15.789412456023211</v>
      </c>
      <c r="F134">
        <f>maluku_papua!G88</f>
        <v>16.066216448196922</v>
      </c>
      <c r="G134">
        <f>maluku_papua!H88</f>
        <v>0</v>
      </c>
      <c r="H134">
        <f>maluku_papua!I88</f>
        <v>3.2236620367046469</v>
      </c>
      <c r="I134">
        <f>maluku_papua!J88</f>
        <v>6.3323557847062579</v>
      </c>
      <c r="J134">
        <f>maluku_papua!K88</f>
        <v>2.9057939583929002</v>
      </c>
      <c r="K134">
        <f>maluku_papua!L88</f>
        <v>3.4665645624407135</v>
      </c>
      <c r="L134">
        <f>maluku_papua!M88</f>
        <v>0</v>
      </c>
      <c r="M134">
        <f>maluku_papua!N88</f>
        <v>6.3930713462288296E-3</v>
      </c>
      <c r="N134">
        <f>maluku_papua!O88</f>
        <v>0</v>
      </c>
      <c r="O134">
        <f>maluku_papua!P88</f>
        <v>0</v>
      </c>
      <c r="P134">
        <f>maluku_papua!Q88</f>
        <v>63.943697522791631</v>
      </c>
    </row>
    <row r="135" spans="1:16" x14ac:dyDescent="0.25">
      <c r="A135" t="str">
        <f>maluku_papua!B89</f>
        <v>MALUKU_PAPUA</v>
      </c>
      <c r="B135">
        <f>maluku_papua!C89</f>
        <v>2032</v>
      </c>
      <c r="C135">
        <f>maluku_papua!D89</f>
        <v>17.741347602691683</v>
      </c>
      <c r="D135">
        <f>maluku_papua!E89</f>
        <v>4.3047049836761803E-2</v>
      </c>
      <c r="E135">
        <f>maluku_papua!F89</f>
        <v>17.167828294807745</v>
      </c>
      <c r="F135">
        <f>maluku_papua!G89</f>
        <v>16.066216448196922</v>
      </c>
      <c r="G135">
        <f>maluku_papua!H89</f>
        <v>-7.8595817151157719E-17</v>
      </c>
      <c r="H135">
        <f>maluku_papua!I89</f>
        <v>3.2237037442402983</v>
      </c>
      <c r="I135">
        <f>maluku_papua!J89</f>
        <v>7.499172315945156</v>
      </c>
      <c r="J135">
        <f>maluku_papua!K89</f>
        <v>2.9116243786376046</v>
      </c>
      <c r="K135">
        <f>maluku_papua!L89</f>
        <v>3.5830880171316641</v>
      </c>
      <c r="L135">
        <f>maluku_papua!M89</f>
        <v>0</v>
      </c>
      <c r="M135">
        <f>maluku_papua!N89</f>
        <v>6.9354851220368285E-3</v>
      </c>
      <c r="N135">
        <f>maluku_papua!O89</f>
        <v>0</v>
      </c>
      <c r="O135">
        <f>maluku_papua!P89</f>
        <v>0</v>
      </c>
      <c r="P135">
        <f>maluku_papua!Q89</f>
        <v>68.242963336609876</v>
      </c>
    </row>
    <row r="136" spans="1:16" x14ac:dyDescent="0.25">
      <c r="A136" t="str">
        <f>maluku_papua!B90</f>
        <v>MALUKU_PAPUA</v>
      </c>
      <c r="B136">
        <f>maluku_papua!C90</f>
        <v>2033</v>
      </c>
      <c r="C136">
        <f>maluku_papua!D90</f>
        <v>19.468137292931381</v>
      </c>
      <c r="D136">
        <f>maluku_papua!E90</f>
        <v>4.3047049836761803E-2</v>
      </c>
      <c r="E136">
        <f>maluku_papua!F90</f>
        <v>18.671518242893235</v>
      </c>
      <c r="F136">
        <f>maluku_papua!G90</f>
        <v>16.066216448196922</v>
      </c>
      <c r="G136">
        <f>maluku_papua!H90</f>
        <v>-3.5999999818198357E-9</v>
      </c>
      <c r="H136">
        <f>maluku_papua!I90</f>
        <v>3.3272039225618344</v>
      </c>
      <c r="I136">
        <f>maluku_papua!J90</f>
        <v>8.6991123276445226</v>
      </c>
      <c r="J136">
        <f>maluku_papua!K90</f>
        <v>2.9119561031718328</v>
      </c>
      <c r="K136">
        <f>maluku_papua!L90</f>
        <v>3.6813057692729805</v>
      </c>
      <c r="L136">
        <f>maluku_papua!M90</f>
        <v>0</v>
      </c>
      <c r="M136">
        <f>maluku_papua!N90</f>
        <v>7.5359304132695815E-3</v>
      </c>
      <c r="N136">
        <f>maluku_papua!O90</f>
        <v>0</v>
      </c>
      <c r="O136">
        <f>maluku_papua!P90</f>
        <v>0</v>
      </c>
      <c r="P136">
        <f>maluku_papua!Q90</f>
        <v>72.876033083322739</v>
      </c>
    </row>
    <row r="137" spans="1:16" x14ac:dyDescent="0.25">
      <c r="A137" t="str">
        <f>maluku_papua!B91</f>
        <v>MALUKU_PAPUA</v>
      </c>
      <c r="B137">
        <f>maluku_papua!C91</f>
        <v>2034</v>
      </c>
      <c r="C137">
        <f>maluku_papua!D91</f>
        <v>21.295697648216155</v>
      </c>
      <c r="D137">
        <f>maluku_papua!E91</f>
        <v>4.3047039074980517E-2</v>
      </c>
      <c r="E137">
        <f>maluku_papua!F91</f>
        <v>20.312109994348766</v>
      </c>
      <c r="F137">
        <f>maluku_papua!G91</f>
        <v>16.066216448196922</v>
      </c>
      <c r="G137">
        <f>maluku_papua!H91</f>
        <v>0</v>
      </c>
      <c r="H137">
        <f>maluku_papua!I91</f>
        <v>3.7875503266808388</v>
      </c>
      <c r="I137">
        <f>maluku_papua!J91</f>
        <v>9.1726199144404958</v>
      </c>
      <c r="J137">
        <f>maluku_papua!K91</f>
        <v>2.9145834252813603</v>
      </c>
      <c r="K137">
        <f>maluku_papua!L91</f>
        <v>4.2698636342887042</v>
      </c>
      <c r="L137">
        <f>maluku_papua!M91</f>
        <v>0</v>
      </c>
      <c r="M137">
        <f>maluku_papua!N91</f>
        <v>8.0783395607025126E-3</v>
      </c>
      <c r="N137">
        <f>maluku_papua!O91</f>
        <v>0</v>
      </c>
      <c r="O137">
        <f>maluku_papua!P91</f>
        <v>0</v>
      </c>
      <c r="P137">
        <f>maluku_papua!Q91</f>
        <v>77.86976677008893</v>
      </c>
    </row>
    <row r="138" spans="1:16" x14ac:dyDescent="0.25">
      <c r="A138" t="str">
        <f>maluku_papua!B92</f>
        <v>MALUKU_PAPUA</v>
      </c>
      <c r="B138">
        <f>maluku_papua!C92</f>
        <v>2035</v>
      </c>
      <c r="C138">
        <f>maluku_papua!D92</f>
        <v>23.282309918683428</v>
      </c>
      <c r="D138">
        <f>maluku_papua!E92</f>
        <v>4.3047028313199259E-2</v>
      </c>
      <c r="E138">
        <f>maluku_papua!F92</f>
        <v>21.973943474905411</v>
      </c>
      <c r="F138">
        <f>maluku_papua!G92</f>
        <v>16.066216448196922</v>
      </c>
      <c r="G138">
        <f>maluku_papua!H92</f>
        <v>-3.5999999447213109E-9</v>
      </c>
      <c r="H138">
        <f>maluku_papua!I92</f>
        <v>3.9199449867557745</v>
      </c>
      <c r="I138">
        <f>maluku_papua!J92</f>
        <v>10.672673813625735</v>
      </c>
      <c r="J138">
        <f>maluku_papua!K92</f>
        <v>2.9145834252813603</v>
      </c>
      <c r="K138">
        <f>maluku_papua!L92</f>
        <v>4.2698636342887042</v>
      </c>
      <c r="L138">
        <f>maluku_papua!M92</f>
        <v>0</v>
      </c>
      <c r="M138">
        <f>maluku_papua!N92</f>
        <v>8.5241907434424006E-3</v>
      </c>
      <c r="N138">
        <f>maluku_papua!O92</f>
        <v>0</v>
      </c>
      <c r="O138">
        <f>maluku_papua!P92</f>
        <v>0</v>
      </c>
      <c r="P138">
        <f>maluku_papua!Q92</f>
        <v>83.151106917193985</v>
      </c>
    </row>
    <row r="139" spans="1:16" x14ac:dyDescent="0.25">
      <c r="A139" t="str">
        <f>maluku_papua!B93</f>
        <v>MALUKU_PAPUA</v>
      </c>
      <c r="B139">
        <f>maluku_papua!C93</f>
        <v>2036</v>
      </c>
      <c r="C139">
        <f>maluku_papua!D93</f>
        <v>25.126491810005987</v>
      </c>
      <c r="D139">
        <f>maluku_papua!E93</f>
        <v>4.3047028313199259E-2</v>
      </c>
      <c r="E139">
        <f>maluku_papua!F93</f>
        <v>24.41461010318314</v>
      </c>
      <c r="F139">
        <f>maluku_papua!G93</f>
        <v>16.066216448196922</v>
      </c>
      <c r="G139">
        <f>maluku_papua!H93</f>
        <v>-7.8595817151157719E-17</v>
      </c>
      <c r="H139">
        <f>maluku_papua!I93</f>
        <v>3.9199449920837042</v>
      </c>
      <c r="I139">
        <f>maluku_papua!J93</f>
        <v>11.658757593219404</v>
      </c>
      <c r="J139">
        <f>maluku_papua!K93</f>
        <v>2.9145834406205329</v>
      </c>
      <c r="K139">
        <f>maluku_papua!L93</f>
        <v>6.2296758891635209</v>
      </c>
      <c r="L139">
        <f>maluku_papua!M93</f>
        <v>0</v>
      </c>
      <c r="M139">
        <f>maluku_papua!N93</f>
        <v>9.7367816642770794E-3</v>
      </c>
      <c r="N139">
        <f>maluku_papua!O93</f>
        <v>0</v>
      </c>
      <c r="O139">
        <f>maluku_papua!P93</f>
        <v>0</v>
      </c>
      <c r="P139">
        <f>maluku_papua!Q93</f>
        <v>90.383064086450673</v>
      </c>
    </row>
    <row r="140" spans="1:16" x14ac:dyDescent="0.25">
      <c r="A140" t="str">
        <f>maluku_papua!B94</f>
        <v>MALUKU_PAPUA</v>
      </c>
      <c r="B140">
        <f>maluku_papua!C94</f>
        <v>2037</v>
      </c>
      <c r="C140">
        <f>maluku_papua!D94</f>
        <v>27.107729080335112</v>
      </c>
      <c r="D140">
        <f>maluku_papua!E94</f>
        <v>4.3047028313199259E-2</v>
      </c>
      <c r="E140">
        <f>maluku_papua!F94</f>
        <v>26.986108769561145</v>
      </c>
      <c r="F140">
        <f>maluku_papua!G94</f>
        <v>16.066216448196922</v>
      </c>
      <c r="G140">
        <f>maluku_papua!H94</f>
        <v>0</v>
      </c>
      <c r="H140">
        <f>maluku_papua!I94</f>
        <v>3.9215083629006977</v>
      </c>
      <c r="I140">
        <f>maluku_papua!J94</f>
        <v>11.692851434645723</v>
      </c>
      <c r="J140">
        <f>maluku_papua!K94</f>
        <v>3.2684774107807533</v>
      </c>
      <c r="K140">
        <f>maluku_papua!L94</f>
        <v>9.1207355452146945</v>
      </c>
      <c r="L140">
        <f>maluku_papua!M94</f>
        <v>0</v>
      </c>
      <c r="M140">
        <f>maluku_papua!N94</f>
        <v>9.7368164147294961E-3</v>
      </c>
      <c r="N140">
        <f>maluku_papua!O94</f>
        <v>0</v>
      </c>
      <c r="O140">
        <f>maluku_papua!P94</f>
        <v>0</v>
      </c>
      <c r="P140">
        <f>maluku_papua!Q94</f>
        <v>98.216410896362973</v>
      </c>
    </row>
    <row r="141" spans="1:16" x14ac:dyDescent="0.25">
      <c r="A141" t="str">
        <f>maluku_papua!B95</f>
        <v>MALUKU_PAPUA</v>
      </c>
      <c r="B141">
        <f>maluku_papua!C95</f>
        <v>2038</v>
      </c>
      <c r="C141">
        <f>maluku_papua!D95</f>
        <v>29.202158785274772</v>
      </c>
      <c r="D141">
        <f>maluku_papua!E95</f>
        <v>4.3047017551417974E-2</v>
      </c>
      <c r="E141">
        <f>maluku_papua!F95</f>
        <v>29.777259612044816</v>
      </c>
      <c r="F141">
        <f>maluku_papua!G95</f>
        <v>16.066216448196922</v>
      </c>
      <c r="G141">
        <f>maluku_papua!H95</f>
        <v>0</v>
      </c>
      <c r="H141">
        <f>maluku_papua!I95</f>
        <v>4.7344077274152747</v>
      </c>
      <c r="I141">
        <f>maluku_papua!J95</f>
        <v>13.3806603628472</v>
      </c>
      <c r="J141">
        <f>maluku_papua!K95</f>
        <v>3.8496709426573124</v>
      </c>
      <c r="K141">
        <f>maluku_papua!L95</f>
        <v>9.5109690664539173</v>
      </c>
      <c r="L141">
        <f>maluku_papua!M95</f>
        <v>0</v>
      </c>
      <c r="M141">
        <f>maluku_papua!N95</f>
        <v>1.2831869849690418E-2</v>
      </c>
      <c r="N141">
        <f>maluku_papua!O95</f>
        <v>0</v>
      </c>
      <c r="O141">
        <f>maluku_papua!P95</f>
        <v>0</v>
      </c>
      <c r="P141">
        <f>maluku_papua!Q95</f>
        <v>106.57722183229131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537C-5351-4CC3-939A-E50E906A00A5}">
  <dimension ref="A1:P141"/>
  <sheetViews>
    <sheetView workbookViewId="0">
      <selection activeCell="H19" sqref="H19"/>
    </sheetView>
  </sheetViews>
  <sheetFormatPr defaultRowHeight="15" x14ac:dyDescent="0.25"/>
  <cols>
    <col min="1" max="1" width="19.5703125" customWidth="1"/>
  </cols>
  <sheetData>
    <row r="1" spans="1:16" x14ac:dyDescent="0.25">
      <c r="A1" t="str">
        <f>indonesia!U75</f>
        <v>region</v>
      </c>
      <c r="B1" t="str">
        <f>indonesia!V75</f>
        <v>year</v>
      </c>
      <c r="C1" t="str">
        <f>indonesia!W75</f>
        <v>coal</v>
      </c>
      <c r="D1" t="str">
        <f>indonesia!X75</f>
        <v>ocgt</v>
      </c>
      <c r="E1" t="str">
        <f>indonesia!Y75</f>
        <v>ccgt</v>
      </c>
      <c r="F1" t="str">
        <f>indonesia!Z75</f>
        <v>reciprocating</v>
      </c>
      <c r="G1" t="str">
        <f>indonesia!AA75</f>
        <v>geothermal</v>
      </c>
      <c r="H1" t="str">
        <f>indonesia!AB75</f>
        <v>lhydro</v>
      </c>
      <c r="I1" t="str">
        <f>indonesia!AC75</f>
        <v>mhydro</v>
      </c>
      <c r="J1" t="str">
        <f>indonesia!AD75</f>
        <v>solar</v>
      </c>
      <c r="K1" t="str">
        <f>indonesia!AE75</f>
        <v>wind</v>
      </c>
      <c r="L1" t="str">
        <f>indonesia!AF75</f>
        <v>biomass</v>
      </c>
      <c r="M1" t="str">
        <f>indonesia!AG75</f>
        <v>ocean</v>
      </c>
      <c r="N1" t="str">
        <f>indonesia!AH75</f>
        <v>waste</v>
      </c>
      <c r="O1" t="str">
        <f>indonesia!AI75</f>
        <v>storage</v>
      </c>
      <c r="P1" t="str">
        <f>indonesia!AJ75</f>
        <v>total</v>
      </c>
    </row>
    <row r="2" spans="1:16" x14ac:dyDescent="0.25">
      <c r="A2" t="str">
        <f>indonesia!U76</f>
        <v>INDONESIA</v>
      </c>
      <c r="B2">
        <f>indonesia!V76</f>
        <v>2019</v>
      </c>
      <c r="C2">
        <f>SUM(C22,C42,C62,C82,C102,C122)</f>
        <v>954.13766728273629</v>
      </c>
      <c r="D2">
        <f t="shared" ref="D2:P2" si="0">SUM(D22,D42,D62,D82,D102,D122)</f>
        <v>109.45565964347963</v>
      </c>
      <c r="E2">
        <f t="shared" si="0"/>
        <v>82.019702485819778</v>
      </c>
      <c r="F2">
        <f t="shared" si="0"/>
        <v>139.87815252788229</v>
      </c>
      <c r="G2">
        <f t="shared" si="0"/>
        <v>141.33767872364311</v>
      </c>
      <c r="H2">
        <f t="shared" si="0"/>
        <v>4.7857282292288312</v>
      </c>
      <c r="I2">
        <f t="shared" si="0"/>
        <v>0.90359256605538452</v>
      </c>
      <c r="J2">
        <f t="shared" si="0"/>
        <v>9.7462891007999999E-2</v>
      </c>
      <c r="K2">
        <f t="shared" si="0"/>
        <v>0</v>
      </c>
      <c r="L2">
        <f t="shared" si="0"/>
        <v>2.8588732477012404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1435.4745175975545</v>
      </c>
    </row>
    <row r="3" spans="1:16" x14ac:dyDescent="0.25">
      <c r="A3" t="str">
        <f>indonesia!U77</f>
        <v>INDONESIA</v>
      </c>
      <c r="B3">
        <f>indonesia!V77</f>
        <v>2020</v>
      </c>
      <c r="C3">
        <f t="shared" ref="C3:P18" si="1">SUM(C23,C43,C63,C83,C103,C123)</f>
        <v>1011.1150585833993</v>
      </c>
      <c r="D3">
        <f t="shared" si="1"/>
        <v>109.56963180139041</v>
      </c>
      <c r="E3">
        <f t="shared" si="1"/>
        <v>100.65629671299658</v>
      </c>
      <c r="F3">
        <f t="shared" si="1"/>
        <v>139.87815252788229</v>
      </c>
      <c r="G3">
        <f t="shared" si="1"/>
        <v>141.33767872364311</v>
      </c>
      <c r="H3">
        <f t="shared" si="1"/>
        <v>6.690543718636162</v>
      </c>
      <c r="I3">
        <f t="shared" si="1"/>
        <v>2.2428397854542945</v>
      </c>
      <c r="J3">
        <f t="shared" si="1"/>
        <v>36.972567424153119</v>
      </c>
      <c r="K3">
        <f t="shared" si="1"/>
        <v>0.51072558448351724</v>
      </c>
      <c r="L3">
        <f t="shared" si="1"/>
        <v>4.2147983441370052</v>
      </c>
      <c r="M3">
        <f t="shared" si="1"/>
        <v>7.0331295434397983E-3</v>
      </c>
      <c r="N3">
        <f t="shared" si="1"/>
        <v>0</v>
      </c>
      <c r="O3">
        <f t="shared" si="1"/>
        <v>0</v>
      </c>
      <c r="P3">
        <f t="shared" si="1"/>
        <v>1553.1953263357193</v>
      </c>
    </row>
    <row r="4" spans="1:16" x14ac:dyDescent="0.25">
      <c r="A4" t="str">
        <f>indonesia!U78</f>
        <v>INDONESIA</v>
      </c>
      <c r="B4">
        <f>indonesia!V78</f>
        <v>2021</v>
      </c>
      <c r="C4">
        <f t="shared" si="1"/>
        <v>1056.0160012480694</v>
      </c>
      <c r="D4">
        <f t="shared" si="1"/>
        <v>109.56963174315609</v>
      </c>
      <c r="E4">
        <f t="shared" si="1"/>
        <v>146.1369434062286</v>
      </c>
      <c r="F4">
        <f t="shared" si="1"/>
        <v>139.87815254120318</v>
      </c>
      <c r="G4">
        <f t="shared" si="1"/>
        <v>162.49017615340946</v>
      </c>
      <c r="H4">
        <f t="shared" si="1"/>
        <v>7.7488021392438027</v>
      </c>
      <c r="I4">
        <f t="shared" si="1"/>
        <v>10.441380741661547</v>
      </c>
      <c r="J4">
        <f t="shared" si="1"/>
        <v>41.880669559762019</v>
      </c>
      <c r="K4">
        <f t="shared" si="1"/>
        <v>9.2762206576904624</v>
      </c>
      <c r="L4">
        <f t="shared" si="1"/>
        <v>4.2147983241238913</v>
      </c>
      <c r="M4">
        <f t="shared" si="1"/>
        <v>9.5507498687238592E-3</v>
      </c>
      <c r="N4">
        <f t="shared" si="1"/>
        <v>0</v>
      </c>
      <c r="O4">
        <f t="shared" si="1"/>
        <v>0</v>
      </c>
      <c r="P4">
        <f t="shared" si="1"/>
        <v>1687.6623272644174</v>
      </c>
    </row>
    <row r="5" spans="1:16" x14ac:dyDescent="0.25">
      <c r="A5" t="str">
        <f>indonesia!U79</f>
        <v>INDONESIA</v>
      </c>
      <c r="B5">
        <f>indonesia!V79</f>
        <v>2022</v>
      </c>
      <c r="C5">
        <f t="shared" si="1"/>
        <v>1067.8686787844638</v>
      </c>
      <c r="D5">
        <f t="shared" si="1"/>
        <v>109.56963168492179</v>
      </c>
      <c r="E5">
        <f t="shared" si="1"/>
        <v>214.24264820839792</v>
      </c>
      <c r="F5">
        <f t="shared" si="1"/>
        <v>140.84973490973985</v>
      </c>
      <c r="G5">
        <f t="shared" si="1"/>
        <v>162.49017636438649</v>
      </c>
      <c r="H5">
        <f t="shared" si="1"/>
        <v>7.8463488988565544</v>
      </c>
      <c r="I5">
        <f t="shared" si="1"/>
        <v>10.608997695425476</v>
      </c>
      <c r="J5">
        <f t="shared" si="1"/>
        <v>54.011785983651933</v>
      </c>
      <c r="K5">
        <f t="shared" si="1"/>
        <v>9.337309765843278</v>
      </c>
      <c r="L5">
        <f t="shared" si="1"/>
        <v>4.2147983041107784</v>
      </c>
      <c r="M5">
        <f t="shared" si="1"/>
        <v>9.5855911590128143E-3</v>
      </c>
      <c r="N5">
        <f t="shared" si="1"/>
        <v>0</v>
      </c>
      <c r="O5">
        <f t="shared" si="1"/>
        <v>0</v>
      </c>
      <c r="P5">
        <f t="shared" si="1"/>
        <v>1781.0496961909569</v>
      </c>
    </row>
    <row r="6" spans="1:16" x14ac:dyDescent="0.25">
      <c r="A6" t="str">
        <f>indonesia!U80</f>
        <v>INDONESIA</v>
      </c>
      <c r="B6">
        <f>indonesia!V80</f>
        <v>2023</v>
      </c>
      <c r="C6">
        <f t="shared" si="1"/>
        <v>1077.0889803573646</v>
      </c>
      <c r="D6">
        <f t="shared" si="1"/>
        <v>114.17357334240171</v>
      </c>
      <c r="E6">
        <f t="shared" si="1"/>
        <v>266.23719582575501</v>
      </c>
      <c r="F6">
        <f t="shared" si="1"/>
        <v>140.90256891402558</v>
      </c>
      <c r="G6">
        <f t="shared" si="1"/>
        <v>176.34234748782339</v>
      </c>
      <c r="H6">
        <f t="shared" si="1"/>
        <v>8.0787071405475537</v>
      </c>
      <c r="I6">
        <f t="shared" si="1"/>
        <v>10.708483336754187</v>
      </c>
      <c r="J6">
        <f t="shared" si="1"/>
        <v>60.222784780739275</v>
      </c>
      <c r="K6">
        <f t="shared" si="1"/>
        <v>11.042085085859746</v>
      </c>
      <c r="L6">
        <f t="shared" si="1"/>
        <v>5.4922410873528644</v>
      </c>
      <c r="M6">
        <f t="shared" si="1"/>
        <v>9.5908233812520022E-3</v>
      </c>
      <c r="N6">
        <f t="shared" si="1"/>
        <v>0</v>
      </c>
      <c r="O6">
        <f t="shared" si="1"/>
        <v>0</v>
      </c>
      <c r="P6">
        <f t="shared" si="1"/>
        <v>1870.2985581820053</v>
      </c>
    </row>
    <row r="7" spans="1:16" x14ac:dyDescent="0.25">
      <c r="A7" t="str">
        <f>indonesia!U81</f>
        <v>INDONESIA</v>
      </c>
      <c r="B7">
        <f>indonesia!V81</f>
        <v>2024</v>
      </c>
      <c r="C7">
        <f t="shared" si="1"/>
        <v>1085.4998854380019</v>
      </c>
      <c r="D7">
        <f t="shared" si="1"/>
        <v>123.80084534506103</v>
      </c>
      <c r="E7">
        <f t="shared" si="1"/>
        <v>314.83740052325555</v>
      </c>
      <c r="F7">
        <f t="shared" si="1"/>
        <v>146.14953662176714</v>
      </c>
      <c r="G7">
        <f t="shared" si="1"/>
        <v>182.52745628979238</v>
      </c>
      <c r="H7">
        <f t="shared" si="1"/>
        <v>8.0898770052140794</v>
      </c>
      <c r="I7">
        <f t="shared" si="1"/>
        <v>11.523342327006246</v>
      </c>
      <c r="J7">
        <f t="shared" si="1"/>
        <v>60.459061366110589</v>
      </c>
      <c r="K7">
        <f t="shared" si="1"/>
        <v>19.186424687107472</v>
      </c>
      <c r="L7">
        <f t="shared" si="1"/>
        <v>7.7245419049143713</v>
      </c>
      <c r="M7">
        <f t="shared" si="1"/>
        <v>9.5908233812520022E-3</v>
      </c>
      <c r="N7">
        <f t="shared" si="1"/>
        <v>0</v>
      </c>
      <c r="O7">
        <f t="shared" si="1"/>
        <v>0</v>
      </c>
      <c r="P7">
        <f t="shared" si="1"/>
        <v>1959.8079623316121</v>
      </c>
    </row>
    <row r="8" spans="1:16" x14ac:dyDescent="0.25">
      <c r="A8" t="str">
        <f>indonesia!U82</f>
        <v>INDONESIA</v>
      </c>
      <c r="B8">
        <f>indonesia!V82</f>
        <v>2025</v>
      </c>
      <c r="C8">
        <f t="shared" si="1"/>
        <v>1090.8434248838191</v>
      </c>
      <c r="D8">
        <f t="shared" si="1"/>
        <v>134.24387657623393</v>
      </c>
      <c r="E8">
        <f t="shared" si="1"/>
        <v>337.38976190038676</v>
      </c>
      <c r="F8">
        <f t="shared" si="1"/>
        <v>163.65525145524171</v>
      </c>
      <c r="G8">
        <f t="shared" si="1"/>
        <v>186.24546590289791</v>
      </c>
      <c r="H8">
        <f t="shared" si="1"/>
        <v>8.5378785383226212</v>
      </c>
      <c r="I8">
        <f t="shared" si="1"/>
        <v>11.763335469060547</v>
      </c>
      <c r="J8">
        <f t="shared" si="1"/>
        <v>61.394416115336213</v>
      </c>
      <c r="K8">
        <f t="shared" si="1"/>
        <v>33.165837653826848</v>
      </c>
      <c r="L8">
        <f t="shared" si="1"/>
        <v>10.168943092849085</v>
      </c>
      <c r="M8">
        <f t="shared" si="1"/>
        <v>9.5908377146751017E-3</v>
      </c>
      <c r="N8">
        <f t="shared" si="1"/>
        <v>0</v>
      </c>
      <c r="O8">
        <f t="shared" si="1"/>
        <v>0</v>
      </c>
      <c r="P8">
        <f t="shared" si="1"/>
        <v>2037.4177824256892</v>
      </c>
    </row>
    <row r="9" spans="1:16" x14ac:dyDescent="0.25">
      <c r="A9" t="str">
        <f>indonesia!U83</f>
        <v>INDONESIA</v>
      </c>
      <c r="B9">
        <f>indonesia!V83</f>
        <v>2026</v>
      </c>
      <c r="C9">
        <f t="shared" si="1"/>
        <v>1115.5335951839977</v>
      </c>
      <c r="D9">
        <f t="shared" si="1"/>
        <v>135.76327852346023</v>
      </c>
      <c r="E9">
        <f t="shared" si="1"/>
        <v>343.34811151293655</v>
      </c>
      <c r="F9">
        <f t="shared" si="1"/>
        <v>168.77658487202856</v>
      </c>
      <c r="G9">
        <f t="shared" si="1"/>
        <v>191.57218434089538</v>
      </c>
      <c r="H9">
        <f t="shared" si="1"/>
        <v>8.7675395336727249</v>
      </c>
      <c r="I9">
        <f t="shared" si="1"/>
        <v>17.248220609298215</v>
      </c>
      <c r="J9">
        <f t="shared" si="1"/>
        <v>63.930894859113778</v>
      </c>
      <c r="K9">
        <f t="shared" si="1"/>
        <v>33.724371210781108</v>
      </c>
      <c r="L9">
        <f t="shared" si="1"/>
        <v>12.669224627712184</v>
      </c>
      <c r="M9">
        <f t="shared" si="1"/>
        <v>9.6421100961227631E-3</v>
      </c>
      <c r="N9">
        <f t="shared" si="1"/>
        <v>0.48420264413542274</v>
      </c>
      <c r="O9">
        <f t="shared" si="1"/>
        <v>0</v>
      </c>
      <c r="P9">
        <f t="shared" si="1"/>
        <v>2091.8278500281281</v>
      </c>
    </row>
    <row r="10" spans="1:16" x14ac:dyDescent="0.25">
      <c r="A10" t="str">
        <f>indonesia!U84</f>
        <v>INDONESIA</v>
      </c>
      <c r="B10">
        <f>indonesia!V84</f>
        <v>2027</v>
      </c>
      <c r="C10">
        <f t="shared" si="1"/>
        <v>1146.6138436678943</v>
      </c>
      <c r="D10">
        <f t="shared" si="1"/>
        <v>142.35116247640008</v>
      </c>
      <c r="E10">
        <f t="shared" si="1"/>
        <v>401.0013352030839</v>
      </c>
      <c r="F10">
        <f t="shared" si="1"/>
        <v>170.12040986997042</v>
      </c>
      <c r="G10">
        <f t="shared" si="1"/>
        <v>191.57218419121256</v>
      </c>
      <c r="H10">
        <f t="shared" si="1"/>
        <v>9.5429263325627289</v>
      </c>
      <c r="I10">
        <f t="shared" si="1"/>
        <v>25.622240163983548</v>
      </c>
      <c r="J10">
        <f t="shared" si="1"/>
        <v>70.06347462158692</v>
      </c>
      <c r="K10">
        <f t="shared" si="1"/>
        <v>42.315626596008194</v>
      </c>
      <c r="L10">
        <f t="shared" si="1"/>
        <v>13.704581663155141</v>
      </c>
      <c r="M10">
        <f t="shared" si="1"/>
        <v>9.7698522421702204E-3</v>
      </c>
      <c r="N10">
        <f t="shared" si="1"/>
        <v>0.48420264413542274</v>
      </c>
      <c r="O10">
        <f t="shared" si="1"/>
        <v>0</v>
      </c>
      <c r="P10">
        <f t="shared" si="1"/>
        <v>2213.4017572822358</v>
      </c>
    </row>
    <row r="11" spans="1:16" x14ac:dyDescent="0.25">
      <c r="A11" t="str">
        <f>indonesia!U85</f>
        <v>INDONESIA</v>
      </c>
      <c r="B11">
        <f>indonesia!V85</f>
        <v>2028</v>
      </c>
      <c r="C11">
        <f t="shared" si="1"/>
        <v>1170.6324777392576</v>
      </c>
      <c r="D11">
        <f t="shared" si="1"/>
        <v>152.95007919061621</v>
      </c>
      <c r="E11">
        <f t="shared" si="1"/>
        <v>433.75979366520733</v>
      </c>
      <c r="F11">
        <f t="shared" si="1"/>
        <v>179.42744963435337</v>
      </c>
      <c r="G11">
        <f t="shared" si="1"/>
        <v>191.57218419121256</v>
      </c>
      <c r="H11">
        <f t="shared" si="1"/>
        <v>9.8456390120185908</v>
      </c>
      <c r="I11">
        <f t="shared" si="1"/>
        <v>28.178144764238944</v>
      </c>
      <c r="J11">
        <f t="shared" si="1"/>
        <v>74.491853495904905</v>
      </c>
      <c r="K11">
        <f t="shared" si="1"/>
        <v>49.859221267736757</v>
      </c>
      <c r="L11">
        <f t="shared" si="1"/>
        <v>13.704581663155141</v>
      </c>
      <c r="M11">
        <f t="shared" si="1"/>
        <v>1.5570836368874526E-2</v>
      </c>
      <c r="N11">
        <f t="shared" si="1"/>
        <v>0.48420264413542274</v>
      </c>
      <c r="O11">
        <f t="shared" si="1"/>
        <v>0</v>
      </c>
      <c r="P11">
        <f t="shared" si="1"/>
        <v>2304.9211981042058</v>
      </c>
    </row>
    <row r="12" spans="1:16" x14ac:dyDescent="0.25">
      <c r="A12" t="str">
        <f>indonesia!U86</f>
        <v>INDONESIA</v>
      </c>
      <c r="B12">
        <f>indonesia!V86</f>
        <v>2029</v>
      </c>
      <c r="C12">
        <f t="shared" si="1"/>
        <v>1173.2627335082434</v>
      </c>
      <c r="D12">
        <f t="shared" si="1"/>
        <v>168.77774177895233</v>
      </c>
      <c r="E12">
        <f t="shared" si="1"/>
        <v>459.0410211141434</v>
      </c>
      <c r="F12">
        <f t="shared" si="1"/>
        <v>179.45913479644753</v>
      </c>
      <c r="G12">
        <f t="shared" si="1"/>
        <v>191.57218404152974</v>
      </c>
      <c r="H12">
        <f t="shared" si="1"/>
        <v>9.8608074456026351</v>
      </c>
      <c r="I12">
        <f t="shared" si="1"/>
        <v>28.36304131717112</v>
      </c>
      <c r="J12">
        <f t="shared" si="1"/>
        <v>78.761626213055408</v>
      </c>
      <c r="K12">
        <f t="shared" si="1"/>
        <v>55.142394683714627</v>
      </c>
      <c r="L12">
        <f t="shared" si="1"/>
        <v>16.568729062546957</v>
      </c>
      <c r="M12">
        <f t="shared" si="1"/>
        <v>1.5570863627322089E-2</v>
      </c>
      <c r="N12">
        <f t="shared" si="1"/>
        <v>0.48420264413542274</v>
      </c>
      <c r="O12">
        <f t="shared" si="1"/>
        <v>0</v>
      </c>
      <c r="P12">
        <f t="shared" si="1"/>
        <v>2361.30918746917</v>
      </c>
    </row>
    <row r="13" spans="1:16" x14ac:dyDescent="0.25">
      <c r="A13" t="str">
        <f>indonesia!U87</f>
        <v>INDONESIA</v>
      </c>
      <c r="B13">
        <f>indonesia!V87</f>
        <v>2030</v>
      </c>
      <c r="C13">
        <f t="shared" si="1"/>
        <v>1194.0403625164051</v>
      </c>
      <c r="D13">
        <f t="shared" si="1"/>
        <v>196.3895889591661</v>
      </c>
      <c r="E13">
        <f t="shared" si="1"/>
        <v>490.81068677433854</v>
      </c>
      <c r="F13">
        <f t="shared" si="1"/>
        <v>179.49882787930545</v>
      </c>
      <c r="G13">
        <f t="shared" si="1"/>
        <v>192.50224056550698</v>
      </c>
      <c r="H13">
        <f t="shared" si="1"/>
        <v>9.9515798254054939</v>
      </c>
      <c r="I13">
        <f t="shared" si="1"/>
        <v>28.620089869879642</v>
      </c>
      <c r="J13">
        <f t="shared" si="1"/>
        <v>83.801237092367856</v>
      </c>
      <c r="K13">
        <f t="shared" si="1"/>
        <v>61.277758301097087</v>
      </c>
      <c r="L13">
        <f>SUM(L33,L53,L73,L93,L113,L133)</f>
        <v>16.568729062546957</v>
      </c>
      <c r="M13">
        <f t="shared" si="1"/>
        <v>1.5632760000476434E-2</v>
      </c>
      <c r="N13">
        <f t="shared" si="1"/>
        <v>0.48422914198732075</v>
      </c>
      <c r="O13">
        <f t="shared" si="1"/>
        <v>0</v>
      </c>
      <c r="P13">
        <f t="shared" si="1"/>
        <v>2453.9609627480068</v>
      </c>
    </row>
    <row r="14" spans="1:16" x14ac:dyDescent="0.25">
      <c r="A14" t="str">
        <f>indonesia!U88</f>
        <v>INDONESIA</v>
      </c>
      <c r="B14">
        <f>indonesia!V88</f>
        <v>2031</v>
      </c>
      <c r="C14">
        <f t="shared" si="1"/>
        <v>1213.195083073877</v>
      </c>
      <c r="D14">
        <f t="shared" si="1"/>
        <v>229.48897013360923</v>
      </c>
      <c r="E14">
        <f t="shared" si="1"/>
        <v>534.06975645263765</v>
      </c>
      <c r="F14">
        <f t="shared" si="1"/>
        <v>180.13602780181293</v>
      </c>
      <c r="G14">
        <f t="shared" si="1"/>
        <v>257.24900718963829</v>
      </c>
      <c r="H14">
        <f t="shared" si="1"/>
        <v>10.086289316018261</v>
      </c>
      <c r="I14">
        <f t="shared" si="1"/>
        <v>28.830793532200683</v>
      </c>
      <c r="J14">
        <f t="shared" si="1"/>
        <v>109.94527935496927</v>
      </c>
      <c r="K14">
        <f t="shared" si="1"/>
        <v>68.575684041895585</v>
      </c>
      <c r="L14">
        <f t="shared" si="1"/>
        <v>16.689888719918223</v>
      </c>
      <c r="M14">
        <f t="shared" si="1"/>
        <v>1.7402742504460503E-2</v>
      </c>
      <c r="N14">
        <f t="shared" si="1"/>
        <v>0.66236658061526621</v>
      </c>
      <c r="O14">
        <f t="shared" si="1"/>
        <v>0</v>
      </c>
      <c r="P14">
        <f t="shared" si="1"/>
        <v>2648.9465489396971</v>
      </c>
    </row>
    <row r="15" spans="1:16" x14ac:dyDescent="0.25">
      <c r="A15" t="str">
        <f>indonesia!U89</f>
        <v>INDONESIA</v>
      </c>
      <c r="B15">
        <f>indonesia!V89</f>
        <v>2032</v>
      </c>
      <c r="C15">
        <f t="shared" si="1"/>
        <v>1235.7766247563038</v>
      </c>
      <c r="D15">
        <f t="shared" si="1"/>
        <v>266.26079599360241</v>
      </c>
      <c r="E15">
        <f t="shared" si="1"/>
        <v>580.03134830555075</v>
      </c>
      <c r="F15">
        <f t="shared" si="1"/>
        <v>185.68812385479924</v>
      </c>
      <c r="G15">
        <f t="shared" si="1"/>
        <v>261.49920388681596</v>
      </c>
      <c r="H15">
        <f t="shared" si="1"/>
        <v>10.086300835904652</v>
      </c>
      <c r="I15">
        <f t="shared" si="1"/>
        <v>29.122572259433401</v>
      </c>
      <c r="J15">
        <f t="shared" si="1"/>
        <v>119.1234055652543</v>
      </c>
      <c r="K15">
        <f t="shared" si="1"/>
        <v>77.156631212149179</v>
      </c>
      <c r="L15">
        <f t="shared" si="1"/>
        <v>16.785374912738511</v>
      </c>
      <c r="M15">
        <f t="shared" si="1"/>
        <v>1.7464286748986802E-2</v>
      </c>
      <c r="N15">
        <f t="shared" si="1"/>
        <v>0.66247514130018026</v>
      </c>
      <c r="O15">
        <f t="shared" si="1"/>
        <v>0</v>
      </c>
      <c r="P15">
        <f t="shared" si="1"/>
        <v>2782.2103210106011</v>
      </c>
    </row>
    <row r="16" spans="1:16" x14ac:dyDescent="0.25">
      <c r="A16" t="str">
        <f>indonesia!U90</f>
        <v>INDONESIA</v>
      </c>
      <c r="B16">
        <f>indonesia!V90</f>
        <v>2033</v>
      </c>
      <c r="C16">
        <f t="shared" si="1"/>
        <v>1258.7924156586919</v>
      </c>
      <c r="D16">
        <f t="shared" si="1"/>
        <v>304.21216653824314</v>
      </c>
      <c r="E16">
        <f t="shared" si="1"/>
        <v>627.31762819621258</v>
      </c>
      <c r="F16">
        <f t="shared" si="1"/>
        <v>186.63693606621766</v>
      </c>
      <c r="G16">
        <f t="shared" si="1"/>
        <v>463.95103733660119</v>
      </c>
      <c r="H16">
        <f t="shared" si="1"/>
        <v>10.110306053574737</v>
      </c>
      <c r="I16">
        <f t="shared" si="1"/>
        <v>29.579253168953279</v>
      </c>
      <c r="J16">
        <f t="shared" si="1"/>
        <v>122.66258068807277</v>
      </c>
      <c r="K16">
        <f t="shared" si="1"/>
        <v>88.7853898502742</v>
      </c>
      <c r="L16">
        <f t="shared" si="1"/>
        <v>17.548543764117291</v>
      </c>
      <c r="M16">
        <f t="shared" si="1"/>
        <v>1.8207093182471212E-2</v>
      </c>
      <c r="N16">
        <f t="shared" si="1"/>
        <v>0.93015956119562193</v>
      </c>
      <c r="O16">
        <f t="shared" si="1"/>
        <v>0</v>
      </c>
      <c r="P16">
        <f t="shared" si="1"/>
        <v>3110.5446239753369</v>
      </c>
    </row>
    <row r="17" spans="1:16" x14ac:dyDescent="0.25">
      <c r="A17" t="str">
        <f>indonesia!U91</f>
        <v>INDONESIA</v>
      </c>
      <c r="B17">
        <f>indonesia!V91</f>
        <v>2034</v>
      </c>
      <c r="C17">
        <f t="shared" si="1"/>
        <v>1329.4884143703257</v>
      </c>
      <c r="D17">
        <f t="shared" si="1"/>
        <v>338.86163842676774</v>
      </c>
      <c r="E17">
        <f t="shared" si="1"/>
        <v>663.32025785566486</v>
      </c>
      <c r="F17">
        <f t="shared" si="1"/>
        <v>188.03987367025076</v>
      </c>
      <c r="G17">
        <f t="shared" si="1"/>
        <v>463.95107562152464</v>
      </c>
      <c r="H17">
        <f t="shared" si="1"/>
        <v>10.142788650812726</v>
      </c>
      <c r="I17">
        <f t="shared" si="1"/>
        <v>31.626783241972401</v>
      </c>
      <c r="J17">
        <f t="shared" si="1"/>
        <v>131.45378333856965</v>
      </c>
      <c r="K17">
        <f t="shared" si="1"/>
        <v>98.000782849739451</v>
      </c>
      <c r="L17">
        <f t="shared" si="1"/>
        <v>19.327141767663537</v>
      </c>
      <c r="M17">
        <f t="shared" si="1"/>
        <v>1.8255046793697195E-2</v>
      </c>
      <c r="N17">
        <f t="shared" si="1"/>
        <v>0.93016182797182445</v>
      </c>
      <c r="O17">
        <f t="shared" si="1"/>
        <v>0</v>
      </c>
      <c r="P17">
        <f t="shared" si="1"/>
        <v>3275.1609566680572</v>
      </c>
    </row>
    <row r="18" spans="1:16" x14ac:dyDescent="0.25">
      <c r="A18" t="str">
        <f>indonesia!U92</f>
        <v>INDONESIA</v>
      </c>
      <c r="B18">
        <f>indonesia!V92</f>
        <v>2035</v>
      </c>
      <c r="C18">
        <f t="shared" si="1"/>
        <v>1390.7163852070958</v>
      </c>
      <c r="D18">
        <f t="shared" si="1"/>
        <v>386.07215528990218</v>
      </c>
      <c r="E18">
        <f t="shared" si="1"/>
        <v>705.35927258480604</v>
      </c>
      <c r="F18">
        <f t="shared" si="1"/>
        <v>191.73032559219806</v>
      </c>
      <c r="G18">
        <f t="shared" si="1"/>
        <v>463.95177234206926</v>
      </c>
      <c r="H18">
        <f t="shared" si="1"/>
        <v>10.149759468562037</v>
      </c>
      <c r="I18">
        <f t="shared" si="1"/>
        <v>32.001819341109737</v>
      </c>
      <c r="J18">
        <f t="shared" si="1"/>
        <v>141.14467226688095</v>
      </c>
      <c r="K18">
        <f t="shared" si="1"/>
        <v>107.81022662509108</v>
      </c>
      <c r="L18">
        <f t="shared" si="1"/>
        <v>20.095570989304505</v>
      </c>
      <c r="M18">
        <f t="shared" si="1"/>
        <v>1.8298563521660108E-2</v>
      </c>
      <c r="N18">
        <f t="shared" si="1"/>
        <v>0.93019475171195487</v>
      </c>
      <c r="O18">
        <f t="shared" si="1"/>
        <v>0</v>
      </c>
      <c r="P18">
        <f t="shared" si="1"/>
        <v>3449.9804530222536</v>
      </c>
    </row>
    <row r="19" spans="1:16" x14ac:dyDescent="0.25">
      <c r="A19" t="str">
        <f>indonesia!U93</f>
        <v>INDONESIA</v>
      </c>
      <c r="B19">
        <f>indonesia!V93</f>
        <v>2036</v>
      </c>
      <c r="C19">
        <f t="shared" ref="C19:P21" si="2">SUM(C39,C59,C79,C99,C119,C139)</f>
        <v>1459.3852093186308</v>
      </c>
      <c r="D19">
        <f t="shared" si="2"/>
        <v>411.43029994732677</v>
      </c>
      <c r="E19">
        <f t="shared" si="2"/>
        <v>733.25416334976433</v>
      </c>
      <c r="F19">
        <f t="shared" si="2"/>
        <v>195.5048669494814</v>
      </c>
      <c r="G19">
        <f t="shared" si="2"/>
        <v>752.67091712575473</v>
      </c>
      <c r="H19">
        <f t="shared" si="2"/>
        <v>10.503625545160084</v>
      </c>
      <c r="I19">
        <f t="shared" si="2"/>
        <v>34.021799748342204</v>
      </c>
      <c r="J19">
        <f t="shared" si="2"/>
        <v>151.57292114095532</v>
      </c>
      <c r="K19">
        <f t="shared" si="2"/>
        <v>118.53445800542733</v>
      </c>
      <c r="L19">
        <f t="shared" si="2"/>
        <v>22.907860931848813</v>
      </c>
      <c r="M19">
        <f t="shared" si="2"/>
        <v>1.9861518597793327E-2</v>
      </c>
      <c r="N19">
        <f t="shared" si="2"/>
        <v>5.0651273017740719</v>
      </c>
      <c r="O19">
        <f t="shared" si="2"/>
        <v>0</v>
      </c>
      <c r="P19">
        <f t="shared" si="2"/>
        <v>3894.8711108830639</v>
      </c>
    </row>
    <row r="20" spans="1:16" x14ac:dyDescent="0.25">
      <c r="A20" t="str">
        <f>indonesia!U94</f>
        <v>INDONESIA</v>
      </c>
      <c r="B20">
        <f>indonesia!V94</f>
        <v>2037</v>
      </c>
      <c r="C20">
        <f t="shared" si="2"/>
        <v>1517.8340139493273</v>
      </c>
      <c r="D20">
        <f t="shared" si="2"/>
        <v>460.42077491621382</v>
      </c>
      <c r="E20">
        <f t="shared" si="2"/>
        <v>754.6581321314402</v>
      </c>
      <c r="F20">
        <f t="shared" si="2"/>
        <v>196.82033234087001</v>
      </c>
      <c r="G20">
        <f t="shared" si="2"/>
        <v>761.22545284018258</v>
      </c>
      <c r="H20">
        <f t="shared" si="2"/>
        <v>10.595049331304788</v>
      </c>
      <c r="I20">
        <f t="shared" si="2"/>
        <v>34.075480151889856</v>
      </c>
      <c r="J20">
        <f t="shared" si="2"/>
        <v>161.54450258377486</v>
      </c>
      <c r="K20">
        <f t="shared" si="2"/>
        <v>127.11363786171653</v>
      </c>
      <c r="L20">
        <f t="shared" si="2"/>
        <v>23.427753196185662</v>
      </c>
      <c r="M20">
        <f t="shared" si="2"/>
        <v>1.9862196607753152E-2</v>
      </c>
      <c r="N20">
        <f t="shared" si="2"/>
        <v>5.0651327113882996</v>
      </c>
      <c r="O20">
        <f t="shared" si="2"/>
        <v>0</v>
      </c>
      <c r="P20">
        <f t="shared" si="2"/>
        <v>4052.8001242109017</v>
      </c>
    </row>
    <row r="21" spans="1:16" x14ac:dyDescent="0.25">
      <c r="A21" t="str">
        <f>indonesia!U95</f>
        <v>INDONESIA</v>
      </c>
      <c r="B21">
        <f>indonesia!V95</f>
        <v>2038</v>
      </c>
      <c r="C21">
        <f t="shared" si="2"/>
        <v>1598.0877667813043</v>
      </c>
      <c r="D21">
        <f t="shared" si="2"/>
        <v>514.22539475732185</v>
      </c>
      <c r="E21">
        <f t="shared" si="2"/>
        <v>794.94085657506366</v>
      </c>
      <c r="F21">
        <f t="shared" si="2"/>
        <v>197.19833771501362</v>
      </c>
      <c r="G21">
        <f t="shared" si="2"/>
        <v>838.38029752944749</v>
      </c>
      <c r="H21">
        <f t="shared" si="2"/>
        <v>10.684856872662584</v>
      </c>
      <c r="I21">
        <f t="shared" si="2"/>
        <v>36.276095170976504</v>
      </c>
      <c r="J21">
        <f t="shared" si="2"/>
        <v>205.63967656081226</v>
      </c>
      <c r="K21">
        <f t="shared" si="2"/>
        <v>137.98180073163053</v>
      </c>
      <c r="L21">
        <f t="shared" si="2"/>
        <v>23.427753197158349</v>
      </c>
      <c r="M21">
        <f t="shared" si="2"/>
        <v>2.3012975978246066E-2</v>
      </c>
      <c r="N21">
        <f t="shared" si="2"/>
        <v>5.2247441255696074</v>
      </c>
      <c r="O21">
        <f t="shared" si="2"/>
        <v>0</v>
      </c>
      <c r="P21">
        <f t="shared" si="2"/>
        <v>4362.0905929929395</v>
      </c>
    </row>
    <row r="22" spans="1:16" x14ac:dyDescent="0.25">
      <c r="A22" t="str">
        <f>sumatera!U76</f>
        <v>SUMATERA</v>
      </c>
      <c r="B22">
        <f>sumatera!V76</f>
        <v>2019</v>
      </c>
      <c r="C22">
        <f>sumatera!W76</f>
        <v>147.53751593425656</v>
      </c>
      <c r="D22">
        <f>sumatera!X76</f>
        <v>24.336118923271663</v>
      </c>
      <c r="E22">
        <f>sumatera!Y76</f>
        <v>9.1760905834813169</v>
      </c>
      <c r="F22">
        <f>sumatera!Z76</f>
        <v>52.682073281087362</v>
      </c>
      <c r="G22">
        <f>sumatera!AA76</f>
        <v>101.33525143384617</v>
      </c>
      <c r="H22">
        <f>sumatera!AB76</f>
        <v>1.648581615033524</v>
      </c>
      <c r="I22">
        <f>sumatera!AC76</f>
        <v>0.37428613188923077</v>
      </c>
      <c r="J22">
        <f>sumatera!AD76</f>
        <v>6.2861339520000007E-3</v>
      </c>
      <c r="K22">
        <f>sumatera!AE76</f>
        <v>0</v>
      </c>
      <c r="L22">
        <f>sumatera!AF76</f>
        <v>0.7324799500585607</v>
      </c>
      <c r="M22">
        <f>sumatera!AG76</f>
        <v>0</v>
      </c>
      <c r="N22">
        <f>sumatera!AH76</f>
        <v>0</v>
      </c>
      <c r="O22">
        <f>sumatera!AI76</f>
        <v>0</v>
      </c>
      <c r="P22">
        <f>sumatera!AJ76</f>
        <v>337.82868398687646</v>
      </c>
    </row>
    <row r="23" spans="1:16" x14ac:dyDescent="0.25">
      <c r="A23" t="str">
        <f>sumatera!U77</f>
        <v>SUMATERA</v>
      </c>
      <c r="B23">
        <f>sumatera!V77</f>
        <v>2020</v>
      </c>
      <c r="C23">
        <f>sumatera!W77</f>
        <v>155.64527138649248</v>
      </c>
      <c r="D23">
        <f>sumatera!X77</f>
        <v>24.336118923271663</v>
      </c>
      <c r="E23">
        <f>sumatera!Y77</f>
        <v>16.136217876392472</v>
      </c>
      <c r="F23">
        <f>sumatera!Z77</f>
        <v>52.682073281087362</v>
      </c>
      <c r="G23">
        <f>sumatera!AA77</f>
        <v>101.33525143384617</v>
      </c>
      <c r="H23">
        <f>sumatera!AB77</f>
        <v>1.769808987928686</v>
      </c>
      <c r="I23">
        <f>sumatera!AC77</f>
        <v>1.0876583970703784</v>
      </c>
      <c r="J23">
        <f>sumatera!AD77</f>
        <v>2.4828462602070114</v>
      </c>
      <c r="K23">
        <f>sumatera!AE77</f>
        <v>0.44281437830223908</v>
      </c>
      <c r="L23">
        <f>sumatera!AF77</f>
        <v>0.7324799500585607</v>
      </c>
      <c r="M23">
        <f>sumatera!AG77</f>
        <v>1.7096698958581034E-3</v>
      </c>
      <c r="N23">
        <f>sumatera!AH77</f>
        <v>0</v>
      </c>
      <c r="O23">
        <f>sumatera!AI77</f>
        <v>0</v>
      </c>
      <c r="P23">
        <f>sumatera!AJ77</f>
        <v>356.65225054455277</v>
      </c>
    </row>
    <row r="24" spans="1:16" x14ac:dyDescent="0.25">
      <c r="A24" t="str">
        <f>sumatera!U78</f>
        <v>SUMATERA</v>
      </c>
      <c r="B24">
        <f>sumatera!V78</f>
        <v>2021</v>
      </c>
      <c r="C24">
        <f>sumatera!W78</f>
        <v>160.18523940799153</v>
      </c>
      <c r="D24">
        <f>sumatera!X78</f>
        <v>24.336118923271663</v>
      </c>
      <c r="E24">
        <f>sumatera!Y78</f>
        <v>28.047404760226872</v>
      </c>
      <c r="F24">
        <f>sumatera!Z78</f>
        <v>52.682073294408262</v>
      </c>
      <c r="G24">
        <f>sumatera!AA78</f>
        <v>101.33525143384617</v>
      </c>
      <c r="H24">
        <f>sumatera!AB78</f>
        <v>1.769808987928686</v>
      </c>
      <c r="I24">
        <f>sumatera!AC78</f>
        <v>1.0876583970703784</v>
      </c>
      <c r="J24">
        <f>sumatera!AD78</f>
        <v>2.4828462602070114</v>
      </c>
      <c r="K24">
        <f>sumatera!AE78</f>
        <v>1.0828261214697479</v>
      </c>
      <c r="L24">
        <f>sumatera!AF78</f>
        <v>0.7324799500585607</v>
      </c>
      <c r="M24">
        <f>sumatera!AG78</f>
        <v>1.7096698958581034E-3</v>
      </c>
      <c r="N24">
        <f>sumatera!AH78</f>
        <v>0</v>
      </c>
      <c r="O24">
        <f>sumatera!AI78</f>
        <v>0</v>
      </c>
      <c r="P24">
        <f>sumatera!AJ78</f>
        <v>373.74341720637466</v>
      </c>
    </row>
    <row r="25" spans="1:16" x14ac:dyDescent="0.25">
      <c r="A25" t="str">
        <f>sumatera!U79</f>
        <v>SUMATERA</v>
      </c>
      <c r="B25">
        <f>sumatera!V79</f>
        <v>2022</v>
      </c>
      <c r="C25">
        <f>sumatera!W79</f>
        <v>163.60795098970257</v>
      </c>
      <c r="D25">
        <f>sumatera!X79</f>
        <v>24.336118923271663</v>
      </c>
      <c r="E25">
        <f>sumatera!Y79</f>
        <v>41.651689823741215</v>
      </c>
      <c r="F25">
        <f>sumatera!Z79</f>
        <v>53.383929337517721</v>
      </c>
      <c r="G25">
        <f>sumatera!AA79</f>
        <v>101.33525143384617</v>
      </c>
      <c r="H25">
        <f>sumatera!AB79</f>
        <v>1.769808987928686</v>
      </c>
      <c r="I25">
        <f>sumatera!AC79</f>
        <v>1.0876583970703784</v>
      </c>
      <c r="J25">
        <f>sumatera!AD79</f>
        <v>2.4828462602070114</v>
      </c>
      <c r="K25">
        <f>sumatera!AE79</f>
        <v>1.0828261214697479</v>
      </c>
      <c r="L25">
        <f>sumatera!AF79</f>
        <v>0.7324799500585607</v>
      </c>
      <c r="M25">
        <f>sumatera!AG79</f>
        <v>1.7096698958581034E-3</v>
      </c>
      <c r="N25">
        <f>sumatera!AH79</f>
        <v>0</v>
      </c>
      <c r="O25">
        <f>sumatera!AI79</f>
        <v>0</v>
      </c>
      <c r="P25">
        <f>sumatera!AJ79</f>
        <v>391.47226989470954</v>
      </c>
    </row>
    <row r="26" spans="1:16" x14ac:dyDescent="0.25">
      <c r="A26" t="str">
        <f>sumatera!U80</f>
        <v>SUMATERA</v>
      </c>
      <c r="B26">
        <f>sumatera!V80</f>
        <v>2023</v>
      </c>
      <c r="C26">
        <f>sumatera!W80</f>
        <v>166.83461749874635</v>
      </c>
      <c r="D26">
        <f>sumatera!X80</f>
        <v>24.336118923271663</v>
      </c>
      <c r="E26">
        <f>sumatera!Y80</f>
        <v>57.331108797652227</v>
      </c>
      <c r="F26">
        <f>sumatera!Z80</f>
        <v>53.383929337517721</v>
      </c>
      <c r="G26">
        <f>sumatera!AA80</f>
        <v>101.33525143384617</v>
      </c>
      <c r="H26">
        <f>sumatera!AB80</f>
        <v>1.769808987928686</v>
      </c>
      <c r="I26">
        <f>sumatera!AC80</f>
        <v>1.0876583970703784</v>
      </c>
      <c r="J26">
        <f>sumatera!AD80</f>
        <v>2.4828462602070114</v>
      </c>
      <c r="K26">
        <f>sumatera!AE80</f>
        <v>1.2152596357076837</v>
      </c>
      <c r="L26">
        <f>sumatera!AF80</f>
        <v>0.7324799500585607</v>
      </c>
      <c r="M26">
        <f>sumatera!AG80</f>
        <v>1.7096698958581034E-3</v>
      </c>
      <c r="N26">
        <f>sumatera!AH80</f>
        <v>0</v>
      </c>
      <c r="O26">
        <f>sumatera!AI80</f>
        <v>0</v>
      </c>
      <c r="P26">
        <f>sumatera!AJ80</f>
        <v>410.51078889190228</v>
      </c>
    </row>
    <row r="27" spans="1:16" x14ac:dyDescent="0.25">
      <c r="A27" t="str">
        <f>sumatera!U81</f>
        <v>SUMATERA</v>
      </c>
      <c r="B27">
        <f>sumatera!V81</f>
        <v>2024</v>
      </c>
      <c r="C27">
        <f>sumatera!W81</f>
        <v>172.4098435350304</v>
      </c>
      <c r="D27">
        <f>sumatera!X81</f>
        <v>24.336118923271663</v>
      </c>
      <c r="E27">
        <f>sumatera!Y81</f>
        <v>66.861464404781358</v>
      </c>
      <c r="F27">
        <f>sumatera!Z81</f>
        <v>58.601677605136672</v>
      </c>
      <c r="G27">
        <f>sumatera!AA81</f>
        <v>101.33525143384617</v>
      </c>
      <c r="H27">
        <f>sumatera!AB81</f>
        <v>1.769808987928686</v>
      </c>
      <c r="I27">
        <f>sumatera!AC81</f>
        <v>1.0876583970703784</v>
      </c>
      <c r="J27">
        <f>sumatera!AD81</f>
        <v>2.4828462602070114</v>
      </c>
      <c r="K27">
        <f>sumatera!AE81</f>
        <v>5.6998433317282506</v>
      </c>
      <c r="L27">
        <f>sumatera!AF81</f>
        <v>0.7324799500585607</v>
      </c>
      <c r="M27">
        <f>sumatera!AG81</f>
        <v>1.7096698958581034E-3</v>
      </c>
      <c r="N27">
        <f>sumatera!AH81</f>
        <v>0</v>
      </c>
      <c r="O27">
        <f>sumatera!AI81</f>
        <v>0</v>
      </c>
      <c r="P27">
        <f>sumatera!AJ81</f>
        <v>435.31870249895496</v>
      </c>
    </row>
    <row r="28" spans="1:16" x14ac:dyDescent="0.25">
      <c r="A28" t="str">
        <f>sumatera!U82</f>
        <v>SUMATERA</v>
      </c>
      <c r="B28">
        <f>sumatera!V82</f>
        <v>2025</v>
      </c>
      <c r="C28">
        <f>sumatera!W82</f>
        <v>176.13434147240656</v>
      </c>
      <c r="D28">
        <f>sumatera!X82</f>
        <v>24.336118923271663</v>
      </c>
      <c r="E28">
        <f>sumatera!Y82</f>
        <v>68.329964312862572</v>
      </c>
      <c r="F28">
        <f>sumatera!Z82</f>
        <v>76.082158116196425</v>
      </c>
      <c r="G28">
        <f>sumatera!AA82</f>
        <v>101.33525143384617</v>
      </c>
      <c r="H28">
        <f>sumatera!AB82</f>
        <v>1.769808987928686</v>
      </c>
      <c r="I28">
        <f>sumatera!AC82</f>
        <v>1.0876583970703784</v>
      </c>
      <c r="J28">
        <f>sumatera!AD82</f>
        <v>2.7765274726819311</v>
      </c>
      <c r="K28">
        <f>sumatera!AE82</f>
        <v>11.267990765658249</v>
      </c>
      <c r="L28">
        <f>sumatera!AF82</f>
        <v>0.7324799500585607</v>
      </c>
      <c r="M28">
        <f>sumatera!AG82</f>
        <v>1.7096698958581034E-3</v>
      </c>
      <c r="N28">
        <f>sumatera!AH82</f>
        <v>0</v>
      </c>
      <c r="O28">
        <f>sumatera!AI82</f>
        <v>0</v>
      </c>
      <c r="P28">
        <f>sumatera!AJ82</f>
        <v>463.85400950187699</v>
      </c>
    </row>
    <row r="29" spans="1:16" x14ac:dyDescent="0.25">
      <c r="A29" t="str">
        <f>sumatera!U83</f>
        <v>SUMATERA</v>
      </c>
      <c r="B29">
        <f>sumatera!V83</f>
        <v>2026</v>
      </c>
      <c r="C29">
        <f>sumatera!W83</f>
        <v>197.5136919441091</v>
      </c>
      <c r="D29">
        <f>sumatera!X83</f>
        <v>24.336131624268742</v>
      </c>
      <c r="E29">
        <f>sumatera!Y83</f>
        <v>68.329970624781396</v>
      </c>
      <c r="F29">
        <f>sumatera!Z83</f>
        <v>76.082182527372794</v>
      </c>
      <c r="G29">
        <f>sumatera!AA83</f>
        <v>101.33568673789942</v>
      </c>
      <c r="H29">
        <f>sumatera!AB83</f>
        <v>1.7698105607574839</v>
      </c>
      <c r="I29">
        <f>sumatera!AC83</f>
        <v>5.2987014043896403</v>
      </c>
      <c r="J29">
        <f>sumatera!AD83</f>
        <v>4.8630575798523754</v>
      </c>
      <c r="K29">
        <f>sumatera!AE83</f>
        <v>11.267996603470014</v>
      </c>
      <c r="L29">
        <f>sumatera!AF83</f>
        <v>0.7324799500585607</v>
      </c>
      <c r="M29">
        <f>sumatera!AG83</f>
        <v>1.7096698958581034E-3</v>
      </c>
      <c r="N29">
        <f>sumatera!AH83</f>
        <v>2.3070525047315217E-5</v>
      </c>
      <c r="O29">
        <f>sumatera!AI83</f>
        <v>0</v>
      </c>
      <c r="P29">
        <f>sumatera!AJ83</f>
        <v>491.53144229738047</v>
      </c>
    </row>
    <row r="30" spans="1:16" x14ac:dyDescent="0.25">
      <c r="A30" t="str">
        <f>sumatera!U84</f>
        <v>SUMATERA</v>
      </c>
      <c r="B30">
        <f>sumatera!V84</f>
        <v>2027</v>
      </c>
      <c r="C30">
        <f>sumatera!W84</f>
        <v>220.32546014309827</v>
      </c>
      <c r="D30">
        <f>sumatera!X84</f>
        <v>24.336131604857304</v>
      </c>
      <c r="E30">
        <f>sumatera!Y84</f>
        <v>68.329970624781396</v>
      </c>
      <c r="F30">
        <f>sumatera!Z84</f>
        <v>76.082182506254</v>
      </c>
      <c r="G30">
        <f>sumatera!AA84</f>
        <v>101.33568658821662</v>
      </c>
      <c r="H30">
        <f>sumatera!AB84</f>
        <v>2.3685107406217272</v>
      </c>
      <c r="I30">
        <f>sumatera!AC84</f>
        <v>13.582548956260258</v>
      </c>
      <c r="J30">
        <f>sumatera!AD84</f>
        <v>10.939214417329609</v>
      </c>
      <c r="K30">
        <f>sumatera!AE84</f>
        <v>11.345366804813645</v>
      </c>
      <c r="L30">
        <f>sumatera!AF84</f>
        <v>0.7324799500585607</v>
      </c>
      <c r="M30">
        <f>sumatera!AG84</f>
        <v>1.7096695778581036E-3</v>
      </c>
      <c r="N30">
        <f>sumatera!AH84</f>
        <v>2.3070525047315217E-5</v>
      </c>
      <c r="O30">
        <f>sumatera!AI84</f>
        <v>0</v>
      </c>
      <c r="P30">
        <f>sumatera!AJ84</f>
        <v>529.37928507639435</v>
      </c>
    </row>
    <row r="31" spans="1:16" x14ac:dyDescent="0.25">
      <c r="A31" t="str">
        <f>sumatera!U85</f>
        <v>SUMATERA</v>
      </c>
      <c r="B31">
        <f>sumatera!V85</f>
        <v>2028</v>
      </c>
      <c r="C31">
        <f>sumatera!W85</f>
        <v>238.00680347873461</v>
      </c>
      <c r="D31">
        <f>sumatera!X85</f>
        <v>24.336131585445866</v>
      </c>
      <c r="E31">
        <f>sumatera!Y85</f>
        <v>75.594034906614738</v>
      </c>
      <c r="F31">
        <f>sumatera!Z85</f>
        <v>76.082182506254</v>
      </c>
      <c r="G31">
        <f>sumatera!AA85</f>
        <v>101.33568658821662</v>
      </c>
      <c r="H31">
        <f>sumatera!AB85</f>
        <v>2.6712234175718188</v>
      </c>
      <c r="I31">
        <f>sumatera!AC85</f>
        <v>16.138453543274824</v>
      </c>
      <c r="J31">
        <f>sumatera!AD85</f>
        <v>11.769356049408431</v>
      </c>
      <c r="K31">
        <f>sumatera!AE85</f>
        <v>12.469362156176578</v>
      </c>
      <c r="L31">
        <f>sumatera!AF85</f>
        <v>0.7324799500585607</v>
      </c>
      <c r="M31">
        <f>sumatera!AG85</f>
        <v>7.4551466765781053E-3</v>
      </c>
      <c r="N31">
        <f>sumatera!AH85</f>
        <v>2.3070525047315217E-5</v>
      </c>
      <c r="O31">
        <f>sumatera!AI85</f>
        <v>0</v>
      </c>
      <c r="P31">
        <f>sumatera!AJ85</f>
        <v>559.14319239895758</v>
      </c>
    </row>
    <row r="32" spans="1:16" x14ac:dyDescent="0.25">
      <c r="A32" t="str">
        <f>sumatera!U86</f>
        <v>SUMATERA</v>
      </c>
      <c r="B32">
        <f>sumatera!V86</f>
        <v>2029</v>
      </c>
      <c r="C32">
        <f>sumatera!W86</f>
        <v>238.00680347873461</v>
      </c>
      <c r="D32">
        <f>sumatera!X86</f>
        <v>27.731453584484886</v>
      </c>
      <c r="E32">
        <f>sumatera!Y86</f>
        <v>76.746391623628483</v>
      </c>
      <c r="F32">
        <f>sumatera!Z86</f>
        <v>76.082182506254</v>
      </c>
      <c r="G32">
        <f>sumatera!AA86</f>
        <v>101.33568658821662</v>
      </c>
      <c r="H32">
        <f>sumatera!AB86</f>
        <v>2.6712234175718188</v>
      </c>
      <c r="I32">
        <f>sumatera!AC86</f>
        <v>16.138453543274824</v>
      </c>
      <c r="J32">
        <f>sumatera!AD86</f>
        <v>11.769356049408431</v>
      </c>
      <c r="K32">
        <f>sumatera!AE86</f>
        <v>12.469362156176578</v>
      </c>
      <c r="L32">
        <f>sumatera!AF86</f>
        <v>0.7324799500585607</v>
      </c>
      <c r="M32">
        <f>sumatera!AG86</f>
        <v>7.4551608143132051E-3</v>
      </c>
      <c r="N32">
        <f>sumatera!AH86</f>
        <v>2.3070525047315217E-5</v>
      </c>
      <c r="O32">
        <f>sumatera!AI86</f>
        <v>0</v>
      </c>
      <c r="P32">
        <f>sumatera!AJ86</f>
        <v>563.69087112914815</v>
      </c>
    </row>
    <row r="33" spans="1:16" x14ac:dyDescent="0.25">
      <c r="A33" t="str">
        <f>sumatera!U87</f>
        <v>SUMATERA</v>
      </c>
      <c r="B33">
        <f>sumatera!V87</f>
        <v>2030</v>
      </c>
      <c r="C33">
        <f>sumatera!W87</f>
        <v>254.51336990837342</v>
      </c>
      <c r="D33">
        <f>sumatera!X87</f>
        <v>42.215564988899239</v>
      </c>
      <c r="E33">
        <f>sumatera!Y87</f>
        <v>77.914645062445516</v>
      </c>
      <c r="F33">
        <f>sumatera!Z87</f>
        <v>76.082209568455951</v>
      </c>
      <c r="G33">
        <f>sumatera!AA87</f>
        <v>101.33624251433108</v>
      </c>
      <c r="H33">
        <f>sumatera!AB87</f>
        <v>2.6712255519195245</v>
      </c>
      <c r="I33">
        <f>sumatera!AC87</f>
        <v>16.138471569050136</v>
      </c>
      <c r="J33">
        <f>sumatera!AD87</f>
        <v>11.769361897997259</v>
      </c>
      <c r="K33">
        <f>sumatera!AE87</f>
        <v>12.500250882495799</v>
      </c>
      <c r="L33">
        <f>sumatera!AF87</f>
        <v>0.7324799500585607</v>
      </c>
      <c r="M33">
        <f>sumatera!AG87</f>
        <v>7.4584532925492204E-3</v>
      </c>
      <c r="N33">
        <f>sumatera!AH87</f>
        <v>4.9568376945321714E-5</v>
      </c>
      <c r="O33">
        <f>sumatera!AI87</f>
        <v>0</v>
      </c>
      <c r="P33">
        <f>sumatera!AJ87</f>
        <v>595.88132991569591</v>
      </c>
    </row>
    <row r="34" spans="1:16" x14ac:dyDescent="0.25">
      <c r="A34" t="str">
        <f>sumatera!U88</f>
        <v>SUMATERA</v>
      </c>
      <c r="B34">
        <f>sumatera!V88</f>
        <v>2031</v>
      </c>
      <c r="C34">
        <f>sumatera!W88</f>
        <v>268.92827788490609</v>
      </c>
      <c r="D34">
        <f>sumatera!X88</f>
        <v>61.465342301288935</v>
      </c>
      <c r="E34">
        <f>sumatera!Y88</f>
        <v>79.77297444161907</v>
      </c>
      <c r="F34">
        <f>sumatera!Z88</f>
        <v>76.337867625795923</v>
      </c>
      <c r="G34">
        <f>sumatera!AA88</f>
        <v>166.08300926507857</v>
      </c>
      <c r="H34">
        <f>sumatera!AB88</f>
        <v>2.6802741894823789</v>
      </c>
      <c r="I34">
        <f>sumatera!AC88</f>
        <v>16.214875997907139</v>
      </c>
      <c r="J34">
        <f>sumatera!AD88</f>
        <v>29.649516861710481</v>
      </c>
      <c r="K34">
        <f>sumatera!AE88</f>
        <v>12.533842284468522</v>
      </c>
      <c r="L34">
        <f>sumatera!AF88</f>
        <v>0.85363960742982747</v>
      </c>
      <c r="M34">
        <f>sumatera!AG88</f>
        <v>9.2284357965332874E-3</v>
      </c>
      <c r="N34">
        <f>sumatera!AH88</f>
        <v>0.17818700700489079</v>
      </c>
      <c r="O34">
        <f>sumatera!AI88</f>
        <v>0</v>
      </c>
      <c r="P34">
        <f>sumatera!AJ88</f>
        <v>714.70703590248843</v>
      </c>
    </row>
    <row r="35" spans="1:16" x14ac:dyDescent="0.25">
      <c r="A35" t="str">
        <f>sumatera!U89</f>
        <v>SUMATERA</v>
      </c>
      <c r="B35">
        <f>sumatera!V89</f>
        <v>2032</v>
      </c>
      <c r="C35">
        <f>sumatera!W89</f>
        <v>285.36851061310097</v>
      </c>
      <c r="D35">
        <f>sumatera!X89</f>
        <v>80.099802931246202</v>
      </c>
      <c r="E35">
        <f>sumatera!Y89</f>
        <v>81.130069491554181</v>
      </c>
      <c r="F35">
        <f>sumatera!Z89</f>
        <v>77.569273217609876</v>
      </c>
      <c r="G35">
        <f>sumatera!AA89</f>
        <v>170.33320596225624</v>
      </c>
      <c r="H35">
        <f>sumatera!AB89</f>
        <v>2.6802830230225676</v>
      </c>
      <c r="I35">
        <f>sumatera!AC89</f>
        <v>16.214950592330126</v>
      </c>
      <c r="J35">
        <f>sumatera!AD89</f>
        <v>29.649541071337445</v>
      </c>
      <c r="K35">
        <f>sumatera!AE89</f>
        <v>12.533875071799827</v>
      </c>
      <c r="L35">
        <f>sumatera!AF89</f>
        <v>0.85363960742982747</v>
      </c>
      <c r="M35">
        <f>sumatera!AG89</f>
        <v>9.2420668241965497E-3</v>
      </c>
      <c r="N35">
        <f>sumatera!AH89</f>
        <v>0.17829556768980484</v>
      </c>
      <c r="O35">
        <f>sumatera!AI89</f>
        <v>0</v>
      </c>
      <c r="P35">
        <f>sumatera!AJ89</f>
        <v>756.6206892162013</v>
      </c>
    </row>
    <row r="36" spans="1:16" x14ac:dyDescent="0.25">
      <c r="A36" t="str">
        <f>sumatera!U90</f>
        <v>SUMATERA</v>
      </c>
      <c r="B36">
        <f>sumatera!V90</f>
        <v>2033</v>
      </c>
      <c r="C36">
        <f>sumatera!W90</f>
        <v>302.41344417223928</v>
      </c>
      <c r="D36">
        <f>sumatera!X90</f>
        <v>101.81466740504156</v>
      </c>
      <c r="E36">
        <f>sumatera!Y90</f>
        <v>82.818471434887357</v>
      </c>
      <c r="F36">
        <f>sumatera!Z90</f>
        <v>77.857058709923777</v>
      </c>
      <c r="G36">
        <f>sumatera!AA90</f>
        <v>372.78503943510805</v>
      </c>
      <c r="H36">
        <f>sumatera!AB90</f>
        <v>2.6988408628862577</v>
      </c>
      <c r="I36">
        <f>sumatera!AC90</f>
        <v>16.37164649892517</v>
      </c>
      <c r="J36">
        <f>sumatera!AD90</f>
        <v>29.700425251736245</v>
      </c>
      <c r="K36">
        <f>sumatera!AE90</f>
        <v>12.602765531385691</v>
      </c>
      <c r="L36">
        <f>sumatera!AF90</f>
        <v>0.85363960742982747</v>
      </c>
      <c r="M36">
        <f>sumatera!AG90</f>
        <v>9.9318339236220653E-3</v>
      </c>
      <c r="N36">
        <f>sumatera!AH90</f>
        <v>0.44597998758524643</v>
      </c>
      <c r="O36">
        <f>sumatera!AI90</f>
        <v>0</v>
      </c>
      <c r="P36">
        <f>sumatera!AJ90</f>
        <v>1000.371910731072</v>
      </c>
    </row>
    <row r="37" spans="1:16" x14ac:dyDescent="0.25">
      <c r="A37" t="str">
        <f>sumatera!U91</f>
        <v>SUMATERA</v>
      </c>
      <c r="B37">
        <f>sumatera!V91</f>
        <v>2034</v>
      </c>
      <c r="C37">
        <f>sumatera!W91</f>
        <v>323.17778785805018</v>
      </c>
      <c r="D37">
        <f>sumatera!X91</f>
        <v>119.63280028318519</v>
      </c>
      <c r="E37">
        <f>sumatera!Y91</f>
        <v>84.387970689482813</v>
      </c>
      <c r="F37">
        <f>sumatera!Z91</f>
        <v>79.197303808502298</v>
      </c>
      <c r="G37">
        <f>sumatera!AA91</f>
        <v>372.78507784664765</v>
      </c>
      <c r="H37">
        <f>sumatera!AB91</f>
        <v>2.6988410624127361</v>
      </c>
      <c r="I37">
        <f>sumatera!AC91</f>
        <v>16.371647708450585</v>
      </c>
      <c r="J37">
        <f>sumatera!AD91</f>
        <v>29.700426161024332</v>
      </c>
      <c r="K37">
        <f>sumatera!AE91</f>
        <v>12.603135424096021</v>
      </c>
      <c r="L37">
        <f>sumatera!AF91</f>
        <v>0.85363960742982747</v>
      </c>
      <c r="M37">
        <f>sumatera!AG91</f>
        <v>9.9318746972459297E-3</v>
      </c>
      <c r="N37">
        <f>sumatera!AH91</f>
        <v>0.44598224897023886</v>
      </c>
      <c r="O37">
        <f>sumatera!AI91</f>
        <v>0</v>
      </c>
      <c r="P37">
        <f>sumatera!AJ91</f>
        <v>1041.8645445729494</v>
      </c>
    </row>
    <row r="38" spans="1:16" x14ac:dyDescent="0.25">
      <c r="A38" t="str">
        <f>sumatera!U92</f>
        <v>SUMATERA</v>
      </c>
      <c r="B38">
        <f>sumatera!V92</f>
        <v>2035</v>
      </c>
      <c r="C38">
        <f>sumatera!W92</f>
        <v>332.9853714909612</v>
      </c>
      <c r="D38">
        <f>sumatera!X92</f>
        <v>148.80414028400159</v>
      </c>
      <c r="E38">
        <f>sumatera!Y92</f>
        <v>94.288618004433587</v>
      </c>
      <c r="F38">
        <f>sumatera!Z92</f>
        <v>79.197391943577273</v>
      </c>
      <c r="G38">
        <f>sumatera!AA92</f>
        <v>372.7857747399417</v>
      </c>
      <c r="H38">
        <f>sumatera!AB92</f>
        <v>2.6988437409992359</v>
      </c>
      <c r="I38">
        <f>sumatera!AC92</f>
        <v>16.371670332791613</v>
      </c>
      <c r="J38">
        <f>sumatera!AD92</f>
        <v>29.700433501976061</v>
      </c>
      <c r="K38">
        <f>sumatera!AE92</f>
        <v>12.641922945847313</v>
      </c>
      <c r="L38">
        <f>sumatera!AF92</f>
        <v>0.85363960742982747</v>
      </c>
      <c r="M38">
        <f>sumatera!AG92</f>
        <v>9.9360079040668198E-3</v>
      </c>
      <c r="N38">
        <f>sumatera!AH92</f>
        <v>0.44601516773659405</v>
      </c>
      <c r="O38">
        <f>sumatera!AI92</f>
        <v>0</v>
      </c>
      <c r="P38">
        <f>sumatera!AJ92</f>
        <v>1090.7837577676</v>
      </c>
    </row>
    <row r="39" spans="1:16" x14ac:dyDescent="0.25">
      <c r="A39" t="str">
        <f>sumatera!U93</f>
        <v>SUMATERA</v>
      </c>
      <c r="B39">
        <f>sumatera!V93</f>
        <v>2036</v>
      </c>
      <c r="C39">
        <f>sumatera!W93</f>
        <v>361.4071906462728</v>
      </c>
      <c r="D39">
        <f>sumatera!X93</f>
        <v>155.87226873165835</v>
      </c>
      <c r="E39">
        <f>sumatera!Y93</f>
        <v>96.687505601523938</v>
      </c>
      <c r="F39">
        <f>sumatera!Z93</f>
        <v>79.197391922458479</v>
      </c>
      <c r="G39">
        <f>sumatera!AA93</f>
        <v>653.60907102973033</v>
      </c>
      <c r="H39">
        <f>sumatera!AB93</f>
        <v>2.9088780952645563</v>
      </c>
      <c r="I39">
        <f>sumatera!AC93</f>
        <v>18.145129795125655</v>
      </c>
      <c r="J39">
        <f>sumatera!AD93</f>
        <v>30.27633746198514</v>
      </c>
      <c r="K39">
        <f>sumatera!AE93</f>
        <v>13.421616303469877</v>
      </c>
      <c r="L39">
        <f>sumatera!AF93</f>
        <v>3.6659295499741376</v>
      </c>
      <c r="M39">
        <f>sumatera!AG93</f>
        <v>1.1391851740466896E-2</v>
      </c>
      <c r="N39">
        <f>sumatera!AH93</f>
        <v>4.5809477177987112</v>
      </c>
      <c r="O39">
        <f>sumatera!AI93</f>
        <v>0</v>
      </c>
      <c r="P39">
        <f>sumatera!AJ93</f>
        <v>1419.7836587070024</v>
      </c>
    </row>
    <row r="40" spans="1:16" x14ac:dyDescent="0.25">
      <c r="A40" t="str">
        <f>sumatera!U94</f>
        <v>SUMATERA</v>
      </c>
      <c r="B40">
        <f>sumatera!V94</f>
        <v>2037</v>
      </c>
      <c r="C40">
        <f>sumatera!W94</f>
        <v>385.62070875133452</v>
      </c>
      <c r="D40">
        <f>sumatera!X94</f>
        <v>181.48769909189252</v>
      </c>
      <c r="E40">
        <f>sumatera!Y94</f>
        <v>98.645336705456955</v>
      </c>
      <c r="F40">
        <f>sumatera!Z94</f>
        <v>79.197396542383601</v>
      </c>
      <c r="G40">
        <f>sumatera!AA94</f>
        <v>653.60918488947721</v>
      </c>
      <c r="H40">
        <f>sumatera!AB94</f>
        <v>2.9088785329590037</v>
      </c>
      <c r="I40">
        <f>sumatera!AC94</f>
        <v>18.145137111500169</v>
      </c>
      <c r="J40">
        <f>sumatera!AD94</f>
        <v>30.284140966754304</v>
      </c>
      <c r="K40">
        <f>sumatera!AE94</f>
        <v>13.421617927282361</v>
      </c>
      <c r="L40">
        <f>sumatera!AF94</f>
        <v>3.6659295499741376</v>
      </c>
      <c r="M40">
        <f>sumatera!AG94</f>
        <v>1.1392526680803424E-2</v>
      </c>
      <c r="N40">
        <f>sumatera!AH94</f>
        <v>4.5809531274129389</v>
      </c>
      <c r="O40">
        <f>sumatera!AI94</f>
        <v>0</v>
      </c>
      <c r="P40">
        <f>sumatera!AJ94</f>
        <v>1471.5783757231084</v>
      </c>
    </row>
    <row r="41" spans="1:16" x14ac:dyDescent="0.25">
      <c r="A41" t="str">
        <f>sumatera!U95</f>
        <v>SUMATERA</v>
      </c>
      <c r="B41">
        <f>sumatera!V95</f>
        <v>2038</v>
      </c>
      <c r="C41">
        <f>sumatera!W95</f>
        <v>406.61516332726086</v>
      </c>
      <c r="D41">
        <f>sumatera!X95</f>
        <v>214.88606862606022</v>
      </c>
      <c r="E41">
        <f>sumatera!Y95</f>
        <v>101.88348501506256</v>
      </c>
      <c r="F41">
        <f>sumatera!Z95</f>
        <v>79.368996942750741</v>
      </c>
      <c r="G41">
        <f>sumatera!AA95</f>
        <v>717.15526332684556</v>
      </c>
      <c r="H41">
        <f>sumatera!AB95</f>
        <v>2.9199439667240052</v>
      </c>
      <c r="I41">
        <f>sumatera!AC95</f>
        <v>18.238570853693865</v>
      </c>
      <c r="J41">
        <f>sumatera!AD95</f>
        <v>61.057136701905947</v>
      </c>
      <c r="K41">
        <f>sumatera!AE95</f>
        <v>13.462695272821222</v>
      </c>
      <c r="L41">
        <f>sumatera!AF95</f>
        <v>3.6659295499741376</v>
      </c>
      <c r="M41">
        <f>sumatera!AG95</f>
        <v>1.4269909664541456E-2</v>
      </c>
      <c r="N41">
        <f>sumatera!AH95</f>
        <v>4.7405645415942468</v>
      </c>
      <c r="O41">
        <f>sumatera!AI95</f>
        <v>0</v>
      </c>
      <c r="P41">
        <f>sumatera!AJ95</f>
        <v>1624.0080880343578</v>
      </c>
    </row>
    <row r="42" spans="1:16" x14ac:dyDescent="0.25">
      <c r="A42" t="str">
        <f>Jawa!U76</f>
        <v>JAWA</v>
      </c>
      <c r="B42">
        <f>Jawa!V76</f>
        <v>2019</v>
      </c>
      <c r="C42">
        <f>Jawa!W76</f>
        <v>638.12295396413776</v>
      </c>
      <c r="D42">
        <f>Jawa!X76</f>
        <v>56.229886838795544</v>
      </c>
      <c r="E42">
        <f>Jawa!Y76</f>
        <v>70.174964539701108</v>
      </c>
      <c r="F42">
        <f>Jawa!Z76</f>
        <v>0.69966530682862882</v>
      </c>
      <c r="G42">
        <f>Jawa!AA76</f>
        <v>24.345607053489228</v>
      </c>
      <c r="H42">
        <f>Jawa!AB76</f>
        <v>2.1863918758736864</v>
      </c>
      <c r="I42">
        <f>Jawa!AC76</f>
        <v>9.2426193969230783E-2</v>
      </c>
      <c r="J42">
        <f>Jawa!AD76</f>
        <v>5.5629503999999998E-3</v>
      </c>
      <c r="K42">
        <f>Jawa!AE76</f>
        <v>0</v>
      </c>
      <c r="L42">
        <f>Jawa!AF76</f>
        <v>0.16010490711662531</v>
      </c>
      <c r="M42">
        <f>Jawa!AG76</f>
        <v>0</v>
      </c>
      <c r="N42">
        <f>Jawa!AH76</f>
        <v>0</v>
      </c>
      <c r="O42">
        <f>Jawa!AI76</f>
        <v>0</v>
      </c>
      <c r="P42">
        <f>Jawa!AJ76</f>
        <v>792.01756363031177</v>
      </c>
    </row>
    <row r="43" spans="1:16" x14ac:dyDescent="0.25">
      <c r="A43" t="str">
        <f>Jawa!U77</f>
        <v>JAWA</v>
      </c>
      <c r="B43">
        <f>Jawa!V77</f>
        <v>2020</v>
      </c>
      <c r="C43">
        <f>Jawa!W77</f>
        <v>680.91394127765989</v>
      </c>
      <c r="D43">
        <f>Jawa!X77</f>
        <v>56.229886838795544</v>
      </c>
      <c r="E43">
        <f>Jawa!Y77</f>
        <v>77.332350056165794</v>
      </c>
      <c r="F43">
        <f>Jawa!Z77</f>
        <v>0.69966530682862882</v>
      </c>
      <c r="G43">
        <f>Jawa!AA77</f>
        <v>24.345607053489228</v>
      </c>
      <c r="H43">
        <f>Jawa!AB77</f>
        <v>3.9523447580545161</v>
      </c>
      <c r="I43">
        <f>Jawa!AC77</f>
        <v>0.24458607447930406</v>
      </c>
      <c r="J43">
        <f>Jawa!AD77</f>
        <v>28.551345622259038</v>
      </c>
      <c r="K43">
        <f>Jawa!AE77</f>
        <v>6.7911206181278189E-2</v>
      </c>
      <c r="L43">
        <f>Jawa!AF77</f>
        <v>0.16010490711662531</v>
      </c>
      <c r="M43">
        <f>Jawa!AG77</f>
        <v>5.3234599655816945E-3</v>
      </c>
      <c r="N43">
        <f>Jawa!AH77</f>
        <v>0</v>
      </c>
      <c r="O43">
        <f>Jawa!AI77</f>
        <v>0</v>
      </c>
      <c r="P43">
        <f>Jawa!AJ77</f>
        <v>872.50306656099542</v>
      </c>
    </row>
    <row r="44" spans="1:16" x14ac:dyDescent="0.25">
      <c r="A44" t="str">
        <f>Jawa!U78</f>
        <v>JAWA</v>
      </c>
      <c r="B44">
        <f>Jawa!V78</f>
        <v>2021</v>
      </c>
      <c r="C44">
        <f>Jawa!W78</f>
        <v>715.63583679113174</v>
      </c>
      <c r="D44">
        <f>Jawa!X78</f>
        <v>56.229886838795544</v>
      </c>
      <c r="E44">
        <f>Jawa!Y78</f>
        <v>96.899401550836245</v>
      </c>
      <c r="F44">
        <f>Jawa!Z78</f>
        <v>0.69966530682862882</v>
      </c>
      <c r="G44">
        <f>Jawa!AA78</f>
        <v>24.345607053489228</v>
      </c>
      <c r="H44">
        <f>Jawa!AB78</f>
        <v>4.835321244964101</v>
      </c>
      <c r="I44">
        <f>Jawa!AC78</f>
        <v>7.9195212480704207</v>
      </c>
      <c r="J44">
        <f>Jawa!AD78</f>
        <v>31.401386657561606</v>
      </c>
      <c r="K44">
        <f>Jawa!AE78</f>
        <v>8.0259576562229853</v>
      </c>
      <c r="L44">
        <f>Jawa!AF78</f>
        <v>0.16010490711662531</v>
      </c>
      <c r="M44">
        <f>Jawa!AG78</f>
        <v>7.6095343487232502E-3</v>
      </c>
      <c r="N44">
        <f>Jawa!AH78</f>
        <v>0</v>
      </c>
      <c r="O44">
        <f>Jawa!AI78</f>
        <v>0</v>
      </c>
      <c r="P44">
        <f>Jawa!AJ78</f>
        <v>946.16029878936581</v>
      </c>
    </row>
    <row r="45" spans="1:16" x14ac:dyDescent="0.25">
      <c r="A45" t="str">
        <f>Jawa!U79</f>
        <v>JAWA</v>
      </c>
      <c r="B45">
        <f>Jawa!V79</f>
        <v>2022</v>
      </c>
      <c r="C45">
        <f>Jawa!W79</f>
        <v>715.63583679113174</v>
      </c>
      <c r="D45">
        <f>Jawa!X79</f>
        <v>56.229886838795544</v>
      </c>
      <c r="E45">
        <f>Jawa!Y79</f>
        <v>139.09224236225461</v>
      </c>
      <c r="F45">
        <f>Jawa!Z79</f>
        <v>0.96939165337462208</v>
      </c>
      <c r="G45">
        <f>Jawa!AA79</f>
        <v>24.34560726446626</v>
      </c>
      <c r="H45">
        <f>Jawa!AB79</f>
        <v>4.835321244964101</v>
      </c>
      <c r="I45">
        <f>Jawa!AC79</f>
        <v>7.9195212480704207</v>
      </c>
      <c r="J45">
        <f>Jawa!AD79</f>
        <v>31.401386657561606</v>
      </c>
      <c r="K45">
        <f>Jawa!AE79</f>
        <v>8.0259576562229853</v>
      </c>
      <c r="L45">
        <f>Jawa!AF79</f>
        <v>0.16010490711662531</v>
      </c>
      <c r="M45">
        <f>Jawa!AG79</f>
        <v>7.6095343487194659E-3</v>
      </c>
      <c r="N45">
        <f>Jawa!AH79</f>
        <v>0</v>
      </c>
      <c r="O45">
        <f>Jawa!AI79</f>
        <v>0</v>
      </c>
      <c r="P45">
        <f>Jawa!AJ79</f>
        <v>988.62286615830726</v>
      </c>
    </row>
    <row r="46" spans="1:16" x14ac:dyDescent="0.25">
      <c r="A46" t="str">
        <f>Jawa!U80</f>
        <v>JAWA</v>
      </c>
      <c r="B46">
        <f>Jawa!V80</f>
        <v>2023</v>
      </c>
      <c r="C46">
        <f>Jawa!W80</f>
        <v>715.63583679113174</v>
      </c>
      <c r="D46">
        <f>Jawa!X80</f>
        <v>56.229886838795544</v>
      </c>
      <c r="E46">
        <f>Jawa!Y80</f>
        <v>168.81547366209355</v>
      </c>
      <c r="F46">
        <f>Jawa!Z80</f>
        <v>0.99460285658107872</v>
      </c>
      <c r="G46">
        <f>Jawa!AA80</f>
        <v>24.34560726446626</v>
      </c>
      <c r="H46">
        <f>Jawa!AB80</f>
        <v>4.835321244964101</v>
      </c>
      <c r="I46">
        <f>Jawa!AC80</f>
        <v>7.9195212480704207</v>
      </c>
      <c r="J46">
        <f>Jawa!AD80</f>
        <v>31.401386657561606</v>
      </c>
      <c r="K46">
        <f>Jawa!AE80</f>
        <v>8.0259576562229853</v>
      </c>
      <c r="L46">
        <f>Jawa!AF80</f>
        <v>0.16010490711662531</v>
      </c>
      <c r="M46">
        <f>Jawa!AG80</f>
        <v>7.6095343487194659E-3</v>
      </c>
      <c r="N46">
        <f>Jawa!AH80</f>
        <v>0</v>
      </c>
      <c r="O46">
        <f>Jawa!AI80</f>
        <v>0</v>
      </c>
      <c r="P46">
        <f>Jawa!AJ80</f>
        <v>1018.3713086613527</v>
      </c>
    </row>
    <row r="47" spans="1:16" x14ac:dyDescent="0.25">
      <c r="A47" t="str">
        <f>Jawa!U81</f>
        <v>JAWA</v>
      </c>
      <c r="B47">
        <f>Jawa!V81</f>
        <v>2024</v>
      </c>
      <c r="C47">
        <f>Jawa!W81</f>
        <v>715.63583679113174</v>
      </c>
      <c r="D47">
        <f>Jawa!X81</f>
        <v>64.844127596811703</v>
      </c>
      <c r="E47">
        <f>Jawa!Y81</f>
        <v>198.80215776283191</v>
      </c>
      <c r="F47">
        <f>Jawa!Z81</f>
        <v>1.0238222967036872</v>
      </c>
      <c r="G47">
        <f>Jawa!AA81</f>
        <v>24.34560726446626</v>
      </c>
      <c r="H47">
        <f>Jawa!AB81</f>
        <v>4.835321244964101</v>
      </c>
      <c r="I47">
        <f>Jawa!AC81</f>
        <v>7.9195212480704207</v>
      </c>
      <c r="J47">
        <f>Jawa!AD81</f>
        <v>31.401386657561606</v>
      </c>
      <c r="K47">
        <f>Jawa!AE81</f>
        <v>8.0259576562229853</v>
      </c>
      <c r="L47">
        <f>Jawa!AF81</f>
        <v>0.16010490711662531</v>
      </c>
      <c r="M47">
        <f>Jawa!AG81</f>
        <v>7.6095343487194659E-3</v>
      </c>
      <c r="N47">
        <f>Jawa!AH81</f>
        <v>0</v>
      </c>
      <c r="O47">
        <f>Jawa!AI81</f>
        <v>0</v>
      </c>
      <c r="P47">
        <f>Jawa!AJ81</f>
        <v>1057.0014529602299</v>
      </c>
    </row>
    <row r="48" spans="1:16" x14ac:dyDescent="0.25">
      <c r="A48" t="str">
        <f>Jawa!U82</f>
        <v>JAWA</v>
      </c>
      <c r="B48">
        <f>Jawa!V82</f>
        <v>2025</v>
      </c>
      <c r="C48">
        <f>Jawa!W82</f>
        <v>715.63583679113174</v>
      </c>
      <c r="D48">
        <f>Jawa!X82</f>
        <v>73.033249522883324</v>
      </c>
      <c r="E48">
        <f>Jawa!Y82</f>
        <v>209.013030915667</v>
      </c>
      <c r="F48">
        <f>Jawa!Z82</f>
        <v>1.0490566191185156</v>
      </c>
      <c r="G48">
        <f>Jawa!AA82</f>
        <v>24.34560726446626</v>
      </c>
      <c r="H48">
        <f>Jawa!AB82</f>
        <v>5.1901398904483891</v>
      </c>
      <c r="I48">
        <f>Jawa!AC82</f>
        <v>7.9195212480704207</v>
      </c>
      <c r="J48">
        <f>Jawa!AD82</f>
        <v>31.401386657561606</v>
      </c>
      <c r="K48">
        <f>Jawa!AE82</f>
        <v>15.690963759223557</v>
      </c>
      <c r="L48">
        <f>Jawa!AF82</f>
        <v>0.16010490711662531</v>
      </c>
      <c r="M48">
        <f>Jawa!AG82</f>
        <v>7.6095343487194659E-3</v>
      </c>
      <c r="N48">
        <f>Jawa!AH82</f>
        <v>0</v>
      </c>
      <c r="O48">
        <f>Jawa!AI82</f>
        <v>0</v>
      </c>
      <c r="P48">
        <f>Jawa!AJ82</f>
        <v>1083.4465071100362</v>
      </c>
    </row>
    <row r="49" spans="1:16" x14ac:dyDescent="0.25">
      <c r="A49" t="str">
        <f>Jawa!U83</f>
        <v>JAWA</v>
      </c>
      <c r="B49">
        <f>Jawa!V83</f>
        <v>2026</v>
      </c>
      <c r="C49">
        <f>Jawa!W83</f>
        <v>716.50579385006199</v>
      </c>
      <c r="D49">
        <f>Jawa!X83</f>
        <v>73.422728325769597</v>
      </c>
      <c r="E49">
        <f>Jawa!Y83</f>
        <v>209.14176310155867</v>
      </c>
      <c r="F49">
        <f>Jawa!Z83</f>
        <v>1.0490566191185156</v>
      </c>
      <c r="G49">
        <f>Jawa!AA83</f>
        <v>27.812887577478644</v>
      </c>
      <c r="H49">
        <f>Jawa!AB83</f>
        <v>5.4011945374714854</v>
      </c>
      <c r="I49">
        <f>Jawa!AC83</f>
        <v>8.978962499775518</v>
      </c>
      <c r="J49">
        <f>Jawa!AD83</f>
        <v>31.764160260225601</v>
      </c>
      <c r="K49">
        <f>Jawa!AE83</f>
        <v>16.17949963893539</v>
      </c>
      <c r="L49">
        <f>Jawa!AF83</f>
        <v>1.9285651504748182</v>
      </c>
      <c r="M49">
        <f>Jawa!AG83</f>
        <v>7.6095343487194659E-3</v>
      </c>
      <c r="N49">
        <f>Jawa!AH83</f>
        <v>0.48417957361037545</v>
      </c>
      <c r="O49">
        <f>Jawa!AI83</f>
        <v>0</v>
      </c>
      <c r="P49">
        <f>Jawa!AJ83</f>
        <v>1092.6764006688295</v>
      </c>
    </row>
    <row r="50" spans="1:16" x14ac:dyDescent="0.25">
      <c r="A50" t="str">
        <f>Jawa!U84</f>
        <v>JAWA</v>
      </c>
      <c r="B50">
        <f>Jawa!V84</f>
        <v>2027</v>
      </c>
      <c r="C50">
        <f>Jawa!W84</f>
        <v>716.50579385006199</v>
      </c>
      <c r="D50">
        <f>Jawa!X84</f>
        <v>80.010612317532321</v>
      </c>
      <c r="E50">
        <f>Jawa!Y84</f>
        <v>252.70648560233954</v>
      </c>
      <c r="F50">
        <f>Jawa!Z84</f>
        <v>1.1011340718613996</v>
      </c>
      <c r="G50">
        <f>Jawa!AA84</f>
        <v>27.812887577478644</v>
      </c>
      <c r="H50">
        <f>Jawa!AB84</f>
        <v>5.5597418899558635</v>
      </c>
      <c r="I50">
        <f>Jawa!AC84</f>
        <v>8.978962499775518</v>
      </c>
      <c r="J50">
        <f>Jawa!AD84</f>
        <v>31.764160260225601</v>
      </c>
      <c r="K50">
        <f>Jawa!AE84</f>
        <v>20.750121119356631</v>
      </c>
      <c r="L50">
        <f>Jawa!AF84</f>
        <v>1.9285651504748182</v>
      </c>
      <c r="M50">
        <f>Jawa!AG84</f>
        <v>7.6095343487194659E-3</v>
      </c>
      <c r="N50">
        <f>Jawa!AH84</f>
        <v>0.48417957361037545</v>
      </c>
      <c r="O50">
        <f>Jawa!AI84</f>
        <v>0</v>
      </c>
      <c r="P50">
        <f>Jawa!AJ84</f>
        <v>1147.6102534470219</v>
      </c>
    </row>
    <row r="51" spans="1:16" x14ac:dyDescent="0.25">
      <c r="A51" t="str">
        <f>Jawa!U85</f>
        <v>JAWA</v>
      </c>
      <c r="B51">
        <f>Jawa!V85</f>
        <v>2028</v>
      </c>
      <c r="C51">
        <f>Jawa!W85</f>
        <v>716.50579385006199</v>
      </c>
      <c r="D51">
        <f>Jawa!X85</f>
        <v>90.609529089982743</v>
      </c>
      <c r="E51">
        <f>Jawa!Y85</f>
        <v>276.90419597822751</v>
      </c>
      <c r="F51">
        <f>Jawa!Z85</f>
        <v>1.1343100182492443</v>
      </c>
      <c r="G51">
        <f>Jawa!AA85</f>
        <v>27.812887577478644</v>
      </c>
      <c r="H51">
        <f>Jawa!AB85</f>
        <v>5.5597418899558635</v>
      </c>
      <c r="I51">
        <f>Jawa!AC85</f>
        <v>8.978962499775518</v>
      </c>
      <c r="J51">
        <f>Jawa!AD85</f>
        <v>35.137110257471633</v>
      </c>
      <c r="K51">
        <f>Jawa!AE85</f>
        <v>26.126364948920568</v>
      </c>
      <c r="L51">
        <f>Jawa!AF85</f>
        <v>1.9285651504748182</v>
      </c>
      <c r="M51">
        <f>Jawa!AG85</f>
        <v>7.6095343487194659E-3</v>
      </c>
      <c r="N51">
        <f>Jawa!AH85</f>
        <v>0.48417957361037545</v>
      </c>
      <c r="O51">
        <f>Jawa!AI85</f>
        <v>0</v>
      </c>
      <c r="P51">
        <f>Jawa!AJ85</f>
        <v>1191.1892503685579</v>
      </c>
    </row>
    <row r="52" spans="1:16" x14ac:dyDescent="0.25">
      <c r="A52" t="str">
        <f>Jawa!U86</f>
        <v>JAWA</v>
      </c>
      <c r="B52">
        <f>Jawa!V86</f>
        <v>2029</v>
      </c>
      <c r="C52">
        <f>Jawa!W86</f>
        <v>716.50579385006199</v>
      </c>
      <c r="D52">
        <f>Jawa!X86</f>
        <v>103.0418696986913</v>
      </c>
      <c r="E52">
        <f>Jawa!Y86</f>
        <v>300.2738862631615</v>
      </c>
      <c r="F52">
        <f>Jawa!Z86</f>
        <v>1.1659951803433923</v>
      </c>
      <c r="G52">
        <f>Jawa!AA86</f>
        <v>27.812887577478644</v>
      </c>
      <c r="H52">
        <f>Jawa!AB86</f>
        <v>5.5597418899558635</v>
      </c>
      <c r="I52">
        <f>Jawa!AC86</f>
        <v>8.978962499775518</v>
      </c>
      <c r="J52">
        <f>Jawa!AD86</f>
        <v>39.21374411585554</v>
      </c>
      <c r="K52">
        <f>Jawa!AE86</f>
        <v>31.338962037512804</v>
      </c>
      <c r="L52">
        <f>Jawa!AF86</f>
        <v>1.9285651504748182</v>
      </c>
      <c r="M52">
        <f>Jawa!AG86</f>
        <v>7.6095343487194659E-3</v>
      </c>
      <c r="N52">
        <f>Jawa!AH86</f>
        <v>0.48417957361037545</v>
      </c>
      <c r="O52">
        <f>Jawa!AI86</f>
        <v>0</v>
      </c>
      <c r="P52">
        <f>Jawa!AJ86</f>
        <v>1236.3121973712705</v>
      </c>
    </row>
    <row r="53" spans="1:16" x14ac:dyDescent="0.25">
      <c r="A53" t="str">
        <f>Jawa!U87</f>
        <v>JAWA</v>
      </c>
      <c r="B53">
        <f>Jawa!V87</f>
        <v>2030</v>
      </c>
      <c r="C53">
        <f>Jawa!W87</f>
        <v>716.50579385006199</v>
      </c>
      <c r="D53">
        <f>Jawa!X87</f>
        <v>116.16960549390214</v>
      </c>
      <c r="E53">
        <f>Jawa!Y87</f>
        <v>328.72022013930456</v>
      </c>
      <c r="F53">
        <f>Jawa!Z87</f>
        <v>1.2056612009993635</v>
      </c>
      <c r="G53">
        <f>Jawa!AA87</f>
        <v>27.812887577478644</v>
      </c>
      <c r="H53">
        <f>Jawa!AB87</f>
        <v>5.5597418899558635</v>
      </c>
      <c r="I53">
        <f>Jawa!AC87</f>
        <v>8.978962499775518</v>
      </c>
      <c r="J53">
        <f>Jawa!AD87</f>
        <v>44.014747139885067</v>
      </c>
      <c r="K53">
        <f>Jawa!AE87</f>
        <v>37.394386888727773</v>
      </c>
      <c r="L53">
        <f>Jawa!AF87</f>
        <v>1.9285651504748182</v>
      </c>
      <c r="M53">
        <f>Jawa!AG87</f>
        <v>7.6095343487194659E-3</v>
      </c>
      <c r="N53">
        <f>Jawa!AH87</f>
        <v>0.48417957361037545</v>
      </c>
      <c r="O53">
        <f>Jawa!AI87</f>
        <v>0</v>
      </c>
      <c r="P53">
        <f>Jawa!AJ87</f>
        <v>1288.782360938525</v>
      </c>
    </row>
    <row r="54" spans="1:16" x14ac:dyDescent="0.25">
      <c r="A54" t="str">
        <f>Jawa!U88</f>
        <v>JAWA</v>
      </c>
      <c r="B54">
        <f>Jawa!V88</f>
        <v>2031</v>
      </c>
      <c r="C54">
        <f>Jawa!W88</f>
        <v>716.50579385006199</v>
      </c>
      <c r="D54">
        <f>Jawa!X88</f>
        <v>130.01920937536704</v>
      </c>
      <c r="E54">
        <f>Jawa!Y88</f>
        <v>368.02067700294583</v>
      </c>
      <c r="F54">
        <f>Jawa!Z88</f>
        <v>1.2627494017686269</v>
      </c>
      <c r="G54">
        <f>Jawa!AA88</f>
        <v>27.812887577478644</v>
      </c>
      <c r="H54">
        <f>Jawa!AB88</f>
        <v>5.5597418899558635</v>
      </c>
      <c r="I54">
        <f>Jawa!AC88</f>
        <v>8.978962499775518</v>
      </c>
      <c r="J54">
        <f>Jawa!AD88</f>
        <v>52.075926309355765</v>
      </c>
      <c r="K54">
        <f>Jawa!AE88</f>
        <v>44.214001741004068</v>
      </c>
      <c r="L54">
        <f>Jawa!AF88</f>
        <v>1.9285651504748182</v>
      </c>
      <c r="M54">
        <f>Jawa!AG88</f>
        <v>7.6095343487194659E-3</v>
      </c>
      <c r="N54">
        <f>Jawa!AH88</f>
        <v>0.48417957361037545</v>
      </c>
      <c r="O54">
        <f>Jawa!AI88</f>
        <v>0</v>
      </c>
      <c r="P54">
        <f>Jawa!AJ88</f>
        <v>1356.8703039061472</v>
      </c>
    </row>
    <row r="55" spans="1:16" x14ac:dyDescent="0.25">
      <c r="A55" t="str">
        <f>Jawa!U89</f>
        <v>JAWA</v>
      </c>
      <c r="B55">
        <f>Jawa!V89</f>
        <v>2032</v>
      </c>
      <c r="C55">
        <f>Jawa!W89</f>
        <v>716.50583380725595</v>
      </c>
      <c r="D55">
        <f>Jawa!X89</f>
        <v>144.6496857262083</v>
      </c>
      <c r="E55">
        <f>Jawa!Y89</f>
        <v>411.61323896875916</v>
      </c>
      <c r="F55">
        <f>Jawa!Z89</f>
        <v>1.3249493129568115</v>
      </c>
      <c r="G55">
        <f>Jawa!AA89</f>
        <v>27.812887577478644</v>
      </c>
      <c r="H55">
        <f>Jawa!AB89</f>
        <v>5.5597423811686095</v>
      </c>
      <c r="I55">
        <f>Jawa!AC89</f>
        <v>8.978962499775518</v>
      </c>
      <c r="J55">
        <f>Jawa!AD89</f>
        <v>61.190262944096503</v>
      </c>
      <c r="K55">
        <f>Jawa!AE89</f>
        <v>51.719540756002054</v>
      </c>
      <c r="L55">
        <f>Jawa!AF89</f>
        <v>1.9285651504748182</v>
      </c>
      <c r="M55">
        <f>Jawa!AG89</f>
        <v>7.6095343487194659E-3</v>
      </c>
      <c r="N55">
        <f>Jawa!AH89</f>
        <v>0.48417957361037545</v>
      </c>
      <c r="O55">
        <f>Jawa!AI89</f>
        <v>0</v>
      </c>
      <c r="P55">
        <f>Jawa!AJ89</f>
        <v>1431.7754582321356</v>
      </c>
    </row>
    <row r="56" spans="1:16" x14ac:dyDescent="0.25">
      <c r="A56" t="str">
        <f>Jawa!U90</f>
        <v>JAWA</v>
      </c>
      <c r="B56">
        <f>Jawa!V90</f>
        <v>2033</v>
      </c>
      <c r="C56">
        <f>Jawa!W90</f>
        <v>716.50583380725595</v>
      </c>
      <c r="D56">
        <f>Jawa!X90</f>
        <v>160.11727300222964</v>
      </c>
      <c r="E56">
        <f>Jawa!Y90</f>
        <v>454.09757811067658</v>
      </c>
      <c r="F56">
        <f>Jawa!Z90</f>
        <v>1.3846054379728179</v>
      </c>
      <c r="G56">
        <f>Jawa!AA90</f>
        <v>27.812887577478644</v>
      </c>
      <c r="H56">
        <f>Jawa!AB90</f>
        <v>5.5597423811686095</v>
      </c>
      <c r="I56">
        <f>Jawa!AC90</f>
        <v>8.978962499775518</v>
      </c>
      <c r="J56">
        <f>Jawa!AD90</f>
        <v>64.588979143737774</v>
      </c>
      <c r="K56">
        <f>Jawa!AE90</f>
        <v>62.18679083002008</v>
      </c>
      <c r="L56">
        <f>Jawa!AF90</f>
        <v>1.9285651504748182</v>
      </c>
      <c r="M56">
        <f>Jawa!AG90</f>
        <v>7.6095343487194659E-3</v>
      </c>
      <c r="N56">
        <f>Jawa!AH90</f>
        <v>0.48417957361037545</v>
      </c>
      <c r="O56">
        <f>Jawa!AI90</f>
        <v>0</v>
      </c>
      <c r="P56">
        <f>Jawa!AJ90</f>
        <v>1503.6530070487497</v>
      </c>
    </row>
    <row r="57" spans="1:16" x14ac:dyDescent="0.25">
      <c r="A57" t="str">
        <f>Jawa!U91</f>
        <v>JAWA</v>
      </c>
      <c r="B57">
        <f>Jawa!V91</f>
        <v>2034</v>
      </c>
      <c r="C57">
        <f>Jawa!W91</f>
        <v>754.74930902330732</v>
      </c>
      <c r="D57">
        <f>Jawa!X91</f>
        <v>176.46048282796093</v>
      </c>
      <c r="E57">
        <f>Jawa!Y91</f>
        <v>482.53780198734114</v>
      </c>
      <c r="F57">
        <f>Jawa!Z91</f>
        <v>1.447297964546161</v>
      </c>
      <c r="G57">
        <f>Jawa!AA91</f>
        <v>27.812887577478644</v>
      </c>
      <c r="H57">
        <f>Jawa!AB91</f>
        <v>5.5597423811686095</v>
      </c>
      <c r="I57">
        <f>Jawa!AC91</f>
        <v>8.978962499775518</v>
      </c>
      <c r="J57">
        <f>Jawa!AD91</f>
        <v>73.238850372929008</v>
      </c>
      <c r="K57">
        <f>Jawa!AE91</f>
        <v>71.155165811290942</v>
      </c>
      <c r="L57">
        <f>Jawa!AF91</f>
        <v>1.9285651504748182</v>
      </c>
      <c r="M57">
        <f>Jawa!AG91</f>
        <v>7.6095343487194659E-3</v>
      </c>
      <c r="N57">
        <f>Jawa!AH91</f>
        <v>0.48417957900158554</v>
      </c>
      <c r="O57">
        <f>Jawa!AI91</f>
        <v>0</v>
      </c>
      <c r="P57">
        <f>Jawa!AJ91</f>
        <v>1604.3608547096237</v>
      </c>
    </row>
    <row r="58" spans="1:16" x14ac:dyDescent="0.25">
      <c r="A58" t="str">
        <f>Jawa!U92</f>
        <v>JAWA</v>
      </c>
      <c r="B58">
        <f>Jawa!V92</f>
        <v>2035</v>
      </c>
      <c r="C58">
        <f>Jawa!W92</f>
        <v>797.27863292786435</v>
      </c>
      <c r="D58">
        <f>Jawa!X92</f>
        <v>193.7352762965447</v>
      </c>
      <c r="E58">
        <f>Jawa!Y92</f>
        <v>509.48215172756909</v>
      </c>
      <c r="F58">
        <f>Jawa!Z92</f>
        <v>1.5089765983012378</v>
      </c>
      <c r="G58">
        <f>Jawa!AA92</f>
        <v>27.812887577478644</v>
      </c>
      <c r="H58">
        <f>Jawa!AB92</f>
        <v>5.5597423811686095</v>
      </c>
      <c r="I58">
        <f>Jawa!AC92</f>
        <v>8.978962499775518</v>
      </c>
      <c r="J58">
        <f>Jawa!AD92</f>
        <v>82.823289842231958</v>
      </c>
      <c r="K58">
        <f>Jawa!AE92</f>
        <v>80.204949860422104</v>
      </c>
      <c r="L58">
        <f>Jawa!AF92</f>
        <v>1.9285651504748182</v>
      </c>
      <c r="M58">
        <f>Jawa!AG92</f>
        <v>7.6095343487194659E-3</v>
      </c>
      <c r="N58">
        <f>Jawa!AH92</f>
        <v>0.48417958397536082</v>
      </c>
      <c r="O58">
        <f>Jawa!AI92</f>
        <v>0</v>
      </c>
      <c r="P58">
        <f>Jawa!AJ92</f>
        <v>1709.8052239801555</v>
      </c>
    </row>
    <row r="59" spans="1:16" x14ac:dyDescent="0.25">
      <c r="A59" t="str">
        <f>Jawa!U93</f>
        <v>JAWA</v>
      </c>
      <c r="B59">
        <f>Jawa!V93</f>
        <v>2036</v>
      </c>
      <c r="C59">
        <f>Jawa!W93</f>
        <v>828.96725515105868</v>
      </c>
      <c r="D59">
        <f>Jawa!X93</f>
        <v>212.02529252572393</v>
      </c>
      <c r="E59">
        <f>Jawa!Y93</f>
        <v>528.33777973850579</v>
      </c>
      <c r="F59">
        <f>Jawa!Z93</f>
        <v>1.5486349948355143</v>
      </c>
      <c r="G59">
        <f>Jawa!AA93</f>
        <v>27.812887577478644</v>
      </c>
      <c r="H59">
        <f>Jawa!AB93</f>
        <v>5.5597423811686095</v>
      </c>
      <c r="I59">
        <f>Jawa!AC93</f>
        <v>8.978962499775518</v>
      </c>
      <c r="J59">
        <f>Jawa!AD93</f>
        <v>92.181616850338244</v>
      </c>
      <c r="K59">
        <f>Jawa!AE93</f>
        <v>87.159033905606123</v>
      </c>
      <c r="L59">
        <f>Jawa!AF93</f>
        <v>1.9285651504748182</v>
      </c>
      <c r="M59">
        <f>Jawa!AG93</f>
        <v>7.6095343487194659E-3</v>
      </c>
      <c r="N59">
        <f>Jawa!AH93</f>
        <v>0.48417958397536082</v>
      </c>
      <c r="O59">
        <f>Jawa!AI93</f>
        <v>0</v>
      </c>
      <c r="P59">
        <f>Jawa!AJ93</f>
        <v>1794.9915598932903</v>
      </c>
    </row>
    <row r="60" spans="1:16" x14ac:dyDescent="0.25">
      <c r="A60" t="str">
        <f>Jawa!U94</f>
        <v>JAWA</v>
      </c>
      <c r="B60">
        <f>Jawa!V94</f>
        <v>2037</v>
      </c>
      <c r="C60">
        <f>Jawa!W94</f>
        <v>849.25108014201192</v>
      </c>
      <c r="D60">
        <f>Jawa!X94</f>
        <v>231.38739312402021</v>
      </c>
      <c r="E60">
        <f>Jawa!Y94</f>
        <v>538.55925506841822</v>
      </c>
      <c r="F60">
        <f>Jawa!Z94</f>
        <v>1.5660643115261956</v>
      </c>
      <c r="G60">
        <f>Jawa!AA94</f>
        <v>27.812887577478644</v>
      </c>
      <c r="H60">
        <f>Jawa!AB94</f>
        <v>5.5597423811686095</v>
      </c>
      <c r="I60">
        <f>Jawa!AC94</f>
        <v>8.978962499775518</v>
      </c>
      <c r="J60">
        <f>Jawa!AD94</f>
        <v>101.08107892450884</v>
      </c>
      <c r="K60">
        <f>Jawa!AE94</f>
        <v>91.84475096340644</v>
      </c>
      <c r="L60">
        <f>Jawa!AF94</f>
        <v>1.9285651504748182</v>
      </c>
      <c r="M60">
        <f>Jawa!AG94</f>
        <v>7.6095343487194659E-3</v>
      </c>
      <c r="N60">
        <f>Jawa!AH94</f>
        <v>0.48417958397536082</v>
      </c>
      <c r="O60">
        <f>Jawa!AI94</f>
        <v>0</v>
      </c>
      <c r="P60">
        <f>Jawa!AJ94</f>
        <v>1858.4615692611137</v>
      </c>
    </row>
    <row r="61" spans="1:16" x14ac:dyDescent="0.25">
      <c r="A61" t="str">
        <f>Jawa!U95</f>
        <v>JAWA</v>
      </c>
      <c r="B61">
        <f>Jawa!V95</f>
        <v>2038</v>
      </c>
      <c r="C61">
        <f>Jawa!W95</f>
        <v>890.65261624961261</v>
      </c>
      <c r="D61">
        <f>Jawa!X95</f>
        <v>251.79364346978346</v>
      </c>
      <c r="E61">
        <f>Jawa!Y95</f>
        <v>564.29605347715392</v>
      </c>
      <c r="F61">
        <f>Jawa!Z95</f>
        <v>1.6213112633818072</v>
      </c>
      <c r="G61">
        <f>Jawa!AA95</f>
        <v>27.812887577478644</v>
      </c>
      <c r="H61">
        <f>Jawa!AB95</f>
        <v>5.5597423811686095</v>
      </c>
      <c r="I61">
        <f>Jawa!AC95</f>
        <v>10.664191544618101</v>
      </c>
      <c r="J61">
        <f>Jawa!AD95</f>
        <v>113.45581010567933</v>
      </c>
      <c r="K61">
        <f>Jawa!AE95</f>
        <v>97.727066244669857</v>
      </c>
      <c r="L61">
        <f>Jawa!AF95</f>
        <v>1.9285651514475044</v>
      </c>
      <c r="M61">
        <f>Jawa!AG95</f>
        <v>7.6095343487194659E-3</v>
      </c>
      <c r="N61">
        <f>Jawa!AH95</f>
        <v>0.48417958397536082</v>
      </c>
      <c r="O61">
        <f>Jawa!AI95</f>
        <v>0</v>
      </c>
      <c r="P61">
        <f>Jawa!AJ95</f>
        <v>1966.0036765833181</v>
      </c>
    </row>
    <row r="62" spans="1:16" x14ac:dyDescent="0.25">
      <c r="A62" t="str">
        <f>bali_nt!U76</f>
        <v>BALI_NT</v>
      </c>
      <c r="B62">
        <f>bali_nt!V76</f>
        <v>2019</v>
      </c>
      <c r="C62">
        <f>bali_nt!W76</f>
        <v>14.380680187100689</v>
      </c>
      <c r="D62">
        <f>bali_nt!X76</f>
        <v>12.821836669369571</v>
      </c>
      <c r="E62">
        <f>bali_nt!Y76</f>
        <v>0</v>
      </c>
      <c r="F62">
        <f>bali_nt!Z76</f>
        <v>12.29218810261405</v>
      </c>
      <c r="G62">
        <f>bali_nt!AA76</f>
        <v>3.6821967286153847</v>
      </c>
      <c r="H62">
        <f>bali_nt!AB76</f>
        <v>6.1402507141700459E-3</v>
      </c>
      <c r="I62">
        <f>bali_nt!AC76</f>
        <v>8.5234530461538449E-2</v>
      </c>
      <c r="J62">
        <f>bali_nt!AD76</f>
        <v>2.2974985151999999E-2</v>
      </c>
      <c r="K62">
        <f>bali_nt!AE76</f>
        <v>0</v>
      </c>
      <c r="L62">
        <f>bali_nt!AF76</f>
        <v>0</v>
      </c>
      <c r="M62">
        <f>bali_nt!AG76</f>
        <v>0</v>
      </c>
      <c r="N62">
        <f>bali_nt!AH76</f>
        <v>0</v>
      </c>
      <c r="O62">
        <f>bali_nt!AI76</f>
        <v>0</v>
      </c>
      <c r="P62">
        <f>bali_nt!AJ76</f>
        <v>43.291251454027403</v>
      </c>
    </row>
    <row r="63" spans="1:16" x14ac:dyDescent="0.25">
      <c r="A63" t="str">
        <f>bali_nt!U77</f>
        <v>BALI_NT</v>
      </c>
      <c r="B63">
        <f>bali_nt!V77</f>
        <v>2020</v>
      </c>
      <c r="C63">
        <f>bali_nt!W77</f>
        <v>14.592284289386727</v>
      </c>
      <c r="D63">
        <f>bali_nt!X77</f>
        <v>12.821836669369571</v>
      </c>
      <c r="E63">
        <f>bali_nt!Y77</f>
        <v>0</v>
      </c>
      <c r="F63">
        <f>bali_nt!Z77</f>
        <v>12.29218810261405</v>
      </c>
      <c r="G63">
        <f>bali_nt!AA77</f>
        <v>3.6821967286153847</v>
      </c>
      <c r="H63">
        <f>bali_nt!AB77</f>
        <v>6.1402507141700459E-3</v>
      </c>
      <c r="I63">
        <f>bali_nt!AC77</f>
        <v>8.5234530461538449E-2</v>
      </c>
      <c r="J63">
        <f>bali_nt!AD77</f>
        <v>7.379324202012616E-2</v>
      </c>
      <c r="K63">
        <f>bali_nt!AE77</f>
        <v>0</v>
      </c>
      <c r="L63">
        <f>bali_nt!AF77</f>
        <v>1.3559250964357656</v>
      </c>
      <c r="M63">
        <f>bali_nt!AG77</f>
        <v>0</v>
      </c>
      <c r="N63">
        <f>bali_nt!AH77</f>
        <v>0</v>
      </c>
      <c r="O63">
        <f>bali_nt!AI77</f>
        <v>0</v>
      </c>
      <c r="P63">
        <f>bali_nt!AJ77</f>
        <v>44.909598909617337</v>
      </c>
    </row>
    <row r="64" spans="1:16" x14ac:dyDescent="0.25">
      <c r="A64" t="str">
        <f>bali_nt!U78</f>
        <v>BALI_NT</v>
      </c>
      <c r="B64">
        <f>bali_nt!V78</f>
        <v>2021</v>
      </c>
      <c r="C64">
        <f>bali_nt!W78</f>
        <v>16.875764293117971</v>
      </c>
      <c r="D64">
        <f>bali_nt!X78</f>
        <v>12.821836669369571</v>
      </c>
      <c r="E64">
        <f>bali_nt!Y78</f>
        <v>0</v>
      </c>
      <c r="F64">
        <f>bali_nt!Z78</f>
        <v>12.29218810261405</v>
      </c>
      <c r="G64">
        <f>bali_nt!AA78</f>
        <v>24.83469415838174</v>
      </c>
      <c r="H64">
        <f>bali_nt!AB78</f>
        <v>6.1402507141700459E-3</v>
      </c>
      <c r="I64">
        <f>bali_nt!AC78</f>
        <v>8.5234530461538449E-2</v>
      </c>
      <c r="J64">
        <f>bali_nt!AD78</f>
        <v>0.23393983215822184</v>
      </c>
      <c r="K64">
        <f>bali_nt!AE78</f>
        <v>0</v>
      </c>
      <c r="L64">
        <f>bali_nt!AF78</f>
        <v>1.3559250764226518</v>
      </c>
      <c r="M64">
        <f>bali_nt!AG78</f>
        <v>-3.1799999998810467E-10</v>
      </c>
      <c r="N64">
        <f>bali_nt!AH78</f>
        <v>0</v>
      </c>
      <c r="O64">
        <f>bali_nt!AI78</f>
        <v>0</v>
      </c>
      <c r="P64">
        <f>bali_nt!AJ78</f>
        <v>68.505722912921911</v>
      </c>
    </row>
    <row r="65" spans="1:16" x14ac:dyDescent="0.25">
      <c r="A65" t="str">
        <f>bali_nt!U79</f>
        <v>BALI_NT</v>
      </c>
      <c r="B65">
        <f>bali_nt!V79</f>
        <v>2022</v>
      </c>
      <c r="C65">
        <f>bali_nt!W79</f>
        <v>18.429710006673908</v>
      </c>
      <c r="D65">
        <f>bali_nt!X79</f>
        <v>12.821836669369571</v>
      </c>
      <c r="E65">
        <f>bali_nt!Y79</f>
        <v>0.96315752235926211</v>
      </c>
      <c r="F65">
        <f>bali_nt!Z79</f>
        <v>12.292188081495263</v>
      </c>
      <c r="G65">
        <f>bali_nt!AA79</f>
        <v>24.83469415838174</v>
      </c>
      <c r="H65">
        <f>bali_nt!AB79</f>
        <v>6.898405162321028E-2</v>
      </c>
      <c r="I65">
        <f>bali_nt!AC79</f>
        <v>8.5234530461538449E-2</v>
      </c>
      <c r="J65">
        <f>bali_nt!AD79</f>
        <v>0.30583805231439126</v>
      </c>
      <c r="K65">
        <f>bali_nt!AE79</f>
        <v>0</v>
      </c>
      <c r="L65">
        <f>bali_nt!AF79</f>
        <v>1.3559250564095389</v>
      </c>
      <c r="M65">
        <f>bali_nt!AG79</f>
        <v>1.1215167673735305E-17</v>
      </c>
      <c r="N65">
        <f>bali_nt!AH79</f>
        <v>0</v>
      </c>
      <c r="O65">
        <f>bali_nt!AI79</f>
        <v>0</v>
      </c>
      <c r="P65">
        <f>bali_nt!AJ79</f>
        <v>71.157568129088403</v>
      </c>
    </row>
    <row r="66" spans="1:16" x14ac:dyDescent="0.25">
      <c r="A66" t="str">
        <f>bali_nt!U80</f>
        <v>BALI_NT</v>
      </c>
      <c r="B66">
        <f>bali_nt!V80</f>
        <v>2023</v>
      </c>
      <c r="C66">
        <f>bali_nt!W80</f>
        <v>18.472443237629047</v>
      </c>
      <c r="D66">
        <f>bali_nt!X80</f>
        <v>12.847222837469538</v>
      </c>
      <c r="E66">
        <f>bali_nt!Y80</f>
        <v>0.97413862564744025</v>
      </c>
      <c r="F66">
        <f>bali_nt!Z80</f>
        <v>12.319810882574505</v>
      </c>
      <c r="G66">
        <f>bali_nt!AA80</f>
        <v>25.065717570367205</v>
      </c>
      <c r="H66">
        <f>bali_nt!AB80</f>
        <v>7.0084189302468097E-2</v>
      </c>
      <c r="I66">
        <f>bali_nt!AC80</f>
        <v>8.5237372256509708E-2</v>
      </c>
      <c r="J66">
        <f>bali_nt!AD80</f>
        <v>0.41812359695144496</v>
      </c>
      <c r="K66">
        <f>bali_nt!AE80</f>
        <v>2.3449083564372287E-7</v>
      </c>
      <c r="L66">
        <f>bali_nt!AF80</f>
        <v>1.3868062872612987</v>
      </c>
      <c r="M66">
        <f>bali_nt!AG80</f>
        <v>5.0959851196966133E-8</v>
      </c>
      <c r="N66">
        <f>bali_nt!AH80</f>
        <v>0</v>
      </c>
      <c r="O66">
        <f>bali_nt!AI80</f>
        <v>0</v>
      </c>
      <c r="P66">
        <f>bali_nt!AJ80</f>
        <v>71.63958488491015</v>
      </c>
    </row>
    <row r="67" spans="1:16" x14ac:dyDescent="0.25">
      <c r="A67" t="str">
        <f>bali_nt!U81</f>
        <v>BALI_NT</v>
      </c>
      <c r="B67">
        <f>bali_nt!V81</f>
        <v>2024</v>
      </c>
      <c r="C67">
        <f>bali_nt!W81</f>
        <v>18.472443237629047</v>
      </c>
      <c r="D67">
        <f>bali_nt!X81</f>
        <v>12.847222837469538</v>
      </c>
      <c r="E67">
        <f>bali_nt!Y81</f>
        <v>0.97413862564744025</v>
      </c>
      <c r="F67">
        <f>bali_nt!Z81</f>
        <v>12.319810882574505</v>
      </c>
      <c r="G67">
        <f>bali_nt!AA81</f>
        <v>25.065717570367205</v>
      </c>
      <c r="H67">
        <f>bali_nt!AB81</f>
        <v>7.0084188461337862E-2</v>
      </c>
      <c r="I67">
        <f>bali_nt!AC81</f>
        <v>8.5237372256509708E-2</v>
      </c>
      <c r="J67">
        <f>bali_nt!AD81</f>
        <v>0.41812359695144496</v>
      </c>
      <c r="K67">
        <f>bali_nt!AE81</f>
        <v>2.3449083564372287E-7</v>
      </c>
      <c r="L67">
        <f>bali_nt!AF81</f>
        <v>3.189627087852323</v>
      </c>
      <c r="M67">
        <f>bali_nt!AG81</f>
        <v>5.0959851196966133E-8</v>
      </c>
      <c r="N67">
        <f>bali_nt!AH81</f>
        <v>0</v>
      </c>
      <c r="O67">
        <f>bali_nt!AI81</f>
        <v>0</v>
      </c>
      <c r="P67">
        <f>bali_nt!AJ81</f>
        <v>73.442405684660059</v>
      </c>
    </row>
    <row r="68" spans="1:16" x14ac:dyDescent="0.25">
      <c r="A68" t="str">
        <f>bali_nt!U82</f>
        <v>BALI_NT</v>
      </c>
      <c r="B68">
        <f>bali_nt!V82</f>
        <v>2025</v>
      </c>
      <c r="C68">
        <f>bali_nt!W82</f>
        <v>18.506656551724138</v>
      </c>
      <c r="D68">
        <f>bali_nt!X82</f>
        <v>12.847222837469538</v>
      </c>
      <c r="E68">
        <f>bali_nt!Y82</f>
        <v>1.0238731472641014</v>
      </c>
      <c r="F68">
        <f>bali_nt!Z82</f>
        <v>12.319810882574505</v>
      </c>
      <c r="G68">
        <f>bali_nt!AA82</f>
        <v>25.065717570367205</v>
      </c>
      <c r="H68">
        <f>bali_nt!AB82</f>
        <v>7.0084188461337862E-2</v>
      </c>
      <c r="I68">
        <f>bali_nt!AC82</f>
        <v>8.5237372256509708E-2</v>
      </c>
      <c r="J68">
        <f>bali_nt!AD82</f>
        <v>0.44510993513157238</v>
      </c>
      <c r="K68">
        <f>bali_nt!AE82</f>
        <v>2.3449083564372287E-7</v>
      </c>
      <c r="L68">
        <f>bali_nt!AF82</f>
        <v>4.5818151887153853</v>
      </c>
      <c r="M68">
        <f>bali_nt!AG82</f>
        <v>5.0959851196966133E-8</v>
      </c>
      <c r="N68">
        <f>bali_nt!AH82</f>
        <v>0</v>
      </c>
      <c r="O68">
        <f>bali_nt!AI82</f>
        <v>0</v>
      </c>
      <c r="P68">
        <f>bali_nt!AJ82</f>
        <v>74.945527959414974</v>
      </c>
    </row>
    <row r="69" spans="1:16" x14ac:dyDescent="0.25">
      <c r="A69" t="str">
        <f>bali_nt!U83</f>
        <v>BALI_NT</v>
      </c>
      <c r="B69">
        <f>bali_nt!V83</f>
        <v>2026</v>
      </c>
      <c r="C69">
        <f>bali_nt!W83</f>
        <v>18.567060578049588</v>
      </c>
      <c r="D69">
        <f>bali_nt!X83</f>
        <v>12.847222837469538</v>
      </c>
      <c r="E69">
        <f>bali_nt!Y83</f>
        <v>1.0238731401477084</v>
      </c>
      <c r="F69">
        <f>bali_nt!Z83</f>
        <v>12.319810882574505</v>
      </c>
      <c r="G69">
        <f>bali_nt!AA83</f>
        <v>25.065717420684408</v>
      </c>
      <c r="H69">
        <f>bali_nt!AB83</f>
        <v>7.0084188461337862E-2</v>
      </c>
      <c r="I69">
        <f>bali_nt!AC83</f>
        <v>8.5237372256509708E-2</v>
      </c>
      <c r="J69">
        <f>bali_nt!AD83</f>
        <v>0.48742115498268274</v>
      </c>
      <c r="K69">
        <f>bali_nt!AE83</f>
        <v>2.3450086549545525E-7</v>
      </c>
      <c r="L69">
        <f>bali_nt!AF83</f>
        <v>5.2503333306926372</v>
      </c>
      <c r="M69">
        <f>bali_nt!AG83</f>
        <v>5.0961946309732406E-8</v>
      </c>
      <c r="N69">
        <f>bali_nt!AH83</f>
        <v>0</v>
      </c>
      <c r="O69">
        <f>bali_nt!AI83</f>
        <v>0</v>
      </c>
      <c r="P69">
        <f>bali_nt!AJ83</f>
        <v>75.716761190781725</v>
      </c>
    </row>
    <row r="70" spans="1:16" x14ac:dyDescent="0.25">
      <c r="A70" t="str">
        <f>bali_nt!U84</f>
        <v>BALI_NT</v>
      </c>
      <c r="B70">
        <f>bali_nt!V84</f>
        <v>2027</v>
      </c>
      <c r="C70">
        <f>bali_nt!W84</f>
        <v>18.745006344827583</v>
      </c>
      <c r="D70">
        <f>bali_nt!X84</f>
        <v>12.847222837469538</v>
      </c>
      <c r="E70">
        <f>bali_nt!Y84</f>
        <v>1.0238731401477084</v>
      </c>
      <c r="F70">
        <f>bali_nt!Z84</f>
        <v>12.319810882574505</v>
      </c>
      <c r="G70">
        <f>bali_nt!AA84</f>
        <v>25.065717420684408</v>
      </c>
      <c r="H70">
        <f>bali_nt!AB84</f>
        <v>7.0084188461337862E-2</v>
      </c>
      <c r="I70">
        <f>bali_nt!AC84</f>
        <v>8.5237372256509708E-2</v>
      </c>
      <c r="J70">
        <f>bali_nt!AD84</f>
        <v>0.54374852716169042</v>
      </c>
      <c r="K70">
        <f>bali_nt!AE84</f>
        <v>2.3456721667368924E-7</v>
      </c>
      <c r="L70">
        <f>bali_nt!AF84</f>
        <v>6.2856903661355936</v>
      </c>
      <c r="M70">
        <f>bali_nt!AG84</f>
        <v>5.0975810863913055E-8</v>
      </c>
      <c r="N70">
        <f>bali_nt!AH84</f>
        <v>0</v>
      </c>
      <c r="O70">
        <f>bali_nt!AI84</f>
        <v>0</v>
      </c>
      <c r="P70">
        <f>bali_nt!AJ84</f>
        <v>76.986391365261909</v>
      </c>
    </row>
    <row r="71" spans="1:16" x14ac:dyDescent="0.25">
      <c r="A71" t="str">
        <f>bali_nt!U85</f>
        <v>BALI_NT</v>
      </c>
      <c r="B71">
        <f>bali_nt!V85</f>
        <v>2028</v>
      </c>
      <c r="C71">
        <f>bali_nt!W85</f>
        <v>19.143828260646433</v>
      </c>
      <c r="D71">
        <f>bali_nt!X85</f>
        <v>12.8472228180581</v>
      </c>
      <c r="E71">
        <f>bali_nt!Y85</f>
        <v>1.6241420688025747</v>
      </c>
      <c r="F71">
        <f>bali_nt!Z85</f>
        <v>12.319810882574505</v>
      </c>
      <c r="G71">
        <f>bali_nt!AA85</f>
        <v>25.065717420684408</v>
      </c>
      <c r="H71">
        <f>bali_nt!AB85</f>
        <v>7.0084188461337862E-2</v>
      </c>
      <c r="I71">
        <f>bali_nt!AC85</f>
        <v>8.5237372256509708E-2</v>
      </c>
      <c r="J71">
        <f>bali_nt!AD85</f>
        <v>0.57314207946669571</v>
      </c>
      <c r="K71">
        <f>bali_nt!AE85</f>
        <v>2.3474040697874852E-7</v>
      </c>
      <c r="L71">
        <f>bali_nt!AF85</f>
        <v>6.2856903661355936</v>
      </c>
      <c r="M71">
        <f>bali_nt!AG85</f>
        <v>5.1011985358947733E-8</v>
      </c>
      <c r="N71">
        <f>bali_nt!AH85</f>
        <v>0</v>
      </c>
      <c r="O71">
        <f>bali_nt!AI85</f>
        <v>0</v>
      </c>
      <c r="P71">
        <f>bali_nt!AJ85</f>
        <v>78.014875742838555</v>
      </c>
    </row>
    <row r="72" spans="1:16" x14ac:dyDescent="0.25">
      <c r="A72" t="str">
        <f>bali_nt!U86</f>
        <v>BALI_NT</v>
      </c>
      <c r="B72">
        <f>bali_nt!V86</f>
        <v>2029</v>
      </c>
      <c r="C72">
        <f>bali_nt!W86</f>
        <v>19.597195365517244</v>
      </c>
      <c r="D72">
        <f>bali_nt!X86</f>
        <v>12.847222798646662</v>
      </c>
      <c r="E72">
        <f>bali_nt!Y86</f>
        <v>1.6241420688025747</v>
      </c>
      <c r="F72">
        <f>bali_nt!Z86</f>
        <v>12.319810882574505</v>
      </c>
      <c r="G72">
        <f>bali_nt!AA86</f>
        <v>25.065717420684408</v>
      </c>
      <c r="H72">
        <f>bali_nt!AB86</f>
        <v>7.0084188461337862E-2</v>
      </c>
      <c r="I72">
        <f>bali_nt!AC86</f>
        <v>8.5237372256509708E-2</v>
      </c>
      <c r="J72">
        <f>bali_nt!AD86</f>
        <v>0.66628832655828307</v>
      </c>
      <c r="K72">
        <f>bali_nt!AE86</f>
        <v>2.349557682653397E-7</v>
      </c>
      <c r="L72">
        <f>bali_nt!AF86</f>
        <v>8.2072139536084538</v>
      </c>
      <c r="M72">
        <f>bali_nt!AG86</f>
        <v>5.1056957532657888E-8</v>
      </c>
      <c r="N72">
        <f>bali_nt!AH86</f>
        <v>0</v>
      </c>
      <c r="O72">
        <f>bali_nt!AI86</f>
        <v>0</v>
      </c>
      <c r="P72">
        <f>bali_nt!AJ86</f>
        <v>80.482912663122718</v>
      </c>
    </row>
    <row r="73" spans="1:16" x14ac:dyDescent="0.25">
      <c r="A73" t="str">
        <f>bali_nt!U87</f>
        <v>BALI_NT</v>
      </c>
      <c r="B73">
        <f>bali_nt!V87</f>
        <v>2030</v>
      </c>
      <c r="C73">
        <f>bali_nt!W87</f>
        <v>21.561757043610498</v>
      </c>
      <c r="D73">
        <f>bali_nt!X87</f>
        <v>12.847222779235224</v>
      </c>
      <c r="E73">
        <f>bali_nt!Y87</f>
        <v>2.9514595048496832</v>
      </c>
      <c r="F73">
        <f>bali_nt!Z87</f>
        <v>12.319810882574505</v>
      </c>
      <c r="G73">
        <f>bali_nt!AA87</f>
        <v>25.065717420684408</v>
      </c>
      <c r="H73">
        <f>bali_nt!AB87</f>
        <v>0.13876101047311917</v>
      </c>
      <c r="I73">
        <f>bali_nt!AC87</f>
        <v>8.5237372256509708E-2</v>
      </c>
      <c r="J73">
        <f>bali_nt!AD87</f>
        <v>0.80148871638854435</v>
      </c>
      <c r="K73">
        <f>bali_nt!AE87</f>
        <v>2.349557682653397E-7</v>
      </c>
      <c r="L73">
        <f>bali_nt!AF87</f>
        <v>8.2072139536084538</v>
      </c>
      <c r="M73">
        <f>bali_nt!AG87</f>
        <v>5.1056957532657888E-8</v>
      </c>
      <c r="N73">
        <f>bali_nt!AH87</f>
        <v>0</v>
      </c>
      <c r="O73">
        <f>bali_nt!AI87</f>
        <v>0</v>
      </c>
      <c r="P73">
        <f>bali_nt!AJ87</f>
        <v>83.978668969693672</v>
      </c>
    </row>
    <row r="74" spans="1:16" x14ac:dyDescent="0.25">
      <c r="A74" t="str">
        <f>bali_nt!U88</f>
        <v>BALI_NT</v>
      </c>
      <c r="B74">
        <f>bali_nt!V88</f>
        <v>2031</v>
      </c>
      <c r="C74">
        <f>bali_nt!W88</f>
        <v>23.858387078662986</v>
      </c>
      <c r="D74">
        <f>bali_nt!X88</f>
        <v>12.847222759823788</v>
      </c>
      <c r="E74">
        <f>bali_nt!Y88</f>
        <v>4.1490453081250394</v>
      </c>
      <c r="F74">
        <f>bali_nt!Z88</f>
        <v>12.319810861455721</v>
      </c>
      <c r="G74">
        <f>bali_nt!AA88</f>
        <v>25.065717271001613</v>
      </c>
      <c r="H74">
        <f>bali_nt!AB88</f>
        <v>0.24334207481812808</v>
      </c>
      <c r="I74">
        <f>bali_nt!AC88</f>
        <v>8.5237372256509708E-2</v>
      </c>
      <c r="J74">
        <f>bali_nt!AD88</f>
        <v>1.0041968458060524</v>
      </c>
      <c r="K74">
        <f>bali_nt!AE88</f>
        <v>2.349557682653397E-7</v>
      </c>
      <c r="L74">
        <f>bali_nt!AF88</f>
        <v>8.2072139536084538</v>
      </c>
      <c r="M74">
        <f>bali_nt!AG88</f>
        <v>5.1056957532657888E-8</v>
      </c>
      <c r="N74">
        <f>bali_nt!AH88</f>
        <v>0</v>
      </c>
      <c r="O74">
        <f>bali_nt!AI88</f>
        <v>0</v>
      </c>
      <c r="P74">
        <f>bali_nt!AJ88</f>
        <v>87.780173811571018</v>
      </c>
    </row>
    <row r="75" spans="1:16" x14ac:dyDescent="0.25">
      <c r="A75" t="str">
        <f>bali_nt!U89</f>
        <v>BALI_NT</v>
      </c>
      <c r="B75">
        <f>bali_nt!V89</f>
        <v>2032</v>
      </c>
      <c r="C75">
        <f>bali_nt!W89</f>
        <v>24.933432655128307</v>
      </c>
      <c r="D75">
        <f>bali_nt!X89</f>
        <v>16.354111639018477</v>
      </c>
      <c r="E75">
        <f>bali_nt!Y89</f>
        <v>4.1490453081250394</v>
      </c>
      <c r="F75">
        <f>bali_nt!Z89</f>
        <v>12.319810840336942</v>
      </c>
      <c r="G75">
        <f>bali_nt!AA89</f>
        <v>25.065717271001613</v>
      </c>
      <c r="H75">
        <f>bali_nt!AB89</f>
        <v>0.24334207481812808</v>
      </c>
      <c r="I75">
        <f>bali_nt!AC89</f>
        <v>8.5237372256509708E-2</v>
      </c>
      <c r="J75">
        <f>bali_nt!AD89</f>
        <v>1.0630646587178221</v>
      </c>
      <c r="K75">
        <f>bali_nt!AE89</f>
        <v>2.349557682653397E-7</v>
      </c>
      <c r="L75">
        <f>bali_nt!AF89</f>
        <v>8.3027001464287427</v>
      </c>
      <c r="M75">
        <f>bali_nt!AG89</f>
        <v>5.1056957532657888E-8</v>
      </c>
      <c r="N75">
        <f>bali_nt!AH89</f>
        <v>0</v>
      </c>
      <c r="O75">
        <f>bali_nt!AI89</f>
        <v>0</v>
      </c>
      <c r="P75">
        <f>bali_nt!AJ89</f>
        <v>92.516462251844317</v>
      </c>
    </row>
    <row r="76" spans="1:16" x14ac:dyDescent="0.25">
      <c r="A76" t="str">
        <f>bali_nt!U90</f>
        <v>BALI_NT</v>
      </c>
      <c r="B76">
        <f>bali_nt!V90</f>
        <v>2033</v>
      </c>
      <c r="C76">
        <f>bali_nt!W90</f>
        <v>25.240729164405941</v>
      </c>
      <c r="D76">
        <f>bali_nt!X90</f>
        <v>17.123030433842487</v>
      </c>
      <c r="E76">
        <f>bali_nt!Y90</f>
        <v>4.1490453081250394</v>
      </c>
      <c r="F76">
        <f>bali_nt!Z90</f>
        <v>12.319810840336942</v>
      </c>
      <c r="G76">
        <f>bali_nt!AA90</f>
        <v>25.065717271001613</v>
      </c>
      <c r="H76">
        <f>bali_nt!AB90</f>
        <v>0.24334207481812808</v>
      </c>
      <c r="I76">
        <f>bali_nt!AC90</f>
        <v>8.5237372256509708E-2</v>
      </c>
      <c r="J76">
        <f>bali_nt!AD90</f>
        <v>1.1523607528874662</v>
      </c>
      <c r="K76">
        <f>bali_nt!AE90</f>
        <v>2.349557682653397E-7</v>
      </c>
      <c r="L76">
        <f>bali_nt!AF90</f>
        <v>9.0658689978075202</v>
      </c>
      <c r="M76">
        <f>bali_nt!AG90</f>
        <v>5.1056957532657888E-8</v>
      </c>
      <c r="N76">
        <f>bali_nt!AH90</f>
        <v>0</v>
      </c>
      <c r="O76">
        <f>bali_nt!AI90</f>
        <v>0</v>
      </c>
      <c r="P76">
        <f>bali_nt!AJ90</f>
        <v>94.44514250149436</v>
      </c>
    </row>
    <row r="77" spans="1:16" x14ac:dyDescent="0.25">
      <c r="A77" t="str">
        <f>bali_nt!U91</f>
        <v>BALI_NT</v>
      </c>
      <c r="B77">
        <f>bali_nt!V91</f>
        <v>2034</v>
      </c>
      <c r="C77">
        <f>bali_nt!W91</f>
        <v>26.420474971344213</v>
      </c>
      <c r="D77">
        <f>bali_nt!X91</f>
        <v>17.61115965731506</v>
      </c>
      <c r="E77">
        <f>bali_nt!Y91</f>
        <v>4.9031330397675088</v>
      </c>
      <c r="F77">
        <f>bali_nt!Z91</f>
        <v>12.319810819218155</v>
      </c>
      <c r="G77">
        <f>bali_nt!AA91</f>
        <v>25.065717121318819</v>
      </c>
      <c r="H77">
        <f>bali_nt!AB91</f>
        <v>0.24334207397699795</v>
      </c>
      <c r="I77">
        <f>bali_nt!AC91</f>
        <v>8.5237372256509708E-2</v>
      </c>
      <c r="J77">
        <f>bali_nt!AD91</f>
        <v>1.2914843143330126</v>
      </c>
      <c r="K77">
        <f>bali_nt!AE91</f>
        <v>2.349557682653397E-7</v>
      </c>
      <c r="L77">
        <f>bali_nt!AF91</f>
        <v>10.844467001353769</v>
      </c>
      <c r="M77">
        <f>bali_nt!AG91</f>
        <v>5.1086536409467344E-8</v>
      </c>
      <c r="N77">
        <f>bali_nt!AH91</f>
        <v>0</v>
      </c>
      <c r="O77">
        <f>bali_nt!AI91</f>
        <v>0</v>
      </c>
      <c r="P77">
        <f>bali_nt!AJ91</f>
        <v>98.784826656926356</v>
      </c>
    </row>
    <row r="78" spans="1:16" x14ac:dyDescent="0.25">
      <c r="A78" t="str">
        <f>bali_nt!U92</f>
        <v>BALI_NT</v>
      </c>
      <c r="B78">
        <f>bali_nt!V92</f>
        <v>2035</v>
      </c>
      <c r="C78">
        <f>bali_nt!W92</f>
        <v>26.712764679590165</v>
      </c>
      <c r="D78">
        <f>bali_nt!X92</f>
        <v>18.375543070460775</v>
      </c>
      <c r="E78">
        <f>bali_nt!Y92</f>
        <v>4.9031330397675088</v>
      </c>
      <c r="F78">
        <f>bali_nt!Z92</f>
        <v>12.319810819218155</v>
      </c>
      <c r="G78">
        <f>bali_nt!AA92</f>
        <v>25.065716971636029</v>
      </c>
      <c r="H78">
        <f>bali_nt!AB92</f>
        <v>0.24334207313586761</v>
      </c>
      <c r="I78">
        <f>bali_nt!AC92</f>
        <v>8.5237372256509708E-2</v>
      </c>
      <c r="J78">
        <f>bali_nt!AD92</f>
        <v>1.3979264323896574</v>
      </c>
      <c r="K78">
        <f>bali_nt!AE92</f>
        <v>2.349557682653397E-7</v>
      </c>
      <c r="L78">
        <f>bali_nt!AF92</f>
        <v>11.612896222994735</v>
      </c>
      <c r="M78">
        <f>bali_nt!AG92</f>
        <v>5.1086536409467344E-8</v>
      </c>
      <c r="N78">
        <f>bali_nt!AH92</f>
        <v>0</v>
      </c>
      <c r="O78">
        <f>bali_nt!AI92</f>
        <v>0</v>
      </c>
      <c r="P78">
        <f>bali_nt!AJ92</f>
        <v>100.7163709674917</v>
      </c>
    </row>
    <row r="79" spans="1:16" x14ac:dyDescent="0.25">
      <c r="A79" t="str">
        <f>bali_nt!U93</f>
        <v>BALI_NT</v>
      </c>
      <c r="B79">
        <f>bali_nt!V93</f>
        <v>2036</v>
      </c>
      <c r="C79">
        <f>bali_nt!W93</f>
        <v>30.093796016818381</v>
      </c>
      <c r="D79">
        <f>bali_nt!X93</f>
        <v>18.375543051049338</v>
      </c>
      <c r="E79">
        <f>bali_nt!Y93</f>
        <v>5.914059835899403</v>
      </c>
      <c r="F79">
        <f>bali_nt!Z93</f>
        <v>12.31981079809937</v>
      </c>
      <c r="G79">
        <f>bali_nt!AA93</f>
        <v>32.961565442466387</v>
      </c>
      <c r="H79">
        <f>bali_nt!AB93</f>
        <v>0.38717379518817607</v>
      </c>
      <c r="I79">
        <f>bali_nt!AC93</f>
        <v>8.5237372256509708E-2</v>
      </c>
      <c r="J79">
        <f>bali_nt!AD93</f>
        <v>1.8919443254637678</v>
      </c>
      <c r="K79">
        <f>bali_nt!AE93</f>
        <v>2.349557682653397E-7</v>
      </c>
      <c r="L79">
        <f>bali_nt!AF93</f>
        <v>11.612896222994735</v>
      </c>
      <c r="M79">
        <f>bali_nt!AG93</f>
        <v>5.012826248949299E-8</v>
      </c>
      <c r="N79">
        <f>bali_nt!AH93</f>
        <v>0</v>
      </c>
      <c r="O79">
        <f>bali_nt!AI93</f>
        <v>0</v>
      </c>
      <c r="P79">
        <f>bali_nt!AJ93</f>
        <v>113.6420271453201</v>
      </c>
    </row>
    <row r="80" spans="1:16" x14ac:dyDescent="0.25">
      <c r="A80" t="str">
        <f>bali_nt!U94</f>
        <v>BALI_NT</v>
      </c>
      <c r="B80">
        <f>bali_nt!V94</f>
        <v>2037</v>
      </c>
      <c r="C80">
        <f>bali_nt!W94</f>
        <v>33.141189898912785</v>
      </c>
      <c r="D80">
        <f>bali_nt!X94</f>
        <v>18.375543051049338</v>
      </c>
      <c r="E80">
        <f>bali_nt!Y94</f>
        <v>7.6038008234410874</v>
      </c>
      <c r="F80">
        <f>bali_nt!Z94</f>
        <v>12.319810776980587</v>
      </c>
      <c r="G80">
        <f>bali_nt!AA94</f>
        <v>41.423036965740181</v>
      </c>
      <c r="H80">
        <f>bali_nt!AB94</f>
        <v>0.45908965621433068</v>
      </c>
      <c r="I80">
        <f>bali_nt!AC94</f>
        <v>8.5237372256509708E-2</v>
      </c>
      <c r="J80">
        <f>bali_nt!AD94</f>
        <v>2.296438517200881</v>
      </c>
      <c r="K80">
        <f>bali_nt!AE94</f>
        <v>2.349557682653397E-7</v>
      </c>
      <c r="L80">
        <f>bali_nt!AF94</f>
        <v>11.612896222994735</v>
      </c>
      <c r="M80">
        <f>bali_nt!AG94</f>
        <v>5.012826248949299E-8</v>
      </c>
      <c r="N80">
        <f>bali_nt!AH94</f>
        <v>0</v>
      </c>
      <c r="O80">
        <f>bali_nt!AI94</f>
        <v>0</v>
      </c>
      <c r="P80">
        <f>bali_nt!AJ94</f>
        <v>127.31704356987447</v>
      </c>
    </row>
    <row r="81" spans="1:16" x14ac:dyDescent="0.25">
      <c r="A81" t="str">
        <f>bali_nt!U95</f>
        <v>BALI_NT</v>
      </c>
      <c r="B81">
        <f>bali_nt!V95</f>
        <v>2038</v>
      </c>
      <c r="C81">
        <f>bali_nt!W95</f>
        <v>36.359546744430496</v>
      </c>
      <c r="D81">
        <f>bali_nt!X95</f>
        <v>18.375543031637896</v>
      </c>
      <c r="E81">
        <f>bali_nt!Y95</f>
        <v>9.4429019432572225</v>
      </c>
      <c r="F81">
        <f>bali_nt!Z95</f>
        <v>12.319810755861802</v>
      </c>
      <c r="G81">
        <f>bali_nt!AA95</f>
        <v>55.031803217636664</v>
      </c>
      <c r="H81">
        <f>bali_nt!AB95</f>
        <v>0.49504758672740856</v>
      </c>
      <c r="I81">
        <f>bali_nt!AC95</f>
        <v>8.5237372256509708E-2</v>
      </c>
      <c r="J81">
        <f>bali_nt!AD95</f>
        <v>2.7556830111398316</v>
      </c>
      <c r="K81">
        <f>bali_nt!AE95</f>
        <v>2.349557682653397E-7</v>
      </c>
      <c r="L81">
        <f>bali_nt!AF95</f>
        <v>11.612896222994735</v>
      </c>
      <c r="M81">
        <f>bali_nt!AG95</f>
        <v>5.012826248949299E-8</v>
      </c>
      <c r="N81">
        <f>bali_nt!AH95</f>
        <v>0</v>
      </c>
      <c r="O81">
        <f>bali_nt!AI95</f>
        <v>0</v>
      </c>
      <c r="P81">
        <f>bali_nt!AJ95</f>
        <v>146.47847017102654</v>
      </c>
    </row>
    <row r="82" spans="1:16" x14ac:dyDescent="0.25">
      <c r="A82" t="str">
        <f>kalimantan!U76</f>
        <v>KALIMANTAN</v>
      </c>
      <c r="B82">
        <f>kalimantan!V76</f>
        <v>2019</v>
      </c>
      <c r="C82">
        <f>kalimantan!W76</f>
        <v>67.855079136000001</v>
      </c>
      <c r="D82">
        <f>kalimantan!X76</f>
        <v>10.385701290195453</v>
      </c>
      <c r="E82">
        <f>kalimantan!Y76</f>
        <v>0.42698357802197795</v>
      </c>
      <c r="F82">
        <f>kalimantan!Z76</f>
        <v>36.422932832119869</v>
      </c>
      <c r="G82">
        <f>kalimantan!AA76</f>
        <v>0</v>
      </c>
      <c r="H82">
        <f>kalimantan!AB76</f>
        <v>0.22228548715530383</v>
      </c>
      <c r="I82">
        <f>kalimantan!AC76</f>
        <v>1.8431967212307693E-2</v>
      </c>
      <c r="J82">
        <f>kalimantan!AD76</f>
        <v>3.3933997440000001E-3</v>
      </c>
      <c r="K82">
        <f>kalimantan!AE76</f>
        <v>0</v>
      </c>
      <c r="L82">
        <f>kalimantan!AF76</f>
        <v>1.9562818338312653</v>
      </c>
      <c r="M82">
        <f>kalimantan!AG76</f>
        <v>0</v>
      </c>
      <c r="N82">
        <f>kalimantan!AH76</f>
        <v>0</v>
      </c>
      <c r="O82">
        <f>kalimantan!AI76</f>
        <v>0</v>
      </c>
      <c r="P82">
        <f>kalimantan!AJ76</f>
        <v>117.29108952428018</v>
      </c>
    </row>
    <row r="83" spans="1:16" x14ac:dyDescent="0.25">
      <c r="A83" t="str">
        <f>kalimantan!U77</f>
        <v>KALIMANTAN</v>
      </c>
      <c r="B83">
        <f>kalimantan!V77</f>
        <v>2020</v>
      </c>
      <c r="C83">
        <f>kalimantan!W77</f>
        <v>73.722123568618912</v>
      </c>
      <c r="D83">
        <f>kalimantan!X77</f>
        <v>10.385701270784015</v>
      </c>
      <c r="E83">
        <f>kalimantan!Y77</f>
        <v>1.8879500558613755</v>
      </c>
      <c r="F83">
        <f>kalimantan!Z77</f>
        <v>36.422932832119869</v>
      </c>
      <c r="G83">
        <f>kalimantan!AA77</f>
        <v>0</v>
      </c>
      <c r="H83">
        <f>kalimantan!AB77</f>
        <v>0.23992072148664317</v>
      </c>
      <c r="I83">
        <f>kalimantan!AC77</f>
        <v>0.49214704091999661</v>
      </c>
      <c r="J83">
        <f>kalimantan!AD77</f>
        <v>5.0892045340504062</v>
      </c>
      <c r="K83">
        <f>kalimantan!AE77</f>
        <v>0</v>
      </c>
      <c r="L83">
        <f>kalimantan!AF77</f>
        <v>1.9562818338312653</v>
      </c>
      <c r="M83">
        <f>kalimantan!AG77</f>
        <v>0</v>
      </c>
      <c r="N83">
        <f>kalimantan!AH77</f>
        <v>0</v>
      </c>
      <c r="O83">
        <f>kalimantan!AI77</f>
        <v>0</v>
      </c>
      <c r="P83">
        <f>kalimantan!AJ77</f>
        <v>130.19626185767248</v>
      </c>
    </row>
    <row r="84" spans="1:16" x14ac:dyDescent="0.25">
      <c r="A84" t="str">
        <f>kalimantan!U78</f>
        <v>KALIMANTAN</v>
      </c>
      <c r="B84">
        <f>kalimantan!V78</f>
        <v>2021</v>
      </c>
      <c r="C84">
        <f>kalimantan!W78</f>
        <v>77.077722722277272</v>
      </c>
      <c r="D84">
        <f>kalimantan!X78</f>
        <v>10.385701251372577</v>
      </c>
      <c r="E84">
        <f>kalimantan!Y78</f>
        <v>6.6153458045487348</v>
      </c>
      <c r="F84">
        <f>kalimantan!Z78</f>
        <v>36.422932832119869</v>
      </c>
      <c r="G84">
        <f>kalimantan!AA78</f>
        <v>0</v>
      </c>
      <c r="H84">
        <f>kalimantan!AB78</f>
        <v>0.41520223004935247</v>
      </c>
      <c r="I84">
        <f>kalimantan!AC78</f>
        <v>0.61349482735529393</v>
      </c>
      <c r="J84">
        <f>kalimantan!AD78</f>
        <v>5.0892045340504062</v>
      </c>
      <c r="K84">
        <f>kalimantan!AE78</f>
        <v>0</v>
      </c>
      <c r="L84">
        <f>kalimantan!AF78</f>
        <v>1.9562818338312653</v>
      </c>
      <c r="M84">
        <f>kalimantan!AG78</f>
        <v>0</v>
      </c>
      <c r="N84">
        <f>kalimantan!AH78</f>
        <v>0</v>
      </c>
      <c r="O84">
        <f>kalimantan!AI78</f>
        <v>0</v>
      </c>
      <c r="P84">
        <f>kalimantan!AJ78</f>
        <v>138.57588603560475</v>
      </c>
    </row>
    <row r="85" spans="1:16" x14ac:dyDescent="0.25">
      <c r="A85" t="str">
        <f>kalimantan!U79</f>
        <v>KALIMANTAN</v>
      </c>
      <c r="B85">
        <f>kalimantan!V79</f>
        <v>2022</v>
      </c>
      <c r="C85">
        <f>kalimantan!W79</f>
        <v>80.216671973525976</v>
      </c>
      <c r="D85">
        <f>kalimantan!X79</f>
        <v>10.385701231961139</v>
      </c>
      <c r="E85">
        <f>kalimantan!Y79</f>
        <v>12.14108004462619</v>
      </c>
      <c r="F85">
        <f>kalimantan!Z79</f>
        <v>36.422932832119869</v>
      </c>
      <c r="G85">
        <f>kalimantan!AA79</f>
        <v>0</v>
      </c>
      <c r="H85">
        <f>kalimantan!AB79</f>
        <v>0.43344903130458551</v>
      </c>
      <c r="I85">
        <f>kalimantan!AC79</f>
        <v>0.61349482202813554</v>
      </c>
      <c r="J85">
        <f>kalimantan!AD79</f>
        <v>8.6579688379420663</v>
      </c>
      <c r="K85">
        <f>kalimantan!AE79</f>
        <v>0</v>
      </c>
      <c r="L85">
        <f>kalimantan!AF79</f>
        <v>1.9562818338312653</v>
      </c>
      <c r="M85">
        <f>kalimantan!AG79</f>
        <v>0</v>
      </c>
      <c r="N85">
        <f>kalimantan!AH79</f>
        <v>0</v>
      </c>
      <c r="O85">
        <f>kalimantan!AI79</f>
        <v>0</v>
      </c>
      <c r="P85">
        <f>kalimantan!AJ79</f>
        <v>150.82758060733923</v>
      </c>
    </row>
    <row r="86" spans="1:16" x14ac:dyDescent="0.25">
      <c r="A86" t="str">
        <f>kalimantan!U80</f>
        <v>KALIMANTAN</v>
      </c>
      <c r="B86">
        <f>kalimantan!V80</f>
        <v>2023</v>
      </c>
      <c r="C86">
        <f>kalimantan!W80</f>
        <v>80.216671973525976</v>
      </c>
      <c r="D86">
        <f>kalimantan!X80</f>
        <v>14.964256721341084</v>
      </c>
      <c r="E86">
        <f>kalimantan!Y80</f>
        <v>14.654304253329636</v>
      </c>
      <c r="F86">
        <f>kalimantan!Z80</f>
        <v>36.422932832119891</v>
      </c>
      <c r="G86">
        <f>kalimantan!AA80</f>
        <v>13.621147861134242</v>
      </c>
      <c r="H86">
        <f>kalimantan!AB80</f>
        <v>0.49199078572177884</v>
      </c>
      <c r="I86">
        <f>kalimantan!AC80</f>
        <v>0.71295915170691238</v>
      </c>
      <c r="J86">
        <f>kalimantan!AD80</f>
        <v>8.7472465242180029</v>
      </c>
      <c r="K86">
        <f>kalimantan!AE80</f>
        <v>3.7509119260807466E-2</v>
      </c>
      <c r="L86">
        <f>kalimantan!AF80</f>
        <v>3.2028433862215917</v>
      </c>
      <c r="M86">
        <f>kalimantan!AG80</f>
        <v>0</v>
      </c>
      <c r="N86">
        <f>kalimantan!AH80</f>
        <v>0</v>
      </c>
      <c r="O86">
        <f>kalimantan!AI80</f>
        <v>0</v>
      </c>
      <c r="P86">
        <f>kalimantan!AJ80</f>
        <v>173.07186260857995</v>
      </c>
    </row>
    <row r="87" spans="1:16" x14ac:dyDescent="0.25">
      <c r="A87" t="str">
        <f>kalimantan!U81</f>
        <v>KALIMANTAN</v>
      </c>
      <c r="B87">
        <f>kalimantan!V81</f>
        <v>2024</v>
      </c>
      <c r="C87">
        <f>kalimantan!W81</f>
        <v>80.216671973525976</v>
      </c>
      <c r="D87">
        <f>kalimantan!X81</f>
        <v>15.977287985395716</v>
      </c>
      <c r="E87">
        <f>kalimantan!Y81</f>
        <v>15.563910724011317</v>
      </c>
      <c r="F87">
        <f>kalimantan!Z81</f>
        <v>36.422932832119891</v>
      </c>
      <c r="G87">
        <f>kalimantan!AA81</f>
        <v>19.806256686169895</v>
      </c>
      <c r="H87">
        <f>kalimantan!AB81</f>
        <v>0.49199078572177884</v>
      </c>
      <c r="I87">
        <f>kalimantan!AC81</f>
        <v>1.2592307549529487</v>
      </c>
      <c r="J87">
        <f>kalimantan!AD81</f>
        <v>8.9835231095893153</v>
      </c>
      <c r="K87">
        <f>kalimantan!AE81</f>
        <v>9.4867016164951537E-2</v>
      </c>
      <c r="L87">
        <f>kalimantan!AF81</f>
        <v>3.6323234031920744</v>
      </c>
      <c r="M87">
        <f>kalimantan!AG81</f>
        <v>0</v>
      </c>
      <c r="N87">
        <f>kalimantan!AH81</f>
        <v>0</v>
      </c>
      <c r="O87">
        <f>kalimantan!AI81</f>
        <v>0</v>
      </c>
      <c r="P87">
        <f>kalimantan!AJ81</f>
        <v>182.44899527084385</v>
      </c>
    </row>
    <row r="88" spans="1:16" x14ac:dyDescent="0.25">
      <c r="A88" t="str">
        <f>kalimantan!U82</f>
        <v>KALIMANTAN</v>
      </c>
      <c r="B88">
        <f>kalimantan!V82</f>
        <v>2025</v>
      </c>
      <c r="C88">
        <f>kalimantan!W82</f>
        <v>80.216671973525976</v>
      </c>
      <c r="D88">
        <f>kalimantan!X82</f>
        <v>18.231197309908435</v>
      </c>
      <c r="E88">
        <f>kalimantan!Y82</f>
        <v>16.094170107630255</v>
      </c>
      <c r="F88">
        <f>kalimantan!Z82</f>
        <v>36.422932832119891</v>
      </c>
      <c r="G88">
        <f>kalimantan!AA82</f>
        <v>23.524266299275411</v>
      </c>
      <c r="H88">
        <f>kalimantan!AB82</f>
        <v>0.53541942383507179</v>
      </c>
      <c r="I88">
        <f>kalimantan!AC82</f>
        <v>1.4649934769557824</v>
      </c>
      <c r="J88">
        <f>kalimantan!AD82</f>
        <v>9.465849562202779</v>
      </c>
      <c r="K88">
        <f>kalimantan!AE82</f>
        <v>0.42533433890041161</v>
      </c>
      <c r="L88">
        <f>kalimantan!AF82</f>
        <v>4.6845364902637261</v>
      </c>
      <c r="M88">
        <f>kalimantan!AG82</f>
        <v>0</v>
      </c>
      <c r="N88">
        <f>kalimantan!AH82</f>
        <v>0</v>
      </c>
      <c r="O88">
        <f>kalimantan!AI82</f>
        <v>0</v>
      </c>
      <c r="P88">
        <f>kalimantan!AJ82</f>
        <v>191.06537181461772</v>
      </c>
    </row>
    <row r="89" spans="1:16" x14ac:dyDescent="0.25">
      <c r="A89" t="str">
        <f>kalimantan!U83</f>
        <v>KALIMANTAN</v>
      </c>
      <c r="B89">
        <f>kalimantan!V83</f>
        <v>2026</v>
      </c>
      <c r="C89">
        <f>kalimantan!W83</f>
        <v>80.216671973525976</v>
      </c>
      <c r="D89">
        <f>kalimantan!X83</f>
        <v>19.361107753251368</v>
      </c>
      <c r="E89">
        <f>kalimantan!Y83</f>
        <v>16.476585754922471</v>
      </c>
      <c r="F89">
        <f>kalimantan!Z83</f>
        <v>36.422932832119891</v>
      </c>
      <c r="G89">
        <f>kalimantan!AA83</f>
        <v>25.38326924682336</v>
      </c>
      <c r="H89">
        <f>kalimantan!AB83</f>
        <v>0.54155481842667397</v>
      </c>
      <c r="I89">
        <f>kalimantan!AC83</f>
        <v>1.5785975438628868</v>
      </c>
      <c r="J89">
        <f>kalimantan!AD83</f>
        <v>9.48256904937179</v>
      </c>
      <c r="K89">
        <f>kalimantan!AE83</f>
        <v>0.45096129824890241</v>
      </c>
      <c r="L89">
        <f>kalimantan!AF83</f>
        <v>4.7478396397913798</v>
      </c>
      <c r="M89">
        <f>kalimantan!AG83</f>
        <v>0</v>
      </c>
      <c r="N89">
        <f>kalimantan!AH83</f>
        <v>0</v>
      </c>
      <c r="O89">
        <f>kalimantan!AI83</f>
        <v>0</v>
      </c>
      <c r="P89">
        <f>kalimantan!AJ83</f>
        <v>194.66208991034469</v>
      </c>
    </row>
    <row r="90" spans="1:16" x14ac:dyDescent="0.25">
      <c r="A90" t="str">
        <f>kalimantan!U84</f>
        <v>KALIMANTAN</v>
      </c>
      <c r="B90">
        <f>kalimantan!V84</f>
        <v>2027</v>
      </c>
      <c r="C90">
        <f>kalimantan!W84</f>
        <v>80.216671973525976</v>
      </c>
      <c r="D90">
        <f>kalimantan!X84</f>
        <v>19.361107753251368</v>
      </c>
      <c r="E90">
        <f>kalimantan!Y84</f>
        <v>25.704077703370356</v>
      </c>
      <c r="F90">
        <f>kalimantan!Z84</f>
        <v>37.71468039843765</v>
      </c>
      <c r="G90">
        <f>kalimantan!AA84</f>
        <v>25.38326924682336</v>
      </c>
      <c r="H90">
        <f>kalimantan!AB84</f>
        <v>0.54155481842667397</v>
      </c>
      <c r="I90">
        <f>kalimantan!AC84</f>
        <v>1.5785975438628868</v>
      </c>
      <c r="J90">
        <f>kalimantan!AD84</f>
        <v>9.48256904937179</v>
      </c>
      <c r="K90">
        <f>kalimantan!AE84</f>
        <v>2.4740592064315137</v>
      </c>
      <c r="L90">
        <f>kalimantan!AF84</f>
        <v>4.7478396397913798</v>
      </c>
      <c r="M90">
        <f>kalimantan!AG84</f>
        <v>0</v>
      </c>
      <c r="N90">
        <f>kalimantan!AH84</f>
        <v>0</v>
      </c>
      <c r="O90">
        <f>kalimantan!AI84</f>
        <v>0</v>
      </c>
      <c r="P90">
        <f>kalimantan!AJ84</f>
        <v>207.20442733329298</v>
      </c>
    </row>
    <row r="91" spans="1:16" x14ac:dyDescent="0.25">
      <c r="A91" t="str">
        <f>kalimantan!U85</f>
        <v>KALIMANTAN</v>
      </c>
      <c r="B91">
        <f>kalimantan!V85</f>
        <v>2028</v>
      </c>
      <c r="C91">
        <f>kalimantan!W85</f>
        <v>81.628700630672938</v>
      </c>
      <c r="D91">
        <f>kalimantan!X85</f>
        <v>19.361107753251368</v>
      </c>
      <c r="E91">
        <f>kalimantan!Y85</f>
        <v>25.704077703370356</v>
      </c>
      <c r="F91">
        <f>kalimantan!Z85</f>
        <v>40.991600439983266</v>
      </c>
      <c r="G91">
        <f>kalimantan!AA85</f>
        <v>25.38326924682336</v>
      </c>
      <c r="H91">
        <f>kalimantan!AB85</f>
        <v>0.54155481842667397</v>
      </c>
      <c r="I91">
        <f>kalimantan!AC85</f>
        <v>1.5785975438628868</v>
      </c>
      <c r="J91">
        <f>kalimantan!AD85</f>
        <v>9.48256904937179</v>
      </c>
      <c r="K91">
        <f>kalimantan!AE85</f>
        <v>3.2364999745710756</v>
      </c>
      <c r="L91">
        <f>kalimantan!AF85</f>
        <v>4.7478396397913798</v>
      </c>
      <c r="M91">
        <f>kalimantan!AG85</f>
        <v>0</v>
      </c>
      <c r="N91">
        <f>kalimantan!AH85</f>
        <v>0</v>
      </c>
      <c r="O91">
        <f>kalimantan!AI85</f>
        <v>0</v>
      </c>
      <c r="P91">
        <f>kalimantan!AJ85</f>
        <v>212.65581680012511</v>
      </c>
    </row>
    <row r="92" spans="1:16" x14ac:dyDescent="0.25">
      <c r="A92" t="str">
        <f>kalimantan!U86</f>
        <v>KALIMANTAN</v>
      </c>
      <c r="B92">
        <f>kalimantan!V86</f>
        <v>2029</v>
      </c>
      <c r="C92">
        <f>kalimantan!W86</f>
        <v>81.628700630672938</v>
      </c>
      <c r="D92">
        <f>kalimantan!X86</f>
        <v>19.361107753251368</v>
      </c>
      <c r="E92">
        <f>kalimantan!Y86</f>
        <v>25.704077703370356</v>
      </c>
      <c r="F92">
        <f>kalimantan!Z86</f>
        <v>40.991600439983266</v>
      </c>
      <c r="G92">
        <f>kalimantan!AA86</f>
        <v>25.383269097140566</v>
      </c>
      <c r="H92">
        <f>kalimantan!AB86</f>
        <v>0.54163611332758121</v>
      </c>
      <c r="I92">
        <f>kalimantan!AC86</f>
        <v>1.6308476307845905</v>
      </c>
      <c r="J92">
        <f>kalimantan!AD86</f>
        <v>9.5411822278197658</v>
      </c>
      <c r="K92">
        <f>kalimantan!AE86</f>
        <v>3.2510939928001839</v>
      </c>
      <c r="L92">
        <f>kalimantan!AF86</f>
        <v>5.6904634517103325</v>
      </c>
      <c r="M92">
        <f>kalimantan!AG86</f>
        <v>0</v>
      </c>
      <c r="N92">
        <f>kalimantan!AH86</f>
        <v>0</v>
      </c>
      <c r="O92">
        <f>kalimantan!AI86</f>
        <v>0</v>
      </c>
      <c r="P92">
        <f>kalimantan!AJ86</f>
        <v>213.72397904086094</v>
      </c>
    </row>
    <row r="93" spans="1:16" x14ac:dyDescent="0.25">
      <c r="A93" t="str">
        <f>kalimantan!U87</f>
        <v>KALIMANTAN</v>
      </c>
      <c r="B93">
        <f>kalimantan!V87</f>
        <v>2030</v>
      </c>
      <c r="C93">
        <f>kalimantan!W87</f>
        <v>81.628700630672938</v>
      </c>
      <c r="D93">
        <f>kalimantan!X87</f>
        <v>19.361107753251368</v>
      </c>
      <c r="E93">
        <f>kalimantan!Y87</f>
        <v>25.704077703370356</v>
      </c>
      <c r="F93">
        <f>kalimantan!Z87</f>
        <v>40.991600439983266</v>
      </c>
      <c r="G93">
        <f>kalimantan!AA87</f>
        <v>26.312769718069976</v>
      </c>
      <c r="H93">
        <f>kalimantan!AB87</f>
        <v>0.56372953677095294</v>
      </c>
      <c r="I93">
        <f>kalimantan!AC87</f>
        <v>1.6354149842161942</v>
      </c>
      <c r="J93">
        <f>kalimantan!AD87</f>
        <v>9.576785110379765</v>
      </c>
      <c r="K93">
        <f>kalimantan!AE87</f>
        <v>3.3001440303952854</v>
      </c>
      <c r="L93">
        <f>kalimantan!AF87</f>
        <v>5.6904634517103325</v>
      </c>
      <c r="M93">
        <f>kalimantan!AG87</f>
        <v>0</v>
      </c>
      <c r="N93">
        <f>kalimantan!AH87</f>
        <v>0</v>
      </c>
      <c r="O93">
        <f>kalimantan!AI87</f>
        <v>0</v>
      </c>
      <c r="P93">
        <f>kalimantan!AJ87</f>
        <v>214.76479335882044</v>
      </c>
    </row>
    <row r="94" spans="1:16" x14ac:dyDescent="0.25">
      <c r="A94" t="str">
        <f>kalimantan!U88</f>
        <v>KALIMANTAN</v>
      </c>
      <c r="B94">
        <f>kalimantan!V88</f>
        <v>2031</v>
      </c>
      <c r="C94">
        <f>kalimantan!W88</f>
        <v>81.628700630672938</v>
      </c>
      <c r="D94">
        <f>kalimantan!X88</f>
        <v>19.361107753251368</v>
      </c>
      <c r="E94">
        <f>kalimantan!Y88</f>
        <v>25.704077703370356</v>
      </c>
      <c r="F94">
        <f>kalimantan!Z88</f>
        <v>41.316054125500287</v>
      </c>
      <c r="G94">
        <f>kalimantan!AA88</f>
        <v>26.312769718069976</v>
      </c>
      <c r="H94">
        <f>kalimantan!AB88</f>
        <v>0.56372953677095294</v>
      </c>
      <c r="I94">
        <f>kalimantan!AC88</f>
        <v>1.6354149842161942</v>
      </c>
      <c r="J94">
        <f>kalimantan!AD88</f>
        <v>9.576785110379765</v>
      </c>
      <c r="K94">
        <f>kalimantan!AE88</f>
        <v>3.6437185651609538</v>
      </c>
      <c r="L94">
        <f>kalimantan!AF88</f>
        <v>5.6904634517103325</v>
      </c>
      <c r="M94">
        <f>kalimantan!AG88</f>
        <v>0</v>
      </c>
      <c r="N94">
        <f>kalimantan!AH88</f>
        <v>0</v>
      </c>
      <c r="O94">
        <f>kalimantan!AI88</f>
        <v>0</v>
      </c>
      <c r="P94">
        <f>kalimantan!AJ88</f>
        <v>215.43282157910315</v>
      </c>
    </row>
    <row r="95" spans="1:16" x14ac:dyDescent="0.25">
      <c r="A95" t="str">
        <f>kalimantan!U89</f>
        <v>KALIMANTAN</v>
      </c>
      <c r="B95">
        <f>kalimantan!V89</f>
        <v>2032</v>
      </c>
      <c r="C95">
        <f>kalimantan!W89</f>
        <v>84.10766920341139</v>
      </c>
      <c r="D95">
        <f>kalimantan!X89</f>
        <v>19.361107753251368</v>
      </c>
      <c r="E95">
        <f>kalimantan!Y89</f>
        <v>25.731429798545971</v>
      </c>
      <c r="F95">
        <f>kalimantan!Z89</f>
        <v>45.574544696603255</v>
      </c>
      <c r="G95">
        <f>kalimantan!AA89</f>
        <v>26.312769718069976</v>
      </c>
      <c r="H95">
        <f>kalimantan!AB89</f>
        <v>0.56372953677095294</v>
      </c>
      <c r="I95">
        <f>kalimantan!AC89</f>
        <v>1.6354149842161942</v>
      </c>
      <c r="J95">
        <f>kalimantan!AD89</f>
        <v>9.576785110379765</v>
      </c>
      <c r="K95">
        <f>kalimantan!AE89</f>
        <v>4.6716688870260317</v>
      </c>
      <c r="L95">
        <f>kalimantan!AF89</f>
        <v>5.6904634517103325</v>
      </c>
      <c r="M95">
        <f>kalimantan!AG89</f>
        <v>0</v>
      </c>
      <c r="N95">
        <f>kalimantan!AH89</f>
        <v>0</v>
      </c>
      <c r="O95">
        <f>kalimantan!AI89</f>
        <v>0</v>
      </c>
      <c r="P95">
        <f>kalimantan!AJ89</f>
        <v>223.22558313998528</v>
      </c>
    </row>
    <row r="96" spans="1:16" x14ac:dyDescent="0.25">
      <c r="A96" t="str">
        <f>kalimantan!U90</f>
        <v>KALIMANTAN</v>
      </c>
      <c r="B96">
        <f>kalimantan!V90</f>
        <v>2033</v>
      </c>
      <c r="C96">
        <f>kalimantan!W90</f>
        <v>87.032184321830727</v>
      </c>
      <c r="D96">
        <f>kalimantan!X90</f>
        <v>19.361107753251368</v>
      </c>
      <c r="E96">
        <f>kalimantan!Y90</f>
        <v>27.770904355324713</v>
      </c>
      <c r="F96">
        <f>kalimantan!Z90</f>
        <v>46.175915290691755</v>
      </c>
      <c r="G96">
        <f>kalimantan!AA90</f>
        <v>26.312769718069976</v>
      </c>
      <c r="H96">
        <f>kalimantan!AB90</f>
        <v>0.56372953677095294</v>
      </c>
      <c r="I96">
        <f>kalimantan!AC90</f>
        <v>1.6354149842161942</v>
      </c>
      <c r="J96">
        <f>kalimantan!AD90</f>
        <v>9.576785110379765</v>
      </c>
      <c r="K96">
        <f>kalimantan!AE90</f>
        <v>5.7243123664256546</v>
      </c>
      <c r="L96">
        <f>kalimantan!AF90</f>
        <v>5.6904634517103325</v>
      </c>
      <c r="M96">
        <f>kalimantan!AG90</f>
        <v>0</v>
      </c>
      <c r="N96">
        <f>kalimantan!AH90</f>
        <v>0</v>
      </c>
      <c r="O96">
        <f>kalimantan!AI90</f>
        <v>0</v>
      </c>
      <c r="P96">
        <f>kalimantan!AJ90</f>
        <v>229.84358688867147</v>
      </c>
    </row>
    <row r="97" spans="1:16" x14ac:dyDescent="0.25">
      <c r="A97" t="str">
        <f>kalimantan!U91</f>
        <v>KALIMANTAN</v>
      </c>
      <c r="B97">
        <f>kalimantan!V91</f>
        <v>2034</v>
      </c>
      <c r="C97">
        <f>kalimantan!W91</f>
        <v>94.64172948524687</v>
      </c>
      <c r="D97">
        <f>kalimantan!X91</f>
        <v>19.361107733839926</v>
      </c>
      <c r="E97">
        <f>kalimantan!Y91</f>
        <v>31.837871900834859</v>
      </c>
      <c r="F97">
        <f>kalimantan!Z91</f>
        <v>46.175915290691755</v>
      </c>
      <c r="G97">
        <f>kalimantan!AA91</f>
        <v>26.312769718069976</v>
      </c>
      <c r="H97">
        <f>kalimantan!AB91</f>
        <v>0.57198317721206582</v>
      </c>
      <c r="I97">
        <f>kalimantan!AC91</f>
        <v>3.5645669510109079</v>
      </c>
      <c r="J97">
        <f>kalimantan!AD91</f>
        <v>9.576785110379765</v>
      </c>
      <c r="K97">
        <f>kalimantan!AE91</f>
        <v>5.7314174408483129</v>
      </c>
      <c r="L97">
        <f>kalimantan!AF91</f>
        <v>5.6904634517103325</v>
      </c>
      <c r="M97">
        <f>kalimantan!AG91</f>
        <v>0</v>
      </c>
      <c r="N97">
        <f>kalimantan!AH91</f>
        <v>0</v>
      </c>
      <c r="O97">
        <f>kalimantan!AI91</f>
        <v>0</v>
      </c>
      <c r="P97">
        <f>kalimantan!AJ91</f>
        <v>243.46461025984479</v>
      </c>
    </row>
    <row r="98" spans="1:16" x14ac:dyDescent="0.25">
      <c r="A98" t="str">
        <f>kalimantan!U92</f>
        <v>KALIMANTAN</v>
      </c>
      <c r="B98">
        <f>kalimantan!V92</f>
        <v>2035</v>
      </c>
      <c r="C98">
        <f>kalimantan!W92</f>
        <v>100.08932499211343</v>
      </c>
      <c r="D98">
        <f>kalimantan!X92</f>
        <v>19.361107733839926</v>
      </c>
      <c r="E98">
        <f>kalimantan!Y92</f>
        <v>35.844865660113996</v>
      </c>
      <c r="F98">
        <f>kalimantan!Z92</f>
        <v>49.652460949526443</v>
      </c>
      <c r="G98">
        <f>kalimantan!AA92</f>
        <v>26.312769718069976</v>
      </c>
      <c r="H98">
        <f>kalimantan!AB92</f>
        <v>0.57198317721206582</v>
      </c>
      <c r="I98">
        <f>kalimantan!AC92</f>
        <v>3.5645669510109079</v>
      </c>
      <c r="J98">
        <f>kalimantan!AD92</f>
        <v>9.576785110379765</v>
      </c>
      <c r="K98">
        <f>kalimantan!AE92</f>
        <v>6.4522896453174985</v>
      </c>
      <c r="L98">
        <f>kalimantan!AF92</f>
        <v>5.6904634517103325</v>
      </c>
      <c r="M98">
        <f>kalimantan!AG92</f>
        <v>0</v>
      </c>
      <c r="N98">
        <f>kalimantan!AH92</f>
        <v>0</v>
      </c>
      <c r="O98">
        <f>kalimantan!AI92</f>
        <v>0</v>
      </c>
      <c r="P98">
        <f>kalimantan!AJ92</f>
        <v>257.11661738929439</v>
      </c>
    </row>
    <row r="99" spans="1:16" x14ac:dyDescent="0.25">
      <c r="A99" t="str">
        <f>kalimantan!U93</f>
        <v>KALIMANTAN</v>
      </c>
      <c r="B99">
        <f>kalimantan!V93</f>
        <v>2036</v>
      </c>
      <c r="C99">
        <f>kalimantan!W93</f>
        <v>102.34142235340279</v>
      </c>
      <c r="D99">
        <f>kalimantan!X93</f>
        <v>19.361107733839926</v>
      </c>
      <c r="E99">
        <f>kalimantan!Y93</f>
        <v>37.191633542098764</v>
      </c>
      <c r="F99">
        <f>kalimantan!Z93</f>
        <v>50.729735440491353</v>
      </c>
      <c r="G99">
        <f>kalimantan!AA93</f>
        <v>26.312769718069976</v>
      </c>
      <c r="H99">
        <f>kalimantan!AB93</f>
        <v>0.57198317721206582</v>
      </c>
      <c r="I99">
        <f>kalimantan!AC93</f>
        <v>3.5645669510109079</v>
      </c>
      <c r="J99">
        <f>kalimantan!AD93</f>
        <v>9.576785110379765</v>
      </c>
      <c r="K99">
        <f>kalimantan!AE93</f>
        <v>7.4720331511987448</v>
      </c>
      <c r="L99">
        <f>kalimantan!AF93</f>
        <v>5.6904634517103325</v>
      </c>
      <c r="M99">
        <f>kalimantan!AG93</f>
        <v>0</v>
      </c>
      <c r="N99">
        <f>kalimantan!AH93</f>
        <v>0</v>
      </c>
      <c r="O99">
        <f>kalimantan!AI93</f>
        <v>0</v>
      </c>
      <c r="P99">
        <f>kalimantan!AJ93</f>
        <v>262.81250062941461</v>
      </c>
    </row>
    <row r="100" spans="1:16" x14ac:dyDescent="0.25">
      <c r="A100" t="str">
        <f>kalimantan!U94</f>
        <v>KALIMANTAN</v>
      </c>
      <c r="B100">
        <f>kalimantan!V94</f>
        <v>2037</v>
      </c>
      <c r="C100">
        <f>kalimantan!W94</f>
        <v>104.54919606633607</v>
      </c>
      <c r="D100">
        <f>kalimantan!X94</f>
        <v>23.374051744196475</v>
      </c>
      <c r="E100">
        <f>kalimantan!Y94</f>
        <v>37.591974213026838</v>
      </c>
      <c r="F100">
        <f>kalimantan!Z94</f>
        <v>50.729735440491353</v>
      </c>
      <c r="G100">
        <f>kalimantan!AA94</f>
        <v>26.405720049477157</v>
      </c>
      <c r="H100">
        <f>kalimantan!AB94</f>
        <v>0.59140838196158874</v>
      </c>
      <c r="I100">
        <f>kalimantan!AC94</f>
        <v>3.6097165778274656</v>
      </c>
      <c r="J100">
        <f>kalimantan!AD94</f>
        <v>9.9393358475878362</v>
      </c>
      <c r="K100">
        <f>kalimantan!AE94</f>
        <v>8.0085570798312116</v>
      </c>
      <c r="L100">
        <f>kalimantan!AF94</f>
        <v>6.2103557160471832</v>
      </c>
      <c r="M100">
        <f>kalimantan!AG94</f>
        <v>0</v>
      </c>
      <c r="N100">
        <f>kalimantan!AH94</f>
        <v>0</v>
      </c>
      <c r="O100">
        <f>kalimantan!AI94</f>
        <v>0</v>
      </c>
      <c r="P100">
        <f>kalimantan!AJ94</f>
        <v>271.01005111678319</v>
      </c>
    </row>
    <row r="101" spans="1:16" x14ac:dyDescent="0.25">
      <c r="A101" t="str">
        <f>kalimantan!U95</f>
        <v>KALIMANTAN</v>
      </c>
      <c r="B101">
        <f>kalimantan!V95</f>
        <v>2038</v>
      </c>
      <c r="C101">
        <f>kalimantan!W95</f>
        <v>107.8909349565406</v>
      </c>
      <c r="D101">
        <f>kalimantan!X95</f>
        <v>23.374051744196475</v>
      </c>
      <c r="E101">
        <f>kalimantan!Y95</f>
        <v>40.356663201174811</v>
      </c>
      <c r="F101">
        <f>kalimantan!Z95</f>
        <v>50.880893483530969</v>
      </c>
      <c r="G101">
        <f>kalimantan!AA95</f>
        <v>26.405720049477157</v>
      </c>
      <c r="H101">
        <f>kalimantan!AB95</f>
        <v>0.59140838196158874</v>
      </c>
      <c r="I101">
        <f>kalimantan!AC95</f>
        <v>3.6097165778274656</v>
      </c>
      <c r="J101">
        <f>kalimantan!AD95</f>
        <v>9.9393358475878362</v>
      </c>
      <c r="K101">
        <f>kalimantan!AE95</f>
        <v>9.3622074134089459</v>
      </c>
      <c r="L101">
        <f>kalimantan!AF95</f>
        <v>6.2103557160471832</v>
      </c>
      <c r="M101">
        <f>kalimantan!AG95</f>
        <v>0</v>
      </c>
      <c r="N101">
        <f>kalimantan!AH95</f>
        <v>0</v>
      </c>
      <c r="O101">
        <f>kalimantan!AI95</f>
        <v>0</v>
      </c>
      <c r="P101">
        <f>kalimantan!AJ95</f>
        <v>278.62128737175306</v>
      </c>
    </row>
    <row r="102" spans="1:16" x14ac:dyDescent="0.25">
      <c r="A102" t="str">
        <f>sulawesi!U76</f>
        <v>SULAWESI</v>
      </c>
      <c r="B102">
        <f>sulawesi!V76</f>
        <v>2019</v>
      </c>
      <c r="C102">
        <f>sulawesi!W76</f>
        <v>78.515844476689637</v>
      </c>
      <c r="D102">
        <f>sulawesi!X76</f>
        <v>5.6044701727103723</v>
      </c>
      <c r="E102">
        <f>sulawesi!Y76</f>
        <v>2.2416637846153842</v>
      </c>
      <c r="F102">
        <f>sulawesi!Z76</f>
        <v>18.920951957349033</v>
      </c>
      <c r="G102">
        <f>sulawesi!AA76</f>
        <v>11.974623507692305</v>
      </c>
      <c r="H102">
        <f>sulawesi!AB76</f>
        <v>0.69727173075692384</v>
      </c>
      <c r="I102">
        <f>sulawesi!AC76</f>
        <v>0.33321374252307684</v>
      </c>
      <c r="J102">
        <f>sulawesi!AD76</f>
        <v>2.3586909695999997E-2</v>
      </c>
      <c r="K102">
        <f>sulawesi!AE76</f>
        <v>0</v>
      </c>
      <c r="L102">
        <f>sulawesi!AF76</f>
        <v>1.0006556694789082E-2</v>
      </c>
      <c r="M102">
        <f>sulawesi!AG76</f>
        <v>0</v>
      </c>
      <c r="N102">
        <f>sulawesi!AH76</f>
        <v>0</v>
      </c>
      <c r="O102">
        <f>sulawesi!AI76</f>
        <v>0</v>
      </c>
      <c r="P102">
        <f>sulawesi!AJ76</f>
        <v>118.32163283872751</v>
      </c>
    </row>
    <row r="103" spans="1:16" x14ac:dyDescent="0.25">
      <c r="A103" t="str">
        <f>sulawesi!U77</f>
        <v>SULAWESI</v>
      </c>
      <c r="B103">
        <f>sulawesi!V77</f>
        <v>2020</v>
      </c>
      <c r="C103">
        <f>sulawesi!W77</f>
        <v>78.515844476689637</v>
      </c>
      <c r="D103">
        <f>sulawesi!X77</f>
        <v>5.7184423694440314</v>
      </c>
      <c r="E103">
        <f>sulawesi!Y77</f>
        <v>3.5515007866465571</v>
      </c>
      <c r="F103">
        <f>sulawesi!Z77</f>
        <v>18.920951957349033</v>
      </c>
      <c r="G103">
        <f>sulawesi!AA77</f>
        <v>11.974623507692305</v>
      </c>
      <c r="H103">
        <f>sulawesi!AB77</f>
        <v>0.69727173075692384</v>
      </c>
      <c r="I103">
        <f>sulawesi!AC77</f>
        <v>0.33321374252307684</v>
      </c>
      <c r="J103">
        <f>sulawesi!AD77</f>
        <v>0.73971925911548264</v>
      </c>
      <c r="K103">
        <f>sulawesi!AE77</f>
        <v>0</v>
      </c>
      <c r="L103">
        <f>sulawesi!AF77</f>
        <v>1.0006556694789082E-2</v>
      </c>
      <c r="M103">
        <f>sulawesi!AG77</f>
        <v>0</v>
      </c>
      <c r="N103">
        <f>sulawesi!AH77</f>
        <v>0</v>
      </c>
      <c r="O103">
        <f>sulawesi!AI77</f>
        <v>0</v>
      </c>
      <c r="P103">
        <f>sulawesi!AJ77</f>
        <v>120.46157438691183</v>
      </c>
    </row>
    <row r="104" spans="1:16" x14ac:dyDescent="0.25">
      <c r="A104" t="str">
        <f>sulawesi!U78</f>
        <v>SULAWESI</v>
      </c>
      <c r="B104">
        <f>sulawesi!V78</f>
        <v>2021</v>
      </c>
      <c r="C104">
        <f>sulawesi!W78</f>
        <v>78.515844448999346</v>
      </c>
      <c r="D104">
        <f>sulawesi!X78</f>
        <v>5.7184423500325954</v>
      </c>
      <c r="E104">
        <f>sulawesi!Y78</f>
        <v>10.961100794520258</v>
      </c>
      <c r="F104">
        <f>sulawesi!Z78</f>
        <v>18.920951957349033</v>
      </c>
      <c r="G104">
        <f>sulawesi!AA78</f>
        <v>11.974623507692305</v>
      </c>
      <c r="H104">
        <f>sulawesi!AB78</f>
        <v>0.69727173075692384</v>
      </c>
      <c r="I104">
        <f>sulawesi!AC78</f>
        <v>0.33321374252307684</v>
      </c>
      <c r="J104">
        <f>sulawesi!AD78</f>
        <v>0.77878882883284062</v>
      </c>
      <c r="K104">
        <f>sulawesi!AE78</f>
        <v>0</v>
      </c>
      <c r="L104">
        <f>sulawesi!AF78</f>
        <v>1.0006556694789082E-2</v>
      </c>
      <c r="M104">
        <f>sulawesi!AG78</f>
        <v>0</v>
      </c>
      <c r="N104">
        <f>sulawesi!AH78</f>
        <v>0</v>
      </c>
      <c r="O104">
        <f>sulawesi!AI78</f>
        <v>0</v>
      </c>
      <c r="P104">
        <f>sulawesi!AJ78</f>
        <v>127.91024391740116</v>
      </c>
    </row>
    <row r="105" spans="1:16" x14ac:dyDescent="0.25">
      <c r="A105" t="str">
        <f>sulawesi!U79</f>
        <v>SULAWESI</v>
      </c>
      <c r="B105">
        <f>sulawesi!V79</f>
        <v>2022</v>
      </c>
      <c r="C105">
        <f>sulawesi!W79</f>
        <v>81.716718825992601</v>
      </c>
      <c r="D105">
        <f>sulawesi!X79</f>
        <v>5.7184423306211585</v>
      </c>
      <c r="E105">
        <f>sulawesi!Y79</f>
        <v>15.375326852538985</v>
      </c>
      <c r="F105">
        <f>sulawesi!Z79</f>
        <v>18.920951957349033</v>
      </c>
      <c r="G105">
        <f>sulawesi!AA79</f>
        <v>11.974623507692305</v>
      </c>
      <c r="H105">
        <f>sulawesi!AB79</f>
        <v>0.69727173075692384</v>
      </c>
      <c r="I105">
        <f>sulawesi!AC79</f>
        <v>0.33321373719591874</v>
      </c>
      <c r="J105">
        <f>sulawesi!AD79</f>
        <v>9.224120796144911</v>
      </c>
      <c r="K105">
        <f>sulawesi!AE79</f>
        <v>0</v>
      </c>
      <c r="L105">
        <f>sulawesi!AF79</f>
        <v>1.0006556694789082E-2</v>
      </c>
      <c r="M105">
        <f>sulawesi!AG79</f>
        <v>0</v>
      </c>
      <c r="N105">
        <f>sulawesi!AH79</f>
        <v>0</v>
      </c>
      <c r="O105">
        <f>sulawesi!AI79</f>
        <v>0</v>
      </c>
      <c r="P105">
        <f>sulawesi!AJ79</f>
        <v>143.97067629498659</v>
      </c>
    </row>
    <row r="106" spans="1:16" x14ac:dyDescent="0.25">
      <c r="A106" t="str">
        <f>sulawesi!U80</f>
        <v>SULAWESI</v>
      </c>
      <c r="B106">
        <f>sulawesi!V80</f>
        <v>2023</v>
      </c>
      <c r="C106">
        <f>sulawesi!W80</f>
        <v>86.221202160332155</v>
      </c>
      <c r="D106">
        <f>sulawesi!X80</f>
        <v>5.7184423306211585</v>
      </c>
      <c r="E106">
        <f>sulawesi!Y80</f>
        <v>18.897157596609631</v>
      </c>
      <c r="F106">
        <f>sulawesi!Z80</f>
        <v>18.920951957349033</v>
      </c>
      <c r="G106">
        <f>sulawesi!AA80</f>
        <v>11.974623358009513</v>
      </c>
      <c r="H106">
        <f>sulawesi!AB80</f>
        <v>0.86953520200648216</v>
      </c>
      <c r="I106">
        <f>sulawesi!AC80</f>
        <v>0.33321373186876058</v>
      </c>
      <c r="J106">
        <f>sulawesi!AD80</f>
        <v>15.197987302667181</v>
      </c>
      <c r="K106">
        <f>sulawesi!AE80</f>
        <v>1.0668242140167561</v>
      </c>
      <c r="L106">
        <f>sulawesi!AF80</f>
        <v>1.0006556694789082E-2</v>
      </c>
      <c r="M106">
        <f>sulawesi!AG80</f>
        <v>0</v>
      </c>
      <c r="N106">
        <f>sulawesi!AH80</f>
        <v>0</v>
      </c>
      <c r="O106">
        <f>sulawesi!AI80</f>
        <v>0</v>
      </c>
      <c r="P106">
        <f>sulawesi!AJ80</f>
        <v>159.20994441017544</v>
      </c>
    </row>
    <row r="107" spans="1:16" x14ac:dyDescent="0.25">
      <c r="A107" t="str">
        <f>sulawesi!U81</f>
        <v>SULAWESI</v>
      </c>
      <c r="B107">
        <f>sulawesi!V81</f>
        <v>2024</v>
      </c>
      <c r="C107">
        <f>sulawesi!W81</f>
        <v>87.541324351083446</v>
      </c>
      <c r="D107">
        <f>sulawesi!X81</f>
        <v>5.7184423306211585</v>
      </c>
      <c r="E107">
        <f>sulawesi!Y81</f>
        <v>26.457986130345009</v>
      </c>
      <c r="F107">
        <f>sulawesi!Z81</f>
        <v>18.920951957349033</v>
      </c>
      <c r="G107">
        <f>sulawesi!AA81</f>
        <v>11.974623358009513</v>
      </c>
      <c r="H107">
        <f>sulawesi!AB81</f>
        <v>0.86953520200648216</v>
      </c>
      <c r="I107">
        <f>sulawesi!AC81</f>
        <v>0.33321373186876058</v>
      </c>
      <c r="J107">
        <f>sulawesi!AD81</f>
        <v>15.197987302667181</v>
      </c>
      <c r="K107">
        <f>sulawesi!AE81</f>
        <v>4.6330091513425549</v>
      </c>
      <c r="L107">
        <f>sulawesi!AF81</f>
        <v>1.0006556694789082E-2</v>
      </c>
      <c r="M107">
        <f>sulawesi!AG81</f>
        <v>0</v>
      </c>
      <c r="N107">
        <f>sulawesi!AH81</f>
        <v>0</v>
      </c>
      <c r="O107">
        <f>sulawesi!AI81</f>
        <v>0</v>
      </c>
      <c r="P107">
        <f>sulawesi!AJ81</f>
        <v>171.65708007198793</v>
      </c>
    </row>
    <row r="108" spans="1:16" x14ac:dyDescent="0.25">
      <c r="A108" t="str">
        <f>sulawesi!U82</f>
        <v>SULAWESI</v>
      </c>
      <c r="B108">
        <f>sulawesi!V82</f>
        <v>2025</v>
      </c>
      <c r="C108">
        <f>sulawesi!W82</f>
        <v>87.541324351083446</v>
      </c>
      <c r="D108">
        <f>sulawesi!X82</f>
        <v>5.7184423306211585</v>
      </c>
      <c r="E108">
        <f>sulawesi!Y82</f>
        <v>36.06199338158661</v>
      </c>
      <c r="F108">
        <f>sulawesi!Z82</f>
        <v>18.920951957349033</v>
      </c>
      <c r="G108">
        <f>sulawesi!AA82</f>
        <v>11.974623358009513</v>
      </c>
      <c r="H108">
        <f>sulawesi!AB82</f>
        <v>0.86953520200648216</v>
      </c>
      <c r="I108">
        <f>sulawesi!AC82</f>
        <v>0.33321373186876058</v>
      </c>
      <c r="J108">
        <f>sulawesi!AD82</f>
        <v>15.197987302667181</v>
      </c>
      <c r="K108">
        <f>sulawesi!AE82</f>
        <v>4.9115555101950665</v>
      </c>
      <c r="L108">
        <f>sulawesi!AF82</f>
        <v>1.0006556694789082E-2</v>
      </c>
      <c r="M108">
        <f>sulawesi!AG82</f>
        <v>0</v>
      </c>
      <c r="N108">
        <f>sulawesi!AH82</f>
        <v>0</v>
      </c>
      <c r="O108">
        <f>sulawesi!AI82</f>
        <v>0</v>
      </c>
      <c r="P108">
        <f>sulawesi!AJ82</f>
        <v>181.53963368208201</v>
      </c>
    </row>
    <row r="109" spans="1:16" x14ac:dyDescent="0.25">
      <c r="A109" t="str">
        <f>sulawesi!U83</f>
        <v>SULAWESI</v>
      </c>
      <c r="B109">
        <f>sulawesi!V83</f>
        <v>2026</v>
      </c>
      <c r="C109">
        <f>sulawesi!W83</f>
        <v>88.094414635461206</v>
      </c>
      <c r="D109">
        <f>sulawesi!X83</f>
        <v>5.7184423306211585</v>
      </c>
      <c r="E109">
        <f>sulawesi!Y83</f>
        <v>40.922790492604733</v>
      </c>
      <c r="F109">
        <f>sulawesi!Z83</f>
        <v>24.042260962959517</v>
      </c>
      <c r="G109">
        <f>sulawesi!AA83</f>
        <v>11.974623358009513</v>
      </c>
      <c r="H109">
        <f>sulawesi!AB83</f>
        <v>0.86953520200648216</v>
      </c>
      <c r="I109">
        <f>sulawesi!AC83</f>
        <v>0.33321373186876058</v>
      </c>
      <c r="J109">
        <f>sulawesi!AD83</f>
        <v>15.197987302667181</v>
      </c>
      <c r="K109">
        <f>sulawesi!AE83</f>
        <v>4.9115555101950665</v>
      </c>
      <c r="L109">
        <f>sulawesi!AF83</f>
        <v>1.0006556694789082E-2</v>
      </c>
      <c r="M109">
        <f>sulawesi!AG83</f>
        <v>0</v>
      </c>
      <c r="N109">
        <f>sulawesi!AH83</f>
        <v>0</v>
      </c>
      <c r="O109">
        <f>sulawesi!AI83</f>
        <v>0</v>
      </c>
      <c r="P109">
        <f>sulawesi!AJ83</f>
        <v>192.07483008308839</v>
      </c>
    </row>
    <row r="110" spans="1:16" x14ac:dyDescent="0.25">
      <c r="A110" t="str">
        <f>sulawesi!U84</f>
        <v>SULAWESI</v>
      </c>
      <c r="B110">
        <f>sulawesi!V84</f>
        <v>2027</v>
      </c>
      <c r="C110">
        <f>sulawesi!W84</f>
        <v>94.247322723883912</v>
      </c>
      <c r="D110">
        <f>sulawesi!X84</f>
        <v>5.7184423306211585</v>
      </c>
      <c r="E110">
        <f>sulawesi!Y84</f>
        <v>45.144830242275155</v>
      </c>
      <c r="F110">
        <f>sulawesi!Z84</f>
        <v>24.042260962959517</v>
      </c>
      <c r="G110">
        <f>sulawesi!AA84</f>
        <v>11.974623358009513</v>
      </c>
      <c r="H110">
        <f>sulawesi!AB84</f>
        <v>0.86953520200648216</v>
      </c>
      <c r="I110">
        <f>sulawesi!AC84</f>
        <v>0.33321373186876058</v>
      </c>
      <c r="J110">
        <f>sulawesi!AD84</f>
        <v>15.197987302667181</v>
      </c>
      <c r="K110">
        <f>sulawesi!AE84</f>
        <v>6.7732294393929022</v>
      </c>
      <c r="L110">
        <f>sulawesi!AF84</f>
        <v>1.0006556694789082E-2</v>
      </c>
      <c r="M110">
        <f>sulawesi!AG84</f>
        <v>0</v>
      </c>
      <c r="N110">
        <f>sulawesi!AH84</f>
        <v>0</v>
      </c>
      <c r="O110">
        <f>sulawesi!AI84</f>
        <v>0</v>
      </c>
      <c r="P110">
        <f>sulawesi!AJ84</f>
        <v>204.31145185037937</v>
      </c>
    </row>
    <row r="111" spans="1:16" x14ac:dyDescent="0.25">
      <c r="A111" t="str">
        <f>sulawesi!U85</f>
        <v>SULAWESI</v>
      </c>
      <c r="B111">
        <f>sulawesi!V85</f>
        <v>2028</v>
      </c>
      <c r="C111">
        <f>sulawesi!W85</f>
        <v>96.719730555896049</v>
      </c>
      <c r="D111">
        <f>sulawesi!X85</f>
        <v>5.7184423306211585</v>
      </c>
      <c r="E111">
        <f>sulawesi!Y85</f>
        <v>45.144830242275155</v>
      </c>
      <c r="F111">
        <f>sulawesi!Z85</f>
        <v>30.03920473940904</v>
      </c>
      <c r="G111">
        <f>sulawesi!AA85</f>
        <v>11.974623358009513</v>
      </c>
      <c r="H111">
        <f>sulawesi!AB85</f>
        <v>0.86953520200648216</v>
      </c>
      <c r="I111">
        <f>sulawesi!AC85</f>
        <v>0.33321373186876058</v>
      </c>
      <c r="J111">
        <f>sulawesi!AD85</f>
        <v>15.197987302667181</v>
      </c>
      <c r="K111">
        <f>sulawesi!AE85</f>
        <v>6.7732294393929022</v>
      </c>
      <c r="L111">
        <f>sulawesi!AF85</f>
        <v>1.0006556694789082E-2</v>
      </c>
      <c r="M111">
        <f>sulawesi!AG85</f>
        <v>0</v>
      </c>
      <c r="N111">
        <f>sulawesi!AH85</f>
        <v>0</v>
      </c>
      <c r="O111">
        <f>sulawesi!AI85</f>
        <v>0</v>
      </c>
      <c r="P111">
        <f>sulawesi!AJ85</f>
        <v>212.78080345884104</v>
      </c>
    </row>
    <row r="112" spans="1:16" x14ac:dyDescent="0.25">
      <c r="A112" t="str">
        <f>sulawesi!U86</f>
        <v>SULAWESI</v>
      </c>
      <c r="B112">
        <f>sulawesi!V86</f>
        <v>2029</v>
      </c>
      <c r="C112">
        <f>sulawesi!W86</f>
        <v>96.719730555896049</v>
      </c>
      <c r="D112">
        <f>sulawesi!X86</f>
        <v>5.7184423306211585</v>
      </c>
      <c r="E112">
        <f>sulawesi!Y86</f>
        <v>45.144830242275155</v>
      </c>
      <c r="F112">
        <f>sulawesi!Z86</f>
        <v>30.03920473940904</v>
      </c>
      <c r="G112">
        <f>sulawesi!AA86</f>
        <v>11.974623358009513</v>
      </c>
      <c r="H112">
        <f>sulawesi!AB86</f>
        <v>0.86953520200648216</v>
      </c>
      <c r="I112">
        <f>sulawesi!AC86</f>
        <v>0.33321373186876058</v>
      </c>
      <c r="J112">
        <f>sulawesi!AD86</f>
        <v>15.197987302667181</v>
      </c>
      <c r="K112">
        <f>sulawesi!AE86</f>
        <v>6.7732294393929022</v>
      </c>
      <c r="L112">
        <f>sulawesi!AF86</f>
        <v>1.0006556694789082E-2</v>
      </c>
      <c r="M112">
        <f>sulawesi!AG86</f>
        <v>0</v>
      </c>
      <c r="N112">
        <f>sulawesi!AH86</f>
        <v>0</v>
      </c>
      <c r="O112">
        <f>sulawesi!AI86</f>
        <v>0</v>
      </c>
      <c r="P112">
        <f>sulawesi!AJ86</f>
        <v>212.78080345884104</v>
      </c>
    </row>
    <row r="113" spans="1:16" x14ac:dyDescent="0.25">
      <c r="A113" t="str">
        <f>sulawesi!U87</f>
        <v>SULAWESI</v>
      </c>
      <c r="B113">
        <f>sulawesi!V87</f>
        <v>2030</v>
      </c>
      <c r="C113">
        <f>sulawesi!W87</f>
        <v>96.719730555896049</v>
      </c>
      <c r="D113">
        <f>sulawesi!X87</f>
        <v>5.7184423306211585</v>
      </c>
      <c r="E113">
        <f>sulawesi!Y87</f>
        <v>45.144830242275155</v>
      </c>
      <c r="F113">
        <f>sulawesi!Z87</f>
        <v>30.03920473940904</v>
      </c>
      <c r="G113">
        <f>sulawesi!AA87</f>
        <v>11.974623358009513</v>
      </c>
      <c r="H113">
        <f>sulawesi!AB87</f>
        <v>0.86953520200648216</v>
      </c>
      <c r="I113">
        <f>sulawesi!AC87</f>
        <v>0.33321373186876058</v>
      </c>
      <c r="J113">
        <f>sulawesi!AD87</f>
        <v>15.197987302667181</v>
      </c>
      <c r="K113">
        <f>sulawesi!AE87</f>
        <v>6.7732294393929022</v>
      </c>
      <c r="L113">
        <f>sulawesi!AF87</f>
        <v>1.0006556694789082E-2</v>
      </c>
      <c r="M113">
        <f>sulawesi!AG87</f>
        <v>0</v>
      </c>
      <c r="N113">
        <f>sulawesi!AH87</f>
        <v>0</v>
      </c>
      <c r="O113">
        <f>sulawesi!AI87</f>
        <v>0</v>
      </c>
      <c r="P113">
        <f>sulawesi!AJ87</f>
        <v>212.78080345884104</v>
      </c>
    </row>
    <row r="114" spans="1:16" x14ac:dyDescent="0.25">
      <c r="A114" t="str">
        <f>sulawesi!U88</f>
        <v>SULAWESI</v>
      </c>
      <c r="B114">
        <f>sulawesi!V88</f>
        <v>2031</v>
      </c>
      <c r="C114">
        <f>sulawesi!W88</f>
        <v>96.719730555896049</v>
      </c>
      <c r="D114">
        <f>sulawesi!X88</f>
        <v>5.7184423306211585</v>
      </c>
      <c r="E114">
        <f>sulawesi!Y88</f>
        <v>45.144830242275155</v>
      </c>
      <c r="F114">
        <f>sulawesi!Z88</f>
        <v>30.03920473940904</v>
      </c>
      <c r="G114">
        <f>sulawesi!AA88</f>
        <v>11.974623358009513</v>
      </c>
      <c r="H114">
        <f>sulawesi!AB88</f>
        <v>0.86953520200648216</v>
      </c>
      <c r="I114">
        <f>sulawesi!AC88</f>
        <v>0.33321373186876058</v>
      </c>
      <c r="J114">
        <f>sulawesi!AD88</f>
        <v>15.197987302667181</v>
      </c>
      <c r="K114">
        <f>sulawesi!AE88</f>
        <v>6.7732294393929022</v>
      </c>
      <c r="L114">
        <f>sulawesi!AF88</f>
        <v>1.0006556694789082E-2</v>
      </c>
      <c r="M114">
        <f>sulawesi!AG88</f>
        <v>0</v>
      </c>
      <c r="N114">
        <f>sulawesi!AH88</f>
        <v>0</v>
      </c>
      <c r="O114">
        <f>sulawesi!AI88</f>
        <v>0</v>
      </c>
      <c r="P114">
        <f>sulawesi!AJ88</f>
        <v>212.78080345884104</v>
      </c>
    </row>
    <row r="115" spans="1:16" x14ac:dyDescent="0.25">
      <c r="A115" t="str">
        <f>sulawesi!U89</f>
        <v>SULAWESI</v>
      </c>
      <c r="B115">
        <f>sulawesi!V89</f>
        <v>2032</v>
      </c>
      <c r="C115">
        <f>sulawesi!W89</f>
        <v>96.719730555896049</v>
      </c>
      <c r="D115">
        <f>sulawesi!X89</f>
        <v>5.7184423306211585</v>
      </c>
      <c r="E115">
        <f>sulawesi!Y89</f>
        <v>45.144830242275155</v>
      </c>
      <c r="F115">
        <f>sulawesi!Z89</f>
        <v>30.03920473940904</v>
      </c>
      <c r="G115">
        <f>sulawesi!AA89</f>
        <v>11.974623358009513</v>
      </c>
      <c r="H115">
        <f>sulawesi!AB89</f>
        <v>0.86953520200648216</v>
      </c>
      <c r="I115">
        <f>sulawesi!AC89</f>
        <v>0.33321373186876058</v>
      </c>
      <c r="J115">
        <f>sulawesi!AD89</f>
        <v>15.197987302667181</v>
      </c>
      <c r="K115">
        <f>sulawesi!AE89</f>
        <v>6.7732294393929022</v>
      </c>
      <c r="L115">
        <f>sulawesi!AF89</f>
        <v>1.0006556694789082E-2</v>
      </c>
      <c r="M115">
        <f>sulawesi!AG89</f>
        <v>0</v>
      </c>
      <c r="N115">
        <f>sulawesi!AH89</f>
        <v>0</v>
      </c>
      <c r="O115">
        <f>sulawesi!AI89</f>
        <v>0</v>
      </c>
      <c r="P115">
        <f>sulawesi!AJ89</f>
        <v>212.78080345884104</v>
      </c>
    </row>
    <row r="116" spans="1:16" x14ac:dyDescent="0.25">
      <c r="A116" t="str">
        <f>sulawesi!U90</f>
        <v>SULAWESI</v>
      </c>
      <c r="B116">
        <f>sulawesi!V90</f>
        <v>2033</v>
      </c>
      <c r="C116">
        <f>sulawesi!W90</f>
        <v>96.719730555896049</v>
      </c>
      <c r="D116">
        <f>sulawesi!X90</f>
        <v>5.7184423306211585</v>
      </c>
      <c r="E116">
        <f>sulawesi!Y90</f>
        <v>45.144830242275155</v>
      </c>
      <c r="F116">
        <f>sulawesi!Z90</f>
        <v>30.03920473940904</v>
      </c>
      <c r="G116">
        <f>sulawesi!AA90</f>
        <v>11.974623358009513</v>
      </c>
      <c r="H116">
        <f>sulawesi!AB90</f>
        <v>0.86953520200648216</v>
      </c>
      <c r="I116">
        <f>sulawesi!AC90</f>
        <v>0.33321373186876058</v>
      </c>
      <c r="J116">
        <f>sulawesi!AD90</f>
        <v>15.197987302667181</v>
      </c>
      <c r="K116">
        <f>sulawesi!AE90</f>
        <v>6.7732294393929022</v>
      </c>
      <c r="L116">
        <f>sulawesi!AF90</f>
        <v>1.0006556694789082E-2</v>
      </c>
      <c r="M116">
        <f>sulawesi!AG90</f>
        <v>0</v>
      </c>
      <c r="N116">
        <f>sulawesi!AH90</f>
        <v>0</v>
      </c>
      <c r="O116">
        <f>sulawesi!AI90</f>
        <v>0</v>
      </c>
      <c r="P116">
        <f>sulawesi!AJ90</f>
        <v>212.78080345884104</v>
      </c>
    </row>
    <row r="117" spans="1:16" x14ac:dyDescent="0.25">
      <c r="A117" t="str">
        <f>sulawesi!U91</f>
        <v>SULAWESI</v>
      </c>
      <c r="B117">
        <f>sulawesi!V91</f>
        <v>2034</v>
      </c>
      <c r="C117">
        <f>sulawesi!W91</f>
        <v>96.719730555896049</v>
      </c>
      <c r="D117">
        <f>sulawesi!X91</f>
        <v>5.7184423306211585</v>
      </c>
      <c r="E117">
        <f>sulawesi!Y91</f>
        <v>45.144830242275155</v>
      </c>
      <c r="F117">
        <f>sulawesi!Z91</f>
        <v>30.03920473940904</v>
      </c>
      <c r="G117">
        <f>sulawesi!AA91</f>
        <v>11.974623358009513</v>
      </c>
      <c r="H117">
        <f>sulawesi!AB91</f>
        <v>0.86953520200648216</v>
      </c>
      <c r="I117">
        <f>sulawesi!AC91</f>
        <v>0.33321373186876058</v>
      </c>
      <c r="J117">
        <f>sulawesi!AD91</f>
        <v>15.197987302667181</v>
      </c>
      <c r="K117">
        <f>sulawesi!AE91</f>
        <v>6.7732294393929022</v>
      </c>
      <c r="L117">
        <f>sulawesi!AF91</f>
        <v>1.0006556694789082E-2</v>
      </c>
      <c r="M117">
        <f>sulawesi!AG91</f>
        <v>0</v>
      </c>
      <c r="N117">
        <f>sulawesi!AH91</f>
        <v>0</v>
      </c>
      <c r="O117">
        <f>sulawesi!AI91</f>
        <v>0</v>
      </c>
      <c r="P117">
        <f>sulawesi!AJ91</f>
        <v>212.78080345884104</v>
      </c>
    </row>
    <row r="118" spans="1:16" x14ac:dyDescent="0.25">
      <c r="A118" t="str">
        <f>sulawesi!U92</f>
        <v>SULAWESI</v>
      </c>
      <c r="B118">
        <f>sulawesi!V92</f>
        <v>2035</v>
      </c>
      <c r="C118">
        <f>sulawesi!W92</f>
        <v>96.719730555896049</v>
      </c>
      <c r="D118">
        <f>sulawesi!X92</f>
        <v>5.7184423306211585</v>
      </c>
      <c r="E118">
        <f>sulawesi!Y92</f>
        <v>45.144830242275155</v>
      </c>
      <c r="F118">
        <f>sulawesi!Z92</f>
        <v>30.191344233691595</v>
      </c>
      <c r="G118">
        <f>sulawesi!AA92</f>
        <v>11.974623358009513</v>
      </c>
      <c r="H118">
        <f>sulawesi!AB92</f>
        <v>0.86953520200648216</v>
      </c>
      <c r="I118">
        <f>sulawesi!AC92</f>
        <v>0.33321373186876058</v>
      </c>
      <c r="J118">
        <f>sulawesi!AD92</f>
        <v>15.197987302667181</v>
      </c>
      <c r="K118">
        <f>sulawesi!AE92</f>
        <v>6.7732294393929022</v>
      </c>
      <c r="L118">
        <f>sulawesi!AF92</f>
        <v>1.0006556694789082E-2</v>
      </c>
      <c r="M118">
        <f>sulawesi!AG92</f>
        <v>0</v>
      </c>
      <c r="N118">
        <f>sulawesi!AH92</f>
        <v>0</v>
      </c>
      <c r="O118">
        <f>sulawesi!AI92</f>
        <v>0</v>
      </c>
      <c r="P118">
        <f>sulawesi!AJ92</f>
        <v>212.93294295312361</v>
      </c>
    </row>
    <row r="119" spans="1:16" x14ac:dyDescent="0.25">
      <c r="A119" t="str">
        <f>sulawesi!U93</f>
        <v>SULAWESI</v>
      </c>
      <c r="B119">
        <f>sulawesi!V93</f>
        <v>2036</v>
      </c>
      <c r="C119">
        <f>sulawesi!W93</f>
        <v>96.719730555896049</v>
      </c>
      <c r="D119">
        <f>sulawesi!X93</f>
        <v>5.7184423306211585</v>
      </c>
      <c r="E119">
        <f>sulawesi!Y93</f>
        <v>47.684177415176997</v>
      </c>
      <c r="F119">
        <f>sulawesi!Z93</f>
        <v>32.848952745713348</v>
      </c>
      <c r="G119">
        <f>sulawesi!AA93</f>
        <v>11.974623358009513</v>
      </c>
      <c r="H119">
        <f>sulawesi!AB93</f>
        <v>0.86953520200648216</v>
      </c>
      <c r="I119">
        <f>sulawesi!AC93</f>
        <v>0.33321373186876058</v>
      </c>
      <c r="J119">
        <f>sulawesi!AD93</f>
        <v>15.197987302667181</v>
      </c>
      <c r="K119">
        <f>sulawesi!AE93</f>
        <v>7.9462963233072612</v>
      </c>
      <c r="L119">
        <f>sulawesi!AF93</f>
        <v>1.0006556694789082E-2</v>
      </c>
      <c r="M119">
        <f>sulawesi!AG93</f>
        <v>0</v>
      </c>
      <c r="N119">
        <f>sulawesi!AH93</f>
        <v>0</v>
      </c>
      <c r="O119">
        <f>sulawesi!AI93</f>
        <v>0</v>
      </c>
      <c r="P119">
        <f>sulawesi!AJ93</f>
        <v>219.30296552196154</v>
      </c>
    </row>
    <row r="120" spans="1:16" x14ac:dyDescent="0.25">
      <c r="A120" t="str">
        <f>sulawesi!U94</f>
        <v>SULAWESI</v>
      </c>
      <c r="B120">
        <f>sulawesi!V94</f>
        <v>2037</v>
      </c>
      <c r="C120">
        <f>sulawesi!W94</f>
        <v>102.27337227364886</v>
      </c>
      <c r="D120">
        <f>sulawesi!X94</f>
        <v>5.7184423306211585</v>
      </c>
      <c r="E120">
        <f>sulawesi!Y94</f>
        <v>52.981973342839076</v>
      </c>
      <c r="F120">
        <f>sulawesi!Z94</f>
        <v>34.146984221604946</v>
      </c>
      <c r="G120">
        <f>sulawesi!AA94</f>
        <v>11.974623358009513</v>
      </c>
      <c r="H120">
        <f>sulawesi!AB94</f>
        <v>0.86953520200648216</v>
      </c>
      <c r="I120">
        <f>sulawesi!AC94</f>
        <v>0.33321373186876058</v>
      </c>
      <c r="J120">
        <f>sulawesi!AD94</f>
        <v>15.197987302667181</v>
      </c>
      <c r="K120">
        <f>sulawesi!AE94</f>
        <v>10.126572289338382</v>
      </c>
      <c r="L120">
        <f>sulawesi!AF94</f>
        <v>1.0006556694789082E-2</v>
      </c>
      <c r="M120">
        <f>sulawesi!AG94</f>
        <v>0</v>
      </c>
      <c r="N120">
        <f>sulawesi!AH94</f>
        <v>0</v>
      </c>
      <c r="O120">
        <f>sulawesi!AI94</f>
        <v>0</v>
      </c>
      <c r="P120">
        <f>sulawesi!AJ94</f>
        <v>233.63271060929915</v>
      </c>
    </row>
    <row r="121" spans="1:16" x14ac:dyDescent="0.25">
      <c r="A121" t="str">
        <f>sulawesi!U95</f>
        <v>SULAWESI</v>
      </c>
      <c r="B121">
        <f>sulawesi!V95</f>
        <v>2038</v>
      </c>
      <c r="C121">
        <f>sulawesi!W95</f>
        <v>110.24883984405839</v>
      </c>
      <c r="D121">
        <f>sulawesi!X95</f>
        <v>5.7184423306211585</v>
      </c>
      <c r="E121">
        <f>sulawesi!Y95</f>
        <v>57.692281786954553</v>
      </c>
      <c r="F121">
        <f>sulawesi!Z95</f>
        <v>34.146984221604946</v>
      </c>
      <c r="G121">
        <f>sulawesi!AA95</f>
        <v>11.974623358009513</v>
      </c>
      <c r="H121">
        <f>sulawesi!AB95</f>
        <v>0.86953520200648216</v>
      </c>
      <c r="I121">
        <f>sulawesi!AC95</f>
        <v>0.33321373186876058</v>
      </c>
      <c r="J121">
        <f>sulawesi!AD95</f>
        <v>15.197987302667181</v>
      </c>
      <c r="K121">
        <f>sulawesi!AE95</f>
        <v>13.558867155727993</v>
      </c>
      <c r="L121">
        <f>sulawesi!AF95</f>
        <v>1.0006556694789082E-2</v>
      </c>
      <c r="M121">
        <f>sulawesi!AG95</f>
        <v>0</v>
      </c>
      <c r="N121">
        <f>sulawesi!AH95</f>
        <v>0</v>
      </c>
      <c r="O121">
        <f>sulawesi!AI95</f>
        <v>0</v>
      </c>
      <c r="P121">
        <f>sulawesi!AJ95</f>
        <v>249.75078149021377</v>
      </c>
    </row>
    <row r="122" spans="1:16" x14ac:dyDescent="0.25">
      <c r="A122" t="str">
        <f>maluku_papua!U76</f>
        <v>MALUKU_PAPUA</v>
      </c>
      <c r="B122">
        <f>maluku_papua!V76</f>
        <v>2019</v>
      </c>
      <c r="C122">
        <f>maluku_papua!W76</f>
        <v>7.7255935845517234</v>
      </c>
      <c r="D122">
        <f>maluku_papua!X76</f>
        <v>7.7645749137023712E-2</v>
      </c>
      <c r="E122">
        <f>maluku_papua!Y76</f>
        <v>0</v>
      </c>
      <c r="F122">
        <f>maluku_papua!Z76</f>
        <v>18.860341047883345</v>
      </c>
      <c r="G122">
        <f>maluku_papua!AA76</f>
        <v>0</v>
      </c>
      <c r="H122">
        <f>maluku_papua!AB76</f>
        <v>2.5057269695222695E-2</v>
      </c>
      <c r="I122">
        <f>maluku_papua!AC76</f>
        <v>0</v>
      </c>
      <c r="J122">
        <f>maluku_papua!AD76</f>
        <v>3.5658512064000003E-2</v>
      </c>
      <c r="K122">
        <f>maluku_papua!AE76</f>
        <v>0</v>
      </c>
      <c r="L122">
        <f>maluku_papua!AF76</f>
        <v>0</v>
      </c>
      <c r="M122">
        <f>maluku_papua!AG76</f>
        <v>0</v>
      </c>
      <c r="N122">
        <f>maluku_papua!AH76</f>
        <v>0</v>
      </c>
      <c r="O122">
        <f>maluku_papua!AI76</f>
        <v>0</v>
      </c>
      <c r="P122">
        <f>maluku_papua!AJ76</f>
        <v>26.724296163331314</v>
      </c>
    </row>
    <row r="123" spans="1:16" x14ac:dyDescent="0.25">
      <c r="A123" t="str">
        <f>maluku_papua!U77</f>
        <v>MALUKU_PAPUA</v>
      </c>
      <c r="B123">
        <f>maluku_papua!V77</f>
        <v>2020</v>
      </c>
      <c r="C123">
        <f>maluku_papua!W77</f>
        <v>7.7255935845517234</v>
      </c>
      <c r="D123">
        <f>maluku_papua!X77</f>
        <v>7.764572972558649E-2</v>
      </c>
      <c r="E123">
        <f>maluku_papua!Y77</f>
        <v>1.7482779379303739</v>
      </c>
      <c r="F123">
        <f>maluku_papua!Z77</f>
        <v>18.860341047883345</v>
      </c>
      <c r="G123">
        <f>maluku_papua!AA77</f>
        <v>0</v>
      </c>
      <c r="H123">
        <f>maluku_papua!AB77</f>
        <v>2.5057269695222695E-2</v>
      </c>
      <c r="I123">
        <f>maluku_papua!AC77</f>
        <v>0</v>
      </c>
      <c r="J123">
        <f>maluku_papua!AD77</f>
        <v>3.5658506501049604E-2</v>
      </c>
      <c r="K123">
        <f>maluku_papua!AE77</f>
        <v>0</v>
      </c>
      <c r="L123">
        <f>maluku_papua!AF77</f>
        <v>0</v>
      </c>
      <c r="M123">
        <f>maluku_papua!AG77</f>
        <v>-3.1799999999974103E-10</v>
      </c>
      <c r="N123">
        <f>maluku_papua!AH77</f>
        <v>0</v>
      </c>
      <c r="O123">
        <f>maluku_papua!AI77</f>
        <v>0</v>
      </c>
      <c r="P123">
        <f>maluku_papua!AJ77</f>
        <v>28.472574075969298</v>
      </c>
    </row>
    <row r="124" spans="1:16" x14ac:dyDescent="0.25">
      <c r="A124" t="str">
        <f>maluku_papua!U78</f>
        <v>MALUKU_PAPUA</v>
      </c>
      <c r="B124">
        <f>maluku_papua!V78</f>
        <v>2021</v>
      </c>
      <c r="C124">
        <f>maluku_papua!W78</f>
        <v>7.7255935845517234</v>
      </c>
      <c r="D124">
        <f>maluku_papua!X78</f>
        <v>7.7645710314149213E-2</v>
      </c>
      <c r="E124">
        <f>maluku_papua!Y78</f>
        <v>3.6136904960964924</v>
      </c>
      <c r="F124">
        <f>maluku_papua!Z78</f>
        <v>18.860341047883345</v>
      </c>
      <c r="G124">
        <f>maluku_papua!AA78</f>
        <v>-5.0359533384001375E-16</v>
      </c>
      <c r="H124">
        <f>maluku_papua!AB78</f>
        <v>2.5057694830569251E-2</v>
      </c>
      <c r="I124">
        <f>maluku_papua!AC78</f>
        <v>0.4022579961808404</v>
      </c>
      <c r="J124">
        <f>maluku_papua!AD78</f>
        <v>1.8945034469519422</v>
      </c>
      <c r="K124">
        <f>maluku_papua!AE78</f>
        <v>0.16743687999772933</v>
      </c>
      <c r="L124">
        <f>maluku_papua!AF78</f>
        <v>0</v>
      </c>
      <c r="M124">
        <f>maluku_papua!AG78</f>
        <v>2.315459421425059E-4</v>
      </c>
      <c r="N124">
        <f>maluku_papua!AH78</f>
        <v>0</v>
      </c>
      <c r="O124">
        <f>maluku_papua!AI78</f>
        <v>0</v>
      </c>
      <c r="P124">
        <f>maluku_papua!AJ78</f>
        <v>32.766758402748934</v>
      </c>
    </row>
    <row r="125" spans="1:16" x14ac:dyDescent="0.25">
      <c r="A125" t="str">
        <f>maluku_papua!U79</f>
        <v>MALUKU_PAPUA</v>
      </c>
      <c r="B125">
        <f>maluku_papua!V79</f>
        <v>2022</v>
      </c>
      <c r="C125">
        <f>maluku_papua!W79</f>
        <v>8.2617901974370351</v>
      </c>
      <c r="D125">
        <f>maluku_papua!X79</f>
        <v>7.7645690902711992E-2</v>
      </c>
      <c r="E125">
        <f>maluku_papua!Y79</f>
        <v>5.0191516028776588</v>
      </c>
      <c r="F125">
        <f>maluku_papua!Z79</f>
        <v>18.860341047883345</v>
      </c>
      <c r="G125">
        <f>maluku_papua!AA79</f>
        <v>0</v>
      </c>
      <c r="H125">
        <f>maluku_papua!AB79</f>
        <v>4.1513852279048503E-2</v>
      </c>
      <c r="I125">
        <f>maluku_papua!AC79</f>
        <v>0.56987496059908471</v>
      </c>
      <c r="J125">
        <f>maluku_papua!AD79</f>
        <v>1.939625379481952</v>
      </c>
      <c r="K125">
        <f>maluku_papua!AE79</f>
        <v>0.22852598815054617</v>
      </c>
      <c r="L125">
        <f>maluku_papua!AF79</f>
        <v>0</v>
      </c>
      <c r="M125">
        <f>maluku_papua!AG79</f>
        <v>2.6638691443523366E-4</v>
      </c>
      <c r="N125">
        <f>maluku_papua!AH79</f>
        <v>0</v>
      </c>
      <c r="O125">
        <f>maluku_papua!AI79</f>
        <v>0</v>
      </c>
      <c r="P125">
        <f>maluku_papua!AJ79</f>
        <v>34.998735106525814</v>
      </c>
    </row>
    <row r="126" spans="1:16" x14ac:dyDescent="0.25">
      <c r="A126" t="str">
        <f>maluku_papua!U80</f>
        <v>MALUKU_PAPUA</v>
      </c>
      <c r="B126">
        <f>maluku_papua!V80</f>
        <v>2023</v>
      </c>
      <c r="C126">
        <f>maluku_papua!W80</f>
        <v>9.708208695999538</v>
      </c>
      <c r="D126">
        <f>maluku_papua!X80</f>
        <v>7.7645690902711992E-2</v>
      </c>
      <c r="E126">
        <f>maluku_papua!Y80</f>
        <v>5.565012890422536</v>
      </c>
      <c r="F126">
        <f>maluku_papua!Z80</f>
        <v>18.860341047883345</v>
      </c>
      <c r="G126">
        <f>maluku_papua!AA80</f>
        <v>-5.0359542892970732E-16</v>
      </c>
      <c r="H126">
        <f>maluku_papua!AB80</f>
        <v>4.1966730624038648E-2</v>
      </c>
      <c r="I126">
        <f>maluku_papua!AC80</f>
        <v>0.56989343578120744</v>
      </c>
      <c r="J126">
        <f>maluku_papua!AD80</f>
        <v>1.975194439134033</v>
      </c>
      <c r="K126">
        <f>maluku_papua!AE80</f>
        <v>0.69653422616067795</v>
      </c>
      <c r="L126">
        <f>maluku_papua!AF80</f>
        <v>0</v>
      </c>
      <c r="M126">
        <f>maluku_papua!AG80</f>
        <v>2.7156817682323593E-4</v>
      </c>
      <c r="N126">
        <f>maluku_papua!AH80</f>
        <v>0</v>
      </c>
      <c r="O126">
        <f>maluku_papua!AI80</f>
        <v>0</v>
      </c>
      <c r="P126">
        <f>maluku_papua!AJ80</f>
        <v>37.49506872508492</v>
      </c>
    </row>
    <row r="127" spans="1:16" x14ac:dyDescent="0.25">
      <c r="A127" t="str">
        <f>maluku_papua!U81</f>
        <v>MALUKU_PAPUA</v>
      </c>
      <c r="B127">
        <f>maluku_papua!V81</f>
        <v>2024</v>
      </c>
      <c r="C127">
        <f>maluku_papua!W81</f>
        <v>11.223765549601186</v>
      </c>
      <c r="D127">
        <f>maluku_papua!X81</f>
        <v>7.7645671491274701E-2</v>
      </c>
      <c r="E127">
        <f>maluku_papua!Y81</f>
        <v>6.1777428756385708</v>
      </c>
      <c r="F127">
        <f>maluku_papua!Z81</f>
        <v>18.860341047883345</v>
      </c>
      <c r="G127">
        <f>maluku_papua!AA81</f>
        <v>-2.3066666550178955E-8</v>
      </c>
      <c r="H127">
        <f>maluku_papua!AB81</f>
        <v>5.3136596131692894E-2</v>
      </c>
      <c r="I127">
        <f>maluku_papua!AC81</f>
        <v>0.83848082278722913</v>
      </c>
      <c r="J127">
        <f>maluku_papua!AD81</f>
        <v>1.975194439134033</v>
      </c>
      <c r="K127">
        <f>maluku_papua!AE81</f>
        <v>0.73274729715789788</v>
      </c>
      <c r="L127">
        <f>maluku_papua!AF81</f>
        <v>0</v>
      </c>
      <c r="M127">
        <f>maluku_papua!AG81</f>
        <v>2.7156817682323593E-4</v>
      </c>
      <c r="N127">
        <f>maluku_papua!AH81</f>
        <v>0</v>
      </c>
      <c r="O127">
        <f>maluku_papua!AI81</f>
        <v>0</v>
      </c>
      <c r="P127">
        <f>maluku_papua!AJ81</f>
        <v>39.939325844935382</v>
      </c>
    </row>
    <row r="128" spans="1:16" x14ac:dyDescent="0.25">
      <c r="A128" t="str">
        <f>maluku_papua!U82</f>
        <v>MALUKU_PAPUA</v>
      </c>
      <c r="B128">
        <f>maluku_papua!V82</f>
        <v>2025</v>
      </c>
      <c r="C128">
        <f>maluku_papua!W82</f>
        <v>12.808593743947036</v>
      </c>
      <c r="D128">
        <f>maluku_papua!X82</f>
        <v>7.7645652079837452E-2</v>
      </c>
      <c r="E128">
        <f>maluku_papua!Y82</f>
        <v>6.866730035376241</v>
      </c>
      <c r="F128">
        <f>maluku_papua!Z82</f>
        <v>18.860341047883345</v>
      </c>
      <c r="G128">
        <f>maluku_papua!AA82</f>
        <v>-2.3066666550178955E-8</v>
      </c>
      <c r="H128">
        <f>maluku_papua!AB82</f>
        <v>0.10289084564265531</v>
      </c>
      <c r="I128">
        <f>maluku_papua!AC82</f>
        <v>0.87271124283869472</v>
      </c>
      <c r="J128">
        <f>maluku_papua!AD82</f>
        <v>2.1075551850911527</v>
      </c>
      <c r="K128">
        <f>maluku_papua!AE82</f>
        <v>0.86999304535872279</v>
      </c>
      <c r="L128">
        <f>maluku_papua!AF82</f>
        <v>0</v>
      </c>
      <c r="M128">
        <f>maluku_papua!AG82</f>
        <v>2.7158251024633529E-4</v>
      </c>
      <c r="N128">
        <f>maluku_papua!AH82</f>
        <v>0</v>
      </c>
      <c r="O128">
        <f>maluku_papua!AI82</f>
        <v>0</v>
      </c>
      <c r="P128">
        <f>maluku_papua!AJ82</f>
        <v>42.566732357661266</v>
      </c>
    </row>
    <row r="129" spans="1:16" x14ac:dyDescent="0.25">
      <c r="A129" t="str">
        <f>maluku_papua!U83</f>
        <v>MALUKU_PAPUA</v>
      </c>
      <c r="B129">
        <f>maluku_papua!V83</f>
        <v>2026</v>
      </c>
      <c r="C129">
        <f>maluku_papua!W83</f>
        <v>14.635962202789795</v>
      </c>
      <c r="D129">
        <f>maluku_papua!X83</f>
        <v>7.7645652079837452E-2</v>
      </c>
      <c r="E129">
        <f>maluku_papua!Y83</f>
        <v>7.4531283989215362</v>
      </c>
      <c r="F129">
        <f>maluku_papua!Z83</f>
        <v>18.860341047883345</v>
      </c>
      <c r="G129">
        <f>maluku_papua!AA83</f>
        <v>0</v>
      </c>
      <c r="H129">
        <f>maluku_papua!AB83</f>
        <v>0.11536022654926267</v>
      </c>
      <c r="I129">
        <f>maluku_papua!AC83</f>
        <v>0.97350805714489619</v>
      </c>
      <c r="J129">
        <f>maluku_papua!AD83</f>
        <v>2.1356995120141464</v>
      </c>
      <c r="K129">
        <f>maluku_papua!AE83</f>
        <v>0.91435792543086947</v>
      </c>
      <c r="L129">
        <f>maluku_papua!AF83</f>
        <v>0</v>
      </c>
      <c r="M129">
        <f>maluku_papua!AG83</f>
        <v>3.228548895988833E-4</v>
      </c>
      <c r="N129">
        <f>maluku_papua!AH83</f>
        <v>0</v>
      </c>
      <c r="O129">
        <f>maluku_papua!AI83</f>
        <v>0</v>
      </c>
      <c r="P129">
        <f>maluku_papua!AJ83</f>
        <v>45.166325877703287</v>
      </c>
    </row>
    <row r="130" spans="1:16" x14ac:dyDescent="0.25">
      <c r="A130" t="str">
        <f>maluku_papua!U84</f>
        <v>MALUKU_PAPUA</v>
      </c>
      <c r="B130">
        <f>maluku_papua!V84</f>
        <v>2027</v>
      </c>
      <c r="C130">
        <f>maluku_papua!W84</f>
        <v>16.573588632496659</v>
      </c>
      <c r="D130">
        <f>maluku_papua!X84</f>
        <v>7.7645632668400161E-2</v>
      </c>
      <c r="E130">
        <f>maluku_papua!Y84</f>
        <v>8.0920978901697911</v>
      </c>
      <c r="F130">
        <f>maluku_papua!Z84</f>
        <v>18.860341047883345</v>
      </c>
      <c r="G130">
        <f>maluku_papua!AA84</f>
        <v>-5.0359712073383792E-16</v>
      </c>
      <c r="H130">
        <f>maluku_papua!AB84</f>
        <v>0.13349949309064377</v>
      </c>
      <c r="I130">
        <f>maluku_papua!AC84</f>
        <v>1.0636800599596143</v>
      </c>
      <c r="J130">
        <f>maluku_papua!AD84</f>
        <v>2.1357950648310506</v>
      </c>
      <c r="K130">
        <f>maluku_papua!AE84</f>
        <v>0.97284979144628847</v>
      </c>
      <c r="L130">
        <f>maluku_papua!AF84</f>
        <v>0</v>
      </c>
      <c r="M130">
        <f>maluku_papua!AG84</f>
        <v>4.5059733978178735E-4</v>
      </c>
      <c r="N130">
        <f>maluku_papua!AH84</f>
        <v>0</v>
      </c>
      <c r="O130">
        <f>maluku_papua!AI84</f>
        <v>0</v>
      </c>
      <c r="P130">
        <f>maluku_papua!AJ84</f>
        <v>47.90994820988557</v>
      </c>
    </row>
    <row r="131" spans="1:16" x14ac:dyDescent="0.25">
      <c r="A131" t="str">
        <f>maluku_papua!U85</f>
        <v>MALUKU_PAPUA</v>
      </c>
      <c r="B131">
        <f>maluku_papua!V85</f>
        <v>2028</v>
      </c>
      <c r="C131">
        <f>maluku_papua!W85</f>
        <v>18.627620963245594</v>
      </c>
      <c r="D131">
        <f>maluku_papua!X85</f>
        <v>7.7645613256962884E-2</v>
      </c>
      <c r="E131">
        <f>maluku_papua!Y85</f>
        <v>8.7885127659170177</v>
      </c>
      <c r="F131">
        <f>maluku_papua!Z85</f>
        <v>18.860341047883345</v>
      </c>
      <c r="G131">
        <f>maluku_papua!AA85</f>
        <v>-5.0359712073383792E-16</v>
      </c>
      <c r="H131">
        <f>maluku_papua!AB85</f>
        <v>0.13349949559641427</v>
      </c>
      <c r="I131">
        <f>maluku_papua!AC85</f>
        <v>1.063680073200445</v>
      </c>
      <c r="J131">
        <f>maluku_papua!AD85</f>
        <v>2.3316887575191774</v>
      </c>
      <c r="K131">
        <f>maluku_papua!AE85</f>
        <v>1.2537645139352336</v>
      </c>
      <c r="L131">
        <f>maluku_papua!AF85</f>
        <v>0</v>
      </c>
      <c r="M131">
        <f>maluku_papua!AG85</f>
        <v>5.0610433159159398E-4</v>
      </c>
      <c r="N131">
        <f>maluku_papua!AH85</f>
        <v>0</v>
      </c>
      <c r="O131">
        <f>maluku_papua!AI85</f>
        <v>0</v>
      </c>
      <c r="P131">
        <f>maluku_papua!AJ85</f>
        <v>51.137259334885776</v>
      </c>
    </row>
    <row r="132" spans="1:16" x14ac:dyDescent="0.25">
      <c r="A132" t="str">
        <f>maluku_papua!U86</f>
        <v>MALUKU_PAPUA</v>
      </c>
      <c r="B132">
        <f>maluku_papua!V86</f>
        <v>2029</v>
      </c>
      <c r="C132">
        <f>maluku_papua!W86</f>
        <v>20.804509627360407</v>
      </c>
      <c r="D132">
        <f>maluku_papua!X86</f>
        <v>7.7645613256962884E-2</v>
      </c>
      <c r="E132">
        <f>maluku_papua!Y86</f>
        <v>9.5476932129053438</v>
      </c>
      <c r="F132">
        <f>maluku_papua!Z86</f>
        <v>18.860341047883345</v>
      </c>
      <c r="G132">
        <f>maluku_papua!AA86</f>
        <v>0</v>
      </c>
      <c r="H132">
        <f>maluku_papua!AB86</f>
        <v>0.14858663427955204</v>
      </c>
      <c r="I132">
        <f>maluku_papua!AC86</f>
        <v>1.1963265392109199</v>
      </c>
      <c r="J132">
        <f>maluku_papua!AD86</f>
        <v>2.373068190746209</v>
      </c>
      <c r="K132">
        <f>maluku_papua!AE86</f>
        <v>1.3097468228763938</v>
      </c>
      <c r="L132">
        <f>maluku_papua!AF86</f>
        <v>0</v>
      </c>
      <c r="M132">
        <f>maluku_papua!AG86</f>
        <v>5.0611740733188496E-4</v>
      </c>
      <c r="N132">
        <f>maluku_papua!AH86</f>
        <v>0</v>
      </c>
      <c r="O132">
        <f>maluku_papua!AI86</f>
        <v>0</v>
      </c>
      <c r="P132">
        <f>maluku_papua!AJ86</f>
        <v>54.318423805926471</v>
      </c>
    </row>
    <row r="133" spans="1:16" x14ac:dyDescent="0.25">
      <c r="A133" t="str">
        <f>maluku_papua!U87</f>
        <v>MALUKU_PAPUA</v>
      </c>
      <c r="B133">
        <f>maluku_papua!V87</f>
        <v>2030</v>
      </c>
      <c r="C133">
        <f>maluku_papua!W87</f>
        <v>23.111010527790082</v>
      </c>
      <c r="D133">
        <f>maluku_papua!X87</f>
        <v>7.7645613256962884E-2</v>
      </c>
      <c r="E133">
        <f>maluku_papua!Y87</f>
        <v>10.375454122093315</v>
      </c>
      <c r="F133">
        <f>maluku_papua!Z87</f>
        <v>18.860341047883345</v>
      </c>
      <c r="G133">
        <f>maluku_papua!AA87</f>
        <v>-2.3066666445418612E-8</v>
      </c>
      <c r="H133">
        <f>maluku_papua!AB87</f>
        <v>0.14858663427955204</v>
      </c>
      <c r="I133">
        <f>maluku_papua!AC87</f>
        <v>1.4487897127125251</v>
      </c>
      <c r="J133">
        <f>maluku_papua!AD87</f>
        <v>2.4408669250500359</v>
      </c>
      <c r="K133">
        <f>maluku_papua!AE87</f>
        <v>1.3097468251295556</v>
      </c>
      <c r="L133">
        <f>maluku_papua!AF87</f>
        <v>0</v>
      </c>
      <c r="M133">
        <f>maluku_papua!AG87</f>
        <v>5.6472130225021359E-4</v>
      </c>
      <c r="N133">
        <f>maluku_papua!AH87</f>
        <v>0</v>
      </c>
      <c r="O133">
        <f>maluku_papua!AI87</f>
        <v>0</v>
      </c>
      <c r="P133">
        <f>maluku_papua!AJ87</f>
        <v>57.773006106430955</v>
      </c>
    </row>
    <row r="134" spans="1:16" x14ac:dyDescent="0.25">
      <c r="A134" t="str">
        <f>maluku_papua!U88</f>
        <v>MALUKU_PAPUA</v>
      </c>
      <c r="B134">
        <f>maluku_papua!V88</f>
        <v>2031</v>
      </c>
      <c r="C134">
        <f>maluku_papua!W88</f>
        <v>25.554193073676664</v>
      </c>
      <c r="D134">
        <f>maluku_papua!X88</f>
        <v>7.7645613256962884E-2</v>
      </c>
      <c r="E134">
        <f>maluku_papua!Y88</f>
        <v>11.278151754302291</v>
      </c>
      <c r="F134">
        <f>maluku_papua!Z88</f>
        <v>18.860341047883345</v>
      </c>
      <c r="G134">
        <f>maluku_papua!AA88</f>
        <v>0</v>
      </c>
      <c r="H134">
        <f>maluku_papua!AB88</f>
        <v>0.16966642298445528</v>
      </c>
      <c r="I134">
        <f>maluku_papua!AC88</f>
        <v>1.5830889461765638</v>
      </c>
      <c r="J134">
        <f>maluku_papua!AD88</f>
        <v>2.4408669250500359</v>
      </c>
      <c r="K134">
        <f>maluku_papua!AE88</f>
        <v>1.4108917769133704</v>
      </c>
      <c r="L134">
        <f>maluku_papua!AF88</f>
        <v>0</v>
      </c>
      <c r="M134">
        <f>maluku_papua!AG88</f>
        <v>5.6472130225021359E-4</v>
      </c>
      <c r="N134">
        <f>maluku_papua!AH88</f>
        <v>0</v>
      </c>
      <c r="O134">
        <f>maluku_papua!AI88</f>
        <v>0</v>
      </c>
      <c r="P134">
        <f>maluku_papua!AJ88</f>
        <v>61.375410281545946</v>
      </c>
    </row>
    <row r="135" spans="1:16" x14ac:dyDescent="0.25">
      <c r="A135" t="str">
        <f>maluku_papua!U89</f>
        <v>MALUKU_PAPUA</v>
      </c>
      <c r="B135">
        <f>maluku_papua!V89</f>
        <v>2032</v>
      </c>
      <c r="C135">
        <f>maluku_papua!W89</f>
        <v>28.141447921510942</v>
      </c>
      <c r="D135">
        <f>maluku_papua!X89</f>
        <v>7.7645613256962884E-2</v>
      </c>
      <c r="E135">
        <f>maluku_papua!Y89</f>
        <v>12.262734496291243</v>
      </c>
      <c r="F135">
        <f>maluku_papua!Z89</f>
        <v>18.860341047883345</v>
      </c>
      <c r="G135">
        <f>maluku_papua!AA89</f>
        <v>-5.035954210055661E-16</v>
      </c>
      <c r="H135">
        <f>maluku_papua!AB89</f>
        <v>0.16966861811791059</v>
      </c>
      <c r="I135">
        <f>maluku_papua!AC89</f>
        <v>1.8747930789862883</v>
      </c>
      <c r="J135">
        <f>maluku_papua!AD89</f>
        <v>2.4457644780555876</v>
      </c>
      <c r="K135">
        <f>maluku_papua!AE89</f>
        <v>1.4583168229725874</v>
      </c>
      <c r="L135">
        <f>maluku_papua!AF89</f>
        <v>0</v>
      </c>
      <c r="M135">
        <f>maluku_papua!AG89</f>
        <v>6.126345191132535E-4</v>
      </c>
      <c r="N135">
        <f>maluku_papua!AH89</f>
        <v>0</v>
      </c>
      <c r="O135">
        <f>maluku_papua!AI89</f>
        <v>0</v>
      </c>
      <c r="P135">
        <f>maluku_papua!AJ89</f>
        <v>65.291324711593973</v>
      </c>
    </row>
    <row r="136" spans="1:16" x14ac:dyDescent="0.25">
      <c r="A136" t="str">
        <f>maluku_papua!U90</f>
        <v>MALUKU_PAPUA</v>
      </c>
      <c r="B136">
        <f>maluku_papua!V90</f>
        <v>2033</v>
      </c>
      <c r="C136">
        <f>maluku_papua!W90</f>
        <v>30.880493637063566</v>
      </c>
      <c r="D136">
        <f>maluku_papua!X90</f>
        <v>7.7645613256962884E-2</v>
      </c>
      <c r="E136">
        <f>maluku_papua!Y90</f>
        <v>13.336798744923735</v>
      </c>
      <c r="F136">
        <f>maluku_papua!Z90</f>
        <v>18.860341047883345</v>
      </c>
      <c r="G136">
        <f>maluku_papua!AA90</f>
        <v>-2.3066666550178945E-8</v>
      </c>
      <c r="H136">
        <f>maluku_papua!AB90</f>
        <v>0.17511599592430724</v>
      </c>
      <c r="I136">
        <f>maluku_papua!AC90</f>
        <v>2.1747780819111302</v>
      </c>
      <c r="J136">
        <f>maluku_papua!AD90</f>
        <v>2.4460431266643394</v>
      </c>
      <c r="K136">
        <f>maluku_papua!AE90</f>
        <v>1.4982914480941032</v>
      </c>
      <c r="L136">
        <f>maluku_papua!AF90</f>
        <v>0</v>
      </c>
      <c r="M136">
        <f>maluku_papua!AG90</f>
        <v>6.6567385317214663E-4</v>
      </c>
      <c r="N136">
        <f>maluku_papua!AH90</f>
        <v>0</v>
      </c>
      <c r="O136">
        <f>maluku_papua!AI90</f>
        <v>0</v>
      </c>
      <c r="P136">
        <f>maluku_papua!AJ90</f>
        <v>69.450173346507995</v>
      </c>
    </row>
    <row r="137" spans="1:16" x14ac:dyDescent="0.25">
      <c r="A137" t="str">
        <f>maluku_papua!U91</f>
        <v>MALUKU_PAPUA</v>
      </c>
      <c r="B137">
        <f>maluku_papua!V91</f>
        <v>2034</v>
      </c>
      <c r="C137">
        <f>maluku_papua!W91</f>
        <v>33.779382476480798</v>
      </c>
      <c r="D137">
        <f>maluku_papua!X91</f>
        <v>7.7645593845525607E-2</v>
      </c>
      <c r="E137">
        <f>maluku_papua!Y91</f>
        <v>14.508649995963406</v>
      </c>
      <c r="F137">
        <f>maluku_papua!Z91</f>
        <v>18.860341047883345</v>
      </c>
      <c r="G137">
        <f>maluku_papua!AA91</f>
        <v>0</v>
      </c>
      <c r="H137">
        <f>maluku_papua!AB91</f>
        <v>0.19934475403583379</v>
      </c>
      <c r="I137">
        <f>maluku_papua!AC91</f>
        <v>2.2931549786101235</v>
      </c>
      <c r="J137">
        <f>maluku_papua!AD91</f>
        <v>2.4482500772363425</v>
      </c>
      <c r="K137">
        <f>maluku_papua!AE91</f>
        <v>1.7378344991555028</v>
      </c>
      <c r="L137">
        <f>maluku_papua!AF91</f>
        <v>0</v>
      </c>
      <c r="M137">
        <f>maluku_papua!AG91</f>
        <v>7.1358666119538891E-4</v>
      </c>
      <c r="N137">
        <f>maluku_papua!AH91</f>
        <v>0</v>
      </c>
      <c r="O137">
        <f>maluku_papua!AI91</f>
        <v>0</v>
      </c>
      <c r="P137">
        <f>maluku_papua!AJ91</f>
        <v>73.905317009872064</v>
      </c>
    </row>
    <row r="138" spans="1:16" x14ac:dyDescent="0.25">
      <c r="A138" t="str">
        <f>maluku_papua!U92</f>
        <v>MALUKU_PAPUA</v>
      </c>
      <c r="B138">
        <f>maluku_papua!V92</f>
        <v>2035</v>
      </c>
      <c r="C138">
        <f>maluku_papua!W92</f>
        <v>36.930560560670258</v>
      </c>
      <c r="D138">
        <f>maluku_papua!X92</f>
        <v>7.7645574434088385E-2</v>
      </c>
      <c r="E138">
        <f>maluku_papua!Y92</f>
        <v>15.695673910646722</v>
      </c>
      <c r="F138">
        <f>maluku_papua!Z92</f>
        <v>18.860341047883345</v>
      </c>
      <c r="G138">
        <f>maluku_papua!AA92</f>
        <v>-2.3066666312473581E-8</v>
      </c>
      <c r="H138">
        <f>maluku_papua!AB92</f>
        <v>0.20631289403977782</v>
      </c>
      <c r="I138">
        <f>maluku_papua!AC92</f>
        <v>2.6681684534064334</v>
      </c>
      <c r="J138">
        <f>maluku_papua!AD92</f>
        <v>2.4482500772363425</v>
      </c>
      <c r="K138">
        <f>maluku_papua!AE92</f>
        <v>1.7378344991555028</v>
      </c>
      <c r="L138">
        <f>maluku_papua!AF92</f>
        <v>0</v>
      </c>
      <c r="M138">
        <f>maluku_papua!AG92</f>
        <v>7.5297018233741236E-4</v>
      </c>
      <c r="N138">
        <f>maluku_papua!AH92</f>
        <v>0</v>
      </c>
      <c r="O138">
        <f>maluku_papua!AI92</f>
        <v>0</v>
      </c>
      <c r="P138">
        <f>maluku_papua!AJ92</f>
        <v>78.625539964588143</v>
      </c>
    </row>
    <row r="139" spans="1:16" x14ac:dyDescent="0.25">
      <c r="A139" t="str">
        <f>maluku_papua!U93</f>
        <v>MALUKU_PAPUA</v>
      </c>
      <c r="B139">
        <f>maluku_papua!V93</f>
        <v>2036</v>
      </c>
      <c r="C139">
        <f>maluku_papua!W93</f>
        <v>39.855814595181911</v>
      </c>
      <c r="D139">
        <f>maluku_papua!X93</f>
        <v>7.7645574434088385E-2</v>
      </c>
      <c r="E139">
        <f>maluku_papua!Y93</f>
        <v>17.439007216559386</v>
      </c>
      <c r="F139">
        <f>maluku_papua!Z93</f>
        <v>18.860341047883345</v>
      </c>
      <c r="G139">
        <f>maluku_papua!AA93</f>
        <v>-5.035954210055661E-16</v>
      </c>
      <c r="H139">
        <f>maluku_papua!AB93</f>
        <v>0.20631289432019514</v>
      </c>
      <c r="I139">
        <f>maluku_papua!AC93</f>
        <v>2.9146893983048501</v>
      </c>
      <c r="J139">
        <f>maluku_papua!AD93</f>
        <v>2.4482500901212476</v>
      </c>
      <c r="K139">
        <f>maluku_papua!AE93</f>
        <v>2.5354780868895532</v>
      </c>
      <c r="L139">
        <f>maluku_papua!AF93</f>
        <v>0</v>
      </c>
      <c r="M139">
        <f>maluku_papua!AG93</f>
        <v>8.6008238034447572E-4</v>
      </c>
      <c r="N139">
        <f>maluku_papua!AH93</f>
        <v>0</v>
      </c>
      <c r="O139">
        <f>maluku_papua!AI93</f>
        <v>0</v>
      </c>
      <c r="P139">
        <f>maluku_papua!AJ93</f>
        <v>84.338398986074921</v>
      </c>
    </row>
    <row r="140" spans="1:16" x14ac:dyDescent="0.25">
      <c r="A140" t="str">
        <f>maluku_papua!U94</f>
        <v>MALUKU_PAPUA</v>
      </c>
      <c r="B140">
        <f>maluku_papua!V94</f>
        <v>2037</v>
      </c>
      <c r="C140">
        <f>maluku_papua!W94</f>
        <v>42.998466817083276</v>
      </c>
      <c r="D140">
        <f>maluku_papua!X94</f>
        <v>7.7645574434088385E-2</v>
      </c>
      <c r="E140">
        <f>maluku_papua!Y94</f>
        <v>19.27579197825796</v>
      </c>
      <c r="F140">
        <f>maluku_papua!Z94</f>
        <v>18.860341047883345</v>
      </c>
      <c r="G140">
        <f>maluku_papua!AA94</f>
        <v>0</v>
      </c>
      <c r="H140">
        <f>maluku_papua!AB94</f>
        <v>0.20639517699477375</v>
      </c>
      <c r="I140">
        <f>maluku_papua!AC94</f>
        <v>2.9232128586614303</v>
      </c>
      <c r="J140">
        <f>maluku_papua!AD94</f>
        <v>2.7455210250558326</v>
      </c>
      <c r="K140">
        <f>maluku_papua!AE94</f>
        <v>3.712139366902381</v>
      </c>
      <c r="L140">
        <f>maluku_papua!AF94</f>
        <v>0</v>
      </c>
      <c r="M140">
        <f>maluku_papua!AG94</f>
        <v>8.6008544996777259E-4</v>
      </c>
      <c r="N140">
        <f>maluku_papua!AH94</f>
        <v>0</v>
      </c>
      <c r="O140">
        <f>maluku_papua!AI94</f>
        <v>0</v>
      </c>
      <c r="P140">
        <f>maluku_papua!AJ94</f>
        <v>90.800373930723055</v>
      </c>
    </row>
    <row r="141" spans="1:16" x14ac:dyDescent="0.25">
      <c r="A141" t="str">
        <f>maluku_papua!U95</f>
        <v>MALUKU_PAPUA</v>
      </c>
      <c r="B141">
        <f>maluku_papua!V95</f>
        <v>2038</v>
      </c>
      <c r="C141">
        <f>maluku_papua!W95</f>
        <v>46.320665659401357</v>
      </c>
      <c r="D141">
        <f>maluku_papua!X95</f>
        <v>7.7645555022651122E-2</v>
      </c>
      <c r="E141">
        <f>maluku_papua!Y95</f>
        <v>21.269471151460579</v>
      </c>
      <c r="F141">
        <f>maluku_papua!Z95</f>
        <v>18.860341047883345</v>
      </c>
      <c r="G141">
        <f>maluku_papua!AA95</f>
        <v>0</v>
      </c>
      <c r="H141">
        <f>maluku_papua!AB95</f>
        <v>0.24917935407448838</v>
      </c>
      <c r="I141">
        <f>maluku_papua!AC95</f>
        <v>3.3451650907117987</v>
      </c>
      <c r="J141">
        <f>maluku_papua!AD95</f>
        <v>3.2337235918321423</v>
      </c>
      <c r="K141">
        <f>maluku_papua!AE95</f>
        <v>3.8709644100467444</v>
      </c>
      <c r="L141">
        <f>maluku_papua!AF95</f>
        <v>0</v>
      </c>
      <c r="M141">
        <f>maluku_papua!AG95</f>
        <v>1.133481836722654E-3</v>
      </c>
      <c r="N141">
        <f>maluku_papua!AH95</f>
        <v>0</v>
      </c>
      <c r="O141">
        <f>maluku_papua!AI95</f>
        <v>0</v>
      </c>
      <c r="P141">
        <f>maluku_papua!AJ95</f>
        <v>97.228289342269818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sets_indices</vt:lpstr>
      <vt:lpstr>variables</vt:lpstr>
      <vt:lpstr>tech_data</vt:lpstr>
      <vt:lpstr>potential</vt:lpstr>
      <vt:lpstr>existing_capacity</vt:lpstr>
      <vt:lpstr>proj_rukn</vt:lpstr>
      <vt:lpstr>indonesia</vt:lpstr>
      <vt:lpstr>sumatera</vt:lpstr>
      <vt:lpstr>Jawa</vt:lpstr>
      <vt:lpstr>bali_nt</vt:lpstr>
      <vt:lpstr>kalimantan</vt:lpstr>
      <vt:lpstr>sulawesi</vt:lpstr>
      <vt:lpstr>maluku_papua</vt:lpstr>
      <vt:lpstr>cap_mw</vt:lpstr>
      <vt:lpstr>remain_pot</vt:lpstr>
      <vt:lpstr>sup_gwh</vt:lpstr>
      <vt:lpstr>co2_ton</vt:lpstr>
      <vt:lpstr>cost_musd</vt:lpstr>
      <vt:lpstr>prim_pj</vt:lpstr>
      <vt:lpstr>sup_pj</vt:lpstr>
      <vt:lpstr>los_pj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Brajamusthi</dc:creator>
  <cp:lastModifiedBy>Anggara Brajamusthi</cp:lastModifiedBy>
  <dcterms:created xsi:type="dcterms:W3CDTF">2021-06-12T02:11:08Z</dcterms:created>
  <dcterms:modified xsi:type="dcterms:W3CDTF">2021-06-23T01:46:22Z</dcterms:modified>
</cp:coreProperties>
</file>